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169" documentId="13_ncr:1_{8DA829A7-D392-410C-B92C-4D9E531A3674}" xr6:coauthVersionLast="47" xr6:coauthVersionMax="47" xr10:uidLastSave="{2F7EA45F-3FB2-4639-997E-E8B1F9AC801A}"/>
  <bookViews>
    <workbookView xWindow="-98" yWindow="-98" windowWidth="21795" windowHeight="13875" activeTab="2" xr2:uid="{00000000-000D-0000-FFFF-FFFF00000000}"/>
  </bookViews>
  <sheets>
    <sheet name="step3_calibration" sheetId="18" r:id="rId1"/>
    <sheet name="survey_responses" sheetId="16" r:id="rId2"/>
    <sheet name="step3_combined_data" sheetId="12" r:id="rId3"/>
    <sheet name="AIx" sheetId="20" r:id="rId4"/>
    <sheet name="Insights" sheetId="21" r:id="rId5"/>
    <sheet name="EMD" sheetId="19"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externalReferences>
    <externalReference r:id="rId18"/>
  </externalReferences>
  <definedNames>
    <definedName name="ExternalData_1" localSheetId="1" hidden="1">survey_responses!$A$1:$Q$404</definedName>
    <definedName name="ExternalData_3" localSheetId="0" hidden="1">step3_calibration!$A$1:$AS$404</definedName>
  </definedNames>
  <calcPr calcId="191029"/>
  <pivotCaches>
    <pivotCache cacheId="20"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1" l="1"/>
  <c r="C71" i="21"/>
  <c r="B71" i="21"/>
  <c r="D70" i="21"/>
  <c r="C70" i="21"/>
  <c r="B70" i="21"/>
  <c r="D69" i="21"/>
  <c r="C69" i="21"/>
  <c r="B69" i="21"/>
  <c r="D68" i="21"/>
  <c r="C68" i="21"/>
  <c r="B68" i="21"/>
  <c r="D67" i="21"/>
  <c r="C67" i="21"/>
  <c r="B67" i="21"/>
  <c r="D66" i="21"/>
  <c r="C66" i="21"/>
  <c r="B66" i="21"/>
  <c r="D65" i="21"/>
  <c r="E65" i="21" s="1"/>
  <c r="C65" i="21"/>
  <c r="B65" i="21"/>
  <c r="D64" i="21"/>
  <c r="C64" i="21"/>
  <c r="B64" i="21"/>
  <c r="E64" i="21" s="1"/>
  <c r="D58" i="21"/>
  <c r="C58" i="21"/>
  <c r="D61" i="21"/>
  <c r="C61" i="21"/>
  <c r="B61" i="21"/>
  <c r="D60" i="21"/>
  <c r="C60" i="21"/>
  <c r="B60" i="21"/>
  <c r="D59" i="21"/>
  <c r="C59" i="21"/>
  <c r="B59" i="21"/>
  <c r="B58" i="21"/>
  <c r="D57" i="21"/>
  <c r="C57" i="21"/>
  <c r="B57" i="21"/>
  <c r="D56" i="21"/>
  <c r="C56" i="21"/>
  <c r="B56" i="21"/>
  <c r="D55" i="21"/>
  <c r="C55" i="21"/>
  <c r="B55" i="21"/>
  <c r="D54" i="21"/>
  <c r="C54" i="21"/>
  <c r="B54" i="21"/>
  <c r="D79" i="21"/>
  <c r="C79" i="21"/>
  <c r="B79" i="21"/>
  <c r="D78" i="21"/>
  <c r="C78" i="21"/>
  <c r="B78" i="21"/>
  <c r="D77" i="21"/>
  <c r="C77" i="21"/>
  <c r="B77" i="21"/>
  <c r="D76" i="21"/>
  <c r="C76" i="21"/>
  <c r="B76" i="21"/>
  <c r="D75" i="21"/>
  <c r="C75" i="21"/>
  <c r="B75" i="21"/>
  <c r="E75" i="21" s="1"/>
  <c r="J75" i="21" s="1"/>
  <c r="D74" i="21"/>
  <c r="C74" i="21"/>
  <c r="B74" i="21"/>
  <c r="D51" i="21"/>
  <c r="E51" i="21" s="1"/>
  <c r="H51" i="21" s="1"/>
  <c r="C51" i="21"/>
  <c r="B51" i="21"/>
  <c r="D50" i="21"/>
  <c r="C50" i="21"/>
  <c r="B50" i="21"/>
  <c r="D49" i="21"/>
  <c r="C49" i="21"/>
  <c r="B49" i="21"/>
  <c r="D48" i="21"/>
  <c r="C48" i="21"/>
  <c r="B48" i="21"/>
  <c r="D47" i="21"/>
  <c r="C47" i="21"/>
  <c r="B47" i="21"/>
  <c r="D46" i="21"/>
  <c r="C46" i="21"/>
  <c r="B46" i="21"/>
  <c r="E50" i="21"/>
  <c r="D43" i="21"/>
  <c r="C43" i="21"/>
  <c r="B43" i="21"/>
  <c r="D42" i="21"/>
  <c r="C42" i="21"/>
  <c r="B42" i="21"/>
  <c r="D41" i="21"/>
  <c r="E41" i="21" s="1"/>
  <c r="C41" i="21"/>
  <c r="B41" i="21"/>
  <c r="D40" i="21"/>
  <c r="C40" i="21"/>
  <c r="E40" i="21" s="1"/>
  <c r="B40" i="21"/>
  <c r="D39" i="21"/>
  <c r="C39" i="21"/>
  <c r="B39" i="21"/>
  <c r="E39" i="21" s="1"/>
  <c r="D38" i="21"/>
  <c r="C38" i="21"/>
  <c r="B38" i="21"/>
  <c r="D35" i="21"/>
  <c r="C35" i="21"/>
  <c r="B35" i="21"/>
  <c r="D34" i="21"/>
  <c r="C34" i="21"/>
  <c r="B34" i="21"/>
  <c r="D33" i="21"/>
  <c r="C33" i="21"/>
  <c r="B33" i="21"/>
  <c r="D32" i="21"/>
  <c r="C32" i="21"/>
  <c r="B32" i="21"/>
  <c r="D31" i="21"/>
  <c r="C31" i="21"/>
  <c r="B31" i="21"/>
  <c r="D30" i="21"/>
  <c r="C30" i="21"/>
  <c r="B30" i="21"/>
  <c r="E30" i="21" s="1"/>
  <c r="D27" i="21"/>
  <c r="C27" i="21"/>
  <c r="B27" i="21"/>
  <c r="D26" i="21"/>
  <c r="C26" i="21"/>
  <c r="B26" i="21"/>
  <c r="D25" i="21"/>
  <c r="C25" i="21"/>
  <c r="E25" i="21" s="1"/>
  <c r="B25" i="21"/>
  <c r="D24" i="21"/>
  <c r="C24" i="21"/>
  <c r="B24" i="21"/>
  <c r="D23" i="21"/>
  <c r="C23" i="21"/>
  <c r="B23" i="21"/>
  <c r="D22" i="21"/>
  <c r="C22" i="21"/>
  <c r="B22" i="21"/>
  <c r="D19" i="21"/>
  <c r="C19" i="21"/>
  <c r="B19" i="21"/>
  <c r="D18" i="21"/>
  <c r="C18" i="21"/>
  <c r="B18" i="21"/>
  <c r="D17" i="21"/>
  <c r="C17" i="21"/>
  <c r="B17" i="21"/>
  <c r="D16" i="21"/>
  <c r="C16" i="21"/>
  <c r="B16" i="21"/>
  <c r="D15" i="21"/>
  <c r="C15" i="21"/>
  <c r="B15" i="21"/>
  <c r="D14" i="21"/>
  <c r="C14" i="21"/>
  <c r="B14" i="21"/>
  <c r="D11" i="21"/>
  <c r="C11" i="21"/>
  <c r="B11" i="21"/>
  <c r="D10" i="21"/>
  <c r="C10" i="21"/>
  <c r="B10" i="21"/>
  <c r="D7" i="21"/>
  <c r="C7" i="21"/>
  <c r="B7" i="21"/>
  <c r="D6" i="21"/>
  <c r="C6" i="21"/>
  <c r="B6" i="21"/>
  <c r="D3" i="21"/>
  <c r="C3" i="21"/>
  <c r="B3" i="21"/>
  <c r="D2" i="21"/>
  <c r="C2" i="21"/>
  <c r="B2" i="21"/>
  <c r="E76" i="21"/>
  <c r="E27" i="21"/>
  <c r="E26" i="21"/>
  <c r="AM3" i="20"/>
  <c r="AN3" i="20"/>
  <c r="AM4" i="20"/>
  <c r="AN4" i="20"/>
  <c r="AM5" i="20"/>
  <c r="AN5" i="20"/>
  <c r="AM6" i="20"/>
  <c r="AN6" i="20"/>
  <c r="AM7" i="20"/>
  <c r="AN7" i="20"/>
  <c r="AM8" i="20"/>
  <c r="AN8" i="20"/>
  <c r="AM9" i="20"/>
  <c r="AN9" i="20"/>
  <c r="AM10" i="20"/>
  <c r="AN10" i="20"/>
  <c r="AM11" i="20"/>
  <c r="AN11" i="20"/>
  <c r="AM12" i="20"/>
  <c r="AN12" i="20"/>
  <c r="AM13" i="20"/>
  <c r="AN13" i="20"/>
  <c r="AM14" i="20"/>
  <c r="AN14" i="20"/>
  <c r="AM15" i="20"/>
  <c r="AN15" i="20"/>
  <c r="AM16" i="20"/>
  <c r="AN16" i="20"/>
  <c r="AM17" i="20"/>
  <c r="AN17" i="20"/>
  <c r="AM18" i="20"/>
  <c r="AN18" i="20"/>
  <c r="AM19" i="20"/>
  <c r="AN19" i="20"/>
  <c r="AM20" i="20"/>
  <c r="AN20" i="20"/>
  <c r="AM21" i="20"/>
  <c r="AN21" i="20"/>
  <c r="AM22" i="20"/>
  <c r="AN22" i="20"/>
  <c r="AM23" i="20"/>
  <c r="AN23" i="20"/>
  <c r="AM24" i="20"/>
  <c r="AN24" i="20"/>
  <c r="AM25" i="20"/>
  <c r="AN25" i="20"/>
  <c r="AM26" i="20"/>
  <c r="AN26" i="20"/>
  <c r="AM27" i="20"/>
  <c r="AN27" i="20"/>
  <c r="AM28" i="20"/>
  <c r="AN28" i="20"/>
  <c r="AM29" i="20"/>
  <c r="AN29" i="20"/>
  <c r="AM30" i="20"/>
  <c r="AN30" i="20"/>
  <c r="AM31" i="20"/>
  <c r="AN31" i="20"/>
  <c r="AM32" i="20"/>
  <c r="AN32" i="20"/>
  <c r="AM33" i="20"/>
  <c r="AN33" i="20"/>
  <c r="AM34" i="20"/>
  <c r="AN34" i="20"/>
  <c r="AM35" i="20"/>
  <c r="AN35" i="20"/>
  <c r="AM36" i="20"/>
  <c r="AN36" i="20"/>
  <c r="AM37" i="20"/>
  <c r="AN37" i="20"/>
  <c r="AM38" i="20"/>
  <c r="AN38" i="20"/>
  <c r="AM39" i="20"/>
  <c r="AN39" i="20"/>
  <c r="AM40" i="20"/>
  <c r="AN40" i="20"/>
  <c r="AM41" i="20"/>
  <c r="AN41" i="20"/>
  <c r="AM42" i="20"/>
  <c r="AN42" i="20"/>
  <c r="AM43" i="20"/>
  <c r="AN43" i="20"/>
  <c r="AM44" i="20"/>
  <c r="AN44" i="20"/>
  <c r="AM45" i="20"/>
  <c r="AN45" i="20"/>
  <c r="AM46" i="20"/>
  <c r="AN46" i="20"/>
  <c r="AM47" i="20"/>
  <c r="AN47" i="20"/>
  <c r="AM48" i="20"/>
  <c r="AN48" i="20"/>
  <c r="AM49" i="20"/>
  <c r="AN49" i="20"/>
  <c r="AM50" i="20"/>
  <c r="AN50" i="20"/>
  <c r="AM51" i="20"/>
  <c r="AN51" i="20"/>
  <c r="AM52" i="20"/>
  <c r="AN52" i="20"/>
  <c r="AM53" i="20"/>
  <c r="AN53" i="20"/>
  <c r="AM54" i="20"/>
  <c r="AN54" i="20"/>
  <c r="AM55" i="20"/>
  <c r="AN55" i="20"/>
  <c r="AM56" i="20"/>
  <c r="AN56" i="20"/>
  <c r="AM57" i="20"/>
  <c r="AN57" i="20"/>
  <c r="AM58" i="20"/>
  <c r="AN58" i="20"/>
  <c r="AM59" i="20"/>
  <c r="AN59" i="20"/>
  <c r="AM60" i="20"/>
  <c r="AN60" i="20"/>
  <c r="AM61" i="20"/>
  <c r="AN61" i="20"/>
  <c r="AM62" i="20"/>
  <c r="AN62" i="20"/>
  <c r="AM63" i="20"/>
  <c r="AN63" i="20"/>
  <c r="AM64" i="20"/>
  <c r="AN64" i="20"/>
  <c r="AM65" i="20"/>
  <c r="AN65" i="20"/>
  <c r="AM66" i="20"/>
  <c r="AN66" i="20"/>
  <c r="AM67" i="20"/>
  <c r="AN67" i="20"/>
  <c r="AM68" i="20"/>
  <c r="AN68" i="20"/>
  <c r="AM69" i="20"/>
  <c r="AN69" i="20"/>
  <c r="AM70" i="20"/>
  <c r="AN70" i="20"/>
  <c r="AM71" i="20"/>
  <c r="AN71" i="20"/>
  <c r="AM72" i="20"/>
  <c r="AN72" i="20"/>
  <c r="AM73" i="20"/>
  <c r="AN73" i="20"/>
  <c r="AM74" i="20"/>
  <c r="AN74" i="20"/>
  <c r="AM75" i="20"/>
  <c r="AN75" i="20"/>
  <c r="AM76" i="20"/>
  <c r="AN76" i="20"/>
  <c r="AM77" i="20"/>
  <c r="AN77" i="20"/>
  <c r="AM78" i="20"/>
  <c r="AN78" i="20"/>
  <c r="AM79" i="20"/>
  <c r="AN79" i="20"/>
  <c r="AM80" i="20"/>
  <c r="AN80" i="20"/>
  <c r="AM81" i="20"/>
  <c r="AN81" i="20"/>
  <c r="AM82" i="20"/>
  <c r="AN82" i="20"/>
  <c r="AM83" i="20"/>
  <c r="AN83" i="20"/>
  <c r="AM84" i="20"/>
  <c r="AN84" i="20"/>
  <c r="AM85" i="20"/>
  <c r="AN85" i="20"/>
  <c r="AM86" i="20"/>
  <c r="AN86" i="20"/>
  <c r="AM87" i="20"/>
  <c r="AN87" i="20"/>
  <c r="AM88" i="20"/>
  <c r="AN88" i="20"/>
  <c r="AM89" i="20"/>
  <c r="AN89" i="20"/>
  <c r="AM90" i="20"/>
  <c r="AN90" i="20"/>
  <c r="AM91" i="20"/>
  <c r="AN91" i="20"/>
  <c r="AM92" i="20"/>
  <c r="AN92" i="20"/>
  <c r="AM93" i="20"/>
  <c r="AN93" i="20"/>
  <c r="AM94" i="20"/>
  <c r="AN94" i="20"/>
  <c r="AM95" i="20"/>
  <c r="AN95" i="20"/>
  <c r="AM96" i="20"/>
  <c r="AN96" i="20"/>
  <c r="AM97" i="20"/>
  <c r="AN97" i="20"/>
  <c r="AM98" i="20"/>
  <c r="AN98" i="20"/>
  <c r="AM99" i="20"/>
  <c r="AN99" i="20"/>
  <c r="AM100" i="20"/>
  <c r="AN100" i="20"/>
  <c r="AM101" i="20"/>
  <c r="AN101" i="20"/>
  <c r="AM102" i="20"/>
  <c r="AN102" i="20"/>
  <c r="AM103" i="20"/>
  <c r="AN103" i="20"/>
  <c r="AM104" i="20"/>
  <c r="AN104" i="20"/>
  <c r="AM105" i="20"/>
  <c r="AN105" i="20"/>
  <c r="AM106" i="20"/>
  <c r="AN106" i="20"/>
  <c r="AM107" i="20"/>
  <c r="AN107" i="20"/>
  <c r="AM108" i="20"/>
  <c r="AN108" i="20"/>
  <c r="AM109" i="20"/>
  <c r="AN109" i="20"/>
  <c r="AM110" i="20"/>
  <c r="AN110" i="20"/>
  <c r="AM111" i="20"/>
  <c r="AN111" i="20"/>
  <c r="AM112" i="20"/>
  <c r="AN112" i="20"/>
  <c r="AM113" i="20"/>
  <c r="AN113" i="20"/>
  <c r="AM114" i="20"/>
  <c r="AN114" i="20"/>
  <c r="AM115" i="20"/>
  <c r="AN115" i="20"/>
  <c r="AM116" i="20"/>
  <c r="AN116" i="20"/>
  <c r="AM117" i="20"/>
  <c r="AN117" i="20"/>
  <c r="AM118" i="20"/>
  <c r="AN118" i="20"/>
  <c r="AM119" i="20"/>
  <c r="AN119" i="20"/>
  <c r="AM120" i="20"/>
  <c r="AN120" i="20"/>
  <c r="AM121" i="20"/>
  <c r="AN121" i="20"/>
  <c r="AM122" i="20"/>
  <c r="AN122" i="20"/>
  <c r="AM123" i="20"/>
  <c r="AN123" i="20"/>
  <c r="AM124" i="20"/>
  <c r="AN124" i="20"/>
  <c r="AM125" i="20"/>
  <c r="AN125" i="20"/>
  <c r="AM126" i="20"/>
  <c r="AN126" i="20"/>
  <c r="AM127" i="20"/>
  <c r="AN127" i="20"/>
  <c r="AM128" i="20"/>
  <c r="AN128" i="20"/>
  <c r="AM129" i="20"/>
  <c r="AN129" i="20"/>
  <c r="AM130" i="20"/>
  <c r="AN130" i="20"/>
  <c r="AM131" i="20"/>
  <c r="AN131" i="20"/>
  <c r="AM132" i="20"/>
  <c r="AN132" i="20"/>
  <c r="AM133" i="20"/>
  <c r="AN133" i="20"/>
  <c r="AM134" i="20"/>
  <c r="AN134" i="20"/>
  <c r="AM135" i="20"/>
  <c r="AN135" i="20"/>
  <c r="AM136" i="20"/>
  <c r="AN136" i="20"/>
  <c r="AM137" i="20"/>
  <c r="AN137" i="20"/>
  <c r="AM138" i="20"/>
  <c r="AN138" i="20"/>
  <c r="AM139" i="20"/>
  <c r="AN139" i="20"/>
  <c r="AM140" i="20"/>
  <c r="AN140" i="20"/>
  <c r="AM141" i="20"/>
  <c r="AN141" i="20"/>
  <c r="AM142" i="20"/>
  <c r="AN142" i="20"/>
  <c r="AM143" i="20"/>
  <c r="AN143" i="20"/>
  <c r="AM144" i="20"/>
  <c r="AN144" i="20"/>
  <c r="AM145" i="20"/>
  <c r="AN145" i="20"/>
  <c r="AM146" i="20"/>
  <c r="AN146" i="20"/>
  <c r="AM147" i="20"/>
  <c r="AN147" i="20"/>
  <c r="AM148" i="20"/>
  <c r="AN148" i="20"/>
  <c r="AM149" i="20"/>
  <c r="AN149" i="20"/>
  <c r="AM150" i="20"/>
  <c r="AN150" i="20"/>
  <c r="AM151" i="20"/>
  <c r="AN151" i="20"/>
  <c r="AM152" i="20"/>
  <c r="AN152" i="20"/>
  <c r="AM153" i="20"/>
  <c r="AN153" i="20"/>
  <c r="AM154" i="20"/>
  <c r="AN154" i="20"/>
  <c r="AM155" i="20"/>
  <c r="AN155" i="20"/>
  <c r="AM156" i="20"/>
  <c r="AN156" i="20"/>
  <c r="AM157" i="20"/>
  <c r="AN157" i="20"/>
  <c r="AM158" i="20"/>
  <c r="AN158" i="20"/>
  <c r="AM159" i="20"/>
  <c r="AN159" i="20"/>
  <c r="AM160" i="20"/>
  <c r="AN160" i="20"/>
  <c r="AM161" i="20"/>
  <c r="AN161" i="20"/>
  <c r="AM162" i="20"/>
  <c r="AN162" i="20"/>
  <c r="AM163" i="20"/>
  <c r="AN163" i="20"/>
  <c r="AM164" i="20"/>
  <c r="AN164" i="20"/>
  <c r="AM165" i="20"/>
  <c r="AN165" i="20"/>
  <c r="AM166" i="20"/>
  <c r="AN166" i="20"/>
  <c r="AM167" i="20"/>
  <c r="AN167" i="20"/>
  <c r="AM168" i="20"/>
  <c r="AN168" i="20"/>
  <c r="AM169" i="20"/>
  <c r="AN169" i="20"/>
  <c r="AM170" i="20"/>
  <c r="AN170" i="20"/>
  <c r="AM171" i="20"/>
  <c r="AN171" i="20"/>
  <c r="AM172" i="20"/>
  <c r="AN172" i="20"/>
  <c r="AM173" i="20"/>
  <c r="AN173" i="20"/>
  <c r="AM174" i="20"/>
  <c r="AN174" i="20"/>
  <c r="AM175" i="20"/>
  <c r="AN175" i="20"/>
  <c r="AM176" i="20"/>
  <c r="AN176" i="20"/>
  <c r="AM177" i="20"/>
  <c r="AN177" i="20"/>
  <c r="AM178" i="20"/>
  <c r="AN178" i="20"/>
  <c r="AM179" i="20"/>
  <c r="AN179" i="20"/>
  <c r="AM180" i="20"/>
  <c r="AN180" i="20"/>
  <c r="AM181" i="20"/>
  <c r="AN181" i="20"/>
  <c r="AM182" i="20"/>
  <c r="AN182" i="20"/>
  <c r="AM183" i="20"/>
  <c r="AN183" i="20"/>
  <c r="AM184" i="20"/>
  <c r="AN184" i="20"/>
  <c r="AM185" i="20"/>
  <c r="AN185" i="20"/>
  <c r="AM186" i="20"/>
  <c r="AN186" i="20"/>
  <c r="AM187" i="20"/>
  <c r="AN187" i="20"/>
  <c r="AM188" i="20"/>
  <c r="AN188" i="20"/>
  <c r="AM189" i="20"/>
  <c r="AN189" i="20"/>
  <c r="AM190" i="20"/>
  <c r="AN190" i="20"/>
  <c r="AM191" i="20"/>
  <c r="AN191" i="20"/>
  <c r="AM192" i="20"/>
  <c r="AN192" i="20"/>
  <c r="AM193" i="20"/>
  <c r="AN193" i="20"/>
  <c r="AM194" i="20"/>
  <c r="AN194" i="20"/>
  <c r="AM195" i="20"/>
  <c r="AN195" i="20"/>
  <c r="AM196" i="20"/>
  <c r="AN196" i="20"/>
  <c r="AM197" i="20"/>
  <c r="AN197" i="20"/>
  <c r="AM198" i="20"/>
  <c r="AN198" i="20"/>
  <c r="AM199" i="20"/>
  <c r="AN199" i="20"/>
  <c r="AM200" i="20"/>
  <c r="AN200" i="20"/>
  <c r="AM201" i="20"/>
  <c r="AN201" i="20"/>
  <c r="AM202" i="20"/>
  <c r="AN202" i="20"/>
  <c r="AM203" i="20"/>
  <c r="AN203" i="20"/>
  <c r="AM204" i="20"/>
  <c r="AN204" i="20"/>
  <c r="AM205" i="20"/>
  <c r="AN205" i="20"/>
  <c r="AM206" i="20"/>
  <c r="AN206" i="20"/>
  <c r="AM207" i="20"/>
  <c r="AN207" i="20"/>
  <c r="AM208" i="20"/>
  <c r="AN208" i="20"/>
  <c r="AM209" i="20"/>
  <c r="AN209" i="20"/>
  <c r="AM210" i="20"/>
  <c r="AN210" i="20"/>
  <c r="AM211" i="20"/>
  <c r="AN211" i="20"/>
  <c r="AM212" i="20"/>
  <c r="AN212" i="20"/>
  <c r="AM213" i="20"/>
  <c r="AN213" i="20"/>
  <c r="AM214" i="20"/>
  <c r="AN214" i="20"/>
  <c r="AM215" i="20"/>
  <c r="AN215" i="20"/>
  <c r="AM216" i="20"/>
  <c r="AN216" i="20"/>
  <c r="AM217" i="20"/>
  <c r="AN217" i="20"/>
  <c r="AM218" i="20"/>
  <c r="AN218" i="20"/>
  <c r="AM219" i="20"/>
  <c r="AN219" i="20"/>
  <c r="AM220" i="20"/>
  <c r="AN220" i="20"/>
  <c r="AM221" i="20"/>
  <c r="AN221" i="20"/>
  <c r="AM222" i="20"/>
  <c r="AN222" i="20"/>
  <c r="AM223" i="20"/>
  <c r="AN223" i="20"/>
  <c r="AM224" i="20"/>
  <c r="AN224" i="20"/>
  <c r="AM225" i="20"/>
  <c r="AN225" i="20"/>
  <c r="AM226" i="20"/>
  <c r="AN226" i="20"/>
  <c r="AM227" i="20"/>
  <c r="AN227" i="20"/>
  <c r="AM228" i="20"/>
  <c r="AN228" i="20"/>
  <c r="AM229" i="20"/>
  <c r="AN229" i="20"/>
  <c r="AM230" i="20"/>
  <c r="AN230" i="20"/>
  <c r="AM231" i="20"/>
  <c r="AN231" i="20"/>
  <c r="AM232" i="20"/>
  <c r="AN232" i="20"/>
  <c r="AM233" i="20"/>
  <c r="AN233" i="20"/>
  <c r="AM234" i="20"/>
  <c r="AN234" i="20"/>
  <c r="AM235" i="20"/>
  <c r="AN235" i="20"/>
  <c r="AM236" i="20"/>
  <c r="AN236" i="20"/>
  <c r="AM237" i="20"/>
  <c r="AN237" i="20"/>
  <c r="AM238" i="20"/>
  <c r="AN238" i="20"/>
  <c r="AM239" i="20"/>
  <c r="AN239" i="20"/>
  <c r="AM240" i="20"/>
  <c r="AN240" i="20"/>
  <c r="AM241" i="20"/>
  <c r="AN241" i="20"/>
  <c r="AM242" i="20"/>
  <c r="AN242" i="20"/>
  <c r="AM243" i="20"/>
  <c r="AN243" i="20"/>
  <c r="AM244" i="20"/>
  <c r="AN244" i="20"/>
  <c r="AM245" i="20"/>
  <c r="AN245" i="20"/>
  <c r="AM246" i="20"/>
  <c r="AN246" i="20"/>
  <c r="AM247" i="20"/>
  <c r="AN247" i="20"/>
  <c r="AM248" i="20"/>
  <c r="AN248" i="20"/>
  <c r="AM249" i="20"/>
  <c r="AN249" i="20"/>
  <c r="AM250" i="20"/>
  <c r="AN250" i="20"/>
  <c r="AM251" i="20"/>
  <c r="AN251" i="20"/>
  <c r="AM252" i="20"/>
  <c r="AN252" i="20"/>
  <c r="AM253" i="20"/>
  <c r="AN253" i="20"/>
  <c r="AM254" i="20"/>
  <c r="AN254" i="20"/>
  <c r="AM255" i="20"/>
  <c r="AN255" i="20"/>
  <c r="AM256" i="20"/>
  <c r="AN256" i="20"/>
  <c r="AM257" i="20"/>
  <c r="AN257" i="20"/>
  <c r="AM258" i="20"/>
  <c r="AN258" i="20"/>
  <c r="AM259" i="20"/>
  <c r="AN259" i="20"/>
  <c r="AM260" i="20"/>
  <c r="AN260" i="20"/>
  <c r="AM261" i="20"/>
  <c r="AN261" i="20"/>
  <c r="AM262" i="20"/>
  <c r="AN262" i="20"/>
  <c r="AM263" i="20"/>
  <c r="AN263" i="20"/>
  <c r="AM264" i="20"/>
  <c r="AN264" i="20"/>
  <c r="AM265" i="20"/>
  <c r="AN265" i="20"/>
  <c r="AM266" i="20"/>
  <c r="AN266" i="20"/>
  <c r="AM267" i="20"/>
  <c r="AN267" i="20"/>
  <c r="AM268" i="20"/>
  <c r="AN268" i="20"/>
  <c r="AM269" i="20"/>
  <c r="AN269" i="20"/>
  <c r="AM270" i="20"/>
  <c r="AN270" i="20"/>
  <c r="AM271" i="20"/>
  <c r="AN271" i="20"/>
  <c r="AM272" i="20"/>
  <c r="AN272" i="20"/>
  <c r="AM273" i="20"/>
  <c r="AN273" i="20"/>
  <c r="AM274" i="20"/>
  <c r="AN274" i="20"/>
  <c r="AM275" i="20"/>
  <c r="AN275" i="20"/>
  <c r="AM276" i="20"/>
  <c r="AN276" i="20"/>
  <c r="AM277" i="20"/>
  <c r="AN277" i="20"/>
  <c r="AM278" i="20"/>
  <c r="AN278" i="20"/>
  <c r="AM279" i="20"/>
  <c r="AN279" i="20"/>
  <c r="AM280" i="20"/>
  <c r="AN280" i="20"/>
  <c r="AM281" i="20"/>
  <c r="AN281" i="20"/>
  <c r="AM282" i="20"/>
  <c r="AN282" i="20"/>
  <c r="AM283" i="20"/>
  <c r="AN283" i="20"/>
  <c r="AM284" i="20"/>
  <c r="AN284" i="20"/>
  <c r="AM285" i="20"/>
  <c r="AN285" i="20"/>
  <c r="AM286" i="20"/>
  <c r="AN286" i="20"/>
  <c r="AM287" i="20"/>
  <c r="AN287" i="20"/>
  <c r="AM288" i="20"/>
  <c r="AN288" i="20"/>
  <c r="AM289" i="20"/>
  <c r="AN289" i="20"/>
  <c r="AM290" i="20"/>
  <c r="AN290" i="20"/>
  <c r="AM291" i="20"/>
  <c r="AN291" i="20"/>
  <c r="AM292" i="20"/>
  <c r="AN292" i="20"/>
  <c r="AM293" i="20"/>
  <c r="AN293" i="20"/>
  <c r="AM294" i="20"/>
  <c r="AN294" i="20"/>
  <c r="AM295" i="20"/>
  <c r="AN295" i="20"/>
  <c r="AM296" i="20"/>
  <c r="AN296" i="20"/>
  <c r="AM297" i="20"/>
  <c r="AN297" i="20"/>
  <c r="AM298" i="20"/>
  <c r="AN298" i="20"/>
  <c r="AM299" i="20"/>
  <c r="AN299" i="20"/>
  <c r="AM300" i="20"/>
  <c r="AN300" i="20"/>
  <c r="AM301" i="20"/>
  <c r="AN301" i="20"/>
  <c r="AM302" i="20"/>
  <c r="AN302" i="20"/>
  <c r="AM303" i="20"/>
  <c r="AN303" i="20"/>
  <c r="AM304" i="20"/>
  <c r="AN304" i="20"/>
  <c r="AM305" i="20"/>
  <c r="AN305" i="20"/>
  <c r="AM306" i="20"/>
  <c r="AN306" i="20"/>
  <c r="AM307" i="20"/>
  <c r="AN307" i="20"/>
  <c r="AM308" i="20"/>
  <c r="AN308" i="20"/>
  <c r="AM309" i="20"/>
  <c r="AN309" i="20"/>
  <c r="AM310" i="20"/>
  <c r="AN310" i="20"/>
  <c r="AM311" i="20"/>
  <c r="AN311" i="20"/>
  <c r="AM312" i="20"/>
  <c r="AN312" i="20"/>
  <c r="AM313" i="20"/>
  <c r="AN313" i="20"/>
  <c r="AM314" i="20"/>
  <c r="AN314" i="20"/>
  <c r="AM315" i="20"/>
  <c r="AN315" i="20"/>
  <c r="AM316" i="20"/>
  <c r="AN316" i="20"/>
  <c r="AM317" i="20"/>
  <c r="AN317" i="20"/>
  <c r="AM318" i="20"/>
  <c r="AN318" i="20"/>
  <c r="AM319" i="20"/>
  <c r="AN319" i="20"/>
  <c r="AM320" i="20"/>
  <c r="AN320" i="20"/>
  <c r="AM321" i="20"/>
  <c r="AN321" i="20"/>
  <c r="AM322" i="20"/>
  <c r="AN322" i="20"/>
  <c r="AM323" i="20"/>
  <c r="AN323" i="20"/>
  <c r="AM324" i="20"/>
  <c r="AN324" i="20"/>
  <c r="AM325" i="20"/>
  <c r="AN325" i="20"/>
  <c r="AM326" i="20"/>
  <c r="AN326" i="20"/>
  <c r="AM327" i="20"/>
  <c r="AN327" i="20"/>
  <c r="AM328" i="20"/>
  <c r="AN328" i="20"/>
  <c r="AM329" i="20"/>
  <c r="AN329" i="20"/>
  <c r="AM330" i="20"/>
  <c r="AN330" i="20"/>
  <c r="AM331" i="20"/>
  <c r="AN331" i="20"/>
  <c r="AM332" i="20"/>
  <c r="AN332" i="20"/>
  <c r="AM333" i="20"/>
  <c r="AN333" i="20"/>
  <c r="AM334" i="20"/>
  <c r="AN334" i="20"/>
  <c r="AM335" i="20"/>
  <c r="AN335" i="20"/>
  <c r="AM336" i="20"/>
  <c r="AN336" i="20"/>
  <c r="AM337" i="20"/>
  <c r="AN337" i="20"/>
  <c r="AM338" i="20"/>
  <c r="AN338" i="20"/>
  <c r="AM339" i="20"/>
  <c r="AN339" i="20"/>
  <c r="AM340" i="20"/>
  <c r="AN340" i="20"/>
  <c r="AM341" i="20"/>
  <c r="AN341" i="20"/>
  <c r="AM342" i="20"/>
  <c r="AN342" i="20"/>
  <c r="AM343" i="20"/>
  <c r="AN343" i="20"/>
  <c r="AM344" i="20"/>
  <c r="AN344" i="20"/>
  <c r="AM345" i="20"/>
  <c r="AN345" i="20"/>
  <c r="AM346" i="20"/>
  <c r="AN346" i="20"/>
  <c r="AM347" i="20"/>
  <c r="AN347" i="20"/>
  <c r="AM348" i="20"/>
  <c r="AN348" i="20"/>
  <c r="AM349" i="20"/>
  <c r="AN349" i="20"/>
  <c r="AM350" i="20"/>
  <c r="AN350" i="20"/>
  <c r="AM351" i="20"/>
  <c r="AN351" i="20"/>
  <c r="AM352" i="20"/>
  <c r="AN352" i="20"/>
  <c r="AM353" i="20"/>
  <c r="AN353" i="20"/>
  <c r="AM354" i="20"/>
  <c r="AN354" i="20"/>
  <c r="AM355" i="20"/>
  <c r="AN355" i="20"/>
  <c r="AM356" i="20"/>
  <c r="AN356" i="20"/>
  <c r="AM357" i="20"/>
  <c r="AN357" i="20"/>
  <c r="AM358" i="20"/>
  <c r="AN358" i="20"/>
  <c r="AM359" i="20"/>
  <c r="AN359" i="20"/>
  <c r="AM360" i="20"/>
  <c r="AN360" i="20"/>
  <c r="AM361" i="20"/>
  <c r="AN361" i="20"/>
  <c r="AM362" i="20"/>
  <c r="AN362" i="20"/>
  <c r="AM363" i="20"/>
  <c r="AN363" i="20"/>
  <c r="AM364" i="20"/>
  <c r="AN364" i="20"/>
  <c r="AM365" i="20"/>
  <c r="AN365" i="20"/>
  <c r="AM366" i="20"/>
  <c r="AN366" i="20"/>
  <c r="AM367" i="20"/>
  <c r="AN367" i="20"/>
  <c r="AM368" i="20"/>
  <c r="AN368" i="20"/>
  <c r="AM369" i="20"/>
  <c r="AN369" i="20"/>
  <c r="AM370" i="20"/>
  <c r="AN370" i="20"/>
  <c r="AM371" i="20"/>
  <c r="AN371" i="20"/>
  <c r="AM372" i="20"/>
  <c r="AN372" i="20"/>
  <c r="AM373" i="20"/>
  <c r="AN373" i="20"/>
  <c r="AM374" i="20"/>
  <c r="AN374" i="20"/>
  <c r="AM375" i="20"/>
  <c r="AN375" i="20"/>
  <c r="AM376" i="20"/>
  <c r="AN376" i="20"/>
  <c r="AM377" i="20"/>
  <c r="AN377" i="20"/>
  <c r="AM378" i="20"/>
  <c r="AN378" i="20"/>
  <c r="AM379" i="20"/>
  <c r="AN379" i="20"/>
  <c r="AM380" i="20"/>
  <c r="AN380" i="20"/>
  <c r="AM381" i="20"/>
  <c r="AN381" i="20"/>
  <c r="AM382" i="20"/>
  <c r="AN382" i="20"/>
  <c r="AM383" i="20"/>
  <c r="AN383" i="20"/>
  <c r="AM384" i="20"/>
  <c r="AN384" i="20"/>
  <c r="AM385" i="20"/>
  <c r="AN385" i="20"/>
  <c r="AM386" i="20"/>
  <c r="AN386" i="20"/>
  <c r="AM387" i="20"/>
  <c r="AN387" i="20"/>
  <c r="AM388" i="20"/>
  <c r="AN388" i="20"/>
  <c r="AM389" i="20"/>
  <c r="AN389" i="20"/>
  <c r="AM390" i="20"/>
  <c r="AN390" i="20"/>
  <c r="AM391" i="20"/>
  <c r="AN391" i="20"/>
  <c r="AM392" i="20"/>
  <c r="AN392" i="20"/>
  <c r="AM393" i="20"/>
  <c r="AN393" i="20"/>
  <c r="AM394" i="20"/>
  <c r="AN394" i="20"/>
  <c r="AM395" i="20"/>
  <c r="AN395" i="20"/>
  <c r="AM396" i="20"/>
  <c r="AN396" i="20"/>
  <c r="AM397" i="20"/>
  <c r="AN397" i="20"/>
  <c r="AM398" i="20"/>
  <c r="AN398" i="20"/>
  <c r="AM399" i="20"/>
  <c r="AN399" i="20"/>
  <c r="AM400" i="20"/>
  <c r="AN400" i="20"/>
  <c r="AM401" i="20"/>
  <c r="AN401" i="20"/>
  <c r="AM402" i="20"/>
  <c r="AN402" i="20"/>
  <c r="AM403" i="20"/>
  <c r="AN403" i="20"/>
  <c r="AM404" i="20"/>
  <c r="AN404" i="20"/>
  <c r="AN2" i="20"/>
  <c r="AM2" i="20"/>
  <c r="E55" i="21" l="1"/>
  <c r="E54" i="21"/>
  <c r="H54" i="21" s="1"/>
  <c r="J40" i="21"/>
  <c r="I40" i="21"/>
  <c r="H40" i="21"/>
  <c r="E15" i="21"/>
  <c r="I15" i="21" s="1"/>
  <c r="E14" i="21"/>
  <c r="H14" i="21" s="1"/>
  <c r="E11" i="21"/>
  <c r="I11" i="21" s="1"/>
  <c r="H39" i="21"/>
  <c r="I50" i="21"/>
  <c r="I75" i="21"/>
  <c r="H25" i="21"/>
  <c r="I39" i="21"/>
  <c r="J50" i="21"/>
  <c r="J14" i="21"/>
  <c r="I25" i="21"/>
  <c r="J39" i="21"/>
  <c r="E61" i="21"/>
  <c r="J61" i="21" s="1"/>
  <c r="J51" i="21"/>
  <c r="H50" i="21"/>
  <c r="H75" i="21"/>
  <c r="J25" i="21"/>
  <c r="H64" i="21"/>
  <c r="I51" i="21"/>
  <c r="J64" i="21"/>
  <c r="J65" i="21"/>
  <c r="I65" i="21"/>
  <c r="H65" i="21"/>
  <c r="J27" i="21"/>
  <c r="H41" i="21"/>
  <c r="I41" i="21"/>
  <c r="J41" i="21"/>
  <c r="H30" i="21"/>
  <c r="I30" i="21"/>
  <c r="J30" i="21"/>
  <c r="J76" i="21"/>
  <c r="H76" i="21"/>
  <c r="H15" i="21"/>
  <c r="J15" i="21"/>
  <c r="I68" i="21"/>
  <c r="I76" i="21"/>
  <c r="I34" i="21"/>
  <c r="H19" i="21"/>
  <c r="H26" i="21"/>
  <c r="J26" i="21"/>
  <c r="H55" i="21"/>
  <c r="I55" i="21"/>
  <c r="J55" i="21"/>
  <c r="H27" i="21"/>
  <c r="I27" i="21"/>
  <c r="I26" i="21"/>
  <c r="E7" i="21"/>
  <c r="I7" i="21" s="1"/>
  <c r="E10" i="21"/>
  <c r="E9" i="21" s="1"/>
  <c r="E24" i="21"/>
  <c r="H24" i="21" s="1"/>
  <c r="E35" i="21"/>
  <c r="J35" i="21" s="1"/>
  <c r="E38" i="21"/>
  <c r="E49" i="21"/>
  <c r="H49" i="21" s="1"/>
  <c r="E60" i="21"/>
  <c r="H60" i="21" s="1"/>
  <c r="E71" i="21"/>
  <c r="H71" i="21" s="1"/>
  <c r="E74" i="21"/>
  <c r="E3" i="21"/>
  <c r="I3" i="21" s="1"/>
  <c r="E6" i="21"/>
  <c r="E5" i="21" s="1"/>
  <c r="E23" i="21"/>
  <c r="J23" i="21" s="1"/>
  <c r="E34" i="21"/>
  <c r="J34" i="21" s="1"/>
  <c r="E48" i="21"/>
  <c r="J48" i="21" s="1"/>
  <c r="E59" i="21"/>
  <c r="J59" i="21" s="1"/>
  <c r="I64" i="21"/>
  <c r="E70" i="21"/>
  <c r="J70" i="21" s="1"/>
  <c r="E2" i="21"/>
  <c r="E19" i="21"/>
  <c r="J19" i="21" s="1"/>
  <c r="E22" i="21"/>
  <c r="E33" i="21"/>
  <c r="J33" i="21" s="1"/>
  <c r="E47" i="21"/>
  <c r="J47" i="21" s="1"/>
  <c r="E58" i="21"/>
  <c r="J58" i="21" s="1"/>
  <c r="E69" i="21"/>
  <c r="J69" i="21" s="1"/>
  <c r="E18" i="21"/>
  <c r="J18" i="21" s="1"/>
  <c r="E32" i="21"/>
  <c r="J32" i="21" s="1"/>
  <c r="E43" i="21"/>
  <c r="J43" i="21" s="1"/>
  <c r="E46" i="21"/>
  <c r="I46" i="21" s="1"/>
  <c r="E57" i="21"/>
  <c r="J57" i="21" s="1"/>
  <c r="E68" i="21"/>
  <c r="J68" i="21" s="1"/>
  <c r="E79" i="21"/>
  <c r="I79" i="21" s="1"/>
  <c r="E17" i="21"/>
  <c r="J17" i="21" s="1"/>
  <c r="E31" i="21"/>
  <c r="E42" i="21"/>
  <c r="E56" i="21"/>
  <c r="E53" i="21" s="1"/>
  <c r="E67" i="21"/>
  <c r="J67" i="21" s="1"/>
  <c r="E78" i="21"/>
  <c r="J78" i="21" s="1"/>
  <c r="E16" i="21"/>
  <c r="I16" i="21" s="1"/>
  <c r="E66" i="21"/>
  <c r="E77" i="21"/>
  <c r="I77" i="21" s="1"/>
  <c r="AO3" i="20"/>
  <c r="AO4" i="20"/>
  <c r="AO5" i="20"/>
  <c r="AO6" i="20"/>
  <c r="AO7" i="20"/>
  <c r="AO8" i="20"/>
  <c r="AO9" i="20"/>
  <c r="AP9" i="20" s="1"/>
  <c r="AO10" i="20"/>
  <c r="AO11" i="20"/>
  <c r="AO12" i="20"/>
  <c r="AO13" i="20"/>
  <c r="AO14" i="20"/>
  <c r="AO15" i="20"/>
  <c r="AO16" i="20"/>
  <c r="AO17" i="20"/>
  <c r="AP17" i="20" s="1"/>
  <c r="AO18" i="20"/>
  <c r="AO19" i="20"/>
  <c r="AO20" i="20"/>
  <c r="AO21" i="20"/>
  <c r="AO22" i="20"/>
  <c r="AO23" i="20"/>
  <c r="AO24" i="20"/>
  <c r="AO25" i="20"/>
  <c r="AO26" i="20"/>
  <c r="AO27" i="20"/>
  <c r="AO28" i="20"/>
  <c r="AO29" i="20"/>
  <c r="AO30" i="20"/>
  <c r="AO31" i="20"/>
  <c r="AO32" i="20"/>
  <c r="AO33" i="20"/>
  <c r="AO34" i="20"/>
  <c r="AO35" i="20"/>
  <c r="AO36" i="20"/>
  <c r="AO37" i="20"/>
  <c r="AO38" i="20"/>
  <c r="AO39" i="20"/>
  <c r="AO40" i="20"/>
  <c r="AO41" i="20"/>
  <c r="AP41" i="20" s="1"/>
  <c r="AO42" i="20"/>
  <c r="AO43" i="20"/>
  <c r="AO44" i="20"/>
  <c r="AO45" i="20"/>
  <c r="AO46" i="20"/>
  <c r="AO47" i="20"/>
  <c r="AO48" i="20"/>
  <c r="AO49" i="20"/>
  <c r="AP49" i="20" s="1"/>
  <c r="AO50" i="20"/>
  <c r="AO51" i="20"/>
  <c r="AO52" i="20"/>
  <c r="AO53" i="20"/>
  <c r="AO54" i="20"/>
  <c r="AO55" i="20"/>
  <c r="AO56" i="20"/>
  <c r="AO57" i="20"/>
  <c r="AO58" i="20"/>
  <c r="AO59" i="20"/>
  <c r="AO60" i="20"/>
  <c r="AO61" i="20"/>
  <c r="AO62" i="20"/>
  <c r="AO63" i="20"/>
  <c r="AO64" i="20"/>
  <c r="AO65" i="20"/>
  <c r="AP65" i="20" s="1"/>
  <c r="AO66" i="20"/>
  <c r="AO67" i="20"/>
  <c r="AO68" i="20"/>
  <c r="AO69" i="20"/>
  <c r="AO70" i="20"/>
  <c r="AO71" i="20"/>
  <c r="AO72" i="20"/>
  <c r="AO73" i="20"/>
  <c r="AP73" i="20" s="1"/>
  <c r="AO74" i="20"/>
  <c r="AO75" i="20"/>
  <c r="AO76" i="20"/>
  <c r="AO77" i="20"/>
  <c r="AO78" i="20"/>
  <c r="AO79" i="20"/>
  <c r="AO80" i="20"/>
  <c r="AO81" i="20"/>
  <c r="AP81" i="20" s="1"/>
  <c r="AO82" i="20"/>
  <c r="AO83" i="20"/>
  <c r="AO84" i="20"/>
  <c r="AO85" i="20"/>
  <c r="AO86" i="20"/>
  <c r="AO87" i="20"/>
  <c r="AO88" i="20"/>
  <c r="AO89" i="20"/>
  <c r="AP89" i="20" s="1"/>
  <c r="AO90" i="20"/>
  <c r="AO91" i="20"/>
  <c r="AO92" i="20"/>
  <c r="AO93" i="20"/>
  <c r="AO94" i="20"/>
  <c r="AO95" i="20"/>
  <c r="AO96" i="20"/>
  <c r="AO97" i="20"/>
  <c r="AO98" i="20"/>
  <c r="AO99" i="20"/>
  <c r="AO100" i="20"/>
  <c r="AO101" i="20"/>
  <c r="AO102" i="20"/>
  <c r="AO103" i="20"/>
  <c r="AO104" i="20"/>
  <c r="AO105" i="20"/>
  <c r="AO106" i="20"/>
  <c r="AO107" i="20"/>
  <c r="AO108" i="20"/>
  <c r="AO109" i="20"/>
  <c r="AO110" i="20"/>
  <c r="AO111" i="20"/>
  <c r="AO112" i="20"/>
  <c r="AO113" i="20"/>
  <c r="AP113" i="20" s="1"/>
  <c r="AO114" i="20"/>
  <c r="AO115" i="20"/>
  <c r="AO116" i="20"/>
  <c r="AO117" i="20"/>
  <c r="AO118" i="20"/>
  <c r="AO119" i="20"/>
  <c r="AO120" i="20"/>
  <c r="AO121" i="20"/>
  <c r="AO122" i="20"/>
  <c r="AO123" i="20"/>
  <c r="AO124" i="20"/>
  <c r="AO125" i="20"/>
  <c r="AO126" i="20"/>
  <c r="AO127" i="20"/>
  <c r="AO128" i="20"/>
  <c r="AO129" i="20"/>
  <c r="AP129" i="20" s="1"/>
  <c r="AO130" i="20"/>
  <c r="AO131" i="20"/>
  <c r="AO132" i="20"/>
  <c r="AO133" i="20"/>
  <c r="AO134" i="20"/>
  <c r="AO135" i="20"/>
  <c r="AO136" i="20"/>
  <c r="AO137" i="20"/>
  <c r="AO138" i="20"/>
  <c r="AO139" i="20"/>
  <c r="AO140" i="20"/>
  <c r="AO141" i="20"/>
  <c r="AO142" i="20"/>
  <c r="AO143" i="20"/>
  <c r="AO144" i="20"/>
  <c r="AO145" i="20"/>
  <c r="AP145" i="20" s="1"/>
  <c r="AO146" i="20"/>
  <c r="AO147" i="20"/>
  <c r="AO148" i="20"/>
  <c r="AO149" i="20"/>
  <c r="AO150" i="20"/>
  <c r="AO151" i="20"/>
  <c r="AO152" i="20"/>
  <c r="AO153" i="20"/>
  <c r="AP153" i="20" s="1"/>
  <c r="AO154" i="20"/>
  <c r="AO155" i="20"/>
  <c r="AO156" i="20"/>
  <c r="AO157" i="20"/>
  <c r="AO158" i="20"/>
  <c r="AO159" i="20"/>
  <c r="AO160" i="20"/>
  <c r="AO161" i="20"/>
  <c r="AO162" i="20"/>
  <c r="AO163" i="20"/>
  <c r="AO164" i="20"/>
  <c r="AO165" i="20"/>
  <c r="AO166" i="20"/>
  <c r="AO167" i="20"/>
  <c r="AO168" i="20"/>
  <c r="AO169" i="20"/>
  <c r="AO170" i="20"/>
  <c r="AO171" i="20"/>
  <c r="AO172" i="20"/>
  <c r="AO173" i="20"/>
  <c r="AO174" i="20"/>
  <c r="AO175" i="20"/>
  <c r="AO176" i="20"/>
  <c r="AO177" i="20"/>
  <c r="AP177" i="20" s="1"/>
  <c r="AO178" i="20"/>
  <c r="AO179" i="20"/>
  <c r="AO180" i="20"/>
  <c r="AO181" i="20"/>
  <c r="AO182" i="20"/>
  <c r="AO183" i="20"/>
  <c r="AO184" i="20"/>
  <c r="AO185" i="20"/>
  <c r="AP185" i="20" s="1"/>
  <c r="AO186" i="20"/>
  <c r="AO187" i="20"/>
  <c r="AO188" i="20"/>
  <c r="AO189" i="20"/>
  <c r="AO190" i="20"/>
  <c r="AO191" i="20"/>
  <c r="AO192" i="20"/>
  <c r="AO193" i="20"/>
  <c r="AO194" i="20"/>
  <c r="AO195" i="20"/>
  <c r="AO196" i="20"/>
  <c r="AO197" i="20"/>
  <c r="AO198" i="20"/>
  <c r="AO199" i="20"/>
  <c r="AO200" i="20"/>
  <c r="AO201" i="20"/>
  <c r="AP201" i="20" s="1"/>
  <c r="AO202" i="20"/>
  <c r="AO203" i="20"/>
  <c r="AO204" i="20"/>
  <c r="AO205" i="20"/>
  <c r="AO206" i="20"/>
  <c r="AO207" i="20"/>
  <c r="AO208" i="20"/>
  <c r="AO209" i="20"/>
  <c r="AP209" i="20" s="1"/>
  <c r="AO210" i="20"/>
  <c r="AO211" i="20"/>
  <c r="AO212" i="20"/>
  <c r="AO213" i="20"/>
  <c r="AO214" i="20"/>
  <c r="AO215" i="20"/>
  <c r="AO216" i="20"/>
  <c r="AO217" i="20"/>
  <c r="AO218" i="20"/>
  <c r="AO219" i="20"/>
  <c r="AO220" i="20"/>
  <c r="AO221" i="20"/>
  <c r="AO222" i="20"/>
  <c r="AO223" i="20"/>
  <c r="AO224" i="20"/>
  <c r="AO225" i="20"/>
  <c r="AP225" i="20" s="1"/>
  <c r="AO226" i="20"/>
  <c r="AO227" i="20"/>
  <c r="AO228" i="20"/>
  <c r="AO229" i="20"/>
  <c r="AO230" i="20"/>
  <c r="AO231" i="20"/>
  <c r="AO232" i="20"/>
  <c r="AO233" i="20"/>
  <c r="AO234" i="20"/>
  <c r="AO235" i="20"/>
  <c r="AO236" i="20"/>
  <c r="AO237" i="20"/>
  <c r="AO238" i="20"/>
  <c r="AO239" i="20"/>
  <c r="AO240" i="20"/>
  <c r="AO241" i="20"/>
  <c r="AP241" i="20" s="1"/>
  <c r="AO242" i="20"/>
  <c r="AO243" i="20"/>
  <c r="AO244" i="20"/>
  <c r="AO245" i="20"/>
  <c r="AO246" i="20"/>
  <c r="AO247" i="20"/>
  <c r="AO248" i="20"/>
  <c r="AO249" i="20"/>
  <c r="AP249" i="20" s="1"/>
  <c r="AO250" i="20"/>
  <c r="AO251" i="20"/>
  <c r="AO252" i="20"/>
  <c r="AO253" i="20"/>
  <c r="AO254" i="20"/>
  <c r="AO255" i="20"/>
  <c r="AO256" i="20"/>
  <c r="AO257" i="20"/>
  <c r="AP257" i="20" s="1"/>
  <c r="AO258" i="20"/>
  <c r="AO259" i="20"/>
  <c r="AO260" i="20"/>
  <c r="AO261" i="20"/>
  <c r="AO262" i="20"/>
  <c r="AO263" i="20"/>
  <c r="AO264" i="20"/>
  <c r="AO265" i="20"/>
  <c r="AP265" i="20" s="1"/>
  <c r="AO266" i="20"/>
  <c r="AO267" i="20"/>
  <c r="AO268" i="20"/>
  <c r="AO269" i="20"/>
  <c r="AO270" i="20"/>
  <c r="AO271" i="20"/>
  <c r="AO272" i="20"/>
  <c r="AO273" i="20"/>
  <c r="AO274" i="20"/>
  <c r="AO275" i="20"/>
  <c r="AO276" i="20"/>
  <c r="AO277" i="20"/>
  <c r="AO278" i="20"/>
  <c r="AO279" i="20"/>
  <c r="AO280" i="20"/>
  <c r="AO281" i="20"/>
  <c r="AP281" i="20" s="1"/>
  <c r="AO282" i="20"/>
  <c r="AO283" i="20"/>
  <c r="AO284" i="20"/>
  <c r="AO285" i="20"/>
  <c r="AO286" i="20"/>
  <c r="AO287" i="20"/>
  <c r="AO288" i="20"/>
  <c r="AO289" i="20"/>
  <c r="AP289" i="20" s="1"/>
  <c r="AO290" i="20"/>
  <c r="AO291" i="20"/>
  <c r="AO292" i="20"/>
  <c r="AO293" i="20"/>
  <c r="AO294" i="20"/>
  <c r="AO295" i="20"/>
  <c r="AO296" i="20"/>
  <c r="AO297" i="20"/>
  <c r="AP297" i="20" s="1"/>
  <c r="AO298" i="20"/>
  <c r="AO299" i="20"/>
  <c r="AO300" i="20"/>
  <c r="AO301" i="20"/>
  <c r="AO302" i="20"/>
  <c r="AO303" i="20"/>
  <c r="AO304" i="20"/>
  <c r="AO305" i="20"/>
  <c r="AO306" i="20"/>
  <c r="AO307" i="20"/>
  <c r="AO308" i="20"/>
  <c r="AO309" i="20"/>
  <c r="AO310" i="20"/>
  <c r="AO311" i="20"/>
  <c r="AO312" i="20"/>
  <c r="AO313" i="20"/>
  <c r="AO314" i="20"/>
  <c r="AO315" i="20"/>
  <c r="AO316" i="20"/>
  <c r="AO317" i="20"/>
  <c r="AO318" i="20"/>
  <c r="AO319" i="20"/>
  <c r="AO320" i="20"/>
  <c r="AO321" i="20"/>
  <c r="AP321" i="20" s="1"/>
  <c r="AO322" i="20"/>
  <c r="AO323" i="20"/>
  <c r="AO324" i="20"/>
  <c r="AO325" i="20"/>
  <c r="AO326" i="20"/>
  <c r="AO327" i="20"/>
  <c r="AO328" i="20"/>
  <c r="AO329" i="20"/>
  <c r="AP329" i="20" s="1"/>
  <c r="AO330" i="20"/>
  <c r="AO331" i="20"/>
  <c r="AO332" i="20"/>
  <c r="AO333" i="20"/>
  <c r="AO334" i="20"/>
  <c r="AO335" i="20"/>
  <c r="AO336" i="20"/>
  <c r="AO337" i="20"/>
  <c r="AP337" i="20" s="1"/>
  <c r="AO338" i="20"/>
  <c r="AO339" i="20"/>
  <c r="AO340" i="20"/>
  <c r="AO341" i="20"/>
  <c r="AO342" i="20"/>
  <c r="AO343" i="20"/>
  <c r="AO344" i="20"/>
  <c r="AO345" i="20"/>
  <c r="AO346" i="20"/>
  <c r="AO347" i="20"/>
  <c r="AO348" i="20"/>
  <c r="AO349" i="20"/>
  <c r="AO350" i="20"/>
  <c r="AO351" i="20"/>
  <c r="AO352" i="20"/>
  <c r="AO353" i="20"/>
  <c r="AO354" i="20"/>
  <c r="AO355" i="20"/>
  <c r="AO356" i="20"/>
  <c r="AO357" i="20"/>
  <c r="AP357" i="20" s="1"/>
  <c r="AO358" i="20"/>
  <c r="AO359" i="20"/>
  <c r="AO360" i="20"/>
  <c r="AO361" i="20"/>
  <c r="AP361" i="20" s="1"/>
  <c r="AO362" i="20"/>
  <c r="AO363" i="20"/>
  <c r="AP363" i="20" s="1"/>
  <c r="AO364" i="20"/>
  <c r="AO365" i="20"/>
  <c r="AP365" i="20" s="1"/>
  <c r="AO366" i="20"/>
  <c r="AO367" i="20"/>
  <c r="AO368" i="20"/>
  <c r="AO369" i="20"/>
  <c r="AP369" i="20" s="1"/>
  <c r="AO370" i="20"/>
  <c r="AO371" i="20"/>
  <c r="AP371" i="20" s="1"/>
  <c r="AO372" i="20"/>
  <c r="AO373" i="20"/>
  <c r="AP373" i="20" s="1"/>
  <c r="AO374" i="20"/>
  <c r="AO375" i="20"/>
  <c r="AO376" i="20"/>
  <c r="AO377" i="20"/>
  <c r="AP377" i="20" s="1"/>
  <c r="AO378" i="20"/>
  <c r="AO379" i="20"/>
  <c r="AO380" i="20"/>
  <c r="AO381" i="20"/>
  <c r="AP381" i="20" s="1"/>
  <c r="AO382" i="20"/>
  <c r="AO383" i="20"/>
  <c r="AO384" i="20"/>
  <c r="AO385" i="20"/>
  <c r="AP385" i="20" s="1"/>
  <c r="AO386" i="20"/>
  <c r="AO387" i="20"/>
  <c r="AO388" i="20"/>
  <c r="AO389" i="20"/>
  <c r="AP389" i="20" s="1"/>
  <c r="AO390" i="20"/>
  <c r="AO391" i="20"/>
  <c r="AO392" i="20"/>
  <c r="AO393" i="20"/>
  <c r="AP393" i="20" s="1"/>
  <c r="AO394" i="20"/>
  <c r="AO395" i="20"/>
  <c r="AO396" i="20"/>
  <c r="AO397" i="20"/>
  <c r="AO398" i="20"/>
  <c r="AO399" i="20"/>
  <c r="AO400" i="20"/>
  <c r="AO401" i="20"/>
  <c r="AP401" i="20" s="1"/>
  <c r="AO402" i="20"/>
  <c r="AO403" i="20"/>
  <c r="AP403" i="20" s="1"/>
  <c r="AO404" i="20"/>
  <c r="AO2" i="20"/>
  <c r="AG3" i="20"/>
  <c r="AG4" i="20"/>
  <c r="AG5" i="20"/>
  <c r="AG6" i="20"/>
  <c r="AG7" i="20"/>
  <c r="AG8" i="20"/>
  <c r="AG9" i="20"/>
  <c r="AG10" i="20"/>
  <c r="AH10" i="20" s="1"/>
  <c r="AG11" i="20"/>
  <c r="AG12" i="20"/>
  <c r="AG13" i="20"/>
  <c r="AG14" i="20"/>
  <c r="AG15" i="20"/>
  <c r="AG16" i="20"/>
  <c r="AG17" i="20"/>
  <c r="AG18" i="20"/>
  <c r="AH18" i="20" s="1"/>
  <c r="AG19" i="20"/>
  <c r="AG20" i="20"/>
  <c r="AG21" i="20"/>
  <c r="AG22" i="20"/>
  <c r="AG23" i="20"/>
  <c r="AG24" i="20"/>
  <c r="AG25" i="20"/>
  <c r="AG26" i="20"/>
  <c r="AH26" i="20" s="1"/>
  <c r="AG27" i="20"/>
  <c r="AG28" i="20"/>
  <c r="AG29" i="20"/>
  <c r="AG30" i="20"/>
  <c r="AG31" i="20"/>
  <c r="AG32" i="20"/>
  <c r="AG33" i="20"/>
  <c r="AG34" i="20"/>
  <c r="AH34" i="20" s="1"/>
  <c r="AG35" i="20"/>
  <c r="AG36" i="20"/>
  <c r="AG37" i="20"/>
  <c r="AG38" i="20"/>
  <c r="AG39" i="20"/>
  <c r="AG40" i="20"/>
  <c r="AG41" i="20"/>
  <c r="AG42" i="20"/>
  <c r="AH42" i="20" s="1"/>
  <c r="AG43" i="20"/>
  <c r="AG44" i="20"/>
  <c r="AG45" i="20"/>
  <c r="AG46" i="20"/>
  <c r="AG47" i="20"/>
  <c r="AG48" i="20"/>
  <c r="AG49" i="20"/>
  <c r="AG50" i="20"/>
  <c r="AH50" i="20" s="1"/>
  <c r="AG51" i="20"/>
  <c r="AG52" i="20"/>
  <c r="AG53" i="20"/>
  <c r="AG54" i="20"/>
  <c r="AG55" i="20"/>
  <c r="AG56" i="20"/>
  <c r="AG57" i="20"/>
  <c r="AG58" i="20"/>
  <c r="AH58" i="20" s="1"/>
  <c r="AG59" i="20"/>
  <c r="AG60" i="20"/>
  <c r="AG61" i="20"/>
  <c r="AG62" i="20"/>
  <c r="AG63" i="20"/>
  <c r="AG64" i="20"/>
  <c r="AG65" i="20"/>
  <c r="AG66" i="20"/>
  <c r="AH66" i="20" s="1"/>
  <c r="AG67" i="20"/>
  <c r="AG68" i="20"/>
  <c r="AG69" i="20"/>
  <c r="AG70" i="20"/>
  <c r="AG71" i="20"/>
  <c r="AG72" i="20"/>
  <c r="AG73" i="20"/>
  <c r="AG74" i="20"/>
  <c r="AH74" i="20" s="1"/>
  <c r="AG75" i="20"/>
  <c r="AG76" i="20"/>
  <c r="AG77" i="20"/>
  <c r="AG78" i="20"/>
  <c r="AG79" i="20"/>
  <c r="AG80" i="20"/>
  <c r="AG81" i="20"/>
  <c r="AG82" i="20"/>
  <c r="AH82" i="20" s="1"/>
  <c r="AG83" i="20"/>
  <c r="AG84" i="20"/>
  <c r="AG85" i="20"/>
  <c r="AG86" i="20"/>
  <c r="AG87" i="20"/>
  <c r="AG88" i="20"/>
  <c r="AG89" i="20"/>
  <c r="AG90" i="20"/>
  <c r="AG91" i="20"/>
  <c r="AG92" i="20"/>
  <c r="AG93" i="20"/>
  <c r="AG94" i="20"/>
  <c r="AG95" i="20"/>
  <c r="AG96" i="20"/>
  <c r="AG97" i="20"/>
  <c r="AG98" i="20"/>
  <c r="AH98" i="20" s="1"/>
  <c r="AG99" i="20"/>
  <c r="AG100" i="20"/>
  <c r="AG101" i="20"/>
  <c r="AG102" i="20"/>
  <c r="AG103" i="20"/>
  <c r="AG104" i="20"/>
  <c r="AG105" i="20"/>
  <c r="AG106" i="20"/>
  <c r="AH106" i="20" s="1"/>
  <c r="AG107" i="20"/>
  <c r="AG108" i="20"/>
  <c r="AG109" i="20"/>
  <c r="AG110" i="20"/>
  <c r="AG111" i="20"/>
  <c r="AG112" i="20"/>
  <c r="AG113" i="20"/>
  <c r="AG114" i="20"/>
  <c r="AH114" i="20" s="1"/>
  <c r="AG115" i="20"/>
  <c r="AG116" i="20"/>
  <c r="AG117" i="20"/>
  <c r="AG118" i="20"/>
  <c r="AG119" i="20"/>
  <c r="AG120" i="20"/>
  <c r="AG121" i="20"/>
  <c r="AG122" i="20"/>
  <c r="AH122" i="20" s="1"/>
  <c r="AG123" i="20"/>
  <c r="AG124" i="20"/>
  <c r="AG125" i="20"/>
  <c r="AG126" i="20"/>
  <c r="AG127" i="20"/>
  <c r="AG128" i="20"/>
  <c r="AG129" i="20"/>
  <c r="AG130" i="20"/>
  <c r="AH130" i="20" s="1"/>
  <c r="AG131" i="20"/>
  <c r="AG132" i="20"/>
  <c r="AG133" i="20"/>
  <c r="AG134" i="20"/>
  <c r="AG135" i="20"/>
  <c r="AG136" i="20"/>
  <c r="AG137" i="20"/>
  <c r="AG138" i="20"/>
  <c r="AH138" i="20" s="1"/>
  <c r="AG139" i="20"/>
  <c r="AG140" i="20"/>
  <c r="AG141" i="20"/>
  <c r="AG142" i="20"/>
  <c r="AG143" i="20"/>
  <c r="AG144" i="20"/>
  <c r="AG145" i="20"/>
  <c r="AG146" i="20"/>
  <c r="AH146" i="20" s="1"/>
  <c r="AG147" i="20"/>
  <c r="AG148" i="20"/>
  <c r="AG149" i="20"/>
  <c r="AG150" i="20"/>
  <c r="AG151" i="20"/>
  <c r="AG152" i="20"/>
  <c r="AG153" i="20"/>
  <c r="AG154" i="20"/>
  <c r="AH154" i="20" s="1"/>
  <c r="AG155" i="20"/>
  <c r="AG156" i="20"/>
  <c r="AG157" i="20"/>
  <c r="AG158" i="20"/>
  <c r="AG159" i="20"/>
  <c r="AG160" i="20"/>
  <c r="AG161" i="20"/>
  <c r="AG162" i="20"/>
  <c r="AH162" i="20" s="1"/>
  <c r="AG163" i="20"/>
  <c r="AG164" i="20"/>
  <c r="AG165" i="20"/>
  <c r="AG166" i="20"/>
  <c r="AG167" i="20"/>
  <c r="AG168" i="20"/>
  <c r="AG169" i="20"/>
  <c r="AG170" i="20"/>
  <c r="AH170" i="20" s="1"/>
  <c r="AG171" i="20"/>
  <c r="AG172" i="20"/>
  <c r="AG173" i="20"/>
  <c r="AG174" i="20"/>
  <c r="AG175" i="20"/>
  <c r="AG176" i="20"/>
  <c r="AG177" i="20"/>
  <c r="AG178" i="20"/>
  <c r="AH178" i="20" s="1"/>
  <c r="AG179" i="20"/>
  <c r="AG180" i="20"/>
  <c r="AG181" i="20"/>
  <c r="AG182" i="20"/>
  <c r="AG183" i="20"/>
  <c r="AG184" i="20"/>
  <c r="AG185" i="20"/>
  <c r="AG186" i="20"/>
  <c r="AH186" i="20" s="1"/>
  <c r="AG187" i="20"/>
  <c r="AG188" i="20"/>
  <c r="AG189" i="20"/>
  <c r="AG190" i="20"/>
  <c r="AG191" i="20"/>
  <c r="AG192" i="20"/>
  <c r="AG193" i="20"/>
  <c r="AG194" i="20"/>
  <c r="AG195" i="20"/>
  <c r="AG196" i="20"/>
  <c r="AG197" i="20"/>
  <c r="AG198" i="20"/>
  <c r="AG199" i="20"/>
  <c r="AG200" i="20"/>
  <c r="AG201" i="20"/>
  <c r="AG202" i="20"/>
  <c r="AH202" i="20" s="1"/>
  <c r="AG203" i="20"/>
  <c r="AG204" i="20"/>
  <c r="AG205" i="20"/>
  <c r="AG206" i="20"/>
  <c r="AG207" i="20"/>
  <c r="AG208" i="20"/>
  <c r="AG209" i="20"/>
  <c r="AG210" i="20"/>
  <c r="AH210" i="20" s="1"/>
  <c r="AG211" i="20"/>
  <c r="AG212" i="20"/>
  <c r="AG213" i="20"/>
  <c r="AG214" i="20"/>
  <c r="AG215" i="20"/>
  <c r="AG216" i="20"/>
  <c r="AG217" i="20"/>
  <c r="AG218" i="20"/>
  <c r="AH218" i="20" s="1"/>
  <c r="AG219" i="20"/>
  <c r="AG220" i="20"/>
  <c r="AG221" i="20"/>
  <c r="AG222" i="20"/>
  <c r="AG223" i="20"/>
  <c r="AG224" i="20"/>
  <c r="AG225" i="20"/>
  <c r="AG226" i="20"/>
  <c r="AH226" i="20" s="1"/>
  <c r="AG227" i="20"/>
  <c r="AG228" i="20"/>
  <c r="AG229" i="20"/>
  <c r="AG230" i="20"/>
  <c r="AG231" i="20"/>
  <c r="AG232" i="20"/>
  <c r="AG233" i="20"/>
  <c r="AG234" i="20"/>
  <c r="AH234" i="20" s="1"/>
  <c r="AG235" i="20"/>
  <c r="AG236" i="20"/>
  <c r="AG237" i="20"/>
  <c r="AG238" i="20"/>
  <c r="AG239" i="20"/>
  <c r="AG240" i="20"/>
  <c r="AG241" i="20"/>
  <c r="AG242" i="20"/>
  <c r="AH242" i="20" s="1"/>
  <c r="AG243" i="20"/>
  <c r="AG244" i="20"/>
  <c r="AG245" i="20"/>
  <c r="AG246" i="20"/>
  <c r="AG247" i="20"/>
  <c r="AG248" i="20"/>
  <c r="AG249" i="20"/>
  <c r="AG250" i="20"/>
  <c r="AG251" i="20"/>
  <c r="AG252" i="20"/>
  <c r="AG253" i="20"/>
  <c r="AG254" i="20"/>
  <c r="AG255" i="20"/>
  <c r="AG256" i="20"/>
  <c r="AG257" i="20"/>
  <c r="AG258" i="20"/>
  <c r="AH258" i="20" s="1"/>
  <c r="AG259" i="20"/>
  <c r="AG260" i="20"/>
  <c r="AG261" i="20"/>
  <c r="AG262" i="20"/>
  <c r="AG263" i="20"/>
  <c r="AG264" i="20"/>
  <c r="AG265" i="20"/>
  <c r="AG266" i="20"/>
  <c r="AH266" i="20" s="1"/>
  <c r="AG267" i="20"/>
  <c r="AG268" i="20"/>
  <c r="AG269" i="20"/>
  <c r="AG270" i="20"/>
  <c r="AG271" i="20"/>
  <c r="AG272" i="20"/>
  <c r="AG273" i="20"/>
  <c r="AG274" i="20"/>
  <c r="AH274" i="20" s="1"/>
  <c r="AG275" i="20"/>
  <c r="AG276" i="20"/>
  <c r="AG277" i="20"/>
  <c r="AG278" i="20"/>
  <c r="AG279" i="20"/>
  <c r="AG280" i="20"/>
  <c r="AG281" i="20"/>
  <c r="AG282" i="20"/>
  <c r="AH282" i="20" s="1"/>
  <c r="AG283" i="20"/>
  <c r="AG284" i="20"/>
  <c r="AG285" i="20"/>
  <c r="AG286" i="20"/>
  <c r="AG287" i="20"/>
  <c r="AG288" i="20"/>
  <c r="AG289" i="20"/>
  <c r="AG290" i="20"/>
  <c r="AH290" i="20" s="1"/>
  <c r="AG291" i="20"/>
  <c r="AG292" i="20"/>
  <c r="AG293" i="20"/>
  <c r="AG294" i="20"/>
  <c r="AG295" i="20"/>
  <c r="AG296" i="20"/>
  <c r="AG297" i="20"/>
  <c r="AG298" i="20"/>
  <c r="AH298" i="20" s="1"/>
  <c r="AG299" i="20"/>
  <c r="AG300" i="20"/>
  <c r="AG301" i="20"/>
  <c r="AG302" i="20"/>
  <c r="AG303" i="20"/>
  <c r="AG304" i="20"/>
  <c r="AH304" i="20" s="1"/>
  <c r="AG305" i="20"/>
  <c r="AG306" i="20"/>
  <c r="AH306" i="20" s="1"/>
  <c r="AG307" i="20"/>
  <c r="AG308" i="20"/>
  <c r="AH308" i="20" s="1"/>
  <c r="AG309" i="20"/>
  <c r="AG310" i="20"/>
  <c r="AG311" i="20"/>
  <c r="AG312" i="20"/>
  <c r="AG313" i="20"/>
  <c r="AG314" i="20"/>
  <c r="AG315" i="20"/>
  <c r="AG316" i="20"/>
  <c r="AG317" i="20"/>
  <c r="AG318" i="20"/>
  <c r="AG319" i="20"/>
  <c r="AG320" i="20"/>
  <c r="AG321" i="20"/>
  <c r="AG322" i="20"/>
  <c r="AH322" i="20" s="1"/>
  <c r="AG323" i="20"/>
  <c r="AG324" i="20"/>
  <c r="AG325" i="20"/>
  <c r="AG326" i="20"/>
  <c r="AG327" i="20"/>
  <c r="AG328" i="20"/>
  <c r="AH328" i="20" s="1"/>
  <c r="AG329" i="20"/>
  <c r="AG330" i="20"/>
  <c r="AH330" i="20" s="1"/>
  <c r="AG331" i="20"/>
  <c r="AG332" i="20"/>
  <c r="AH332" i="20" s="1"/>
  <c r="AG333" i="20"/>
  <c r="AG334" i="20"/>
  <c r="AG335" i="20"/>
  <c r="AG336" i="20"/>
  <c r="AG337" i="20"/>
  <c r="AG338" i="20"/>
  <c r="AH338" i="20" s="1"/>
  <c r="AG339" i="20"/>
  <c r="AG340" i="20"/>
  <c r="AG341" i="20"/>
  <c r="AG342" i="20"/>
  <c r="AG343" i="20"/>
  <c r="AG344" i="20"/>
  <c r="AG345" i="20"/>
  <c r="AG346" i="20"/>
  <c r="AG347" i="20"/>
  <c r="AH347" i="20" s="1"/>
  <c r="AG348" i="20"/>
  <c r="AG349" i="20"/>
  <c r="AG350" i="20"/>
  <c r="AG351" i="20"/>
  <c r="AG352" i="20"/>
  <c r="AG353" i="20"/>
  <c r="AG354" i="20"/>
  <c r="AH354" i="20" s="1"/>
  <c r="AG355" i="20"/>
  <c r="AG356" i="20"/>
  <c r="AH356" i="20" s="1"/>
  <c r="AG357" i="20"/>
  <c r="AG358" i="20"/>
  <c r="AG359" i="20"/>
  <c r="AG360" i="20"/>
  <c r="AG361" i="20"/>
  <c r="AG362" i="20"/>
  <c r="AH362" i="20" s="1"/>
  <c r="AG363" i="20"/>
  <c r="AG364" i="20"/>
  <c r="AG365" i="20"/>
  <c r="AG366" i="20"/>
  <c r="AG367" i="20"/>
  <c r="AG368" i="20"/>
  <c r="AG369" i="20"/>
  <c r="AG370" i="20"/>
  <c r="AH370" i="20" s="1"/>
  <c r="AG371" i="20"/>
  <c r="AG372" i="20"/>
  <c r="AH372" i="20" s="1"/>
  <c r="AG373" i="20"/>
  <c r="AG374" i="20"/>
  <c r="AG375" i="20"/>
  <c r="AG376" i="20"/>
  <c r="AH376" i="20" s="1"/>
  <c r="AG377" i="20"/>
  <c r="AG378" i="20"/>
  <c r="AH378" i="20" s="1"/>
  <c r="AG379" i="20"/>
  <c r="AG380" i="20"/>
  <c r="AG381" i="20"/>
  <c r="AG382" i="20"/>
  <c r="AG383" i="20"/>
  <c r="AH383" i="20" s="1"/>
  <c r="AG384" i="20"/>
  <c r="AH384" i="20" s="1"/>
  <c r="AG385" i="20"/>
  <c r="AG386" i="20"/>
  <c r="AH386" i="20" s="1"/>
  <c r="AG387" i="20"/>
  <c r="AH387" i="20" s="1"/>
  <c r="AG388" i="20"/>
  <c r="AH388" i="20" s="1"/>
  <c r="AG389" i="20"/>
  <c r="AG390" i="20"/>
  <c r="AG391" i="20"/>
  <c r="AG392" i="20"/>
  <c r="AH392" i="20" s="1"/>
  <c r="AG393" i="20"/>
  <c r="AG394" i="20"/>
  <c r="AH394" i="20" s="1"/>
  <c r="AG395" i="20"/>
  <c r="AG396" i="20"/>
  <c r="AG397" i="20"/>
  <c r="AG398" i="20"/>
  <c r="AG399" i="20"/>
  <c r="AG400" i="20"/>
  <c r="AH400" i="20" s="1"/>
  <c r="AG401" i="20"/>
  <c r="AG402" i="20"/>
  <c r="AH402" i="20" s="1"/>
  <c r="AG403" i="20"/>
  <c r="AH403" i="20" s="1"/>
  <c r="AG404" i="20"/>
  <c r="AG2" i="20"/>
  <c r="AC3" i="20"/>
  <c r="AC4" i="20"/>
  <c r="AC5" i="20"/>
  <c r="AC6" i="20"/>
  <c r="AC7" i="20"/>
  <c r="AC8" i="20"/>
  <c r="AC9" i="20"/>
  <c r="AC10" i="20"/>
  <c r="AC11" i="20"/>
  <c r="AC12" i="20"/>
  <c r="AC13" i="20"/>
  <c r="AC14" i="20"/>
  <c r="AC15" i="20"/>
  <c r="AC16" i="20"/>
  <c r="AC17" i="20"/>
  <c r="AD17" i="20" s="1"/>
  <c r="AC18" i="20"/>
  <c r="AC19" i="20"/>
  <c r="AC20" i="20"/>
  <c r="AC21" i="20"/>
  <c r="AC22" i="20"/>
  <c r="AC23" i="20"/>
  <c r="AC24" i="20"/>
  <c r="AC25" i="20"/>
  <c r="AD25" i="20" s="1"/>
  <c r="AC26" i="20"/>
  <c r="AC27" i="20"/>
  <c r="AC28" i="20"/>
  <c r="AC29" i="20"/>
  <c r="AC30" i="20"/>
  <c r="AC31" i="20"/>
  <c r="AC32" i="20"/>
  <c r="AC33" i="20"/>
  <c r="AD33" i="20" s="1"/>
  <c r="AC34" i="20"/>
  <c r="AC35" i="20"/>
  <c r="AC36" i="20"/>
  <c r="AC37" i="20"/>
  <c r="AC38" i="20"/>
  <c r="AC39" i="20"/>
  <c r="AC40" i="20"/>
  <c r="AC41" i="20"/>
  <c r="AD41" i="20" s="1"/>
  <c r="AC42" i="20"/>
  <c r="AC43" i="20"/>
  <c r="AC44" i="20"/>
  <c r="AC45" i="20"/>
  <c r="AC46" i="20"/>
  <c r="AC47" i="20"/>
  <c r="AC48" i="20"/>
  <c r="AC49" i="20"/>
  <c r="AD49" i="20" s="1"/>
  <c r="AC50" i="20"/>
  <c r="AC51" i="20"/>
  <c r="AC52" i="20"/>
  <c r="AC53" i="20"/>
  <c r="AC54" i="20"/>
  <c r="AC55" i="20"/>
  <c r="AC56" i="20"/>
  <c r="AC57" i="20"/>
  <c r="AD57" i="20" s="1"/>
  <c r="AC58" i="20"/>
  <c r="AC59" i="20"/>
  <c r="AC60" i="20"/>
  <c r="AC61" i="20"/>
  <c r="AC62" i="20"/>
  <c r="AC63" i="20"/>
  <c r="AC64" i="20"/>
  <c r="AC65" i="20"/>
  <c r="AD65" i="20" s="1"/>
  <c r="AC66" i="20"/>
  <c r="AC67" i="20"/>
  <c r="AC68" i="20"/>
  <c r="AC69" i="20"/>
  <c r="AC70" i="20"/>
  <c r="AC71" i="20"/>
  <c r="AC72" i="20"/>
  <c r="AC73" i="20"/>
  <c r="AD73" i="20" s="1"/>
  <c r="AC74" i="20"/>
  <c r="AC75" i="20"/>
  <c r="AC76" i="20"/>
  <c r="AC77" i="20"/>
  <c r="AC78" i="20"/>
  <c r="AC79" i="20"/>
  <c r="AC80" i="20"/>
  <c r="AC81" i="20"/>
  <c r="AD81" i="20" s="1"/>
  <c r="AC82" i="20"/>
  <c r="AC83" i="20"/>
  <c r="AC84" i="20"/>
  <c r="AC85" i="20"/>
  <c r="AC86" i="20"/>
  <c r="AC87" i="20"/>
  <c r="AC88" i="20"/>
  <c r="AC89" i="20"/>
  <c r="AD89" i="20" s="1"/>
  <c r="AC90" i="20"/>
  <c r="AC91" i="20"/>
  <c r="AC92" i="20"/>
  <c r="AC93" i="20"/>
  <c r="AC94" i="20"/>
  <c r="AC95" i="20"/>
  <c r="AC96" i="20"/>
  <c r="AC97" i="20"/>
  <c r="AD97" i="20" s="1"/>
  <c r="AC98" i="20"/>
  <c r="AC99" i="20"/>
  <c r="AC100" i="20"/>
  <c r="AC101" i="20"/>
  <c r="AC102" i="20"/>
  <c r="AC103" i="20"/>
  <c r="AC104" i="20"/>
  <c r="AC105" i="20"/>
  <c r="AD105" i="20" s="1"/>
  <c r="AC106" i="20"/>
  <c r="AC107" i="20"/>
  <c r="AC108" i="20"/>
  <c r="AC109" i="20"/>
  <c r="AC110" i="20"/>
  <c r="AC111" i="20"/>
  <c r="AC112" i="20"/>
  <c r="AC113" i="20"/>
  <c r="AD113" i="20" s="1"/>
  <c r="AC114" i="20"/>
  <c r="AC115" i="20"/>
  <c r="AC116" i="20"/>
  <c r="AC117" i="20"/>
  <c r="AC118" i="20"/>
  <c r="AC119" i="20"/>
  <c r="AC120" i="20"/>
  <c r="AC121" i="20"/>
  <c r="AD121" i="20" s="1"/>
  <c r="AC122" i="20"/>
  <c r="AC123" i="20"/>
  <c r="AC124" i="20"/>
  <c r="AC125" i="20"/>
  <c r="AC126" i="20"/>
  <c r="AC127" i="20"/>
  <c r="AC128" i="20"/>
  <c r="AC129" i="20"/>
  <c r="AD129" i="20" s="1"/>
  <c r="AC130" i="20"/>
  <c r="AC131" i="20"/>
  <c r="AC132" i="20"/>
  <c r="AC133" i="20"/>
  <c r="AC134" i="20"/>
  <c r="AC135" i="20"/>
  <c r="AC136" i="20"/>
  <c r="AC137" i="20"/>
  <c r="AD137" i="20" s="1"/>
  <c r="AC138" i="20"/>
  <c r="AC139" i="20"/>
  <c r="AC140" i="20"/>
  <c r="AC141" i="20"/>
  <c r="AC142" i="20"/>
  <c r="AC143" i="20"/>
  <c r="AC144" i="20"/>
  <c r="AC145" i="20"/>
  <c r="AD145" i="20" s="1"/>
  <c r="AC146" i="20"/>
  <c r="AC147" i="20"/>
  <c r="AC148" i="20"/>
  <c r="AC149" i="20"/>
  <c r="AC150" i="20"/>
  <c r="AC151" i="20"/>
  <c r="AC152" i="20"/>
  <c r="AC153" i="20"/>
  <c r="AC154" i="20"/>
  <c r="AC155" i="20"/>
  <c r="AC156" i="20"/>
  <c r="AC157" i="20"/>
  <c r="AC158" i="20"/>
  <c r="AC159" i="20"/>
  <c r="AC160" i="20"/>
  <c r="AC161" i="20"/>
  <c r="AD161" i="20" s="1"/>
  <c r="AC162" i="20"/>
  <c r="AC163" i="20"/>
  <c r="AC164" i="20"/>
  <c r="AC165" i="20"/>
  <c r="AC166" i="20"/>
  <c r="AC167" i="20"/>
  <c r="AC168" i="20"/>
  <c r="AC169" i="20"/>
  <c r="AD169" i="20" s="1"/>
  <c r="AC170" i="20"/>
  <c r="AC171" i="20"/>
  <c r="AC172" i="20"/>
  <c r="AC173" i="20"/>
  <c r="AC174" i="20"/>
  <c r="AC175" i="20"/>
  <c r="AC176" i="20"/>
  <c r="AC177" i="20"/>
  <c r="AD177" i="20" s="1"/>
  <c r="AC178" i="20"/>
  <c r="AC179" i="20"/>
  <c r="AC180" i="20"/>
  <c r="AC181" i="20"/>
  <c r="AC182" i="20"/>
  <c r="AC183" i="20"/>
  <c r="AC184" i="20"/>
  <c r="AC185" i="20"/>
  <c r="AD185" i="20" s="1"/>
  <c r="AC186" i="20"/>
  <c r="AC187" i="20"/>
  <c r="AC188" i="20"/>
  <c r="AC189" i="20"/>
  <c r="AC190" i="20"/>
  <c r="AC191" i="20"/>
  <c r="AC192" i="20"/>
  <c r="AC193" i="20"/>
  <c r="AD193" i="20" s="1"/>
  <c r="AC194" i="20"/>
  <c r="AC195" i="20"/>
  <c r="AC196" i="20"/>
  <c r="AC197" i="20"/>
  <c r="AC198" i="20"/>
  <c r="AC199" i="20"/>
  <c r="AC200" i="20"/>
  <c r="AC201" i="20"/>
  <c r="AC202" i="20"/>
  <c r="AC203" i="20"/>
  <c r="AC204" i="20"/>
  <c r="AC205" i="20"/>
  <c r="AC206" i="20"/>
  <c r="AC207" i="20"/>
  <c r="AC208" i="20"/>
  <c r="AC209" i="20"/>
  <c r="AD209" i="20" s="1"/>
  <c r="AC210" i="20"/>
  <c r="AC211" i="20"/>
  <c r="AC212" i="20"/>
  <c r="AC213" i="20"/>
  <c r="AC214" i="20"/>
  <c r="AC215" i="20"/>
  <c r="AC216" i="20"/>
  <c r="AC217" i="20"/>
  <c r="AD217" i="20" s="1"/>
  <c r="AC218" i="20"/>
  <c r="AC219" i="20"/>
  <c r="AC220" i="20"/>
  <c r="AC221" i="20"/>
  <c r="AC222" i="20"/>
  <c r="AC223" i="20"/>
  <c r="AC224" i="20"/>
  <c r="AC225" i="20"/>
  <c r="AD225" i="20" s="1"/>
  <c r="AC226" i="20"/>
  <c r="AC227" i="20"/>
  <c r="AC228" i="20"/>
  <c r="AC229" i="20"/>
  <c r="AC230" i="20"/>
  <c r="AC231" i="20"/>
  <c r="AC232" i="20"/>
  <c r="AC233" i="20"/>
  <c r="AD233" i="20" s="1"/>
  <c r="AC234" i="20"/>
  <c r="AC235" i="20"/>
  <c r="AC236" i="20"/>
  <c r="AC237" i="20"/>
  <c r="AC238" i="20"/>
  <c r="AC239" i="20"/>
  <c r="AC240" i="20"/>
  <c r="AC241" i="20"/>
  <c r="AD241" i="20" s="1"/>
  <c r="AC242" i="20"/>
  <c r="AC243" i="20"/>
  <c r="AC244" i="20"/>
  <c r="AC245" i="20"/>
  <c r="AC246" i="20"/>
  <c r="AC247" i="20"/>
  <c r="AC248" i="20"/>
  <c r="AC249" i="20"/>
  <c r="AD249" i="20" s="1"/>
  <c r="AC250" i="20"/>
  <c r="AC251" i="20"/>
  <c r="AC252" i="20"/>
  <c r="AC253" i="20"/>
  <c r="AC254" i="20"/>
  <c r="AC255" i="20"/>
  <c r="AC256" i="20"/>
  <c r="AC257" i="20"/>
  <c r="AD257" i="20" s="1"/>
  <c r="AC258" i="20"/>
  <c r="AC259" i="20"/>
  <c r="AC260" i="20"/>
  <c r="AC261" i="20"/>
  <c r="AC262" i="20"/>
  <c r="AC263" i="20"/>
  <c r="AC264" i="20"/>
  <c r="AC265" i="20"/>
  <c r="AD265" i="20" s="1"/>
  <c r="AC266" i="20"/>
  <c r="AC267" i="20"/>
  <c r="AC268" i="20"/>
  <c r="AC269" i="20"/>
  <c r="AC270" i="20"/>
  <c r="AC271" i="20"/>
  <c r="AC272" i="20"/>
  <c r="AC273" i="20"/>
  <c r="AD273" i="20" s="1"/>
  <c r="AC274" i="20"/>
  <c r="AC275" i="20"/>
  <c r="AC276" i="20"/>
  <c r="AC277" i="20"/>
  <c r="AC278" i="20"/>
  <c r="AC279" i="20"/>
  <c r="AC280" i="20"/>
  <c r="AC281" i="20"/>
  <c r="AD281" i="20" s="1"/>
  <c r="AC282" i="20"/>
  <c r="AC283" i="20"/>
  <c r="AC284" i="20"/>
  <c r="AC285" i="20"/>
  <c r="AC286" i="20"/>
  <c r="AC287" i="20"/>
  <c r="AC288" i="20"/>
  <c r="AC289" i="20"/>
  <c r="AD289" i="20" s="1"/>
  <c r="AC290" i="20"/>
  <c r="AC291" i="20"/>
  <c r="AC292" i="20"/>
  <c r="AC293" i="20"/>
  <c r="AC294" i="20"/>
  <c r="AC295" i="20"/>
  <c r="AC296" i="20"/>
  <c r="AC297" i="20"/>
  <c r="AD297" i="20" s="1"/>
  <c r="AC298" i="20"/>
  <c r="AC299" i="20"/>
  <c r="AC300" i="20"/>
  <c r="AC301" i="20"/>
  <c r="AC302" i="20"/>
  <c r="AC303" i="20"/>
  <c r="AD303" i="20" s="1"/>
  <c r="AC304" i="20"/>
  <c r="AC305" i="20"/>
  <c r="AD305" i="20" s="1"/>
  <c r="AC306" i="20"/>
  <c r="AC307" i="20"/>
  <c r="AC308" i="20"/>
  <c r="AC309" i="20"/>
  <c r="AC310" i="20"/>
  <c r="AC311" i="20"/>
  <c r="AC312" i="20"/>
  <c r="AC313" i="20"/>
  <c r="AD313" i="20" s="1"/>
  <c r="AC314" i="20"/>
  <c r="AC315" i="20"/>
  <c r="AC316" i="20"/>
  <c r="AC317" i="20"/>
  <c r="AC318" i="20"/>
  <c r="AC319" i="20"/>
  <c r="AC320" i="20"/>
  <c r="AC321" i="20"/>
  <c r="AD321" i="20" s="1"/>
  <c r="AC322" i="20"/>
  <c r="AC323" i="20"/>
  <c r="AC324" i="20"/>
  <c r="AC325" i="20"/>
  <c r="AC326" i="20"/>
  <c r="AC327" i="20"/>
  <c r="AD327" i="20" s="1"/>
  <c r="AC328" i="20"/>
  <c r="AC329" i="20"/>
  <c r="AD329" i="20" s="1"/>
  <c r="AC330" i="20"/>
  <c r="AC331" i="20"/>
  <c r="AD331" i="20" s="1"/>
  <c r="AC332" i="20"/>
  <c r="AC333" i="20"/>
  <c r="AC334" i="20"/>
  <c r="AC335" i="20"/>
  <c r="AD335" i="20" s="1"/>
  <c r="AC336" i="20"/>
  <c r="AC337" i="20"/>
  <c r="AD337" i="20" s="1"/>
  <c r="AC338" i="20"/>
  <c r="AC339" i="20"/>
  <c r="AD339" i="20" s="1"/>
  <c r="AC340" i="20"/>
  <c r="AC341" i="20"/>
  <c r="AC342" i="20"/>
  <c r="AC343" i="20"/>
  <c r="AD343" i="20" s="1"/>
  <c r="AC344" i="20"/>
  <c r="AC345" i="20"/>
  <c r="AD345" i="20" s="1"/>
  <c r="AC346" i="20"/>
  <c r="AC347" i="20"/>
  <c r="AD347" i="20" s="1"/>
  <c r="AC348" i="20"/>
  <c r="AC349" i="20"/>
  <c r="AC350" i="20"/>
  <c r="AC351" i="20"/>
  <c r="AC352" i="20"/>
  <c r="AC353" i="20"/>
  <c r="AD353" i="20" s="1"/>
  <c r="AC354" i="20"/>
  <c r="AC355" i="20"/>
  <c r="AD355" i="20" s="1"/>
  <c r="AC356" i="20"/>
  <c r="AC357" i="20"/>
  <c r="AC358" i="20"/>
  <c r="AC359" i="20"/>
  <c r="AD359" i="20" s="1"/>
  <c r="AC360" i="20"/>
  <c r="AC361" i="20"/>
  <c r="AD361" i="20" s="1"/>
  <c r="AC362" i="20"/>
  <c r="AC363" i="20"/>
  <c r="AC364" i="20"/>
  <c r="AC365" i="20"/>
  <c r="AC366" i="20"/>
  <c r="AC367" i="20"/>
  <c r="AD367" i="20" s="1"/>
  <c r="AC368" i="20"/>
  <c r="AC369" i="20"/>
  <c r="AD369" i="20" s="1"/>
  <c r="AC370" i="20"/>
  <c r="AC371" i="20"/>
  <c r="AC372" i="20"/>
  <c r="AC373" i="20"/>
  <c r="AC374" i="20"/>
  <c r="AC375" i="20"/>
  <c r="AD375" i="20" s="1"/>
  <c r="AC376" i="20"/>
  <c r="AC377" i="20"/>
  <c r="AD377" i="20" s="1"/>
  <c r="AC378" i="20"/>
  <c r="AC379" i="20"/>
  <c r="AD379" i="20" s="1"/>
  <c r="AC380" i="20"/>
  <c r="AC381" i="20"/>
  <c r="AC382" i="20"/>
  <c r="AC383" i="20"/>
  <c r="AD383" i="20" s="1"/>
  <c r="AC384" i="20"/>
  <c r="AC385" i="20"/>
  <c r="AD385" i="20" s="1"/>
  <c r="AC386" i="20"/>
  <c r="AC387" i="20"/>
  <c r="AD387" i="20" s="1"/>
  <c r="AC388" i="20"/>
  <c r="AC389" i="20"/>
  <c r="AC390" i="20"/>
  <c r="AC391" i="20"/>
  <c r="AD391" i="20" s="1"/>
  <c r="AC392" i="20"/>
  <c r="AC393" i="20"/>
  <c r="AD393" i="20" s="1"/>
  <c r="AC394" i="20"/>
  <c r="AC395" i="20"/>
  <c r="AC396" i="20"/>
  <c r="AC397" i="20"/>
  <c r="AC398" i="20"/>
  <c r="AC399" i="20"/>
  <c r="AC400" i="20"/>
  <c r="AC401" i="20"/>
  <c r="AD401" i="20" s="1"/>
  <c r="AC402" i="20"/>
  <c r="AC403" i="20"/>
  <c r="AC404" i="20"/>
  <c r="AC2" i="20"/>
  <c r="Y3" i="20"/>
  <c r="Y4" i="20"/>
  <c r="Y5" i="20"/>
  <c r="Y6" i="20"/>
  <c r="Y7" i="20"/>
  <c r="Y8" i="20"/>
  <c r="Y9" i="20"/>
  <c r="Z9" i="20" s="1"/>
  <c r="Y10" i="20"/>
  <c r="Y11" i="20"/>
  <c r="Y12" i="20"/>
  <c r="Y13" i="20"/>
  <c r="Y14" i="20"/>
  <c r="Y15" i="20"/>
  <c r="Y16" i="20"/>
  <c r="Z16" i="20" s="1"/>
  <c r="Y17" i="20"/>
  <c r="Y18" i="20"/>
  <c r="Y19" i="20"/>
  <c r="Y20" i="20"/>
  <c r="Y21" i="20"/>
  <c r="Y22" i="20"/>
  <c r="Y23" i="20"/>
  <c r="Y24" i="20"/>
  <c r="Z24" i="20" s="1"/>
  <c r="Y25" i="20"/>
  <c r="Z25" i="20" s="1"/>
  <c r="Y26" i="20"/>
  <c r="Z26" i="20" s="1"/>
  <c r="Y27" i="20"/>
  <c r="Y28" i="20"/>
  <c r="Y29" i="20"/>
  <c r="Y30" i="20"/>
  <c r="Y31" i="20"/>
  <c r="Y32" i="20"/>
  <c r="Z32" i="20" s="1"/>
  <c r="Y33" i="20"/>
  <c r="Z33" i="20" s="1"/>
  <c r="Y34" i="20"/>
  <c r="Y35" i="20"/>
  <c r="Y36" i="20"/>
  <c r="Y37" i="20"/>
  <c r="Y38" i="20"/>
  <c r="Y39" i="20"/>
  <c r="Y40" i="20"/>
  <c r="Z40" i="20" s="1"/>
  <c r="Y41" i="20"/>
  <c r="Y42" i="20"/>
  <c r="Z42" i="20" s="1"/>
  <c r="Y43" i="20"/>
  <c r="Y44" i="20"/>
  <c r="Y45" i="20"/>
  <c r="Y46" i="20"/>
  <c r="Y47" i="20"/>
  <c r="Y48" i="20"/>
  <c r="Y49" i="20"/>
  <c r="Y50" i="20"/>
  <c r="Y51" i="20"/>
  <c r="Y52" i="20"/>
  <c r="Y53" i="20"/>
  <c r="Y54" i="20"/>
  <c r="Y55" i="20"/>
  <c r="Y56" i="20"/>
  <c r="Y57" i="20"/>
  <c r="Z57" i="20" s="1"/>
  <c r="Y58" i="20"/>
  <c r="Y59" i="20"/>
  <c r="Y60" i="20"/>
  <c r="Y61" i="20"/>
  <c r="Y62" i="20"/>
  <c r="Y63" i="20"/>
  <c r="Y64" i="20"/>
  <c r="Z64" i="20" s="1"/>
  <c r="Y65" i="20"/>
  <c r="Z65" i="20" s="1"/>
  <c r="Y66" i="20"/>
  <c r="Y67" i="20"/>
  <c r="Y68" i="20"/>
  <c r="Y69" i="20"/>
  <c r="Y70" i="20"/>
  <c r="Y71" i="20"/>
  <c r="Y72" i="20"/>
  <c r="Z72" i="20" s="1"/>
  <c r="Y73" i="20"/>
  <c r="Z73" i="20" s="1"/>
  <c r="Y74" i="20"/>
  <c r="Z74" i="20" s="1"/>
  <c r="Y75" i="20"/>
  <c r="Y76" i="20"/>
  <c r="Y77" i="20"/>
  <c r="Y78" i="20"/>
  <c r="Y79" i="20"/>
  <c r="Y80" i="20"/>
  <c r="Y81" i="20"/>
  <c r="Z81" i="20" s="1"/>
  <c r="Y82" i="20"/>
  <c r="Y83" i="20"/>
  <c r="Y84" i="20"/>
  <c r="Y85" i="20"/>
  <c r="Y86" i="20"/>
  <c r="Y87" i="20"/>
  <c r="Y88" i="20"/>
  <c r="Z88" i="20" s="1"/>
  <c r="Y89" i="20"/>
  <c r="Y90" i="20"/>
  <c r="Z90" i="20" s="1"/>
  <c r="Y91" i="20"/>
  <c r="Y92" i="20"/>
  <c r="Y93" i="20"/>
  <c r="Y94" i="20"/>
  <c r="Y95" i="20"/>
  <c r="Y96" i="20"/>
  <c r="Z96" i="20" s="1"/>
  <c r="Y97" i="20"/>
  <c r="Z97" i="20" s="1"/>
  <c r="Y98" i="20"/>
  <c r="Z98" i="20" s="1"/>
  <c r="Y99" i="20"/>
  <c r="Y100" i="20"/>
  <c r="Y101" i="20"/>
  <c r="Y102" i="20"/>
  <c r="Y103" i="20"/>
  <c r="Y104" i="20"/>
  <c r="Z104" i="20" s="1"/>
  <c r="Y105" i="20"/>
  <c r="Z105" i="20" s="1"/>
  <c r="Y106" i="20"/>
  <c r="Z106" i="20" s="1"/>
  <c r="Y107" i="20"/>
  <c r="Y108" i="20"/>
  <c r="Y109" i="20"/>
  <c r="Y110" i="20"/>
  <c r="Y111" i="20"/>
  <c r="Y112" i="20"/>
  <c r="Z112" i="20" s="1"/>
  <c r="Y113" i="20"/>
  <c r="Z113" i="20" s="1"/>
  <c r="Y114" i="20"/>
  <c r="Z114" i="20" s="1"/>
  <c r="Y115" i="20"/>
  <c r="Y116" i="20"/>
  <c r="Y117" i="20"/>
  <c r="Y118" i="20"/>
  <c r="Y119" i="20"/>
  <c r="Y120" i="20"/>
  <c r="Y121" i="20"/>
  <c r="Z121" i="20" s="1"/>
  <c r="Y122" i="20"/>
  <c r="Z122" i="20" s="1"/>
  <c r="Y123" i="20"/>
  <c r="Y124" i="20"/>
  <c r="Y125" i="20"/>
  <c r="Y126" i="20"/>
  <c r="Y127" i="20"/>
  <c r="Y128" i="20"/>
  <c r="Z128" i="20" s="1"/>
  <c r="Y129" i="20"/>
  <c r="Z129" i="20" s="1"/>
  <c r="Y130" i="20"/>
  <c r="Z130" i="20" s="1"/>
  <c r="Y131" i="20"/>
  <c r="Y132" i="20"/>
  <c r="Y133" i="20"/>
  <c r="Y134" i="20"/>
  <c r="Y135" i="20"/>
  <c r="Y136" i="20"/>
  <c r="Y137" i="20"/>
  <c r="Z137" i="20" s="1"/>
  <c r="Y138" i="20"/>
  <c r="Z138" i="20" s="1"/>
  <c r="Y139" i="20"/>
  <c r="Y140" i="20"/>
  <c r="Y141" i="20"/>
  <c r="Y142" i="20"/>
  <c r="Y143" i="20"/>
  <c r="Y144" i="20"/>
  <c r="Z144" i="20" s="1"/>
  <c r="Y145" i="20"/>
  <c r="Z145" i="20" s="1"/>
  <c r="Y146" i="20"/>
  <c r="Z146" i="20" s="1"/>
  <c r="Y147" i="20"/>
  <c r="Y148" i="20"/>
  <c r="Y149" i="20"/>
  <c r="Y150" i="20"/>
  <c r="Y151" i="20"/>
  <c r="Y152" i="20"/>
  <c r="Y153" i="20"/>
  <c r="Z153" i="20" s="1"/>
  <c r="Y154" i="20"/>
  <c r="Z154" i="20" s="1"/>
  <c r="Y155" i="20"/>
  <c r="Y156" i="20"/>
  <c r="Y157" i="20"/>
  <c r="Y158" i="20"/>
  <c r="Y159" i="20"/>
  <c r="Y160" i="20"/>
  <c r="Z160" i="20" s="1"/>
  <c r="Y161" i="20"/>
  <c r="Z161" i="20" s="1"/>
  <c r="Y162" i="20"/>
  <c r="Z162" i="20" s="1"/>
  <c r="Y163" i="20"/>
  <c r="Y164" i="20"/>
  <c r="Y165" i="20"/>
  <c r="Y166" i="20"/>
  <c r="Y167" i="20"/>
  <c r="Y168" i="20"/>
  <c r="Y169" i="20"/>
  <c r="Z169" i="20" s="1"/>
  <c r="Y170" i="20"/>
  <c r="Y171" i="20"/>
  <c r="Y172" i="20"/>
  <c r="Y173" i="20"/>
  <c r="Y174" i="20"/>
  <c r="Y175" i="20"/>
  <c r="Y176" i="20"/>
  <c r="Y177" i="20"/>
  <c r="Z177" i="20" s="1"/>
  <c r="Y178" i="20"/>
  <c r="Z178" i="20" s="1"/>
  <c r="Y179" i="20"/>
  <c r="Y180" i="20"/>
  <c r="Y181" i="20"/>
  <c r="Y182" i="20"/>
  <c r="Y183" i="20"/>
  <c r="Y184" i="20"/>
  <c r="Z184" i="20" s="1"/>
  <c r="Y185" i="20"/>
  <c r="Z185" i="20" s="1"/>
  <c r="Y186" i="20"/>
  <c r="Z186" i="20" s="1"/>
  <c r="Y187" i="20"/>
  <c r="Y188" i="20"/>
  <c r="Y189" i="20"/>
  <c r="Y190" i="20"/>
  <c r="Y191" i="20"/>
  <c r="Y192" i="20"/>
  <c r="Z192" i="20" s="1"/>
  <c r="Y193" i="20"/>
  <c r="Y194" i="20"/>
  <c r="Z194" i="20" s="1"/>
  <c r="Y195" i="20"/>
  <c r="Y196" i="20"/>
  <c r="Y197" i="20"/>
  <c r="Y198" i="20"/>
  <c r="Y199" i="20"/>
  <c r="Y200" i="20"/>
  <c r="Z200" i="20" s="1"/>
  <c r="Y201" i="20"/>
  <c r="Z201" i="20" s="1"/>
  <c r="Y202" i="20"/>
  <c r="Z202" i="20" s="1"/>
  <c r="Y203" i="20"/>
  <c r="Y204" i="20"/>
  <c r="Y205" i="20"/>
  <c r="Y206" i="20"/>
  <c r="Y207" i="20"/>
  <c r="Y208" i="20"/>
  <c r="Z208" i="20" s="1"/>
  <c r="Y209" i="20"/>
  <c r="Z209" i="20" s="1"/>
  <c r="Y210" i="20"/>
  <c r="Z210" i="20" s="1"/>
  <c r="Y211" i="20"/>
  <c r="Y212" i="20"/>
  <c r="Y213" i="20"/>
  <c r="Y214" i="20"/>
  <c r="Y215" i="20"/>
  <c r="Y216" i="20"/>
  <c r="Z216" i="20" s="1"/>
  <c r="Y217" i="20"/>
  <c r="Z217" i="20" s="1"/>
  <c r="Y218" i="20"/>
  <c r="Z218" i="20" s="1"/>
  <c r="Y219" i="20"/>
  <c r="Y220" i="20"/>
  <c r="Y221" i="20"/>
  <c r="Y222" i="20"/>
  <c r="Y223" i="20"/>
  <c r="Y224" i="20"/>
  <c r="Z224" i="20" s="1"/>
  <c r="Y225" i="20"/>
  <c r="Z225" i="20" s="1"/>
  <c r="Y226" i="20"/>
  <c r="Y227" i="20"/>
  <c r="Y228" i="20"/>
  <c r="Y229" i="20"/>
  <c r="Y230" i="20"/>
  <c r="Y231" i="20"/>
  <c r="Y232" i="20"/>
  <c r="Z232" i="20" s="1"/>
  <c r="Y233" i="20"/>
  <c r="Y234" i="20"/>
  <c r="Z234" i="20" s="1"/>
  <c r="Y235" i="20"/>
  <c r="Y236" i="20"/>
  <c r="Y237" i="20"/>
  <c r="Y238" i="20"/>
  <c r="Y239" i="20"/>
  <c r="Y240" i="20"/>
  <c r="Z240" i="20" s="1"/>
  <c r="Y241" i="20"/>
  <c r="Y242" i="20"/>
  <c r="Z242" i="20" s="1"/>
  <c r="Y243" i="20"/>
  <c r="Y244" i="20"/>
  <c r="Y245" i="20"/>
  <c r="Y246" i="20"/>
  <c r="Y247" i="20"/>
  <c r="Y248" i="20"/>
  <c r="Z248" i="20" s="1"/>
  <c r="Y249" i="20"/>
  <c r="Z249" i="20" s="1"/>
  <c r="Y250" i="20"/>
  <c r="Z250" i="20" s="1"/>
  <c r="Y251" i="20"/>
  <c r="Y252" i="20"/>
  <c r="Y253" i="20"/>
  <c r="Y254" i="20"/>
  <c r="Y255" i="20"/>
  <c r="Y256" i="20"/>
  <c r="Y257" i="20"/>
  <c r="Y258" i="20"/>
  <c r="Y259" i="20"/>
  <c r="Y260" i="20"/>
  <c r="Y261" i="20"/>
  <c r="Y262" i="20"/>
  <c r="Y263" i="20"/>
  <c r="Y264" i="20"/>
  <c r="Z264" i="20" s="1"/>
  <c r="Y265" i="20"/>
  <c r="Z265" i="20" s="1"/>
  <c r="Y266" i="20"/>
  <c r="Z266" i="20" s="1"/>
  <c r="Y267" i="20"/>
  <c r="Y268" i="20"/>
  <c r="Y269" i="20"/>
  <c r="Y270" i="20"/>
  <c r="Y271" i="20"/>
  <c r="Y272" i="20"/>
  <c r="Y273" i="20"/>
  <c r="Y274" i="20"/>
  <c r="Z274" i="20" s="1"/>
  <c r="Y275" i="20"/>
  <c r="Y276" i="20"/>
  <c r="Y277" i="20"/>
  <c r="Y278" i="20"/>
  <c r="Y279" i="20"/>
  <c r="Y280" i="20"/>
  <c r="Y281" i="20"/>
  <c r="Z281" i="20" s="1"/>
  <c r="Y282" i="20"/>
  <c r="Z282" i="20" s="1"/>
  <c r="Y283" i="20"/>
  <c r="Y284" i="20"/>
  <c r="Y285" i="20"/>
  <c r="Y286" i="20"/>
  <c r="Y287" i="20"/>
  <c r="Y288" i="20"/>
  <c r="Z288" i="20" s="1"/>
  <c r="Y289" i="20"/>
  <c r="Y290" i="20"/>
  <c r="Z290" i="20" s="1"/>
  <c r="Y291" i="20"/>
  <c r="Y292" i="20"/>
  <c r="Y293" i="20"/>
  <c r="Y294" i="20"/>
  <c r="Y295" i="20"/>
  <c r="Y296" i="20"/>
  <c r="Z296" i="20" s="1"/>
  <c r="Y297" i="20"/>
  <c r="Z297" i="20" s="1"/>
  <c r="Y298" i="20"/>
  <c r="Y299" i="20"/>
  <c r="Y300" i="20"/>
  <c r="Y301" i="20"/>
  <c r="Y302" i="20"/>
  <c r="Y303" i="20"/>
  <c r="Y304" i="20"/>
  <c r="Z304" i="20" s="1"/>
  <c r="Y305" i="20"/>
  <c r="Y306" i="20"/>
  <c r="Z306" i="20" s="1"/>
  <c r="Y307" i="20"/>
  <c r="Y308" i="20"/>
  <c r="Y309" i="20"/>
  <c r="Y310" i="20"/>
  <c r="Y311" i="20"/>
  <c r="Y312" i="20"/>
  <c r="Y313" i="20"/>
  <c r="Z313" i="20" s="1"/>
  <c r="Y314" i="20"/>
  <c r="Z314" i="20" s="1"/>
  <c r="Y315" i="20"/>
  <c r="Y316" i="20"/>
  <c r="Y317" i="20"/>
  <c r="Y318" i="20"/>
  <c r="Y319" i="20"/>
  <c r="Y320" i="20"/>
  <c r="Z320" i="20" s="1"/>
  <c r="Y321" i="20"/>
  <c r="Y322" i="20"/>
  <c r="Z322" i="20" s="1"/>
  <c r="Y323" i="20"/>
  <c r="Y324" i="20"/>
  <c r="Y325" i="20"/>
  <c r="Y326" i="20"/>
  <c r="Y327" i="20"/>
  <c r="Y328" i="20"/>
  <c r="Z328" i="20" s="1"/>
  <c r="Y329" i="20"/>
  <c r="Z329" i="20" s="1"/>
  <c r="Y330" i="20"/>
  <c r="Z330" i="20" s="1"/>
  <c r="Y331" i="20"/>
  <c r="Y332" i="20"/>
  <c r="Y333" i="20"/>
  <c r="Y334" i="20"/>
  <c r="Y335" i="20"/>
  <c r="Y336" i="20"/>
  <c r="Z336" i="20" s="1"/>
  <c r="Y337" i="20"/>
  <c r="Y338" i="20"/>
  <c r="Z338" i="20" s="1"/>
  <c r="Y339" i="20"/>
  <c r="Y340" i="20"/>
  <c r="Y341" i="20"/>
  <c r="Y342" i="20"/>
  <c r="Y343" i="20"/>
  <c r="Y344" i="20"/>
  <c r="Z344" i="20" s="1"/>
  <c r="Y345" i="20"/>
  <c r="Z345" i="20" s="1"/>
  <c r="Y346" i="20"/>
  <c r="Z346" i="20" s="1"/>
  <c r="Y347" i="20"/>
  <c r="Y348" i="20"/>
  <c r="Y349" i="20"/>
  <c r="Y350" i="20"/>
  <c r="Y351" i="20"/>
  <c r="Y352" i="20"/>
  <c r="Z352" i="20" s="1"/>
  <c r="Y353" i="20"/>
  <c r="Z353" i="20" s="1"/>
  <c r="Y354" i="20"/>
  <c r="Z354" i="20" s="1"/>
  <c r="Y355" i="20"/>
  <c r="Y356" i="20"/>
  <c r="Y357" i="20"/>
  <c r="Y358" i="20"/>
  <c r="Y359" i="20"/>
  <c r="Y360" i="20"/>
  <c r="Z360" i="20" s="1"/>
  <c r="Y361" i="20"/>
  <c r="Z361" i="20" s="1"/>
  <c r="Y362" i="20"/>
  <c r="Z362" i="20" s="1"/>
  <c r="Y363" i="20"/>
  <c r="Y364" i="20"/>
  <c r="Y365" i="20"/>
  <c r="Y366" i="20"/>
  <c r="Y367" i="20"/>
  <c r="Y368" i="20"/>
  <c r="Y369" i="20"/>
  <c r="Z369" i="20" s="1"/>
  <c r="Y370" i="20"/>
  <c r="Z370" i="20" s="1"/>
  <c r="Y371" i="20"/>
  <c r="Y372" i="20"/>
  <c r="Y373" i="20"/>
  <c r="Y374" i="20"/>
  <c r="Y375" i="20"/>
  <c r="Y376" i="20"/>
  <c r="Y377" i="20"/>
  <c r="Z377" i="20" s="1"/>
  <c r="Y378" i="20"/>
  <c r="Z378" i="20" s="1"/>
  <c r="Y379" i="20"/>
  <c r="Y380" i="20"/>
  <c r="Y381" i="20"/>
  <c r="Y382" i="20"/>
  <c r="Y383" i="20"/>
  <c r="Y384" i="20"/>
  <c r="Z384" i="20" s="1"/>
  <c r="Y385" i="20"/>
  <c r="Z385" i="20" s="1"/>
  <c r="Y386" i="20"/>
  <c r="Z386" i="20" s="1"/>
  <c r="Y387" i="20"/>
  <c r="Y388" i="20"/>
  <c r="Y389" i="20"/>
  <c r="Y390" i="20"/>
  <c r="Y391" i="20"/>
  <c r="Y392" i="20"/>
  <c r="Y393" i="20"/>
  <c r="Y394" i="20"/>
  <c r="Z394" i="20" s="1"/>
  <c r="Y395" i="20"/>
  <c r="Y396" i="20"/>
  <c r="Y397" i="20"/>
  <c r="Y398" i="20"/>
  <c r="Y399" i="20"/>
  <c r="Y400" i="20"/>
  <c r="Z400" i="20" s="1"/>
  <c r="Y401" i="20"/>
  <c r="Z401" i="20" s="1"/>
  <c r="Y402" i="20"/>
  <c r="Z402" i="20" s="1"/>
  <c r="Y403" i="20"/>
  <c r="Y404" i="20"/>
  <c r="Y2" i="20"/>
  <c r="U3" i="20"/>
  <c r="U4" i="20"/>
  <c r="U5" i="20"/>
  <c r="U6" i="20"/>
  <c r="U7" i="20"/>
  <c r="U8" i="20"/>
  <c r="U9" i="20"/>
  <c r="V9" i="20" s="1"/>
  <c r="U10" i="20"/>
  <c r="U11" i="20"/>
  <c r="U12" i="20"/>
  <c r="U13" i="20"/>
  <c r="U14" i="20"/>
  <c r="U15" i="20"/>
  <c r="U16" i="20"/>
  <c r="U17" i="20"/>
  <c r="V17" i="20" s="1"/>
  <c r="U18" i="20"/>
  <c r="U19" i="20"/>
  <c r="U20" i="20"/>
  <c r="U21" i="20"/>
  <c r="U22" i="20"/>
  <c r="U23" i="20"/>
  <c r="U24" i="20"/>
  <c r="U25" i="20"/>
  <c r="V25" i="20" s="1"/>
  <c r="U26" i="20"/>
  <c r="U27" i="20"/>
  <c r="U28" i="20"/>
  <c r="U29" i="20"/>
  <c r="U30" i="20"/>
  <c r="U31" i="20"/>
  <c r="U32" i="20"/>
  <c r="U33" i="20"/>
  <c r="V33" i="20" s="1"/>
  <c r="U34" i="20"/>
  <c r="U35" i="20"/>
  <c r="U36" i="20"/>
  <c r="U37" i="20"/>
  <c r="U38" i="20"/>
  <c r="U39" i="20"/>
  <c r="U40" i="20"/>
  <c r="U41" i="20"/>
  <c r="V41" i="20" s="1"/>
  <c r="U42" i="20"/>
  <c r="U43" i="20"/>
  <c r="U44" i="20"/>
  <c r="U45" i="20"/>
  <c r="U46" i="20"/>
  <c r="U47" i="20"/>
  <c r="U48" i="20"/>
  <c r="U49" i="20"/>
  <c r="V49" i="20" s="1"/>
  <c r="U50" i="20"/>
  <c r="U51" i="20"/>
  <c r="U52" i="20"/>
  <c r="U53" i="20"/>
  <c r="U54" i="20"/>
  <c r="U55" i="20"/>
  <c r="U56" i="20"/>
  <c r="U57" i="20"/>
  <c r="V57" i="20" s="1"/>
  <c r="U58" i="20"/>
  <c r="U59" i="20"/>
  <c r="U60" i="20"/>
  <c r="U61" i="20"/>
  <c r="U62" i="20"/>
  <c r="U63" i="20"/>
  <c r="U64" i="20"/>
  <c r="U65" i="20"/>
  <c r="V65" i="20" s="1"/>
  <c r="U66" i="20"/>
  <c r="U67" i="20"/>
  <c r="U68" i="20"/>
  <c r="U69" i="20"/>
  <c r="U70" i="20"/>
  <c r="U71" i="20"/>
  <c r="U72" i="20"/>
  <c r="U73" i="20"/>
  <c r="V73" i="20" s="1"/>
  <c r="U74" i="20"/>
  <c r="U75" i="20"/>
  <c r="U76" i="20"/>
  <c r="U77" i="20"/>
  <c r="U78" i="20"/>
  <c r="U79" i="20"/>
  <c r="U80" i="20"/>
  <c r="U81" i="20"/>
  <c r="V81" i="20" s="1"/>
  <c r="U82" i="20"/>
  <c r="U83" i="20"/>
  <c r="U84" i="20"/>
  <c r="U85" i="20"/>
  <c r="U86" i="20"/>
  <c r="U87" i="20"/>
  <c r="U88" i="20"/>
  <c r="U89" i="20"/>
  <c r="V89" i="20" s="1"/>
  <c r="U90" i="20"/>
  <c r="U91" i="20"/>
  <c r="U92" i="20"/>
  <c r="U93" i="20"/>
  <c r="U94" i="20"/>
  <c r="U95" i="20"/>
  <c r="U96" i="20"/>
  <c r="U97" i="20"/>
  <c r="V97" i="20" s="1"/>
  <c r="U98" i="20"/>
  <c r="U99" i="20"/>
  <c r="U100" i="20"/>
  <c r="U101" i="20"/>
  <c r="U102" i="20"/>
  <c r="U103" i="20"/>
  <c r="U104" i="20"/>
  <c r="U105" i="20"/>
  <c r="V105" i="20" s="1"/>
  <c r="U106" i="20"/>
  <c r="U107" i="20"/>
  <c r="U108" i="20"/>
  <c r="U109" i="20"/>
  <c r="U110" i="20"/>
  <c r="U111" i="20"/>
  <c r="U112" i="20"/>
  <c r="U113" i="20"/>
  <c r="V113" i="20" s="1"/>
  <c r="U114" i="20"/>
  <c r="U115" i="20"/>
  <c r="U116" i="20"/>
  <c r="U117" i="20"/>
  <c r="U118" i="20"/>
  <c r="U119" i="20"/>
  <c r="U120" i="20"/>
  <c r="U121" i="20"/>
  <c r="V121" i="20" s="1"/>
  <c r="U122" i="20"/>
  <c r="U123" i="20"/>
  <c r="U124" i="20"/>
  <c r="U125" i="20"/>
  <c r="U126" i="20"/>
  <c r="U127" i="20"/>
  <c r="U128" i="20"/>
  <c r="U129" i="20"/>
  <c r="V129" i="20" s="1"/>
  <c r="U130" i="20"/>
  <c r="U131" i="20"/>
  <c r="U132" i="20"/>
  <c r="U133" i="20"/>
  <c r="U134" i="20"/>
  <c r="U135" i="20"/>
  <c r="U136" i="20"/>
  <c r="U137" i="20"/>
  <c r="V137" i="20" s="1"/>
  <c r="U138" i="20"/>
  <c r="U139" i="20"/>
  <c r="U140" i="20"/>
  <c r="U141" i="20"/>
  <c r="U142" i="20"/>
  <c r="U143" i="20"/>
  <c r="U144" i="20"/>
  <c r="U145" i="20"/>
  <c r="V145" i="20" s="1"/>
  <c r="U146" i="20"/>
  <c r="U147" i="20"/>
  <c r="U148" i="20"/>
  <c r="U149" i="20"/>
  <c r="U150" i="20"/>
  <c r="U151" i="20"/>
  <c r="U152" i="20"/>
  <c r="U153" i="20"/>
  <c r="V153" i="20" s="1"/>
  <c r="U154" i="20"/>
  <c r="U155" i="20"/>
  <c r="U156" i="20"/>
  <c r="U157" i="20"/>
  <c r="U158" i="20"/>
  <c r="U159" i="20"/>
  <c r="U160" i="20"/>
  <c r="U161" i="20"/>
  <c r="V161" i="20" s="1"/>
  <c r="U162" i="20"/>
  <c r="U163" i="20"/>
  <c r="U164" i="20"/>
  <c r="U165" i="20"/>
  <c r="U166" i="20"/>
  <c r="U167" i="20"/>
  <c r="U168" i="20"/>
  <c r="U169" i="20"/>
  <c r="V169" i="20" s="1"/>
  <c r="U170" i="20"/>
  <c r="U171" i="20"/>
  <c r="U172" i="20"/>
  <c r="U173" i="20"/>
  <c r="U174" i="20"/>
  <c r="U175" i="20"/>
  <c r="U176" i="20"/>
  <c r="U177" i="20"/>
  <c r="V177" i="20" s="1"/>
  <c r="U178" i="20"/>
  <c r="U179" i="20"/>
  <c r="U180" i="20"/>
  <c r="U181" i="20"/>
  <c r="U182" i="20"/>
  <c r="U183" i="20"/>
  <c r="U184" i="20"/>
  <c r="U185" i="20"/>
  <c r="V185" i="20" s="1"/>
  <c r="U186" i="20"/>
  <c r="U187" i="20"/>
  <c r="U188" i="20"/>
  <c r="U189" i="20"/>
  <c r="U190" i="20"/>
  <c r="U191" i="20"/>
  <c r="U192" i="20"/>
  <c r="U193" i="20"/>
  <c r="V193" i="20" s="1"/>
  <c r="U194" i="20"/>
  <c r="U195" i="20"/>
  <c r="U196" i="20"/>
  <c r="U197" i="20"/>
  <c r="U198" i="20"/>
  <c r="U199" i="20"/>
  <c r="U200" i="20"/>
  <c r="U201" i="20"/>
  <c r="V201" i="20" s="1"/>
  <c r="U202" i="20"/>
  <c r="U203" i="20"/>
  <c r="U204" i="20"/>
  <c r="U205" i="20"/>
  <c r="U206" i="20"/>
  <c r="U207" i="20"/>
  <c r="U208" i="20"/>
  <c r="U209" i="20"/>
  <c r="V209" i="20" s="1"/>
  <c r="U210" i="20"/>
  <c r="U211" i="20"/>
  <c r="U212" i="20"/>
  <c r="U213" i="20"/>
  <c r="U214" i="20"/>
  <c r="U215" i="20"/>
  <c r="U216" i="20"/>
  <c r="U217" i="20"/>
  <c r="V217" i="20" s="1"/>
  <c r="U218" i="20"/>
  <c r="U219" i="20"/>
  <c r="U220" i="20"/>
  <c r="U221" i="20"/>
  <c r="U222" i="20"/>
  <c r="U223" i="20"/>
  <c r="U224" i="20"/>
  <c r="U225" i="20"/>
  <c r="V225" i="20" s="1"/>
  <c r="U226" i="20"/>
  <c r="U227" i="20"/>
  <c r="U228" i="20"/>
  <c r="U229" i="20"/>
  <c r="U230" i="20"/>
  <c r="U231" i="20"/>
  <c r="U232" i="20"/>
  <c r="U233" i="20"/>
  <c r="V233" i="20" s="1"/>
  <c r="U234" i="20"/>
  <c r="U235" i="20"/>
  <c r="U236" i="20"/>
  <c r="U237" i="20"/>
  <c r="U238" i="20"/>
  <c r="U239" i="20"/>
  <c r="U240" i="20"/>
  <c r="U241" i="20"/>
  <c r="V241" i="20" s="1"/>
  <c r="U242" i="20"/>
  <c r="U243" i="20"/>
  <c r="U244" i="20"/>
  <c r="U245" i="20"/>
  <c r="U246" i="20"/>
  <c r="U247" i="20"/>
  <c r="U248" i="20"/>
  <c r="U249" i="20"/>
  <c r="V249" i="20" s="1"/>
  <c r="U250" i="20"/>
  <c r="U251" i="20"/>
  <c r="U252" i="20"/>
  <c r="U253" i="20"/>
  <c r="U254" i="20"/>
  <c r="U255" i="20"/>
  <c r="U256" i="20"/>
  <c r="U257" i="20"/>
  <c r="V257" i="20" s="1"/>
  <c r="U258" i="20"/>
  <c r="U259" i="20"/>
  <c r="U260" i="20"/>
  <c r="U261" i="20"/>
  <c r="U262" i="20"/>
  <c r="U263" i="20"/>
  <c r="U264" i="20"/>
  <c r="U265" i="20"/>
  <c r="V265" i="20" s="1"/>
  <c r="U266" i="20"/>
  <c r="U267" i="20"/>
  <c r="U268" i="20"/>
  <c r="U269" i="20"/>
  <c r="U270" i="20"/>
  <c r="U271" i="20"/>
  <c r="U272" i="20"/>
  <c r="U273" i="20"/>
  <c r="V273" i="20" s="1"/>
  <c r="U274" i="20"/>
  <c r="U275" i="20"/>
  <c r="U276" i="20"/>
  <c r="U277" i="20"/>
  <c r="U278" i="20"/>
  <c r="U279" i="20"/>
  <c r="U280" i="20"/>
  <c r="U281" i="20"/>
  <c r="V281" i="20" s="1"/>
  <c r="U282" i="20"/>
  <c r="U283" i="20"/>
  <c r="U284" i="20"/>
  <c r="U285" i="20"/>
  <c r="U286" i="20"/>
  <c r="U287" i="20"/>
  <c r="U288" i="20"/>
  <c r="U289" i="20"/>
  <c r="V289" i="20" s="1"/>
  <c r="U290" i="20"/>
  <c r="U291" i="20"/>
  <c r="U292" i="20"/>
  <c r="U293" i="20"/>
  <c r="U294" i="20"/>
  <c r="U295" i="20"/>
  <c r="U296" i="20"/>
  <c r="U297" i="20"/>
  <c r="U298" i="20"/>
  <c r="U299" i="20"/>
  <c r="U300" i="20"/>
  <c r="U301" i="20"/>
  <c r="U302" i="20"/>
  <c r="U303" i="20"/>
  <c r="U304" i="20"/>
  <c r="U305" i="20"/>
  <c r="V305" i="20" s="1"/>
  <c r="U306" i="20"/>
  <c r="U307" i="20"/>
  <c r="U308" i="20"/>
  <c r="U309" i="20"/>
  <c r="U310" i="20"/>
  <c r="U311" i="20"/>
  <c r="U312" i="20"/>
  <c r="U313" i="20"/>
  <c r="V313" i="20" s="1"/>
  <c r="U314" i="20"/>
  <c r="U315" i="20"/>
  <c r="V315" i="20" s="1"/>
  <c r="U316" i="20"/>
  <c r="U317" i="20"/>
  <c r="U318" i="20"/>
  <c r="U319" i="20"/>
  <c r="U320" i="20"/>
  <c r="U321" i="20"/>
  <c r="V321" i="20" s="1"/>
  <c r="U322" i="20"/>
  <c r="U323" i="20"/>
  <c r="V323" i="20" s="1"/>
  <c r="U324" i="20"/>
  <c r="U325" i="20"/>
  <c r="U326" i="20"/>
  <c r="V326" i="20" s="1"/>
  <c r="U327" i="20"/>
  <c r="U328" i="20"/>
  <c r="U329" i="20"/>
  <c r="V329" i="20" s="1"/>
  <c r="U330" i="20"/>
  <c r="U331" i="20"/>
  <c r="V331" i="20" s="1"/>
  <c r="U332" i="20"/>
  <c r="U333" i="20"/>
  <c r="U334" i="20"/>
  <c r="U335" i="20"/>
  <c r="U336" i="20"/>
  <c r="U337" i="20"/>
  <c r="V337" i="20" s="1"/>
  <c r="U338" i="20"/>
  <c r="U339" i="20"/>
  <c r="V339" i="20" s="1"/>
  <c r="U340" i="20"/>
  <c r="U341" i="20"/>
  <c r="U342" i="20"/>
  <c r="V342" i="20" s="1"/>
  <c r="U343" i="20"/>
  <c r="U344" i="20"/>
  <c r="U345" i="20"/>
  <c r="V345" i="20" s="1"/>
  <c r="U346" i="20"/>
  <c r="U347" i="20"/>
  <c r="V347" i="20" s="1"/>
  <c r="U348" i="20"/>
  <c r="U349" i="20"/>
  <c r="U350" i="20"/>
  <c r="V350" i="20" s="1"/>
  <c r="U351" i="20"/>
  <c r="U352" i="20"/>
  <c r="U353" i="20"/>
  <c r="V353" i="20" s="1"/>
  <c r="U354" i="20"/>
  <c r="U355" i="20"/>
  <c r="U356" i="20"/>
  <c r="U357" i="20"/>
  <c r="U358" i="20"/>
  <c r="V358" i="20" s="1"/>
  <c r="U359" i="20"/>
  <c r="U360" i="20"/>
  <c r="U361" i="20"/>
  <c r="V361" i="20" s="1"/>
  <c r="U362" i="20"/>
  <c r="U363" i="20"/>
  <c r="U364" i="20"/>
  <c r="U365" i="20"/>
  <c r="U366" i="20"/>
  <c r="U367" i="20"/>
  <c r="U368" i="20"/>
  <c r="U369" i="20"/>
  <c r="V369" i="20" s="1"/>
  <c r="U370" i="20"/>
  <c r="U371" i="20"/>
  <c r="V371" i="20" s="1"/>
  <c r="U372" i="20"/>
  <c r="U373" i="20"/>
  <c r="U374" i="20"/>
  <c r="V374" i="20" s="1"/>
  <c r="U375" i="20"/>
  <c r="U376" i="20"/>
  <c r="U377" i="20"/>
  <c r="V377" i="20" s="1"/>
  <c r="U378" i="20"/>
  <c r="U379" i="20"/>
  <c r="U380" i="20"/>
  <c r="U381" i="20"/>
  <c r="U382" i="20"/>
  <c r="U383" i="20"/>
  <c r="U384" i="20"/>
  <c r="U385" i="20"/>
  <c r="V385" i="20" s="1"/>
  <c r="U386" i="20"/>
  <c r="U387" i="20"/>
  <c r="V387" i="20" s="1"/>
  <c r="U388" i="20"/>
  <c r="U389" i="20"/>
  <c r="U390" i="20"/>
  <c r="V390" i="20" s="1"/>
  <c r="U391" i="20"/>
  <c r="U392" i="20"/>
  <c r="U393" i="20"/>
  <c r="V393" i="20" s="1"/>
  <c r="U394" i="20"/>
  <c r="U395" i="20"/>
  <c r="V395" i="20" s="1"/>
  <c r="U396" i="20"/>
  <c r="U397" i="20"/>
  <c r="U398" i="20"/>
  <c r="V398" i="20" s="1"/>
  <c r="U399" i="20"/>
  <c r="U400" i="20"/>
  <c r="U401" i="20"/>
  <c r="U402" i="20"/>
  <c r="U403" i="20"/>
  <c r="V403" i="20" s="1"/>
  <c r="U404" i="20"/>
  <c r="U2"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P34" i="20" s="1"/>
  <c r="O35" i="20"/>
  <c r="O36" i="20"/>
  <c r="O37" i="20"/>
  <c r="O38" i="20"/>
  <c r="O39" i="20"/>
  <c r="O40" i="20"/>
  <c r="O41" i="20"/>
  <c r="O42" i="20"/>
  <c r="P42" i="20" s="1"/>
  <c r="O43" i="20"/>
  <c r="O44" i="20"/>
  <c r="O45" i="20"/>
  <c r="O46" i="20"/>
  <c r="O47" i="20"/>
  <c r="O48" i="20"/>
  <c r="O49" i="20"/>
  <c r="O50" i="20"/>
  <c r="P50" i="20" s="1"/>
  <c r="O51" i="20"/>
  <c r="O52" i="20"/>
  <c r="O53" i="20"/>
  <c r="O54" i="20"/>
  <c r="O55" i="20"/>
  <c r="O56" i="20"/>
  <c r="O57" i="20"/>
  <c r="O58" i="20"/>
  <c r="O59" i="20"/>
  <c r="O60" i="20"/>
  <c r="O61" i="20"/>
  <c r="O62" i="20"/>
  <c r="O63" i="20"/>
  <c r="O64" i="20"/>
  <c r="O65" i="20"/>
  <c r="O66" i="20"/>
  <c r="P66" i="20" s="1"/>
  <c r="O67" i="20"/>
  <c r="O68" i="20"/>
  <c r="O69" i="20"/>
  <c r="O70" i="20"/>
  <c r="O71" i="20"/>
  <c r="O72" i="20"/>
  <c r="O73" i="20"/>
  <c r="O74" i="20"/>
  <c r="P74" i="20" s="1"/>
  <c r="O75" i="20"/>
  <c r="O76" i="20"/>
  <c r="O77" i="20"/>
  <c r="O78" i="20"/>
  <c r="O79" i="20"/>
  <c r="O80" i="20"/>
  <c r="O81" i="20"/>
  <c r="O82" i="20"/>
  <c r="O83" i="20"/>
  <c r="O84" i="20"/>
  <c r="O85" i="20"/>
  <c r="O86" i="20"/>
  <c r="O87" i="20"/>
  <c r="O88" i="20"/>
  <c r="O89" i="20"/>
  <c r="O90" i="20"/>
  <c r="O91" i="20"/>
  <c r="O92" i="20"/>
  <c r="O93" i="20"/>
  <c r="O94" i="20"/>
  <c r="O95" i="20"/>
  <c r="O96" i="20"/>
  <c r="O97" i="20"/>
  <c r="O98" i="20"/>
  <c r="P98" i="20" s="1"/>
  <c r="O99" i="20"/>
  <c r="O100" i="20"/>
  <c r="O101" i="20"/>
  <c r="O102" i="20"/>
  <c r="O103" i="20"/>
  <c r="O104" i="20"/>
  <c r="O105" i="20"/>
  <c r="O106" i="20"/>
  <c r="O107" i="20"/>
  <c r="O108" i="20"/>
  <c r="O109" i="20"/>
  <c r="O110" i="20"/>
  <c r="O111" i="20"/>
  <c r="O112" i="20"/>
  <c r="O113" i="20"/>
  <c r="O114" i="20"/>
  <c r="P114" i="20" s="1"/>
  <c r="O115" i="20"/>
  <c r="O116" i="20"/>
  <c r="O117" i="20"/>
  <c r="O118" i="20"/>
  <c r="O119" i="20"/>
  <c r="O120" i="20"/>
  <c r="O121" i="20"/>
  <c r="O122" i="20"/>
  <c r="O123" i="20"/>
  <c r="O124" i="20"/>
  <c r="O125" i="20"/>
  <c r="O126" i="20"/>
  <c r="O127" i="20"/>
  <c r="O128" i="20"/>
  <c r="O129" i="20"/>
  <c r="O130" i="20"/>
  <c r="P130" i="20" s="1"/>
  <c r="O131" i="20"/>
  <c r="O132" i="20"/>
  <c r="O133" i="20"/>
  <c r="O134" i="20"/>
  <c r="O135" i="20"/>
  <c r="O136" i="20"/>
  <c r="O137" i="20"/>
  <c r="O138" i="20"/>
  <c r="P138" i="20" s="1"/>
  <c r="O139" i="20"/>
  <c r="O140" i="20"/>
  <c r="O141" i="20"/>
  <c r="O142" i="20"/>
  <c r="O143" i="20"/>
  <c r="O144" i="20"/>
  <c r="O145" i="20"/>
  <c r="O146" i="20"/>
  <c r="P146" i="20" s="1"/>
  <c r="O147" i="20"/>
  <c r="O148" i="20"/>
  <c r="O149" i="20"/>
  <c r="O150" i="20"/>
  <c r="O151" i="20"/>
  <c r="O152" i="20"/>
  <c r="O153" i="20"/>
  <c r="O154" i="20"/>
  <c r="P154" i="20" s="1"/>
  <c r="O155" i="20"/>
  <c r="O156" i="20"/>
  <c r="O157" i="20"/>
  <c r="O158" i="20"/>
  <c r="O159" i="20"/>
  <c r="O160" i="20"/>
  <c r="O161" i="20"/>
  <c r="O162" i="20"/>
  <c r="P162" i="20" s="1"/>
  <c r="O163" i="20"/>
  <c r="O164" i="20"/>
  <c r="O165" i="20"/>
  <c r="O166" i="20"/>
  <c r="O167" i="20"/>
  <c r="O168" i="20"/>
  <c r="O169" i="20"/>
  <c r="O170" i="20"/>
  <c r="P170" i="20" s="1"/>
  <c r="O171" i="20"/>
  <c r="O172" i="20"/>
  <c r="O173" i="20"/>
  <c r="O174" i="20"/>
  <c r="O175" i="20"/>
  <c r="O176" i="20"/>
  <c r="O177" i="20"/>
  <c r="O178" i="20"/>
  <c r="O179" i="20"/>
  <c r="O180" i="20"/>
  <c r="O181" i="20"/>
  <c r="O182" i="20"/>
  <c r="O183" i="20"/>
  <c r="O184" i="20"/>
  <c r="O185" i="20"/>
  <c r="O186" i="20"/>
  <c r="P186" i="20" s="1"/>
  <c r="O187" i="20"/>
  <c r="O188" i="20"/>
  <c r="O189" i="20"/>
  <c r="O190" i="20"/>
  <c r="O191" i="20"/>
  <c r="O192" i="20"/>
  <c r="O193" i="20"/>
  <c r="O194" i="20"/>
  <c r="P194" i="20" s="1"/>
  <c r="O195" i="20"/>
  <c r="O196" i="20"/>
  <c r="O197" i="20"/>
  <c r="O198" i="20"/>
  <c r="O199" i="20"/>
  <c r="O200" i="20"/>
  <c r="O201" i="20"/>
  <c r="O202" i="20"/>
  <c r="P202" i="20" s="1"/>
  <c r="O203" i="20"/>
  <c r="O204" i="20"/>
  <c r="O205" i="20"/>
  <c r="O206" i="20"/>
  <c r="O207" i="20"/>
  <c r="O208" i="20"/>
  <c r="O209" i="20"/>
  <c r="O210" i="20"/>
  <c r="P210" i="20" s="1"/>
  <c r="O211" i="20"/>
  <c r="O212" i="20"/>
  <c r="O213" i="20"/>
  <c r="O214" i="20"/>
  <c r="O215" i="20"/>
  <c r="O216" i="20"/>
  <c r="O217" i="20"/>
  <c r="O218" i="20"/>
  <c r="P218" i="20" s="1"/>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P242" i="20" s="1"/>
  <c r="O243" i="20"/>
  <c r="P243" i="20" s="1"/>
  <c r="S243" i="20" s="1"/>
  <c r="O244" i="20"/>
  <c r="O245" i="20"/>
  <c r="O246" i="20"/>
  <c r="P246" i="20" s="1"/>
  <c r="O247" i="20"/>
  <c r="O248" i="20"/>
  <c r="O249" i="20"/>
  <c r="O250" i="20"/>
  <c r="P250" i="20" s="1"/>
  <c r="O251" i="20"/>
  <c r="P251" i="20" s="1"/>
  <c r="S251" i="20" s="1"/>
  <c r="O252" i="20"/>
  <c r="O253" i="20"/>
  <c r="O254" i="20"/>
  <c r="P254" i="20" s="1"/>
  <c r="O255" i="20"/>
  <c r="O256" i="20"/>
  <c r="O257" i="20"/>
  <c r="O258" i="20"/>
  <c r="P258" i="20" s="1"/>
  <c r="O259" i="20"/>
  <c r="O260" i="20"/>
  <c r="O261" i="20"/>
  <c r="O262" i="20"/>
  <c r="P262" i="20" s="1"/>
  <c r="O263" i="20"/>
  <c r="O264" i="20"/>
  <c r="O265" i="20"/>
  <c r="O266" i="20"/>
  <c r="O267" i="20"/>
  <c r="P267" i="20" s="1"/>
  <c r="O268" i="20"/>
  <c r="O269" i="20"/>
  <c r="O270" i="20"/>
  <c r="P270" i="20" s="1"/>
  <c r="O271" i="20"/>
  <c r="O272" i="20"/>
  <c r="O273" i="20"/>
  <c r="O274" i="20"/>
  <c r="P274" i="20" s="1"/>
  <c r="O275" i="20"/>
  <c r="P275" i="20" s="1"/>
  <c r="S275" i="20" s="1"/>
  <c r="O276" i="20"/>
  <c r="O277" i="20"/>
  <c r="O278" i="20"/>
  <c r="P278" i="20" s="1"/>
  <c r="S278" i="20" s="1"/>
  <c r="O279" i="20"/>
  <c r="O280" i="20"/>
  <c r="O281" i="20"/>
  <c r="O282" i="20"/>
  <c r="P282" i="20" s="1"/>
  <c r="O283" i="20"/>
  <c r="O284" i="20"/>
  <c r="O285" i="20"/>
  <c r="O286" i="20"/>
  <c r="P286" i="20" s="1"/>
  <c r="O287" i="20"/>
  <c r="O288" i="20"/>
  <c r="O289" i="20"/>
  <c r="O290" i="20"/>
  <c r="O291" i="20"/>
  <c r="O292" i="20"/>
  <c r="O293" i="20"/>
  <c r="O294" i="20"/>
  <c r="P294" i="20" s="1"/>
  <c r="O295" i="20"/>
  <c r="O296" i="20"/>
  <c r="O297" i="20"/>
  <c r="O298" i="20"/>
  <c r="P298" i="20" s="1"/>
  <c r="O299" i="20"/>
  <c r="P299" i="20" s="1"/>
  <c r="O300" i="20"/>
  <c r="O301" i="20"/>
  <c r="O302" i="20"/>
  <c r="O303" i="20"/>
  <c r="O304" i="20"/>
  <c r="O305" i="20"/>
  <c r="O306" i="20"/>
  <c r="O307" i="20"/>
  <c r="P307" i="20" s="1"/>
  <c r="O308" i="20"/>
  <c r="O309" i="20"/>
  <c r="O310" i="20"/>
  <c r="O311" i="20"/>
  <c r="O312" i="20"/>
  <c r="O313" i="20"/>
  <c r="O314" i="20"/>
  <c r="O315" i="20"/>
  <c r="P315" i="20" s="1"/>
  <c r="O316" i="20"/>
  <c r="O317" i="20"/>
  <c r="O318" i="20"/>
  <c r="P318" i="20" s="1"/>
  <c r="O319" i="20"/>
  <c r="O320" i="20"/>
  <c r="O321" i="20"/>
  <c r="O322" i="20"/>
  <c r="P322" i="20" s="1"/>
  <c r="O323" i="20"/>
  <c r="O324" i="20"/>
  <c r="O325" i="20"/>
  <c r="O326" i="20"/>
  <c r="O327" i="20"/>
  <c r="O328" i="20"/>
  <c r="O329" i="20"/>
  <c r="O330" i="20"/>
  <c r="P330" i="20" s="1"/>
  <c r="O331" i="20"/>
  <c r="P331" i="20" s="1"/>
  <c r="O332" i="20"/>
  <c r="O333" i="20"/>
  <c r="O334" i="20"/>
  <c r="P334" i="20" s="1"/>
  <c r="O335" i="20"/>
  <c r="O336" i="20"/>
  <c r="O337" i="20"/>
  <c r="O338" i="20"/>
  <c r="P338" i="20" s="1"/>
  <c r="O339" i="20"/>
  <c r="O340" i="20"/>
  <c r="O341" i="20"/>
  <c r="O342" i="20"/>
  <c r="P342" i="20" s="1"/>
  <c r="O343" i="20"/>
  <c r="O344" i="20"/>
  <c r="O345" i="20"/>
  <c r="O346" i="20"/>
  <c r="P346" i="20" s="1"/>
  <c r="S346" i="20" s="1"/>
  <c r="O347" i="20"/>
  <c r="P347" i="20" s="1"/>
  <c r="O348" i="20"/>
  <c r="O349" i="20"/>
  <c r="O350" i="20"/>
  <c r="P350" i="20" s="1"/>
  <c r="O351" i="20"/>
  <c r="O352" i="20"/>
  <c r="O353" i="20"/>
  <c r="O354" i="20"/>
  <c r="O355" i="20"/>
  <c r="P355" i="20" s="1"/>
  <c r="O356" i="20"/>
  <c r="O357" i="20"/>
  <c r="O358" i="20"/>
  <c r="O359" i="20"/>
  <c r="O360" i="20"/>
  <c r="O361" i="20"/>
  <c r="O362" i="20"/>
  <c r="P362" i="20" s="1"/>
  <c r="O363" i="20"/>
  <c r="P363" i="20" s="1"/>
  <c r="O364" i="20"/>
  <c r="O365" i="20"/>
  <c r="O366" i="20"/>
  <c r="P366" i="20" s="1"/>
  <c r="O367" i="20"/>
  <c r="O368" i="20"/>
  <c r="O369" i="20"/>
  <c r="O370" i="20"/>
  <c r="P370" i="20" s="1"/>
  <c r="O371" i="20"/>
  <c r="O372" i="20"/>
  <c r="O373" i="20"/>
  <c r="O374" i="20"/>
  <c r="P374" i="20" s="1"/>
  <c r="O375" i="20"/>
  <c r="O376" i="20"/>
  <c r="O377" i="20"/>
  <c r="O378" i="20"/>
  <c r="P378" i="20" s="1"/>
  <c r="O379" i="20"/>
  <c r="O380" i="20"/>
  <c r="O381" i="20"/>
  <c r="O382" i="20"/>
  <c r="P382" i="20" s="1"/>
  <c r="O383" i="20"/>
  <c r="O384" i="20"/>
  <c r="O385" i="20"/>
  <c r="O386" i="20"/>
  <c r="P386" i="20" s="1"/>
  <c r="O387" i="20"/>
  <c r="P387" i="20" s="1"/>
  <c r="O388" i="20"/>
  <c r="O389" i="20"/>
  <c r="O390" i="20"/>
  <c r="P390" i="20" s="1"/>
  <c r="O391" i="20"/>
  <c r="O392" i="20"/>
  <c r="O393" i="20"/>
  <c r="O394" i="20"/>
  <c r="P394" i="20" s="1"/>
  <c r="O395" i="20"/>
  <c r="P395" i="20" s="1"/>
  <c r="O396" i="20"/>
  <c r="O397" i="20"/>
  <c r="O398" i="20"/>
  <c r="P398" i="20" s="1"/>
  <c r="O399" i="20"/>
  <c r="O400" i="20"/>
  <c r="O401" i="20"/>
  <c r="O402" i="20"/>
  <c r="P402" i="20" s="1"/>
  <c r="O403" i="20"/>
  <c r="P403" i="20" s="1"/>
  <c r="O404" i="20"/>
  <c r="O2" i="20"/>
  <c r="K3" i="20"/>
  <c r="K4" i="20"/>
  <c r="K5" i="20"/>
  <c r="K6" i="20"/>
  <c r="K7" i="20"/>
  <c r="K8" i="20"/>
  <c r="K9" i="20"/>
  <c r="L9" i="20" s="1"/>
  <c r="K10" i="20"/>
  <c r="K11" i="20"/>
  <c r="K12" i="20"/>
  <c r="K13" i="20"/>
  <c r="K14" i="20"/>
  <c r="K15" i="20"/>
  <c r="K16" i="20"/>
  <c r="K17" i="20"/>
  <c r="L17" i="20" s="1"/>
  <c r="K18" i="20"/>
  <c r="K19" i="20"/>
  <c r="K20" i="20"/>
  <c r="K21" i="20"/>
  <c r="K22" i="20"/>
  <c r="K23" i="20"/>
  <c r="K24" i="20"/>
  <c r="K25" i="20"/>
  <c r="L25" i="20" s="1"/>
  <c r="K26" i="20"/>
  <c r="K27" i="20"/>
  <c r="K28" i="20"/>
  <c r="K29" i="20"/>
  <c r="K30" i="20"/>
  <c r="K31" i="20"/>
  <c r="K32" i="20"/>
  <c r="K33" i="20"/>
  <c r="L33" i="20" s="1"/>
  <c r="K34" i="20"/>
  <c r="K35" i="20"/>
  <c r="K36" i="20"/>
  <c r="K37" i="20"/>
  <c r="K38" i="20"/>
  <c r="K39" i="20"/>
  <c r="K40" i="20"/>
  <c r="K41" i="20"/>
  <c r="L41" i="20" s="1"/>
  <c r="K42" i="20"/>
  <c r="K43" i="20"/>
  <c r="K44" i="20"/>
  <c r="K45" i="20"/>
  <c r="K46" i="20"/>
  <c r="K47" i="20"/>
  <c r="K48" i="20"/>
  <c r="K49" i="20"/>
  <c r="L49" i="20" s="1"/>
  <c r="K50" i="20"/>
  <c r="K51" i="20"/>
  <c r="K52" i="20"/>
  <c r="K53" i="20"/>
  <c r="K54" i="20"/>
  <c r="K55" i="20"/>
  <c r="K56" i="20"/>
  <c r="K57" i="20"/>
  <c r="L57" i="20" s="1"/>
  <c r="K58" i="20"/>
  <c r="K59" i="20"/>
  <c r="K60" i="20"/>
  <c r="K61" i="20"/>
  <c r="K62" i="20"/>
  <c r="K63" i="20"/>
  <c r="K64" i="20"/>
  <c r="K65" i="20"/>
  <c r="L65" i="20" s="1"/>
  <c r="K66" i="20"/>
  <c r="K67" i="20"/>
  <c r="K68" i="20"/>
  <c r="K69" i="20"/>
  <c r="K70" i="20"/>
  <c r="K71" i="20"/>
  <c r="K72" i="20"/>
  <c r="K73" i="20"/>
  <c r="L73" i="20" s="1"/>
  <c r="K74" i="20"/>
  <c r="K75" i="20"/>
  <c r="K76" i="20"/>
  <c r="K77" i="20"/>
  <c r="K78" i="20"/>
  <c r="K79" i="20"/>
  <c r="K80" i="20"/>
  <c r="K81" i="20"/>
  <c r="L81" i="20" s="1"/>
  <c r="K82" i="20"/>
  <c r="K83" i="20"/>
  <c r="K84" i="20"/>
  <c r="K85" i="20"/>
  <c r="K86" i="20"/>
  <c r="K87" i="20"/>
  <c r="K88" i="20"/>
  <c r="K89" i="20"/>
  <c r="L89" i="20" s="1"/>
  <c r="K90" i="20"/>
  <c r="K91" i="20"/>
  <c r="K92" i="20"/>
  <c r="K93" i="20"/>
  <c r="K94" i="20"/>
  <c r="K95" i="20"/>
  <c r="K96" i="20"/>
  <c r="K97" i="20"/>
  <c r="L97" i="20" s="1"/>
  <c r="K98" i="20"/>
  <c r="K99" i="20"/>
  <c r="K100" i="20"/>
  <c r="K101" i="20"/>
  <c r="K102" i="20"/>
  <c r="K103" i="20"/>
  <c r="K104" i="20"/>
  <c r="K105" i="20"/>
  <c r="K106" i="20"/>
  <c r="K107" i="20"/>
  <c r="K108" i="20"/>
  <c r="K109" i="20"/>
  <c r="K110" i="20"/>
  <c r="K111" i="20"/>
  <c r="K112" i="20"/>
  <c r="K113" i="20"/>
  <c r="L113" i="20" s="1"/>
  <c r="K114" i="20"/>
  <c r="K115" i="20"/>
  <c r="K116" i="20"/>
  <c r="K117" i="20"/>
  <c r="K118" i="20"/>
  <c r="K119" i="20"/>
  <c r="K120" i="20"/>
  <c r="K121" i="20"/>
  <c r="L121" i="20" s="1"/>
  <c r="K122" i="20"/>
  <c r="K123" i="20"/>
  <c r="K124" i="20"/>
  <c r="K125" i="20"/>
  <c r="K126" i="20"/>
  <c r="K127" i="20"/>
  <c r="K128" i="20"/>
  <c r="K129" i="20"/>
  <c r="L129" i="20" s="1"/>
  <c r="K130" i="20"/>
  <c r="K131" i="20"/>
  <c r="K132" i="20"/>
  <c r="K133" i="20"/>
  <c r="K134" i="20"/>
  <c r="K135" i="20"/>
  <c r="K136" i="20"/>
  <c r="K137" i="20"/>
  <c r="L137" i="20" s="1"/>
  <c r="K138" i="20"/>
  <c r="K139" i="20"/>
  <c r="K140" i="20"/>
  <c r="K141" i="20"/>
  <c r="K142" i="20"/>
  <c r="K143" i="20"/>
  <c r="K144" i="20"/>
  <c r="K145" i="20"/>
  <c r="L145" i="20" s="1"/>
  <c r="K146" i="20"/>
  <c r="K147" i="20"/>
  <c r="K148" i="20"/>
  <c r="K149" i="20"/>
  <c r="K150" i="20"/>
  <c r="K151" i="20"/>
  <c r="K152" i="20"/>
  <c r="K153" i="20"/>
  <c r="K154" i="20"/>
  <c r="K155" i="20"/>
  <c r="K156" i="20"/>
  <c r="K157" i="20"/>
  <c r="K158" i="20"/>
  <c r="K159" i="20"/>
  <c r="K160" i="20"/>
  <c r="K161" i="20"/>
  <c r="L161" i="20" s="1"/>
  <c r="K162" i="20"/>
  <c r="K163" i="20"/>
  <c r="K164" i="20"/>
  <c r="K165" i="20"/>
  <c r="K166" i="20"/>
  <c r="K167" i="20"/>
  <c r="K168" i="20"/>
  <c r="K169" i="20"/>
  <c r="L169" i="20" s="1"/>
  <c r="K170" i="20"/>
  <c r="K171" i="20"/>
  <c r="K172" i="20"/>
  <c r="K173" i="20"/>
  <c r="K174" i="20"/>
  <c r="K175" i="20"/>
  <c r="K176" i="20"/>
  <c r="K177" i="20"/>
  <c r="K178" i="20"/>
  <c r="K179" i="20"/>
  <c r="K180" i="20"/>
  <c r="K181" i="20"/>
  <c r="K182" i="20"/>
  <c r="K183" i="20"/>
  <c r="K184" i="20"/>
  <c r="K185" i="20"/>
  <c r="L185" i="20" s="1"/>
  <c r="K186" i="20"/>
  <c r="K187" i="20"/>
  <c r="K188" i="20"/>
  <c r="K189" i="20"/>
  <c r="K190" i="20"/>
  <c r="K191" i="20"/>
  <c r="K192" i="20"/>
  <c r="K193" i="20"/>
  <c r="L193" i="20" s="1"/>
  <c r="K194" i="20"/>
  <c r="K195" i="20"/>
  <c r="K196" i="20"/>
  <c r="K197" i="20"/>
  <c r="K198" i="20"/>
  <c r="K199" i="20"/>
  <c r="K200" i="20"/>
  <c r="K201" i="20"/>
  <c r="K202" i="20"/>
  <c r="K203" i="20"/>
  <c r="K204" i="20"/>
  <c r="K205" i="20"/>
  <c r="K206" i="20"/>
  <c r="K207" i="20"/>
  <c r="K208" i="20"/>
  <c r="K209" i="20"/>
  <c r="L209" i="20" s="1"/>
  <c r="K210" i="20"/>
  <c r="K211" i="20"/>
  <c r="K212" i="20"/>
  <c r="K213" i="20"/>
  <c r="K214" i="20"/>
  <c r="K215" i="20"/>
  <c r="K216" i="20"/>
  <c r="K217" i="20"/>
  <c r="L217" i="20" s="1"/>
  <c r="K218" i="20"/>
  <c r="K219" i="20"/>
  <c r="K220" i="20"/>
  <c r="K221" i="20"/>
  <c r="K222" i="20"/>
  <c r="K223" i="20"/>
  <c r="K224" i="20"/>
  <c r="K225" i="20"/>
  <c r="K226" i="20"/>
  <c r="K227" i="20"/>
  <c r="K228" i="20"/>
  <c r="K229" i="20"/>
  <c r="K230" i="20"/>
  <c r="K231" i="20"/>
  <c r="K232" i="20"/>
  <c r="K233" i="20"/>
  <c r="L233" i="20" s="1"/>
  <c r="K234" i="20"/>
  <c r="K235" i="20"/>
  <c r="K236" i="20"/>
  <c r="K237" i="20"/>
  <c r="K238" i="20"/>
  <c r="K239" i="20"/>
  <c r="K240" i="20"/>
  <c r="K241" i="20"/>
  <c r="L241" i="20" s="1"/>
  <c r="K242" i="20"/>
  <c r="K243" i="20"/>
  <c r="K244" i="20"/>
  <c r="K245" i="20"/>
  <c r="K246" i="20"/>
  <c r="K247" i="20"/>
  <c r="K248" i="20"/>
  <c r="K249" i="20"/>
  <c r="L249" i="20" s="1"/>
  <c r="K250" i="20"/>
  <c r="K251" i="20"/>
  <c r="K252" i="20"/>
  <c r="K253" i="20"/>
  <c r="K254" i="20"/>
  <c r="K255" i="20"/>
  <c r="K256" i="20"/>
  <c r="K257" i="20"/>
  <c r="L257" i="20" s="1"/>
  <c r="K258" i="20"/>
  <c r="K259" i="20"/>
  <c r="K260" i="20"/>
  <c r="K261" i="20"/>
  <c r="K262" i="20"/>
  <c r="K263" i="20"/>
  <c r="K264" i="20"/>
  <c r="K265" i="20"/>
  <c r="L265" i="20" s="1"/>
  <c r="K266" i="20"/>
  <c r="K267" i="20"/>
  <c r="K268" i="20"/>
  <c r="K269" i="20"/>
  <c r="K270" i="20"/>
  <c r="K271" i="20"/>
  <c r="K272" i="20"/>
  <c r="K273" i="20"/>
  <c r="L273" i="20" s="1"/>
  <c r="K274" i="20"/>
  <c r="K275" i="20"/>
  <c r="K276" i="20"/>
  <c r="K277" i="20"/>
  <c r="K278" i="20"/>
  <c r="K279" i="20"/>
  <c r="K280" i="20"/>
  <c r="K281" i="20"/>
  <c r="L281" i="20" s="1"/>
  <c r="K282" i="20"/>
  <c r="K283" i="20"/>
  <c r="K284" i="20"/>
  <c r="K285" i="20"/>
  <c r="K286" i="20"/>
  <c r="K287" i="20"/>
  <c r="K288" i="20"/>
  <c r="K289" i="20"/>
  <c r="L289" i="20" s="1"/>
  <c r="K290" i="20"/>
  <c r="K291" i="20"/>
  <c r="K292" i="20"/>
  <c r="K293" i="20"/>
  <c r="K294" i="20"/>
  <c r="K295" i="20"/>
  <c r="K296" i="20"/>
  <c r="K297" i="20"/>
  <c r="K298" i="20"/>
  <c r="K299" i="20"/>
  <c r="K300" i="20"/>
  <c r="K301" i="20"/>
  <c r="K302" i="20"/>
  <c r="K303" i="20"/>
  <c r="K304" i="20"/>
  <c r="K305" i="20"/>
  <c r="L305" i="20" s="1"/>
  <c r="K306" i="20"/>
  <c r="K307" i="20"/>
  <c r="K308" i="20"/>
  <c r="K309" i="20"/>
  <c r="K310" i="20"/>
  <c r="K311" i="20"/>
  <c r="K312" i="20"/>
  <c r="K313" i="20"/>
  <c r="L313" i="20" s="1"/>
  <c r="K314" i="20"/>
  <c r="K315" i="20"/>
  <c r="K316" i="20"/>
  <c r="K317" i="20"/>
  <c r="K318" i="20"/>
  <c r="K319" i="20"/>
  <c r="K320" i="20"/>
  <c r="K321" i="20"/>
  <c r="L321" i="20" s="1"/>
  <c r="K322" i="20"/>
  <c r="K323" i="20"/>
  <c r="K324" i="20"/>
  <c r="K325" i="20"/>
  <c r="K326" i="20"/>
  <c r="K327" i="20"/>
  <c r="K328" i="20"/>
  <c r="K329" i="20"/>
  <c r="L329" i="20" s="1"/>
  <c r="K330" i="20"/>
  <c r="K331" i="20"/>
  <c r="K332" i="20"/>
  <c r="K333" i="20"/>
  <c r="K334" i="20"/>
  <c r="K335" i="20"/>
  <c r="K336" i="20"/>
  <c r="K337" i="20"/>
  <c r="L337" i="20" s="1"/>
  <c r="K338" i="20"/>
  <c r="K339" i="20"/>
  <c r="K340" i="20"/>
  <c r="K341" i="20"/>
  <c r="K342" i="20"/>
  <c r="K343" i="20"/>
  <c r="K344" i="20"/>
  <c r="K345" i="20"/>
  <c r="L345" i="20" s="1"/>
  <c r="K346" i="20"/>
  <c r="K347" i="20"/>
  <c r="K348" i="20"/>
  <c r="K349" i="20"/>
  <c r="K350" i="20"/>
  <c r="K351" i="20"/>
  <c r="K352" i="20"/>
  <c r="K353" i="20"/>
  <c r="L353" i="20" s="1"/>
  <c r="K354" i="20"/>
  <c r="K355" i="20"/>
  <c r="K356" i="20"/>
  <c r="K357" i="20"/>
  <c r="K358" i="20"/>
  <c r="K359" i="20"/>
  <c r="K360" i="20"/>
  <c r="K361" i="20"/>
  <c r="L361" i="20" s="1"/>
  <c r="S361" i="20" s="1"/>
  <c r="K362" i="20"/>
  <c r="K363" i="20"/>
  <c r="K364" i="20"/>
  <c r="K365" i="20"/>
  <c r="K366" i="20"/>
  <c r="L366" i="20" s="1"/>
  <c r="K367" i="20"/>
  <c r="K368" i="20"/>
  <c r="K369" i="20"/>
  <c r="L369" i="20" s="1"/>
  <c r="S369" i="20" s="1"/>
  <c r="K370" i="20"/>
  <c r="K371" i="20"/>
  <c r="K372" i="20"/>
  <c r="K373" i="20"/>
  <c r="K374" i="20"/>
  <c r="K375" i="20"/>
  <c r="K376" i="20"/>
  <c r="K377" i="20"/>
  <c r="L377" i="20" s="1"/>
  <c r="K378" i="20"/>
  <c r="L378" i="20" s="1"/>
  <c r="K379" i="20"/>
  <c r="K380" i="20"/>
  <c r="K381" i="20"/>
  <c r="K382" i="20"/>
  <c r="L382" i="20" s="1"/>
  <c r="K383" i="20"/>
  <c r="K384" i="20"/>
  <c r="K385" i="20"/>
  <c r="L385" i="20" s="1"/>
  <c r="K386" i="20"/>
  <c r="K387" i="20"/>
  <c r="K388" i="20"/>
  <c r="K389" i="20"/>
  <c r="K390" i="20"/>
  <c r="L390" i="20" s="1"/>
  <c r="K391" i="20"/>
  <c r="K392" i="20"/>
  <c r="K393" i="20"/>
  <c r="L393" i="20" s="1"/>
  <c r="S393" i="20" s="1"/>
  <c r="K394" i="20"/>
  <c r="L394" i="20" s="1"/>
  <c r="K395" i="20"/>
  <c r="L395" i="20" s="1"/>
  <c r="K396" i="20"/>
  <c r="K397" i="20"/>
  <c r="K398" i="20"/>
  <c r="L398" i="20" s="1"/>
  <c r="K399" i="20"/>
  <c r="K400" i="20"/>
  <c r="K401" i="20"/>
  <c r="L401" i="20" s="1"/>
  <c r="K402" i="20"/>
  <c r="L402" i="20" s="1"/>
  <c r="K403" i="20"/>
  <c r="L403" i="20" s="1"/>
  <c r="K404" i="20"/>
  <c r="K2" i="20"/>
  <c r="E3" i="20"/>
  <c r="E4" i="20"/>
  <c r="E5" i="20"/>
  <c r="E6" i="20"/>
  <c r="E7" i="20"/>
  <c r="E8" i="20"/>
  <c r="E9" i="20"/>
  <c r="F9" i="20" s="1"/>
  <c r="E10" i="20"/>
  <c r="E11" i="20"/>
  <c r="E12" i="20"/>
  <c r="E13" i="20"/>
  <c r="E14" i="20"/>
  <c r="E15" i="20"/>
  <c r="E16" i="20"/>
  <c r="E17" i="20"/>
  <c r="F17" i="20" s="1"/>
  <c r="E18" i="20"/>
  <c r="E19" i="20"/>
  <c r="E20" i="20"/>
  <c r="E21" i="20"/>
  <c r="E22" i="20"/>
  <c r="E23" i="20"/>
  <c r="E24" i="20"/>
  <c r="E25" i="20"/>
  <c r="F25" i="20" s="1"/>
  <c r="E26" i="20"/>
  <c r="E27" i="20"/>
  <c r="E28" i="20"/>
  <c r="E29" i="20"/>
  <c r="E30" i="20"/>
  <c r="E31" i="20"/>
  <c r="E32" i="20"/>
  <c r="E33" i="20"/>
  <c r="F33" i="20" s="1"/>
  <c r="E34" i="20"/>
  <c r="E35" i="20"/>
  <c r="E36" i="20"/>
  <c r="E37" i="20"/>
  <c r="E38" i="20"/>
  <c r="E39" i="20"/>
  <c r="E40" i="20"/>
  <c r="E41" i="20"/>
  <c r="F41" i="20" s="1"/>
  <c r="E42" i="20"/>
  <c r="E43" i="20"/>
  <c r="E44" i="20"/>
  <c r="E45" i="20"/>
  <c r="E46" i="20"/>
  <c r="E47" i="20"/>
  <c r="E48" i="20"/>
  <c r="E49" i="20"/>
  <c r="F49" i="20" s="1"/>
  <c r="E50" i="20"/>
  <c r="E51" i="20"/>
  <c r="E52" i="20"/>
  <c r="E53" i="20"/>
  <c r="E54" i="20"/>
  <c r="E55" i="20"/>
  <c r="E56" i="20"/>
  <c r="E57" i="20"/>
  <c r="F57" i="20" s="1"/>
  <c r="E58" i="20"/>
  <c r="E59" i="20"/>
  <c r="E60" i="20"/>
  <c r="E61" i="20"/>
  <c r="E62" i="20"/>
  <c r="E63" i="20"/>
  <c r="E64" i="20"/>
  <c r="E65" i="20"/>
  <c r="F65" i="20" s="1"/>
  <c r="E66" i="20"/>
  <c r="E67" i="20"/>
  <c r="E68" i="20"/>
  <c r="E69" i="20"/>
  <c r="E70" i="20"/>
  <c r="E71" i="20"/>
  <c r="E72" i="20"/>
  <c r="E73" i="20"/>
  <c r="F73" i="20" s="1"/>
  <c r="E74" i="20"/>
  <c r="E75" i="20"/>
  <c r="E76" i="20"/>
  <c r="E77" i="20"/>
  <c r="E78" i="20"/>
  <c r="E79" i="20"/>
  <c r="E80" i="20"/>
  <c r="E81" i="20"/>
  <c r="F81" i="20" s="1"/>
  <c r="E82" i="20"/>
  <c r="E83" i="20"/>
  <c r="E84" i="20"/>
  <c r="E85" i="20"/>
  <c r="E86" i="20"/>
  <c r="E87" i="20"/>
  <c r="E88" i="20"/>
  <c r="E89" i="20"/>
  <c r="F89" i="20" s="1"/>
  <c r="E90" i="20"/>
  <c r="E91" i="20"/>
  <c r="E92" i="20"/>
  <c r="E93" i="20"/>
  <c r="E94" i="20"/>
  <c r="E95" i="20"/>
  <c r="E96" i="20"/>
  <c r="E97" i="20"/>
  <c r="F97" i="20" s="1"/>
  <c r="E98" i="20"/>
  <c r="E99" i="20"/>
  <c r="E100" i="20"/>
  <c r="E101" i="20"/>
  <c r="E102" i="20"/>
  <c r="E103" i="20"/>
  <c r="E104" i="20"/>
  <c r="E105" i="20"/>
  <c r="F105" i="20" s="1"/>
  <c r="E106" i="20"/>
  <c r="E107" i="20"/>
  <c r="E108" i="20"/>
  <c r="E109" i="20"/>
  <c r="E110" i="20"/>
  <c r="E111" i="20"/>
  <c r="E112" i="20"/>
  <c r="E113" i="20"/>
  <c r="F113" i="20" s="1"/>
  <c r="E114" i="20"/>
  <c r="E115" i="20"/>
  <c r="E116" i="20"/>
  <c r="E117" i="20"/>
  <c r="E118" i="20"/>
  <c r="E119" i="20"/>
  <c r="E120" i="20"/>
  <c r="E121" i="20"/>
  <c r="F121" i="20" s="1"/>
  <c r="E122" i="20"/>
  <c r="E123" i="20"/>
  <c r="E124" i="20"/>
  <c r="E125" i="20"/>
  <c r="E126" i="20"/>
  <c r="E127" i="20"/>
  <c r="E128" i="20"/>
  <c r="E129" i="20"/>
  <c r="F129" i="20" s="1"/>
  <c r="E130" i="20"/>
  <c r="E131" i="20"/>
  <c r="E132" i="20"/>
  <c r="E133" i="20"/>
  <c r="E134" i="20"/>
  <c r="E135" i="20"/>
  <c r="E136" i="20"/>
  <c r="E137" i="20"/>
  <c r="F137" i="20" s="1"/>
  <c r="E138" i="20"/>
  <c r="E139" i="20"/>
  <c r="E140" i="20"/>
  <c r="E141" i="20"/>
  <c r="E142" i="20"/>
  <c r="E143" i="20"/>
  <c r="E144" i="20"/>
  <c r="E145" i="20"/>
  <c r="F145" i="20" s="1"/>
  <c r="E146" i="20"/>
  <c r="E147" i="20"/>
  <c r="E148" i="20"/>
  <c r="E149" i="20"/>
  <c r="E150" i="20"/>
  <c r="E151" i="20"/>
  <c r="E152" i="20"/>
  <c r="E153" i="20"/>
  <c r="F153" i="20" s="1"/>
  <c r="E154" i="20"/>
  <c r="E155" i="20"/>
  <c r="E156" i="20"/>
  <c r="E157" i="20"/>
  <c r="E158" i="20"/>
  <c r="E159" i="20"/>
  <c r="E160" i="20"/>
  <c r="E161" i="20"/>
  <c r="E162" i="20"/>
  <c r="E163" i="20"/>
  <c r="E164" i="20"/>
  <c r="E165" i="20"/>
  <c r="E166" i="20"/>
  <c r="E167" i="20"/>
  <c r="E168" i="20"/>
  <c r="E169" i="20"/>
  <c r="F169" i="20" s="1"/>
  <c r="E170" i="20"/>
  <c r="E171" i="20"/>
  <c r="E172" i="20"/>
  <c r="E173" i="20"/>
  <c r="E174" i="20"/>
  <c r="E175" i="20"/>
  <c r="E176" i="20"/>
  <c r="E177" i="20"/>
  <c r="F177" i="20" s="1"/>
  <c r="E178" i="20"/>
  <c r="E179" i="20"/>
  <c r="E180" i="20"/>
  <c r="E181" i="20"/>
  <c r="E182" i="20"/>
  <c r="E183" i="20"/>
  <c r="E184" i="20"/>
  <c r="E185" i="20"/>
  <c r="F185" i="20" s="1"/>
  <c r="I185" i="20" s="1"/>
  <c r="E186" i="20"/>
  <c r="E187" i="20"/>
  <c r="E188" i="20"/>
  <c r="E189" i="20"/>
  <c r="E190" i="20"/>
  <c r="E191" i="20"/>
  <c r="E192" i="20"/>
  <c r="E193" i="20"/>
  <c r="F193" i="20" s="1"/>
  <c r="E194" i="20"/>
  <c r="E195" i="20"/>
  <c r="E196" i="20"/>
  <c r="E197" i="20"/>
  <c r="E198" i="20"/>
  <c r="E199" i="20"/>
  <c r="E200" i="20"/>
  <c r="E201" i="20"/>
  <c r="F201" i="20" s="1"/>
  <c r="E202" i="20"/>
  <c r="E203" i="20"/>
  <c r="E204" i="20"/>
  <c r="E205" i="20"/>
  <c r="E206" i="20"/>
  <c r="E207" i="20"/>
  <c r="E208" i="20"/>
  <c r="E209" i="20"/>
  <c r="F209" i="20" s="1"/>
  <c r="E210" i="20"/>
  <c r="E211" i="20"/>
  <c r="E212" i="20"/>
  <c r="E213" i="20"/>
  <c r="E214" i="20"/>
  <c r="E215" i="20"/>
  <c r="E216" i="20"/>
  <c r="E217" i="20"/>
  <c r="F217" i="20" s="1"/>
  <c r="E218" i="20"/>
  <c r="E219" i="20"/>
  <c r="E220" i="20"/>
  <c r="E221" i="20"/>
  <c r="E222" i="20"/>
  <c r="E223" i="20"/>
  <c r="E224" i="20"/>
  <c r="E225" i="20"/>
  <c r="F225" i="20" s="1"/>
  <c r="E226" i="20"/>
  <c r="E227" i="20"/>
  <c r="E228" i="20"/>
  <c r="E229" i="20"/>
  <c r="E230" i="20"/>
  <c r="E231" i="20"/>
  <c r="E232" i="20"/>
  <c r="E233" i="20"/>
  <c r="E234" i="20"/>
  <c r="E235" i="20"/>
  <c r="E236" i="20"/>
  <c r="E237" i="20"/>
  <c r="E238" i="20"/>
  <c r="E239" i="20"/>
  <c r="E240" i="20"/>
  <c r="E241" i="20"/>
  <c r="F241" i="20" s="1"/>
  <c r="E242" i="20"/>
  <c r="E243" i="20"/>
  <c r="E244" i="20"/>
  <c r="E245" i="20"/>
  <c r="E246" i="20"/>
  <c r="E247" i="20"/>
  <c r="E248" i="20"/>
  <c r="E249" i="20"/>
  <c r="F249" i="20" s="1"/>
  <c r="E250" i="20"/>
  <c r="E251" i="20"/>
  <c r="E252" i="20"/>
  <c r="E253" i="20"/>
  <c r="E254" i="20"/>
  <c r="E255" i="20"/>
  <c r="E256" i="20"/>
  <c r="E257" i="20"/>
  <c r="F257" i="20" s="1"/>
  <c r="E258" i="20"/>
  <c r="E259" i="20"/>
  <c r="E260" i="20"/>
  <c r="E261" i="20"/>
  <c r="E262" i="20"/>
  <c r="E263" i="20"/>
  <c r="E264" i="20"/>
  <c r="E265" i="20"/>
  <c r="F265" i="20" s="1"/>
  <c r="E266" i="20"/>
  <c r="E267" i="20"/>
  <c r="E268" i="20"/>
  <c r="E269" i="20"/>
  <c r="E270" i="20"/>
  <c r="E271" i="20"/>
  <c r="E272" i="20"/>
  <c r="E273" i="20"/>
  <c r="F273" i="20" s="1"/>
  <c r="E274" i="20"/>
  <c r="E275" i="20"/>
  <c r="E276" i="20"/>
  <c r="E277" i="20"/>
  <c r="E278" i="20"/>
  <c r="E279" i="20"/>
  <c r="E280" i="20"/>
  <c r="E281" i="20"/>
  <c r="F281" i="20" s="1"/>
  <c r="E282" i="20"/>
  <c r="E283" i="20"/>
  <c r="E284" i="20"/>
  <c r="E285" i="20"/>
  <c r="E286" i="20"/>
  <c r="E287" i="20"/>
  <c r="E288" i="20"/>
  <c r="E289" i="20"/>
  <c r="F289" i="20" s="1"/>
  <c r="E290" i="20"/>
  <c r="E291" i="20"/>
  <c r="E292" i="20"/>
  <c r="E293" i="20"/>
  <c r="E294" i="20"/>
  <c r="E295" i="20"/>
  <c r="E296" i="20"/>
  <c r="E297" i="20"/>
  <c r="E298" i="20"/>
  <c r="E299" i="20"/>
  <c r="E300" i="20"/>
  <c r="E301" i="20"/>
  <c r="E302" i="20"/>
  <c r="E303" i="20"/>
  <c r="E304" i="20"/>
  <c r="E305" i="20"/>
  <c r="F305" i="20" s="1"/>
  <c r="E306" i="20"/>
  <c r="E307" i="20"/>
  <c r="E308" i="20"/>
  <c r="E309" i="20"/>
  <c r="E310" i="20"/>
  <c r="E311" i="20"/>
  <c r="E312" i="20"/>
  <c r="E313" i="20"/>
  <c r="F313" i="20" s="1"/>
  <c r="E314" i="20"/>
  <c r="E315" i="20"/>
  <c r="E316" i="20"/>
  <c r="E317" i="20"/>
  <c r="E318" i="20"/>
  <c r="E319" i="20"/>
  <c r="E320" i="20"/>
  <c r="E321" i="20"/>
  <c r="F321" i="20" s="1"/>
  <c r="E322" i="20"/>
  <c r="E323" i="20"/>
  <c r="E324" i="20"/>
  <c r="E325" i="20"/>
  <c r="E326" i="20"/>
  <c r="E327" i="20"/>
  <c r="E328" i="20"/>
  <c r="E329" i="20"/>
  <c r="F329" i="20" s="1"/>
  <c r="I329" i="20" s="1"/>
  <c r="E330" i="20"/>
  <c r="E331" i="20"/>
  <c r="E332" i="20"/>
  <c r="E333" i="20"/>
  <c r="E334" i="20"/>
  <c r="E335" i="20"/>
  <c r="E336" i="20"/>
  <c r="E337" i="20"/>
  <c r="F337" i="20" s="1"/>
  <c r="E338" i="20"/>
  <c r="E339" i="20"/>
  <c r="E340" i="20"/>
  <c r="E341" i="20"/>
  <c r="E342" i="20"/>
  <c r="E343" i="20"/>
  <c r="E344" i="20"/>
  <c r="E345" i="20"/>
  <c r="F345" i="20" s="1"/>
  <c r="E346" i="20"/>
  <c r="E347" i="20"/>
  <c r="E348" i="20"/>
  <c r="E349" i="20"/>
  <c r="E350" i="20"/>
  <c r="E351" i="20"/>
  <c r="E352" i="20"/>
  <c r="E353" i="20"/>
  <c r="F353" i="20" s="1"/>
  <c r="E354" i="20"/>
  <c r="E355" i="20"/>
  <c r="E356" i="20"/>
  <c r="E357" i="20"/>
  <c r="E358" i="20"/>
  <c r="E359" i="20"/>
  <c r="F359" i="20" s="1"/>
  <c r="E360" i="20"/>
  <c r="F360" i="20" s="1"/>
  <c r="E361" i="20"/>
  <c r="F361" i="20" s="1"/>
  <c r="E362" i="20"/>
  <c r="E363" i="20"/>
  <c r="E364" i="20"/>
  <c r="E365" i="20"/>
  <c r="E366" i="20"/>
  <c r="E367" i="20"/>
  <c r="F367" i="20" s="1"/>
  <c r="E368" i="20"/>
  <c r="F368" i="20" s="1"/>
  <c r="E369" i="20"/>
  <c r="F369" i="20" s="1"/>
  <c r="E370" i="20"/>
  <c r="E371" i="20"/>
  <c r="E372" i="20"/>
  <c r="E373" i="20"/>
  <c r="E374" i="20"/>
  <c r="E375" i="20"/>
  <c r="F375" i="20" s="1"/>
  <c r="E376" i="20"/>
  <c r="E377" i="20"/>
  <c r="F377" i="20" s="1"/>
  <c r="E378" i="20"/>
  <c r="E379" i="20"/>
  <c r="E380" i="20"/>
  <c r="E381" i="20"/>
  <c r="E382" i="20"/>
  <c r="E383" i="20"/>
  <c r="F383" i="20" s="1"/>
  <c r="E384" i="20"/>
  <c r="F384" i="20" s="1"/>
  <c r="E385" i="20"/>
  <c r="F385" i="20" s="1"/>
  <c r="E386" i="20"/>
  <c r="E387" i="20"/>
  <c r="E388" i="20"/>
  <c r="E389" i="20"/>
  <c r="E390" i="20"/>
  <c r="E391" i="20"/>
  <c r="F391" i="20" s="1"/>
  <c r="E392" i="20"/>
  <c r="F392" i="20" s="1"/>
  <c r="I392" i="20" s="1"/>
  <c r="E393" i="20"/>
  <c r="F393" i="20" s="1"/>
  <c r="I393" i="20" s="1"/>
  <c r="E394" i="20"/>
  <c r="E395" i="20"/>
  <c r="E396" i="20"/>
  <c r="E397" i="20"/>
  <c r="E398" i="20"/>
  <c r="E399" i="20"/>
  <c r="F399" i="20" s="1"/>
  <c r="E400" i="20"/>
  <c r="F400" i="20" s="1"/>
  <c r="E401" i="20"/>
  <c r="F401" i="20" s="1"/>
  <c r="I401" i="20" s="1"/>
  <c r="E402" i="20"/>
  <c r="E403" i="20"/>
  <c r="F403" i="20" s="1"/>
  <c r="E404" i="20"/>
  <c r="E2" i="20"/>
  <c r="A3" i="20"/>
  <c r="A4" i="20"/>
  <c r="A5" i="20"/>
  <c r="A6" i="20"/>
  <c r="A7" i="20"/>
  <c r="A8" i="20"/>
  <c r="A9" i="20"/>
  <c r="A10" i="20"/>
  <c r="A11" i="20"/>
  <c r="A12" i="20"/>
  <c r="A13" i="20"/>
  <c r="A14" i="20"/>
  <c r="A15" i="20"/>
  <c r="A16" i="20"/>
  <c r="A17" i="20"/>
  <c r="A18" i="20"/>
  <c r="B18" i="20" s="1"/>
  <c r="A19" i="20"/>
  <c r="A20" i="20"/>
  <c r="A21" i="20"/>
  <c r="A22" i="20"/>
  <c r="A23" i="20"/>
  <c r="A24" i="20"/>
  <c r="A25" i="20"/>
  <c r="A26" i="20"/>
  <c r="A27" i="20"/>
  <c r="A28" i="20"/>
  <c r="A29" i="20"/>
  <c r="A30" i="20"/>
  <c r="A31" i="20"/>
  <c r="A32" i="20"/>
  <c r="A33" i="20"/>
  <c r="A34" i="20"/>
  <c r="A35" i="20"/>
  <c r="A36" i="20"/>
  <c r="A37" i="20"/>
  <c r="A38" i="20"/>
  <c r="A39" i="20"/>
  <c r="A40" i="20"/>
  <c r="A41" i="20"/>
  <c r="A42" i="20"/>
  <c r="B42" i="20" s="1"/>
  <c r="A43" i="20"/>
  <c r="A44" i="20"/>
  <c r="A45" i="20"/>
  <c r="A46" i="20"/>
  <c r="A47" i="20"/>
  <c r="A48" i="20"/>
  <c r="A49" i="20"/>
  <c r="A50" i="20"/>
  <c r="B50" i="20" s="1"/>
  <c r="A51" i="20"/>
  <c r="A52" i="20"/>
  <c r="A53" i="20"/>
  <c r="A54" i="20"/>
  <c r="A55" i="20"/>
  <c r="A56" i="20"/>
  <c r="A57" i="20"/>
  <c r="A58" i="20"/>
  <c r="B58" i="20" s="1"/>
  <c r="A59" i="20"/>
  <c r="A60" i="20"/>
  <c r="A61" i="20"/>
  <c r="A62" i="20"/>
  <c r="A63" i="20"/>
  <c r="A64" i="20"/>
  <c r="A65" i="20"/>
  <c r="A66" i="20"/>
  <c r="B66" i="20" s="1"/>
  <c r="A67" i="20"/>
  <c r="A68" i="20"/>
  <c r="A69" i="20"/>
  <c r="A70" i="20"/>
  <c r="A71" i="20"/>
  <c r="A72" i="20"/>
  <c r="A73" i="20"/>
  <c r="A74" i="20"/>
  <c r="B74" i="20" s="1"/>
  <c r="A75" i="20"/>
  <c r="A76" i="20"/>
  <c r="A77" i="20"/>
  <c r="A78" i="20"/>
  <c r="A79" i="20"/>
  <c r="A80" i="20"/>
  <c r="A81" i="20"/>
  <c r="A82" i="20"/>
  <c r="A83" i="20"/>
  <c r="A84" i="20"/>
  <c r="A85" i="20"/>
  <c r="A86" i="20"/>
  <c r="A87" i="20"/>
  <c r="A88" i="20"/>
  <c r="A89" i="20"/>
  <c r="A90" i="20"/>
  <c r="B90" i="20" s="1"/>
  <c r="A91" i="20"/>
  <c r="A92" i="20"/>
  <c r="A93" i="20"/>
  <c r="A94" i="20"/>
  <c r="A95" i="20"/>
  <c r="A96" i="20"/>
  <c r="A97" i="20"/>
  <c r="A98" i="20"/>
  <c r="B98" i="20" s="1"/>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B146" i="20" s="1"/>
  <c r="A147" i="20"/>
  <c r="A148" i="20"/>
  <c r="A149" i="20"/>
  <c r="A150" i="20"/>
  <c r="A151" i="20"/>
  <c r="A152" i="20"/>
  <c r="A153" i="20"/>
  <c r="A154" i="20"/>
  <c r="B154" i="20" s="1"/>
  <c r="A155" i="20"/>
  <c r="A156" i="20"/>
  <c r="A157" i="20"/>
  <c r="A158" i="20"/>
  <c r="A159" i="20"/>
  <c r="A160" i="20"/>
  <c r="A161" i="20"/>
  <c r="A162" i="20"/>
  <c r="B162" i="20" s="1"/>
  <c r="A163" i="20"/>
  <c r="A164" i="20"/>
  <c r="A165" i="20"/>
  <c r="A166" i="20"/>
  <c r="A167" i="20"/>
  <c r="A168" i="20"/>
  <c r="A169" i="20"/>
  <c r="A170" i="20"/>
  <c r="A171" i="20"/>
  <c r="A172" i="20"/>
  <c r="A173" i="20"/>
  <c r="A174" i="20"/>
  <c r="A175" i="20"/>
  <c r="A176" i="20"/>
  <c r="A177" i="20"/>
  <c r="A178" i="20"/>
  <c r="B178" i="20" s="1"/>
  <c r="A179" i="20"/>
  <c r="A180" i="20"/>
  <c r="A181" i="20"/>
  <c r="A182" i="20"/>
  <c r="A183" i="20"/>
  <c r="A184" i="20"/>
  <c r="A185" i="20"/>
  <c r="A186" i="20"/>
  <c r="B186" i="20" s="1"/>
  <c r="A187" i="20"/>
  <c r="A188" i="20"/>
  <c r="A189" i="20"/>
  <c r="A190" i="20"/>
  <c r="A191" i="20"/>
  <c r="A192" i="20"/>
  <c r="A193" i="20"/>
  <c r="A194" i="20"/>
  <c r="B194" i="20" s="1"/>
  <c r="A195" i="20"/>
  <c r="A196" i="20"/>
  <c r="A197" i="20"/>
  <c r="A198" i="20"/>
  <c r="A199" i="20"/>
  <c r="A200" i="20"/>
  <c r="A201" i="20"/>
  <c r="A202" i="20"/>
  <c r="B202" i="20" s="1"/>
  <c r="A203" i="20"/>
  <c r="A204" i="20"/>
  <c r="A205" i="20"/>
  <c r="A206" i="20"/>
  <c r="A207" i="20"/>
  <c r="A208" i="20"/>
  <c r="A209" i="20"/>
  <c r="A210" i="20"/>
  <c r="B210" i="20" s="1"/>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B234" i="20" s="1"/>
  <c r="A235" i="20"/>
  <c r="A236" i="20"/>
  <c r="A237" i="20"/>
  <c r="A238" i="20"/>
  <c r="A239" i="20"/>
  <c r="A240" i="20"/>
  <c r="A241" i="20"/>
  <c r="A242" i="20"/>
  <c r="B242" i="20" s="1"/>
  <c r="A243" i="20"/>
  <c r="A244" i="20"/>
  <c r="A245" i="20"/>
  <c r="A246" i="20"/>
  <c r="A247" i="20"/>
  <c r="A248" i="20"/>
  <c r="A249" i="20"/>
  <c r="A250" i="20"/>
  <c r="B250" i="20" s="1"/>
  <c r="A251" i="20"/>
  <c r="A252" i="20"/>
  <c r="A253" i="20"/>
  <c r="A254" i="20"/>
  <c r="A255" i="20"/>
  <c r="A256" i="20"/>
  <c r="A257" i="20"/>
  <c r="A258" i="20"/>
  <c r="B258" i="20" s="1"/>
  <c r="A259" i="20"/>
  <c r="A260" i="20"/>
  <c r="A261" i="20"/>
  <c r="A262" i="20"/>
  <c r="A263" i="20"/>
  <c r="A264" i="20"/>
  <c r="A265" i="20"/>
  <c r="A266" i="20"/>
  <c r="B266" i="20" s="1"/>
  <c r="A267" i="20"/>
  <c r="A268" i="20"/>
  <c r="A269" i="20"/>
  <c r="A270" i="20"/>
  <c r="A271" i="20"/>
  <c r="A272" i="20"/>
  <c r="A273" i="20"/>
  <c r="A274" i="20"/>
  <c r="A275" i="20"/>
  <c r="A276" i="20"/>
  <c r="A277" i="20"/>
  <c r="A278" i="20"/>
  <c r="A279" i="20"/>
  <c r="A280" i="20"/>
  <c r="A281" i="20"/>
  <c r="A282" i="20"/>
  <c r="A283" i="20"/>
  <c r="A284" i="20"/>
  <c r="A285" i="20"/>
  <c r="A286" i="20"/>
  <c r="A287" i="20"/>
  <c r="A288" i="20"/>
  <c r="A289" i="20"/>
  <c r="A290" i="20"/>
  <c r="B290" i="20" s="1"/>
  <c r="A291" i="20"/>
  <c r="B291" i="20" s="1"/>
  <c r="A292" i="20"/>
  <c r="A293" i="20"/>
  <c r="A294" i="20"/>
  <c r="A295" i="20"/>
  <c r="A296" i="20"/>
  <c r="A297" i="20"/>
  <c r="A298" i="20"/>
  <c r="B298" i="20" s="1"/>
  <c r="A299" i="20"/>
  <c r="B299" i="20" s="1"/>
  <c r="A300" i="20"/>
  <c r="A301" i="20"/>
  <c r="A302" i="20"/>
  <c r="A303" i="20"/>
  <c r="A304" i="20"/>
  <c r="A305" i="20"/>
  <c r="A306" i="20"/>
  <c r="B306" i="20" s="1"/>
  <c r="A307" i="20"/>
  <c r="B307" i="20" s="1"/>
  <c r="A308" i="20"/>
  <c r="A309" i="20"/>
  <c r="A310" i="20"/>
  <c r="A311" i="20"/>
  <c r="A312" i="20"/>
  <c r="A313" i="20"/>
  <c r="A314" i="20"/>
  <c r="B314" i="20" s="1"/>
  <c r="A315" i="20"/>
  <c r="B315" i="20" s="1"/>
  <c r="A316" i="20"/>
  <c r="A317" i="20"/>
  <c r="A318" i="20"/>
  <c r="A319" i="20"/>
  <c r="A320" i="20"/>
  <c r="A321" i="20"/>
  <c r="A322" i="20"/>
  <c r="B322" i="20" s="1"/>
  <c r="A323" i="20"/>
  <c r="B323" i="20" s="1"/>
  <c r="A324" i="20"/>
  <c r="A325" i="20"/>
  <c r="A326" i="20"/>
  <c r="A327" i="20"/>
  <c r="A328" i="20"/>
  <c r="A329" i="20"/>
  <c r="A330" i="20"/>
  <c r="B330" i="20" s="1"/>
  <c r="A331" i="20"/>
  <c r="B331" i="20" s="1"/>
  <c r="A332" i="20"/>
  <c r="A333" i="20"/>
  <c r="A334" i="20"/>
  <c r="A335" i="20"/>
  <c r="A336" i="20"/>
  <c r="A337" i="20"/>
  <c r="A338" i="20"/>
  <c r="B338" i="20" s="1"/>
  <c r="A339" i="20"/>
  <c r="A340" i="20"/>
  <c r="A341" i="20"/>
  <c r="B341" i="20" s="1"/>
  <c r="A342" i="20"/>
  <c r="A343" i="20"/>
  <c r="A344" i="20"/>
  <c r="A345" i="20"/>
  <c r="A346" i="20"/>
  <c r="B346" i="20" s="1"/>
  <c r="A347" i="20"/>
  <c r="A348" i="20"/>
  <c r="A349" i="20"/>
  <c r="B349" i="20" s="1"/>
  <c r="A350" i="20"/>
  <c r="A351" i="20"/>
  <c r="A352" i="20"/>
  <c r="A353" i="20"/>
  <c r="A354" i="20"/>
  <c r="A355" i="20"/>
  <c r="B355" i="20" s="1"/>
  <c r="A356" i="20"/>
  <c r="A357" i="20"/>
  <c r="A358" i="20"/>
  <c r="A359" i="20"/>
  <c r="A360" i="20"/>
  <c r="A361" i="20"/>
  <c r="A362" i="20"/>
  <c r="B362" i="20" s="1"/>
  <c r="A363" i="20"/>
  <c r="B363" i="20" s="1"/>
  <c r="A364" i="20"/>
  <c r="A365" i="20"/>
  <c r="B365" i="20" s="1"/>
  <c r="A366" i="20"/>
  <c r="A367" i="20"/>
  <c r="A368" i="20"/>
  <c r="A369" i="20"/>
  <c r="A370" i="20"/>
  <c r="B370" i="20" s="1"/>
  <c r="I370" i="20" s="1"/>
  <c r="A371" i="20"/>
  <c r="A372" i="20"/>
  <c r="A373" i="20"/>
  <c r="B373" i="20" s="1"/>
  <c r="A374" i="20"/>
  <c r="A375" i="20"/>
  <c r="A376" i="20"/>
  <c r="A377" i="20"/>
  <c r="A378" i="20"/>
  <c r="B378" i="20" s="1"/>
  <c r="I378" i="20" s="1"/>
  <c r="A379" i="20"/>
  <c r="B379" i="20" s="1"/>
  <c r="A380" i="20"/>
  <c r="A381" i="20"/>
  <c r="B381" i="20" s="1"/>
  <c r="A382" i="20"/>
  <c r="A383" i="20"/>
  <c r="A384" i="20"/>
  <c r="A385" i="20"/>
  <c r="A386" i="20"/>
  <c r="B386" i="20" s="1"/>
  <c r="A387" i="20"/>
  <c r="B387" i="20" s="1"/>
  <c r="A388" i="20"/>
  <c r="A389" i="20"/>
  <c r="B389" i="20" s="1"/>
  <c r="A390" i="20"/>
  <c r="A391" i="20"/>
  <c r="A392" i="20"/>
  <c r="A393" i="20"/>
  <c r="A394" i="20"/>
  <c r="B394" i="20" s="1"/>
  <c r="A395" i="20"/>
  <c r="B395" i="20" s="1"/>
  <c r="A396" i="20"/>
  <c r="A397" i="20"/>
  <c r="B397" i="20" s="1"/>
  <c r="I397" i="20" s="1"/>
  <c r="A398" i="20"/>
  <c r="A399" i="20"/>
  <c r="A400" i="20"/>
  <c r="A401" i="20"/>
  <c r="A402" i="20"/>
  <c r="B402" i="20" s="1"/>
  <c r="I402" i="20" s="1"/>
  <c r="A403" i="20"/>
  <c r="A404" i="20"/>
  <c r="A2" i="20"/>
  <c r="AR404" i="20"/>
  <c r="AQ404" i="20"/>
  <c r="AS404" i="20" s="1"/>
  <c r="AP404" i="20"/>
  <c r="AI404" i="20"/>
  <c r="AJ404" i="20" s="1"/>
  <c r="AH404" i="20"/>
  <c r="AE404" i="20"/>
  <c r="AF404" i="20" s="1"/>
  <c r="AD404" i="20"/>
  <c r="AB404" i="20"/>
  <c r="AA404" i="20"/>
  <c r="Z404" i="20"/>
  <c r="X404" i="20"/>
  <c r="W404" i="20"/>
  <c r="V404" i="20"/>
  <c r="Q404" i="20"/>
  <c r="R404" i="20" s="1"/>
  <c r="P404" i="20"/>
  <c r="M404" i="20"/>
  <c r="N404" i="20" s="1"/>
  <c r="L404" i="20"/>
  <c r="S404" i="20" s="1"/>
  <c r="H404" i="20"/>
  <c r="G404" i="20"/>
  <c r="F404" i="20"/>
  <c r="D404" i="20"/>
  <c r="J404" i="20" s="1"/>
  <c r="C404" i="20"/>
  <c r="B404" i="20"/>
  <c r="AQ403" i="20"/>
  <c r="AR403" i="20" s="1"/>
  <c r="AI403" i="20"/>
  <c r="AJ403" i="20" s="1"/>
  <c r="AE403" i="20"/>
  <c r="AF403" i="20" s="1"/>
  <c r="AD403" i="20"/>
  <c r="AB403" i="20"/>
  <c r="AA403" i="20"/>
  <c r="Z403" i="20"/>
  <c r="W403" i="20"/>
  <c r="X403" i="20" s="1"/>
  <c r="Q403" i="20"/>
  <c r="R403" i="20" s="1"/>
  <c r="M403" i="20"/>
  <c r="N403" i="20" s="1"/>
  <c r="T403" i="20" s="1"/>
  <c r="G403" i="20"/>
  <c r="H403" i="20" s="1"/>
  <c r="C403" i="20"/>
  <c r="D403" i="20" s="1"/>
  <c r="J403" i="20" s="1"/>
  <c r="B403" i="20"/>
  <c r="AQ402" i="20"/>
  <c r="AP402" i="20"/>
  <c r="AJ402" i="20"/>
  <c r="AI402" i="20"/>
  <c r="AE402" i="20"/>
  <c r="AF402" i="20" s="1"/>
  <c r="AD402" i="20"/>
  <c r="AA402" i="20"/>
  <c r="AB402" i="20" s="1"/>
  <c r="W402" i="20"/>
  <c r="X402" i="20" s="1"/>
  <c r="V402" i="20"/>
  <c r="Q402" i="20"/>
  <c r="R402" i="20" s="1"/>
  <c r="T402" i="20" s="1"/>
  <c r="N402" i="20"/>
  <c r="M402" i="20"/>
  <c r="G402" i="20"/>
  <c r="H402" i="20" s="1"/>
  <c r="F402" i="20"/>
  <c r="C402" i="20"/>
  <c r="D402" i="20" s="1"/>
  <c r="AQ401" i="20"/>
  <c r="AR401" i="20" s="1"/>
  <c r="AJ401" i="20"/>
  <c r="AI401" i="20"/>
  <c r="AH401" i="20"/>
  <c r="AE401" i="20"/>
  <c r="AF401" i="20" s="1"/>
  <c r="AA401" i="20"/>
  <c r="AB401" i="20" s="1"/>
  <c r="W401" i="20"/>
  <c r="X401" i="20" s="1"/>
  <c r="V401" i="20"/>
  <c r="Q401" i="20"/>
  <c r="R401" i="20" s="1"/>
  <c r="P401" i="20"/>
  <c r="M401" i="20"/>
  <c r="N401" i="20" s="1"/>
  <c r="G401" i="20"/>
  <c r="H401" i="20" s="1"/>
  <c r="D401" i="20"/>
  <c r="J401" i="20" s="1"/>
  <c r="C401" i="20"/>
  <c r="B401" i="20"/>
  <c r="AR400" i="20"/>
  <c r="AQ400" i="20"/>
  <c r="AS400" i="20" s="1"/>
  <c r="AP400" i="20"/>
  <c r="AI400" i="20"/>
  <c r="AJ400" i="20" s="1"/>
  <c r="AE400" i="20"/>
  <c r="AF400" i="20" s="1"/>
  <c r="AL400" i="20" s="1"/>
  <c r="AD400" i="20"/>
  <c r="AB400" i="20"/>
  <c r="AA400" i="20"/>
  <c r="X400" i="20"/>
  <c r="W400" i="20"/>
  <c r="V400" i="20"/>
  <c r="Q400" i="20"/>
  <c r="R400" i="20" s="1"/>
  <c r="P400" i="20"/>
  <c r="N400" i="20"/>
  <c r="T400" i="20" s="1"/>
  <c r="M400" i="20"/>
  <c r="L400" i="20"/>
  <c r="H400" i="20"/>
  <c r="G400" i="20"/>
  <c r="D400" i="20"/>
  <c r="C400" i="20"/>
  <c r="B400" i="20"/>
  <c r="AQ399" i="20"/>
  <c r="AP399" i="20"/>
  <c r="AI399" i="20"/>
  <c r="AJ399" i="20" s="1"/>
  <c r="AH399" i="20"/>
  <c r="AE399" i="20"/>
  <c r="AF399" i="20" s="1"/>
  <c r="AD399" i="20"/>
  <c r="AA399" i="20"/>
  <c r="AB399" i="20" s="1"/>
  <c r="Z399" i="20"/>
  <c r="W399" i="20"/>
  <c r="X399" i="20" s="1"/>
  <c r="V399" i="20"/>
  <c r="Q399" i="20"/>
  <c r="R399" i="20" s="1"/>
  <c r="P399" i="20"/>
  <c r="M399" i="20"/>
  <c r="N399" i="20" s="1"/>
  <c r="T399" i="20" s="1"/>
  <c r="L399" i="20"/>
  <c r="G399" i="20"/>
  <c r="H399" i="20" s="1"/>
  <c r="C399" i="20"/>
  <c r="D399" i="20" s="1"/>
  <c r="J399" i="20" s="1"/>
  <c r="B399" i="20"/>
  <c r="AQ398" i="20"/>
  <c r="AP398" i="20"/>
  <c r="AI398" i="20"/>
  <c r="AJ398" i="20" s="1"/>
  <c r="AH398" i="20"/>
  <c r="AE398" i="20"/>
  <c r="AF398" i="20" s="1"/>
  <c r="AD398" i="20"/>
  <c r="AA398" i="20"/>
  <c r="AB398" i="20" s="1"/>
  <c r="Z398" i="20"/>
  <c r="W398" i="20"/>
  <c r="X398" i="20" s="1"/>
  <c r="R398" i="20"/>
  <c r="Q398" i="20"/>
  <c r="M398" i="20"/>
  <c r="N398" i="20" s="1"/>
  <c r="T398" i="20" s="1"/>
  <c r="G398" i="20"/>
  <c r="H398" i="20" s="1"/>
  <c r="F398" i="20"/>
  <c r="C398" i="20"/>
  <c r="D398" i="20" s="1"/>
  <c r="B398" i="20"/>
  <c r="I398" i="20" s="1"/>
  <c r="AQ397" i="20"/>
  <c r="AR397" i="20" s="1"/>
  <c r="AP397" i="20"/>
  <c r="AI397" i="20"/>
  <c r="AJ397" i="20" s="1"/>
  <c r="AH397" i="20"/>
  <c r="AF397" i="20"/>
  <c r="AE397" i="20"/>
  <c r="AD397" i="20"/>
  <c r="AA397" i="20"/>
  <c r="AB397" i="20" s="1"/>
  <c r="Z397" i="20"/>
  <c r="AK397" i="20" s="1"/>
  <c r="W397" i="20"/>
  <c r="X397" i="20" s="1"/>
  <c r="AL397" i="20" s="1"/>
  <c r="V397" i="20"/>
  <c r="R397" i="20"/>
  <c r="Q397" i="20"/>
  <c r="P397" i="20"/>
  <c r="M397" i="20"/>
  <c r="N397" i="20" s="1"/>
  <c r="L397" i="20"/>
  <c r="S397" i="20" s="1"/>
  <c r="G397" i="20"/>
  <c r="H397" i="20" s="1"/>
  <c r="F397" i="20"/>
  <c r="C397" i="20"/>
  <c r="D397" i="20" s="1"/>
  <c r="AR396" i="20"/>
  <c r="AQ396" i="20"/>
  <c r="AS396" i="20" s="1"/>
  <c r="AP396" i="20"/>
  <c r="AI396" i="20"/>
  <c r="AJ396" i="20" s="1"/>
  <c r="AH396" i="20"/>
  <c r="AF396" i="20"/>
  <c r="AE396" i="20"/>
  <c r="AD396" i="20"/>
  <c r="AB396" i="20"/>
  <c r="AA396" i="20"/>
  <c r="Z396" i="20"/>
  <c r="X396" i="20"/>
  <c r="AL396" i="20" s="1"/>
  <c r="W396" i="20"/>
  <c r="V396" i="20"/>
  <c r="Q396" i="20"/>
  <c r="R396" i="20" s="1"/>
  <c r="P396" i="20"/>
  <c r="M396" i="20"/>
  <c r="N396" i="20" s="1"/>
  <c r="L396" i="20"/>
  <c r="S396" i="20" s="1"/>
  <c r="G396" i="20"/>
  <c r="H396" i="20" s="1"/>
  <c r="J396" i="20" s="1"/>
  <c r="F396" i="20"/>
  <c r="D396" i="20"/>
  <c r="C396" i="20"/>
  <c r="B396" i="20"/>
  <c r="I396" i="20" s="1"/>
  <c r="AQ395" i="20"/>
  <c r="AR395" i="20" s="1"/>
  <c r="AP395" i="20"/>
  <c r="AJ395" i="20"/>
  <c r="AI395" i="20"/>
  <c r="AH395" i="20"/>
  <c r="AE395" i="20"/>
  <c r="AF395" i="20" s="1"/>
  <c r="AD395" i="20"/>
  <c r="AA395" i="20"/>
  <c r="AB395" i="20" s="1"/>
  <c r="Z395" i="20"/>
  <c r="W395" i="20"/>
  <c r="X395" i="20" s="1"/>
  <c r="Q395" i="20"/>
  <c r="R395" i="20" s="1"/>
  <c r="M395" i="20"/>
  <c r="N395" i="20" s="1"/>
  <c r="G395" i="20"/>
  <c r="H395" i="20" s="1"/>
  <c r="F395" i="20"/>
  <c r="C395" i="20"/>
  <c r="D395" i="20" s="1"/>
  <c r="J395" i="20" s="1"/>
  <c r="AQ394" i="20"/>
  <c r="AR394" i="20" s="1"/>
  <c r="AP394" i="20"/>
  <c r="AI394" i="20"/>
  <c r="AJ394" i="20" s="1"/>
  <c r="AE394" i="20"/>
  <c r="AF394" i="20" s="1"/>
  <c r="AD394" i="20"/>
  <c r="AA394" i="20"/>
  <c r="AB394" i="20" s="1"/>
  <c r="W394" i="20"/>
  <c r="X394" i="20" s="1"/>
  <c r="V394" i="20"/>
  <c r="R394" i="20"/>
  <c r="Q394" i="20"/>
  <c r="N394" i="20"/>
  <c r="T394" i="20" s="1"/>
  <c r="M394" i="20"/>
  <c r="G394" i="20"/>
  <c r="H394" i="20" s="1"/>
  <c r="F394" i="20"/>
  <c r="C394" i="20"/>
  <c r="D394" i="20" s="1"/>
  <c r="J394" i="20" s="1"/>
  <c r="AR393" i="20"/>
  <c r="AQ393" i="20"/>
  <c r="AJ393" i="20"/>
  <c r="AI393" i="20"/>
  <c r="AH393" i="20"/>
  <c r="AE393" i="20"/>
  <c r="AF393" i="20" s="1"/>
  <c r="AA393" i="20"/>
  <c r="AB393" i="20" s="1"/>
  <c r="Z393" i="20"/>
  <c r="W393" i="20"/>
  <c r="X393" i="20" s="1"/>
  <c r="Q393" i="20"/>
  <c r="R393" i="20" s="1"/>
  <c r="P393" i="20"/>
  <c r="N393" i="20"/>
  <c r="T393" i="20" s="1"/>
  <c r="M393" i="20"/>
  <c r="G393" i="20"/>
  <c r="H393" i="20" s="1"/>
  <c r="D393" i="20"/>
  <c r="C393" i="20"/>
  <c r="B393" i="20"/>
  <c r="AQ392" i="20"/>
  <c r="AR392" i="20" s="1"/>
  <c r="AP392" i="20"/>
  <c r="AI392" i="20"/>
  <c r="AJ392" i="20" s="1"/>
  <c r="AE392" i="20"/>
  <c r="AF392" i="20" s="1"/>
  <c r="AD392" i="20"/>
  <c r="AA392" i="20"/>
  <c r="AB392" i="20" s="1"/>
  <c r="Z392" i="20"/>
  <c r="W392" i="20"/>
  <c r="X392" i="20" s="1"/>
  <c r="V392" i="20"/>
  <c r="Q392" i="20"/>
  <c r="R392" i="20" s="1"/>
  <c r="P392" i="20"/>
  <c r="M392" i="20"/>
  <c r="N392" i="20" s="1"/>
  <c r="L392" i="20"/>
  <c r="G392" i="20"/>
  <c r="H392" i="20" s="1"/>
  <c r="C392" i="20"/>
  <c r="D392" i="20" s="1"/>
  <c r="B392" i="20"/>
  <c r="AQ391" i="20"/>
  <c r="AP391" i="20"/>
  <c r="AI391" i="20"/>
  <c r="AJ391" i="20" s="1"/>
  <c r="AH391" i="20"/>
  <c r="AF391" i="20"/>
  <c r="AE391" i="20"/>
  <c r="AA391" i="20"/>
  <c r="AB391" i="20" s="1"/>
  <c r="Z391" i="20"/>
  <c r="W391" i="20"/>
  <c r="X391" i="20" s="1"/>
  <c r="V391" i="20"/>
  <c r="Q391" i="20"/>
  <c r="R391" i="20" s="1"/>
  <c r="P391" i="20"/>
  <c r="S391" i="20" s="1"/>
  <c r="M391" i="20"/>
  <c r="N391" i="20" s="1"/>
  <c r="T391" i="20" s="1"/>
  <c r="L391" i="20"/>
  <c r="G391" i="20"/>
  <c r="H391" i="20" s="1"/>
  <c r="C391" i="20"/>
  <c r="D391" i="20" s="1"/>
  <c r="B391" i="20"/>
  <c r="AQ390" i="20"/>
  <c r="AP390" i="20"/>
  <c r="AI390" i="20"/>
  <c r="AJ390" i="20" s="1"/>
  <c r="AH390" i="20"/>
  <c r="AE390" i="20"/>
  <c r="AF390" i="20" s="1"/>
  <c r="AD390" i="20"/>
  <c r="AA390" i="20"/>
  <c r="AB390" i="20" s="1"/>
  <c r="Z390" i="20"/>
  <c r="X390" i="20"/>
  <c r="W390" i="20"/>
  <c r="R390" i="20"/>
  <c r="Q390" i="20"/>
  <c r="M390" i="20"/>
  <c r="N390" i="20" s="1"/>
  <c r="G390" i="20"/>
  <c r="H390" i="20" s="1"/>
  <c r="J390" i="20" s="1"/>
  <c r="F390" i="20"/>
  <c r="C390" i="20"/>
  <c r="D390" i="20" s="1"/>
  <c r="B390" i="20"/>
  <c r="AQ389" i="20"/>
  <c r="AR389" i="20" s="1"/>
  <c r="AI389" i="20"/>
  <c r="AJ389" i="20" s="1"/>
  <c r="AH389" i="20"/>
  <c r="AE389" i="20"/>
  <c r="AF389" i="20" s="1"/>
  <c r="AD389" i="20"/>
  <c r="AA389" i="20"/>
  <c r="AB389" i="20" s="1"/>
  <c r="Z389" i="20"/>
  <c r="W389" i="20"/>
  <c r="X389" i="20" s="1"/>
  <c r="V389" i="20"/>
  <c r="AK389" i="20" s="1"/>
  <c r="R389" i="20"/>
  <c r="Q389" i="20"/>
  <c r="P389" i="20"/>
  <c r="M389" i="20"/>
  <c r="N389" i="20" s="1"/>
  <c r="T389" i="20" s="1"/>
  <c r="L389" i="20"/>
  <c r="S389" i="20" s="1"/>
  <c r="H389" i="20"/>
  <c r="G389" i="20"/>
  <c r="F389" i="20"/>
  <c r="C389" i="20"/>
  <c r="D389" i="20" s="1"/>
  <c r="AQ388" i="20"/>
  <c r="AP388" i="20"/>
  <c r="AJ388" i="20"/>
  <c r="AI388" i="20"/>
  <c r="AE388" i="20"/>
  <c r="AF388" i="20" s="1"/>
  <c r="AD388" i="20"/>
  <c r="AA388" i="20"/>
  <c r="AB388" i="20" s="1"/>
  <c r="Z388" i="20"/>
  <c r="X388" i="20"/>
  <c r="W388" i="20"/>
  <c r="V388" i="20"/>
  <c r="R388" i="20"/>
  <c r="Q388" i="20"/>
  <c r="P388" i="20"/>
  <c r="M388" i="20"/>
  <c r="N388" i="20" s="1"/>
  <c r="T388" i="20" s="1"/>
  <c r="L388" i="20"/>
  <c r="H388" i="20"/>
  <c r="G388" i="20"/>
  <c r="F388" i="20"/>
  <c r="D388" i="20"/>
  <c r="J388" i="20" s="1"/>
  <c r="C388" i="20"/>
  <c r="B388" i="20"/>
  <c r="AR387" i="20"/>
  <c r="AQ387" i="20"/>
  <c r="AJ387" i="20"/>
  <c r="AI387" i="20"/>
  <c r="AE387" i="20"/>
  <c r="AF387" i="20" s="1"/>
  <c r="AB387" i="20"/>
  <c r="AA387" i="20"/>
  <c r="Z387" i="20"/>
  <c r="W387" i="20"/>
  <c r="X387" i="20" s="1"/>
  <c r="Q387" i="20"/>
  <c r="R387" i="20" s="1"/>
  <c r="M387" i="20"/>
  <c r="N387" i="20" s="1"/>
  <c r="L387" i="20"/>
  <c r="G387" i="20"/>
  <c r="H387" i="20" s="1"/>
  <c r="J387" i="20" s="1"/>
  <c r="F387" i="20"/>
  <c r="D387" i="20"/>
  <c r="C387" i="20"/>
  <c r="AR386" i="20"/>
  <c r="AQ386" i="20"/>
  <c r="AP386" i="20"/>
  <c r="AS386" i="20"/>
  <c r="AI386" i="20"/>
  <c r="AJ386" i="20" s="1"/>
  <c r="AE386" i="20"/>
  <c r="AF386" i="20" s="1"/>
  <c r="AD386" i="20"/>
  <c r="AB386" i="20"/>
  <c r="AA386" i="20"/>
  <c r="W386" i="20"/>
  <c r="X386" i="20" s="1"/>
  <c r="V386" i="20"/>
  <c r="R386" i="20"/>
  <c r="Q386" i="20"/>
  <c r="M386" i="20"/>
  <c r="N386" i="20" s="1"/>
  <c r="T386" i="20" s="1"/>
  <c r="L386" i="20"/>
  <c r="J386" i="20"/>
  <c r="G386" i="20"/>
  <c r="H386" i="20" s="1"/>
  <c r="F386" i="20"/>
  <c r="D386" i="20"/>
  <c r="C386" i="20"/>
  <c r="AQ385" i="20"/>
  <c r="AR385" i="20" s="1"/>
  <c r="AI385" i="20"/>
  <c r="AJ385" i="20" s="1"/>
  <c r="AH385" i="20"/>
  <c r="AE385" i="20"/>
  <c r="AF385" i="20" s="1"/>
  <c r="AA385" i="20"/>
  <c r="AB385" i="20" s="1"/>
  <c r="W385" i="20"/>
  <c r="X385" i="20" s="1"/>
  <c r="Q385" i="20"/>
  <c r="R385" i="20" s="1"/>
  <c r="P385" i="20"/>
  <c r="M385" i="20"/>
  <c r="N385" i="20" s="1"/>
  <c r="T385" i="20" s="1"/>
  <c r="G385" i="20"/>
  <c r="H385" i="20" s="1"/>
  <c r="C385" i="20"/>
  <c r="D385" i="20" s="1"/>
  <c r="J385" i="20" s="1"/>
  <c r="B385" i="20"/>
  <c r="AQ384" i="20"/>
  <c r="AS384" i="20" s="1"/>
  <c r="AP384" i="20"/>
  <c r="AI384" i="20"/>
  <c r="AJ384" i="20" s="1"/>
  <c r="AE384" i="20"/>
  <c r="AF384" i="20" s="1"/>
  <c r="AD384" i="20"/>
  <c r="AA384" i="20"/>
  <c r="AB384" i="20" s="1"/>
  <c r="X384" i="20"/>
  <c r="W384" i="20"/>
  <c r="V384" i="20"/>
  <c r="Q384" i="20"/>
  <c r="R384" i="20" s="1"/>
  <c r="P384" i="20"/>
  <c r="N384" i="20"/>
  <c r="T384" i="20" s="1"/>
  <c r="M384" i="20"/>
  <c r="L384" i="20"/>
  <c r="S384" i="20" s="1"/>
  <c r="H384" i="20"/>
  <c r="G384" i="20"/>
  <c r="D384" i="20"/>
  <c r="C384" i="20"/>
  <c r="B384" i="20"/>
  <c r="AQ383" i="20"/>
  <c r="AR383" i="20" s="1"/>
  <c r="AP383" i="20"/>
  <c r="AI383" i="20"/>
  <c r="AJ383" i="20" s="1"/>
  <c r="AF383" i="20"/>
  <c r="AE383" i="20"/>
  <c r="AA383" i="20"/>
  <c r="AB383" i="20" s="1"/>
  <c r="Z383" i="20"/>
  <c r="W383" i="20"/>
  <c r="X383" i="20" s="1"/>
  <c r="V383" i="20"/>
  <c r="Q383" i="20"/>
  <c r="R383" i="20" s="1"/>
  <c r="P383" i="20"/>
  <c r="S383" i="20" s="1"/>
  <c r="M383" i="20"/>
  <c r="N383" i="20" s="1"/>
  <c r="T383" i="20" s="1"/>
  <c r="L383" i="20"/>
  <c r="G383" i="20"/>
  <c r="H383" i="20" s="1"/>
  <c r="C383" i="20"/>
  <c r="D383" i="20" s="1"/>
  <c r="B383" i="20"/>
  <c r="AQ382" i="20"/>
  <c r="AP382" i="20"/>
  <c r="AI382" i="20"/>
  <c r="AJ382" i="20" s="1"/>
  <c r="AH382" i="20"/>
  <c r="AE382" i="20"/>
  <c r="AF382" i="20" s="1"/>
  <c r="AD382" i="20"/>
  <c r="AA382" i="20"/>
  <c r="AB382" i="20" s="1"/>
  <c r="Z382" i="20"/>
  <c r="X382" i="20"/>
  <c r="AL382" i="20" s="1"/>
  <c r="W382" i="20"/>
  <c r="V382" i="20"/>
  <c r="Q382" i="20"/>
  <c r="R382" i="20" s="1"/>
  <c r="N382" i="20"/>
  <c r="M382" i="20"/>
  <c r="G382" i="20"/>
  <c r="H382" i="20" s="1"/>
  <c r="J382" i="20" s="1"/>
  <c r="F382" i="20"/>
  <c r="C382" i="20"/>
  <c r="D382" i="20" s="1"/>
  <c r="B382" i="20"/>
  <c r="AQ381" i="20"/>
  <c r="AR381" i="20" s="1"/>
  <c r="AI381" i="20"/>
  <c r="AJ381" i="20" s="1"/>
  <c r="AH381" i="20"/>
  <c r="AE381" i="20"/>
  <c r="AF381" i="20" s="1"/>
  <c r="AD381" i="20"/>
  <c r="AA381" i="20"/>
  <c r="AB381" i="20" s="1"/>
  <c r="Z381" i="20"/>
  <c r="W381" i="20"/>
  <c r="X381" i="20" s="1"/>
  <c r="V381" i="20"/>
  <c r="Q381" i="20"/>
  <c r="R381" i="20" s="1"/>
  <c r="P381" i="20"/>
  <c r="S381" i="20" s="1"/>
  <c r="M381" i="20"/>
  <c r="N381" i="20" s="1"/>
  <c r="L381" i="20"/>
  <c r="G381" i="20"/>
  <c r="H381" i="20" s="1"/>
  <c r="F381" i="20"/>
  <c r="C381" i="20"/>
  <c r="D381" i="20" s="1"/>
  <c r="AR380" i="20"/>
  <c r="AQ380" i="20"/>
  <c r="AS380" i="20" s="1"/>
  <c r="AP380" i="20"/>
  <c r="AI380" i="20"/>
  <c r="AJ380" i="20" s="1"/>
  <c r="AH380" i="20"/>
  <c r="AE380" i="20"/>
  <c r="AF380" i="20" s="1"/>
  <c r="AD380" i="20"/>
  <c r="AA380" i="20"/>
  <c r="AB380" i="20" s="1"/>
  <c r="Z380" i="20"/>
  <c r="W380" i="20"/>
  <c r="X380" i="20" s="1"/>
  <c r="V380" i="20"/>
  <c r="Q380" i="20"/>
  <c r="R380" i="20" s="1"/>
  <c r="P380" i="20"/>
  <c r="N380" i="20"/>
  <c r="M380" i="20"/>
  <c r="L380" i="20"/>
  <c r="S380" i="20" s="1"/>
  <c r="H380" i="20"/>
  <c r="G380" i="20"/>
  <c r="F380" i="20"/>
  <c r="C380" i="20"/>
  <c r="D380" i="20" s="1"/>
  <c r="J380" i="20" s="1"/>
  <c r="B380" i="20"/>
  <c r="AQ379" i="20"/>
  <c r="AP379" i="20"/>
  <c r="AI379" i="20"/>
  <c r="AJ379" i="20" s="1"/>
  <c r="AH379" i="20"/>
  <c r="AE379" i="20"/>
  <c r="AF379" i="20" s="1"/>
  <c r="AA379" i="20"/>
  <c r="AB379" i="20" s="1"/>
  <c r="Z379" i="20"/>
  <c r="X379" i="20"/>
  <c r="W379" i="20"/>
  <c r="V379" i="20"/>
  <c r="R379" i="20"/>
  <c r="Q379" i="20"/>
  <c r="P379" i="20"/>
  <c r="M379" i="20"/>
  <c r="N379" i="20" s="1"/>
  <c r="T379" i="20" s="1"/>
  <c r="L379" i="20"/>
  <c r="H379" i="20"/>
  <c r="G379" i="20"/>
  <c r="F379" i="20"/>
  <c r="C379" i="20"/>
  <c r="D379" i="20" s="1"/>
  <c r="AQ378" i="20"/>
  <c r="AP378" i="20"/>
  <c r="AJ378" i="20"/>
  <c r="AI378" i="20"/>
  <c r="AE378" i="20"/>
  <c r="AF378" i="20" s="1"/>
  <c r="AD378" i="20"/>
  <c r="AA378" i="20"/>
  <c r="AB378" i="20" s="1"/>
  <c r="W378" i="20"/>
  <c r="X378" i="20" s="1"/>
  <c r="V378" i="20"/>
  <c r="R378" i="20"/>
  <c r="Q378" i="20"/>
  <c r="M378" i="20"/>
  <c r="N378" i="20" s="1"/>
  <c r="G378" i="20"/>
  <c r="H378" i="20" s="1"/>
  <c r="F378" i="20"/>
  <c r="C378" i="20"/>
  <c r="D378" i="20" s="1"/>
  <c r="AQ377" i="20"/>
  <c r="AR377" i="20" s="1"/>
  <c r="AI377" i="20"/>
  <c r="AJ377" i="20" s="1"/>
  <c r="AH377" i="20"/>
  <c r="AE377" i="20"/>
  <c r="AF377" i="20" s="1"/>
  <c r="AA377" i="20"/>
  <c r="AB377" i="20" s="1"/>
  <c r="W377" i="20"/>
  <c r="X377" i="20" s="1"/>
  <c r="R377" i="20"/>
  <c r="Q377" i="20"/>
  <c r="P377" i="20"/>
  <c r="M377" i="20"/>
  <c r="N377" i="20" s="1"/>
  <c r="G377" i="20"/>
  <c r="H377" i="20" s="1"/>
  <c r="C377" i="20"/>
  <c r="D377" i="20" s="1"/>
  <c r="B377" i="20"/>
  <c r="AR376" i="20"/>
  <c r="AQ376" i="20"/>
  <c r="AP376" i="20"/>
  <c r="AJ376" i="20"/>
  <c r="AI376" i="20"/>
  <c r="AE376" i="20"/>
  <c r="AF376" i="20" s="1"/>
  <c r="AD376" i="20"/>
  <c r="AA376" i="20"/>
  <c r="AB376" i="20" s="1"/>
  <c r="Z376" i="20"/>
  <c r="W376" i="20"/>
  <c r="X376" i="20" s="1"/>
  <c r="V376" i="20"/>
  <c r="Q376" i="20"/>
  <c r="R376" i="20" s="1"/>
  <c r="P376" i="20"/>
  <c r="N376" i="20"/>
  <c r="M376" i="20"/>
  <c r="L376" i="20"/>
  <c r="G376" i="20"/>
  <c r="H376" i="20" s="1"/>
  <c r="J376" i="20" s="1"/>
  <c r="F376" i="20"/>
  <c r="D376" i="20"/>
  <c r="C376" i="20"/>
  <c r="B376" i="20"/>
  <c r="AR375" i="20"/>
  <c r="AQ375" i="20"/>
  <c r="AS375" i="20" s="1"/>
  <c r="AP375" i="20"/>
  <c r="AJ375" i="20"/>
  <c r="AI375" i="20"/>
  <c r="AH375" i="20"/>
  <c r="AE375" i="20"/>
  <c r="AF375" i="20" s="1"/>
  <c r="AA375" i="20"/>
  <c r="AB375" i="20" s="1"/>
  <c r="Z375" i="20"/>
  <c r="W375" i="20"/>
  <c r="X375" i="20" s="1"/>
  <c r="V375" i="20"/>
  <c r="Q375" i="20"/>
  <c r="R375" i="20" s="1"/>
  <c r="P375" i="20"/>
  <c r="M375" i="20"/>
  <c r="N375" i="20" s="1"/>
  <c r="T375" i="20" s="1"/>
  <c r="L375" i="20"/>
  <c r="G375" i="20"/>
  <c r="H375" i="20" s="1"/>
  <c r="C375" i="20"/>
  <c r="D375" i="20" s="1"/>
  <c r="B375" i="20"/>
  <c r="AQ374" i="20"/>
  <c r="AP374" i="20"/>
  <c r="AI374" i="20"/>
  <c r="AJ374" i="20" s="1"/>
  <c r="AH374" i="20"/>
  <c r="AF374" i="20"/>
  <c r="AE374" i="20"/>
  <c r="AD374" i="20"/>
  <c r="AA374" i="20"/>
  <c r="AB374" i="20" s="1"/>
  <c r="Z374" i="20"/>
  <c r="W374" i="20"/>
  <c r="X374" i="20" s="1"/>
  <c r="Q374" i="20"/>
  <c r="R374" i="20" s="1"/>
  <c r="T374" i="20" s="1"/>
  <c r="M374" i="20"/>
  <c r="N374" i="20" s="1"/>
  <c r="L374" i="20"/>
  <c r="I374" i="20"/>
  <c r="H374" i="20"/>
  <c r="J374" i="20" s="1"/>
  <c r="G374" i="20"/>
  <c r="F374" i="20"/>
  <c r="C374" i="20"/>
  <c r="D374" i="20" s="1"/>
  <c r="B374" i="20"/>
  <c r="AQ373" i="20"/>
  <c r="AI373" i="20"/>
  <c r="AJ373" i="20" s="1"/>
  <c r="AH373" i="20"/>
  <c r="AF373" i="20"/>
  <c r="AE373" i="20"/>
  <c r="AD373" i="20"/>
  <c r="AA373" i="20"/>
  <c r="AB373" i="20" s="1"/>
  <c r="Z373" i="20"/>
  <c r="W373" i="20"/>
  <c r="X373" i="20" s="1"/>
  <c r="V373" i="20"/>
  <c r="Q373" i="20"/>
  <c r="R373" i="20" s="1"/>
  <c r="P373" i="20"/>
  <c r="M373" i="20"/>
  <c r="N373" i="20" s="1"/>
  <c r="L373" i="20"/>
  <c r="G373" i="20"/>
  <c r="H373" i="20" s="1"/>
  <c r="F373" i="20"/>
  <c r="C373" i="20"/>
  <c r="D373" i="20" s="1"/>
  <c r="AQ372" i="20"/>
  <c r="AP372" i="20"/>
  <c r="AI372" i="20"/>
  <c r="AJ372" i="20" s="1"/>
  <c r="AE372" i="20"/>
  <c r="AF372" i="20" s="1"/>
  <c r="AD372" i="20"/>
  <c r="AA372" i="20"/>
  <c r="AB372" i="20" s="1"/>
  <c r="Z372" i="20"/>
  <c r="X372" i="20"/>
  <c r="W372" i="20"/>
  <c r="V372" i="20"/>
  <c r="Q372" i="20"/>
  <c r="R372" i="20" s="1"/>
  <c r="P372" i="20"/>
  <c r="M372" i="20"/>
  <c r="N372" i="20" s="1"/>
  <c r="L372" i="20"/>
  <c r="S372" i="20" s="1"/>
  <c r="G372" i="20"/>
  <c r="H372" i="20" s="1"/>
  <c r="F372" i="20"/>
  <c r="D372" i="20"/>
  <c r="C372" i="20"/>
  <c r="B372" i="20"/>
  <c r="AQ371" i="20"/>
  <c r="AI371" i="20"/>
  <c r="AJ371" i="20" s="1"/>
  <c r="AH371" i="20"/>
  <c r="AF371" i="20"/>
  <c r="AE371" i="20"/>
  <c r="AD371" i="20"/>
  <c r="AA371" i="20"/>
  <c r="AB371" i="20" s="1"/>
  <c r="Z371" i="20"/>
  <c r="W371" i="20"/>
  <c r="X371" i="20" s="1"/>
  <c r="Q371" i="20"/>
  <c r="R371" i="20" s="1"/>
  <c r="P371" i="20"/>
  <c r="M371" i="20"/>
  <c r="N371" i="20" s="1"/>
  <c r="L371" i="20"/>
  <c r="G371" i="20"/>
  <c r="H371" i="20" s="1"/>
  <c r="J371" i="20" s="1"/>
  <c r="F371" i="20"/>
  <c r="C371" i="20"/>
  <c r="D371" i="20" s="1"/>
  <c r="B371" i="20"/>
  <c r="I371" i="20" s="1"/>
  <c r="AR370" i="20"/>
  <c r="AQ370" i="20"/>
  <c r="AS370" i="20" s="1"/>
  <c r="AP370" i="20"/>
  <c r="AI370" i="20"/>
  <c r="AJ370" i="20" s="1"/>
  <c r="AE370" i="20"/>
  <c r="AF370" i="20" s="1"/>
  <c r="AD370" i="20"/>
  <c r="AA370" i="20"/>
  <c r="AB370" i="20" s="1"/>
  <c r="W370" i="20"/>
  <c r="X370" i="20" s="1"/>
  <c r="V370" i="20"/>
  <c r="Q370" i="20"/>
  <c r="R370" i="20" s="1"/>
  <c r="M370" i="20"/>
  <c r="N370" i="20" s="1"/>
  <c r="T370" i="20" s="1"/>
  <c r="L370" i="20"/>
  <c r="G370" i="20"/>
  <c r="H370" i="20" s="1"/>
  <c r="F370" i="20"/>
  <c r="D370" i="20"/>
  <c r="C370" i="20"/>
  <c r="AQ369" i="20"/>
  <c r="AI369" i="20"/>
  <c r="AJ369" i="20" s="1"/>
  <c r="AH369" i="20"/>
  <c r="AE369" i="20"/>
  <c r="AF369" i="20" s="1"/>
  <c r="AB369" i="20"/>
  <c r="AA369" i="20"/>
  <c r="W369" i="20"/>
  <c r="X369" i="20" s="1"/>
  <c r="Q369" i="20"/>
  <c r="R369" i="20" s="1"/>
  <c r="P369" i="20"/>
  <c r="M369" i="20"/>
  <c r="N369" i="20" s="1"/>
  <c r="G369" i="20"/>
  <c r="H369" i="20" s="1"/>
  <c r="C369" i="20"/>
  <c r="D369" i="20" s="1"/>
  <c r="J369" i="20" s="1"/>
  <c r="B369" i="20"/>
  <c r="AQ368" i="20"/>
  <c r="AS368" i="20" s="1"/>
  <c r="AP368" i="20"/>
  <c r="AI368" i="20"/>
  <c r="AJ368" i="20" s="1"/>
  <c r="AH368" i="20"/>
  <c r="AF368" i="20"/>
  <c r="AE368" i="20"/>
  <c r="AD368" i="20"/>
  <c r="AA368" i="20"/>
  <c r="AB368" i="20" s="1"/>
  <c r="Z368" i="20"/>
  <c r="W368" i="20"/>
  <c r="X368" i="20" s="1"/>
  <c r="V368" i="20"/>
  <c r="Q368" i="20"/>
  <c r="R368" i="20" s="1"/>
  <c r="P368" i="20"/>
  <c r="M368" i="20"/>
  <c r="N368" i="20" s="1"/>
  <c r="L368" i="20"/>
  <c r="G368" i="20"/>
  <c r="H368" i="20" s="1"/>
  <c r="C368" i="20"/>
  <c r="D368" i="20" s="1"/>
  <c r="B368" i="20"/>
  <c r="AS367" i="20"/>
  <c r="AQ367" i="20"/>
  <c r="AR367" i="20" s="1"/>
  <c r="AP367" i="20"/>
  <c r="AI367" i="20"/>
  <c r="AJ367" i="20" s="1"/>
  <c r="AH367" i="20"/>
  <c r="AE367" i="20"/>
  <c r="AF367" i="20" s="1"/>
  <c r="AA367" i="20"/>
  <c r="AB367" i="20" s="1"/>
  <c r="Z367" i="20"/>
  <c r="W367" i="20"/>
  <c r="X367" i="20" s="1"/>
  <c r="V367" i="20"/>
  <c r="Q367" i="20"/>
  <c r="R367" i="20" s="1"/>
  <c r="P367" i="20"/>
  <c r="N367" i="20"/>
  <c r="M367" i="20"/>
  <c r="L367" i="20"/>
  <c r="G367" i="20"/>
  <c r="H367" i="20" s="1"/>
  <c r="C367" i="20"/>
  <c r="D367" i="20" s="1"/>
  <c r="B367" i="20"/>
  <c r="AQ366" i="20"/>
  <c r="AP366" i="20"/>
  <c r="AI366" i="20"/>
  <c r="AJ366" i="20" s="1"/>
  <c r="AH366" i="20"/>
  <c r="AE366" i="20"/>
  <c r="AF366" i="20" s="1"/>
  <c r="AD366" i="20"/>
  <c r="AA366" i="20"/>
  <c r="AB366" i="20" s="1"/>
  <c r="Z366" i="20"/>
  <c r="W366" i="20"/>
  <c r="X366" i="20" s="1"/>
  <c r="V366" i="20"/>
  <c r="Q366" i="20"/>
  <c r="R366" i="20" s="1"/>
  <c r="M366" i="20"/>
  <c r="N366" i="20" s="1"/>
  <c r="G366" i="20"/>
  <c r="H366" i="20" s="1"/>
  <c r="F366" i="20"/>
  <c r="C366" i="20"/>
  <c r="D366" i="20" s="1"/>
  <c r="B366" i="20"/>
  <c r="AQ365" i="20"/>
  <c r="AR365" i="20" s="1"/>
  <c r="AS365" i="20"/>
  <c r="AI365" i="20"/>
  <c r="AJ365" i="20" s="1"/>
  <c r="AH365" i="20"/>
  <c r="AE365" i="20"/>
  <c r="AF365" i="20" s="1"/>
  <c r="AD365" i="20"/>
  <c r="AA365" i="20"/>
  <c r="AB365" i="20" s="1"/>
  <c r="Z365" i="20"/>
  <c r="W365" i="20"/>
  <c r="X365" i="20" s="1"/>
  <c r="V365" i="20"/>
  <c r="Q365" i="20"/>
  <c r="R365" i="20" s="1"/>
  <c r="P365" i="20"/>
  <c r="M365" i="20"/>
  <c r="N365" i="20" s="1"/>
  <c r="L365" i="20"/>
  <c r="G365" i="20"/>
  <c r="H365" i="20" s="1"/>
  <c r="F365" i="20"/>
  <c r="C365" i="20"/>
  <c r="D365" i="20" s="1"/>
  <c r="AQ364" i="20"/>
  <c r="AS364" i="20" s="1"/>
  <c r="AP364" i="20"/>
  <c r="AJ364" i="20"/>
  <c r="AI364" i="20"/>
  <c r="AH364" i="20"/>
  <c r="AE364" i="20"/>
  <c r="AF364" i="20" s="1"/>
  <c r="AD364" i="20"/>
  <c r="AA364" i="20"/>
  <c r="AB364" i="20" s="1"/>
  <c r="Z364" i="20"/>
  <c r="W364" i="20"/>
  <c r="X364" i="20" s="1"/>
  <c r="V364" i="20"/>
  <c r="Q364" i="20"/>
  <c r="R364" i="20" s="1"/>
  <c r="T364" i="20" s="1"/>
  <c r="P364" i="20"/>
  <c r="M364" i="20"/>
  <c r="N364" i="20" s="1"/>
  <c r="L364" i="20"/>
  <c r="S364" i="20" s="1"/>
  <c r="G364" i="20"/>
  <c r="H364" i="20" s="1"/>
  <c r="F364" i="20"/>
  <c r="C364" i="20"/>
  <c r="D364" i="20" s="1"/>
  <c r="J364" i="20" s="1"/>
  <c r="B364" i="20"/>
  <c r="I364" i="20" s="1"/>
  <c r="AR363" i="20"/>
  <c r="AQ363" i="20"/>
  <c r="AJ363" i="20"/>
  <c r="AI363" i="20"/>
  <c r="AH363" i="20"/>
  <c r="AE363" i="20"/>
  <c r="AF363" i="20" s="1"/>
  <c r="AD363" i="20"/>
  <c r="AB363" i="20"/>
  <c r="AA363" i="20"/>
  <c r="Z363" i="20"/>
  <c r="W363" i="20"/>
  <c r="X363" i="20" s="1"/>
  <c r="V363" i="20"/>
  <c r="Q363" i="20"/>
  <c r="R363" i="20" s="1"/>
  <c r="M363" i="20"/>
  <c r="N363" i="20" s="1"/>
  <c r="L363" i="20"/>
  <c r="H363" i="20"/>
  <c r="G363" i="20"/>
  <c r="F363" i="20"/>
  <c r="C363" i="20"/>
  <c r="D363" i="20" s="1"/>
  <c r="AQ362" i="20"/>
  <c r="AP362" i="20"/>
  <c r="AI362" i="20"/>
  <c r="AJ362" i="20" s="1"/>
  <c r="AE362" i="20"/>
  <c r="AF362" i="20" s="1"/>
  <c r="AD362" i="20"/>
  <c r="AA362" i="20"/>
  <c r="AB362" i="20" s="1"/>
  <c r="W362" i="20"/>
  <c r="X362" i="20" s="1"/>
  <c r="V362" i="20"/>
  <c r="Q362" i="20"/>
  <c r="R362" i="20" s="1"/>
  <c r="M362" i="20"/>
  <c r="N362" i="20" s="1"/>
  <c r="L362" i="20"/>
  <c r="G362" i="20"/>
  <c r="H362" i="20" s="1"/>
  <c r="F362" i="20"/>
  <c r="C362" i="20"/>
  <c r="D362" i="20" s="1"/>
  <c r="J362" i="20" s="1"/>
  <c r="AQ361" i="20"/>
  <c r="AR361" i="20" s="1"/>
  <c r="AI361" i="20"/>
  <c r="AJ361" i="20" s="1"/>
  <c r="AH361" i="20"/>
  <c r="AE361" i="20"/>
  <c r="AF361" i="20" s="1"/>
  <c r="AA361" i="20"/>
  <c r="AB361" i="20" s="1"/>
  <c r="X361" i="20"/>
  <c r="W361" i="20"/>
  <c r="R361" i="20"/>
  <c r="Q361" i="20"/>
  <c r="P361" i="20"/>
  <c r="M361" i="20"/>
  <c r="N361" i="20" s="1"/>
  <c r="G361" i="20"/>
  <c r="H361" i="20" s="1"/>
  <c r="C361" i="20"/>
  <c r="D361" i="20" s="1"/>
  <c r="B361" i="20"/>
  <c r="AQ360" i="20"/>
  <c r="AP360" i="20"/>
  <c r="AI360" i="20"/>
  <c r="AJ360" i="20" s="1"/>
  <c r="AH360" i="20"/>
  <c r="AE360" i="20"/>
  <c r="AF360" i="20" s="1"/>
  <c r="AD360" i="20"/>
  <c r="AA360" i="20"/>
  <c r="AB360" i="20" s="1"/>
  <c r="W360" i="20"/>
  <c r="X360" i="20" s="1"/>
  <c r="V360" i="20"/>
  <c r="Q360" i="20"/>
  <c r="R360" i="20" s="1"/>
  <c r="P360" i="20"/>
  <c r="M360" i="20"/>
  <c r="N360" i="20" s="1"/>
  <c r="L360" i="20"/>
  <c r="G360" i="20"/>
  <c r="H360" i="20" s="1"/>
  <c r="C360" i="20"/>
  <c r="D360" i="20" s="1"/>
  <c r="B360" i="20"/>
  <c r="AR359" i="20"/>
  <c r="AQ359" i="20"/>
  <c r="AS359" i="20" s="1"/>
  <c r="AP359" i="20"/>
  <c r="AJ359" i="20"/>
  <c r="AI359" i="20"/>
  <c r="AH359" i="20"/>
  <c r="AE359" i="20"/>
  <c r="AF359" i="20" s="1"/>
  <c r="AA359" i="20"/>
  <c r="AB359" i="20" s="1"/>
  <c r="Z359" i="20"/>
  <c r="X359" i="20"/>
  <c r="W359" i="20"/>
  <c r="V359" i="20"/>
  <c r="Q359" i="20"/>
  <c r="R359" i="20" s="1"/>
  <c r="P359" i="20"/>
  <c r="M359" i="20"/>
  <c r="N359" i="20" s="1"/>
  <c r="L359" i="20"/>
  <c r="S359" i="20" s="1"/>
  <c r="H359" i="20"/>
  <c r="G359" i="20"/>
  <c r="D359" i="20"/>
  <c r="J359" i="20" s="1"/>
  <c r="C359" i="20"/>
  <c r="B359" i="20"/>
  <c r="AQ358" i="20"/>
  <c r="AP358" i="20"/>
  <c r="AI358" i="20"/>
  <c r="AJ358" i="20" s="1"/>
  <c r="AH358" i="20"/>
  <c r="AE358" i="20"/>
  <c r="AF358" i="20" s="1"/>
  <c r="AD358" i="20"/>
  <c r="AA358" i="20"/>
  <c r="AB358" i="20" s="1"/>
  <c r="Z358" i="20"/>
  <c r="W358" i="20"/>
  <c r="X358" i="20" s="1"/>
  <c r="Q358" i="20"/>
  <c r="R358" i="20" s="1"/>
  <c r="P358" i="20"/>
  <c r="M358" i="20"/>
  <c r="N358" i="20" s="1"/>
  <c r="L358" i="20"/>
  <c r="G358" i="20"/>
  <c r="H358" i="20" s="1"/>
  <c r="F358" i="20"/>
  <c r="C358" i="20"/>
  <c r="D358" i="20" s="1"/>
  <c r="B358" i="20"/>
  <c r="AQ357" i="20"/>
  <c r="AI357" i="20"/>
  <c r="AJ357" i="20" s="1"/>
  <c r="AH357" i="20"/>
  <c r="AE357" i="20"/>
  <c r="AF357" i="20" s="1"/>
  <c r="AD357" i="20"/>
  <c r="AB357" i="20"/>
  <c r="AA357" i="20"/>
  <c r="Z357" i="20"/>
  <c r="W357" i="20"/>
  <c r="X357" i="20" s="1"/>
  <c r="V357" i="20"/>
  <c r="Q357" i="20"/>
  <c r="R357" i="20" s="1"/>
  <c r="P357" i="20"/>
  <c r="M357" i="20"/>
  <c r="N357" i="20" s="1"/>
  <c r="T357" i="20" s="1"/>
  <c r="L357" i="20"/>
  <c r="G357" i="20"/>
  <c r="H357" i="20" s="1"/>
  <c r="F357" i="20"/>
  <c r="C357" i="20"/>
  <c r="D357" i="20" s="1"/>
  <c r="B357" i="20"/>
  <c r="AQ356" i="20"/>
  <c r="AS356" i="20" s="1"/>
  <c r="AP356" i="20"/>
  <c r="AI356" i="20"/>
  <c r="AJ356" i="20" s="1"/>
  <c r="AE356" i="20"/>
  <c r="AF356" i="20" s="1"/>
  <c r="AD356" i="20"/>
  <c r="AA356" i="20"/>
  <c r="AB356" i="20" s="1"/>
  <c r="Z356" i="20"/>
  <c r="W356" i="20"/>
  <c r="X356" i="20" s="1"/>
  <c r="AL356" i="20" s="1"/>
  <c r="V356" i="20"/>
  <c r="Q356" i="20"/>
  <c r="R356" i="20" s="1"/>
  <c r="P356" i="20"/>
  <c r="M356" i="20"/>
  <c r="N356" i="20" s="1"/>
  <c r="L356" i="20"/>
  <c r="G356" i="20"/>
  <c r="H356" i="20" s="1"/>
  <c r="F356" i="20"/>
  <c r="C356" i="20"/>
  <c r="D356" i="20" s="1"/>
  <c r="B356" i="20"/>
  <c r="I356" i="20" s="1"/>
  <c r="AQ355" i="20"/>
  <c r="AR355" i="20" s="1"/>
  <c r="AP355" i="20"/>
  <c r="AI355" i="20"/>
  <c r="AJ355" i="20" s="1"/>
  <c r="AH355" i="20"/>
  <c r="AE355" i="20"/>
  <c r="AF355" i="20" s="1"/>
  <c r="AA355" i="20"/>
  <c r="AB355" i="20" s="1"/>
  <c r="Z355" i="20"/>
  <c r="W355" i="20"/>
  <c r="X355" i="20" s="1"/>
  <c r="V355" i="20"/>
  <c r="Q355" i="20"/>
  <c r="R355" i="20" s="1"/>
  <c r="M355" i="20"/>
  <c r="N355" i="20" s="1"/>
  <c r="L355" i="20"/>
  <c r="G355" i="20"/>
  <c r="H355" i="20" s="1"/>
  <c r="F355" i="20"/>
  <c r="C355" i="20"/>
  <c r="D355" i="20" s="1"/>
  <c r="AQ354" i="20"/>
  <c r="AP354" i="20"/>
  <c r="AI354" i="20"/>
  <c r="AJ354" i="20" s="1"/>
  <c r="AE354" i="20"/>
  <c r="AF354" i="20" s="1"/>
  <c r="AD354" i="20"/>
  <c r="AA354" i="20"/>
  <c r="AB354" i="20" s="1"/>
  <c r="W354" i="20"/>
  <c r="X354" i="20" s="1"/>
  <c r="V354" i="20"/>
  <c r="Q354" i="20"/>
  <c r="R354" i="20" s="1"/>
  <c r="P354" i="20"/>
  <c r="S354" i="20" s="1"/>
  <c r="M354" i="20"/>
  <c r="N354" i="20" s="1"/>
  <c r="L354" i="20"/>
  <c r="H354" i="20"/>
  <c r="G354" i="20"/>
  <c r="F354" i="20"/>
  <c r="C354" i="20"/>
  <c r="D354" i="20" s="1"/>
  <c r="J354" i="20" s="1"/>
  <c r="B354" i="20"/>
  <c r="I354" i="20" s="1"/>
  <c r="AQ353" i="20"/>
  <c r="AR353" i="20" s="1"/>
  <c r="AI353" i="20"/>
  <c r="AJ353" i="20" s="1"/>
  <c r="AH353" i="20"/>
  <c r="AF353" i="20"/>
  <c r="AE353" i="20"/>
  <c r="AA353" i="20"/>
  <c r="AB353" i="20" s="1"/>
  <c r="W353" i="20"/>
  <c r="X353" i="20" s="1"/>
  <c r="Q353" i="20"/>
  <c r="R353" i="20" s="1"/>
  <c r="P353" i="20"/>
  <c r="M353" i="20"/>
  <c r="N353" i="20" s="1"/>
  <c r="H353" i="20"/>
  <c r="G353" i="20"/>
  <c r="C353" i="20"/>
  <c r="D353" i="20" s="1"/>
  <c r="B353" i="20"/>
  <c r="AQ352" i="20"/>
  <c r="AP352" i="20"/>
  <c r="AJ352" i="20"/>
  <c r="AI352" i="20"/>
  <c r="AH352" i="20"/>
  <c r="AE352" i="20"/>
  <c r="AF352" i="20" s="1"/>
  <c r="AD352" i="20"/>
  <c r="AA352" i="20"/>
  <c r="AB352" i="20" s="1"/>
  <c r="W352" i="20"/>
  <c r="X352" i="20" s="1"/>
  <c r="V352" i="20"/>
  <c r="Q352" i="20"/>
  <c r="R352" i="20" s="1"/>
  <c r="P352" i="20"/>
  <c r="M352" i="20"/>
  <c r="N352" i="20" s="1"/>
  <c r="L352" i="20"/>
  <c r="G352" i="20"/>
  <c r="H352" i="20" s="1"/>
  <c r="F352" i="20"/>
  <c r="C352" i="20"/>
  <c r="D352" i="20" s="1"/>
  <c r="J352" i="20" s="1"/>
  <c r="B352" i="20"/>
  <c r="AQ351" i="20"/>
  <c r="AP351" i="20"/>
  <c r="AI351" i="20"/>
  <c r="AJ351" i="20" s="1"/>
  <c r="AH351" i="20"/>
  <c r="AE351" i="20"/>
  <c r="AF351" i="20" s="1"/>
  <c r="AD351" i="20"/>
  <c r="AA351" i="20"/>
  <c r="AB351" i="20" s="1"/>
  <c r="Z351" i="20"/>
  <c r="W351" i="20"/>
  <c r="X351" i="20" s="1"/>
  <c r="V351" i="20"/>
  <c r="Q351" i="20"/>
  <c r="R351" i="20" s="1"/>
  <c r="P351" i="20"/>
  <c r="M351" i="20"/>
  <c r="N351" i="20" s="1"/>
  <c r="L351" i="20"/>
  <c r="G351" i="20"/>
  <c r="H351" i="20" s="1"/>
  <c r="F351" i="20"/>
  <c r="C351" i="20"/>
  <c r="D351" i="20" s="1"/>
  <c r="B351" i="20"/>
  <c r="I351" i="20" s="1"/>
  <c r="AR350" i="20"/>
  <c r="AQ350" i="20"/>
  <c r="AP350" i="20"/>
  <c r="AI350" i="20"/>
  <c r="AJ350" i="20" s="1"/>
  <c r="AH350" i="20"/>
  <c r="AE350" i="20"/>
  <c r="AF350" i="20" s="1"/>
  <c r="AD350" i="20"/>
  <c r="AB350" i="20"/>
  <c r="AA350" i="20"/>
  <c r="Z350" i="20"/>
  <c r="W350" i="20"/>
  <c r="X350" i="20" s="1"/>
  <c r="Q350" i="20"/>
  <c r="R350" i="20" s="1"/>
  <c r="M350" i="20"/>
  <c r="N350" i="20" s="1"/>
  <c r="T350" i="20" s="1"/>
  <c r="L350" i="20"/>
  <c r="G350" i="20"/>
  <c r="H350" i="20" s="1"/>
  <c r="F350" i="20"/>
  <c r="D350" i="20"/>
  <c r="C350" i="20"/>
  <c r="B350" i="20"/>
  <c r="I350" i="20" s="1"/>
  <c r="AQ349" i="20"/>
  <c r="AP349" i="20"/>
  <c r="AI349" i="20"/>
  <c r="AJ349" i="20" s="1"/>
  <c r="AH349" i="20"/>
  <c r="AE349" i="20"/>
  <c r="AF349" i="20" s="1"/>
  <c r="AD349" i="20"/>
  <c r="AA349" i="20"/>
  <c r="AB349" i="20" s="1"/>
  <c r="Z349" i="20"/>
  <c r="W349" i="20"/>
  <c r="X349" i="20" s="1"/>
  <c r="V349" i="20"/>
  <c r="Q349" i="20"/>
  <c r="R349" i="20" s="1"/>
  <c r="T349" i="20" s="1"/>
  <c r="P349" i="20"/>
  <c r="S349" i="20" s="1"/>
  <c r="M349" i="20"/>
  <c r="N349" i="20" s="1"/>
  <c r="L349" i="20"/>
  <c r="G349" i="20"/>
  <c r="H349" i="20" s="1"/>
  <c r="F349" i="20"/>
  <c r="C349" i="20"/>
  <c r="D349" i="20" s="1"/>
  <c r="AQ348" i="20"/>
  <c r="AS348" i="20" s="1"/>
  <c r="AP348" i="20"/>
  <c r="AI348" i="20"/>
  <c r="AJ348" i="20" s="1"/>
  <c r="AH348" i="20"/>
  <c r="AF348" i="20"/>
  <c r="AE348" i="20"/>
  <c r="AD348" i="20"/>
  <c r="AA348" i="20"/>
  <c r="AB348" i="20" s="1"/>
  <c r="Z348" i="20"/>
  <c r="W348" i="20"/>
  <c r="X348" i="20" s="1"/>
  <c r="V348" i="20"/>
  <c r="AK348" i="20" s="1"/>
  <c r="Q348" i="20"/>
  <c r="R348" i="20" s="1"/>
  <c r="P348" i="20"/>
  <c r="M348" i="20"/>
  <c r="N348" i="20" s="1"/>
  <c r="L348" i="20"/>
  <c r="S348" i="20" s="1"/>
  <c r="G348" i="20"/>
  <c r="H348" i="20" s="1"/>
  <c r="F348" i="20"/>
  <c r="C348" i="20"/>
  <c r="D348" i="20" s="1"/>
  <c r="B348" i="20"/>
  <c r="I348" i="20" s="1"/>
  <c r="AQ347" i="20"/>
  <c r="AR347" i="20" s="1"/>
  <c r="AP347" i="20"/>
  <c r="AI347" i="20"/>
  <c r="AJ347" i="20" s="1"/>
  <c r="AE347" i="20"/>
  <c r="AF347" i="20" s="1"/>
  <c r="AA347" i="20"/>
  <c r="AB347" i="20" s="1"/>
  <c r="Z347" i="20"/>
  <c r="W347" i="20"/>
  <c r="X347" i="20" s="1"/>
  <c r="Q347" i="20"/>
  <c r="R347" i="20" s="1"/>
  <c r="M347" i="20"/>
  <c r="N347" i="20" s="1"/>
  <c r="T347" i="20" s="1"/>
  <c r="L347" i="20"/>
  <c r="G347" i="20"/>
  <c r="H347" i="20" s="1"/>
  <c r="F347" i="20"/>
  <c r="C347" i="20"/>
  <c r="D347" i="20" s="1"/>
  <c r="J347" i="20" s="1"/>
  <c r="B347" i="20"/>
  <c r="I347" i="20" s="1"/>
  <c r="AQ346" i="20"/>
  <c r="AP346" i="20"/>
  <c r="AI346" i="20"/>
  <c r="AJ346" i="20" s="1"/>
  <c r="AH346" i="20"/>
  <c r="AF346" i="20"/>
  <c r="AE346" i="20"/>
  <c r="AD346" i="20"/>
  <c r="AA346" i="20"/>
  <c r="AB346" i="20" s="1"/>
  <c r="W346" i="20"/>
  <c r="X346" i="20" s="1"/>
  <c r="V346" i="20"/>
  <c r="Q346" i="20"/>
  <c r="R346" i="20" s="1"/>
  <c r="M346" i="20"/>
  <c r="N346" i="20" s="1"/>
  <c r="L346" i="20"/>
  <c r="G346" i="20"/>
  <c r="H346" i="20" s="1"/>
  <c r="J346" i="20" s="1"/>
  <c r="F346" i="20"/>
  <c r="C346" i="20"/>
  <c r="D346" i="20" s="1"/>
  <c r="AQ345" i="20"/>
  <c r="AR345" i="20" s="1"/>
  <c r="AI345" i="20"/>
  <c r="AJ345" i="20" s="1"/>
  <c r="AH345" i="20"/>
  <c r="AE345" i="20"/>
  <c r="AF345" i="20" s="1"/>
  <c r="AA345" i="20"/>
  <c r="AB345" i="20" s="1"/>
  <c r="X345" i="20"/>
  <c r="W345" i="20"/>
  <c r="Q345" i="20"/>
  <c r="R345" i="20" s="1"/>
  <c r="P345" i="20"/>
  <c r="M345" i="20"/>
  <c r="N345" i="20" s="1"/>
  <c r="T345" i="20" s="1"/>
  <c r="G345" i="20"/>
  <c r="H345" i="20" s="1"/>
  <c r="C345" i="20"/>
  <c r="D345" i="20" s="1"/>
  <c r="B345" i="20"/>
  <c r="AR344" i="20"/>
  <c r="AQ344" i="20"/>
  <c r="AS344" i="20" s="1"/>
  <c r="AP344" i="20"/>
  <c r="AI344" i="20"/>
  <c r="AJ344" i="20" s="1"/>
  <c r="AH344" i="20"/>
  <c r="AE344" i="20"/>
  <c r="AF344" i="20" s="1"/>
  <c r="AD344" i="20"/>
  <c r="AB344" i="20"/>
  <c r="AA344" i="20"/>
  <c r="W344" i="20"/>
  <c r="X344" i="20" s="1"/>
  <c r="V344" i="20"/>
  <c r="Q344" i="20"/>
  <c r="R344" i="20" s="1"/>
  <c r="P344" i="20"/>
  <c r="M344" i="20"/>
  <c r="N344" i="20" s="1"/>
  <c r="L344" i="20"/>
  <c r="S344" i="20" s="1"/>
  <c r="G344" i="20"/>
  <c r="H344" i="20" s="1"/>
  <c r="F344" i="20"/>
  <c r="C344" i="20"/>
  <c r="D344" i="20" s="1"/>
  <c r="B344" i="20"/>
  <c r="AQ343" i="20"/>
  <c r="AP343" i="20"/>
  <c r="AI343" i="20"/>
  <c r="AJ343" i="20" s="1"/>
  <c r="AH343" i="20"/>
  <c r="AE343" i="20"/>
  <c r="AF343" i="20" s="1"/>
  <c r="AA343" i="20"/>
  <c r="AB343" i="20" s="1"/>
  <c r="Z343" i="20"/>
  <c r="W343" i="20"/>
  <c r="X343" i="20" s="1"/>
  <c r="V343" i="20"/>
  <c r="S343" i="20"/>
  <c r="Q343" i="20"/>
  <c r="R343" i="20" s="1"/>
  <c r="P343" i="20"/>
  <c r="M343" i="20"/>
  <c r="N343" i="20" s="1"/>
  <c r="L343" i="20"/>
  <c r="G343" i="20"/>
  <c r="H343" i="20" s="1"/>
  <c r="F343" i="20"/>
  <c r="C343" i="20"/>
  <c r="D343" i="20" s="1"/>
  <c r="B343" i="20"/>
  <c r="I343" i="20" s="1"/>
  <c r="AR342" i="20"/>
  <c r="AQ342" i="20"/>
  <c r="AS342" i="20" s="1"/>
  <c r="AP342" i="20"/>
  <c r="AJ342" i="20"/>
  <c r="AI342" i="20"/>
  <c r="AH342" i="20"/>
  <c r="AE342" i="20"/>
  <c r="AF342" i="20" s="1"/>
  <c r="AD342" i="20"/>
  <c r="AA342" i="20"/>
  <c r="AB342" i="20" s="1"/>
  <c r="Z342" i="20"/>
  <c r="W342" i="20"/>
  <c r="X342" i="20" s="1"/>
  <c r="AL342" i="20" s="1"/>
  <c r="Q342" i="20"/>
  <c r="R342" i="20" s="1"/>
  <c r="N342" i="20"/>
  <c r="M342" i="20"/>
  <c r="L342" i="20"/>
  <c r="G342" i="20"/>
  <c r="H342" i="20" s="1"/>
  <c r="F342" i="20"/>
  <c r="C342" i="20"/>
  <c r="D342" i="20" s="1"/>
  <c r="B342" i="20"/>
  <c r="AS341" i="20"/>
  <c r="AQ341" i="20"/>
  <c r="AR341" i="20" s="1"/>
  <c r="AP341" i="20"/>
  <c r="AI341" i="20"/>
  <c r="AJ341" i="20" s="1"/>
  <c r="AH341" i="20"/>
  <c r="AE341" i="20"/>
  <c r="AF341" i="20" s="1"/>
  <c r="AD341" i="20"/>
  <c r="AB341" i="20"/>
  <c r="AA341" i="20"/>
  <c r="Z341" i="20"/>
  <c r="W341" i="20"/>
  <c r="X341" i="20" s="1"/>
  <c r="V341" i="20"/>
  <c r="Q341" i="20"/>
  <c r="R341" i="20" s="1"/>
  <c r="P341" i="20"/>
  <c r="M341" i="20"/>
  <c r="N341" i="20" s="1"/>
  <c r="T341" i="20" s="1"/>
  <c r="L341" i="20"/>
  <c r="S341" i="20" s="1"/>
  <c r="G341" i="20"/>
  <c r="H341" i="20" s="1"/>
  <c r="F341" i="20"/>
  <c r="C341" i="20"/>
  <c r="D341" i="20" s="1"/>
  <c r="J341" i="20" s="1"/>
  <c r="AQ340" i="20"/>
  <c r="AS340" i="20" s="1"/>
  <c r="AP340" i="20"/>
  <c r="AI340" i="20"/>
  <c r="AJ340" i="20" s="1"/>
  <c r="AH340" i="20"/>
  <c r="AF340" i="20"/>
  <c r="AE340" i="20"/>
  <c r="AD340" i="20"/>
  <c r="AA340" i="20"/>
  <c r="AB340" i="20" s="1"/>
  <c r="Z340" i="20"/>
  <c r="W340" i="20"/>
  <c r="X340" i="20" s="1"/>
  <c r="AL340" i="20" s="1"/>
  <c r="V340" i="20"/>
  <c r="Q340" i="20"/>
  <c r="R340" i="20" s="1"/>
  <c r="P340" i="20"/>
  <c r="M340" i="20"/>
  <c r="N340" i="20" s="1"/>
  <c r="L340" i="20"/>
  <c r="S340" i="20" s="1"/>
  <c r="H340" i="20"/>
  <c r="G340" i="20"/>
  <c r="F340" i="20"/>
  <c r="C340" i="20"/>
  <c r="D340" i="20" s="1"/>
  <c r="B340" i="20"/>
  <c r="I340" i="20" s="1"/>
  <c r="AQ339" i="20"/>
  <c r="AR339" i="20" s="1"/>
  <c r="AP339" i="20"/>
  <c r="AJ339" i="20"/>
  <c r="AI339" i="20"/>
  <c r="AH339" i="20"/>
  <c r="AE339" i="20"/>
  <c r="AF339" i="20" s="1"/>
  <c r="AB339" i="20"/>
  <c r="AA339" i="20"/>
  <c r="Z339" i="20"/>
  <c r="W339" i="20"/>
  <c r="X339" i="20" s="1"/>
  <c r="T339" i="20"/>
  <c r="Q339" i="20"/>
  <c r="R339" i="20" s="1"/>
  <c r="P339" i="20"/>
  <c r="M339" i="20"/>
  <c r="N339" i="20" s="1"/>
  <c r="L339" i="20"/>
  <c r="G339" i="20"/>
  <c r="H339" i="20" s="1"/>
  <c r="F339" i="20"/>
  <c r="D339" i="20"/>
  <c r="C339" i="20"/>
  <c r="B339" i="20"/>
  <c r="AR338" i="20"/>
  <c r="AQ338" i="20"/>
  <c r="AS338" i="20" s="1"/>
  <c r="AP338" i="20"/>
  <c r="AJ338" i="20"/>
  <c r="AI338" i="20"/>
  <c r="AF338" i="20"/>
  <c r="AE338" i="20"/>
  <c r="AD338" i="20"/>
  <c r="AA338" i="20"/>
  <c r="AB338" i="20" s="1"/>
  <c r="W338" i="20"/>
  <c r="X338" i="20" s="1"/>
  <c r="AL338" i="20" s="1"/>
  <c r="V338" i="20"/>
  <c r="Q338" i="20"/>
  <c r="R338" i="20" s="1"/>
  <c r="M338" i="20"/>
  <c r="N338" i="20" s="1"/>
  <c r="L338" i="20"/>
  <c r="G338" i="20"/>
  <c r="H338" i="20" s="1"/>
  <c r="F338" i="20"/>
  <c r="D338" i="20"/>
  <c r="C338" i="20"/>
  <c r="AQ337" i="20"/>
  <c r="AI337" i="20"/>
  <c r="AJ337" i="20" s="1"/>
  <c r="AH337" i="20"/>
  <c r="AE337" i="20"/>
  <c r="AF337" i="20" s="1"/>
  <c r="AA337" i="20"/>
  <c r="AB337" i="20" s="1"/>
  <c r="Z337" i="20"/>
  <c r="W337" i="20"/>
  <c r="X337" i="20" s="1"/>
  <c r="AL337" i="20" s="1"/>
  <c r="Q337" i="20"/>
  <c r="R337" i="20" s="1"/>
  <c r="P337" i="20"/>
  <c r="M337" i="20"/>
  <c r="N337" i="20" s="1"/>
  <c r="G337" i="20"/>
  <c r="H337" i="20" s="1"/>
  <c r="C337" i="20"/>
  <c r="D337" i="20" s="1"/>
  <c r="J337" i="20" s="1"/>
  <c r="B337" i="20"/>
  <c r="AQ336" i="20"/>
  <c r="AP336" i="20"/>
  <c r="AI336" i="20"/>
  <c r="AJ336" i="20" s="1"/>
  <c r="AH336" i="20"/>
  <c r="AF336" i="20"/>
  <c r="AE336" i="20"/>
  <c r="AD336" i="20"/>
  <c r="AA336" i="20"/>
  <c r="AB336" i="20" s="1"/>
  <c r="W336" i="20"/>
  <c r="X336" i="20" s="1"/>
  <c r="AL336" i="20" s="1"/>
  <c r="V336" i="20"/>
  <c r="R336" i="20"/>
  <c r="Q336" i="20"/>
  <c r="P336" i="20"/>
  <c r="S336" i="20" s="1"/>
  <c r="M336" i="20"/>
  <c r="N336" i="20" s="1"/>
  <c r="T336" i="20" s="1"/>
  <c r="L336" i="20"/>
  <c r="G336" i="20"/>
  <c r="H336" i="20" s="1"/>
  <c r="F336" i="20"/>
  <c r="C336" i="20"/>
  <c r="D336" i="20" s="1"/>
  <c r="B336" i="20"/>
  <c r="AQ335" i="20"/>
  <c r="AS335" i="20" s="1"/>
  <c r="AP335" i="20"/>
  <c r="AI335" i="20"/>
  <c r="AJ335" i="20" s="1"/>
  <c r="AH335" i="20"/>
  <c r="AF335" i="20"/>
  <c r="AE335" i="20"/>
  <c r="AA335" i="20"/>
  <c r="AB335" i="20" s="1"/>
  <c r="Z335" i="20"/>
  <c r="X335" i="20"/>
  <c r="W335" i="20"/>
  <c r="V335" i="20"/>
  <c r="Q335" i="20"/>
  <c r="R335" i="20" s="1"/>
  <c r="P335" i="20"/>
  <c r="M335" i="20"/>
  <c r="N335" i="20" s="1"/>
  <c r="L335" i="20"/>
  <c r="G335" i="20"/>
  <c r="H335" i="20" s="1"/>
  <c r="F335" i="20"/>
  <c r="D335" i="20"/>
  <c r="C335" i="20"/>
  <c r="B335" i="20"/>
  <c r="AQ334" i="20"/>
  <c r="AR334" i="20" s="1"/>
  <c r="AI334" i="20"/>
  <c r="AJ334" i="20" s="1"/>
  <c r="AH334" i="20"/>
  <c r="AF334" i="20"/>
  <c r="AE334" i="20"/>
  <c r="AD334" i="20"/>
  <c r="AA334" i="20"/>
  <c r="AB334" i="20" s="1"/>
  <c r="Z334" i="20"/>
  <c r="X334" i="20"/>
  <c r="W334" i="20"/>
  <c r="V334" i="20"/>
  <c r="Q334" i="20"/>
  <c r="R334" i="20" s="1"/>
  <c r="M334" i="20"/>
  <c r="N334" i="20" s="1"/>
  <c r="L334" i="20"/>
  <c r="I334" i="20"/>
  <c r="G334" i="20"/>
  <c r="H334" i="20" s="1"/>
  <c r="F334" i="20"/>
  <c r="D334" i="20"/>
  <c r="J334" i="20" s="1"/>
  <c r="C334" i="20"/>
  <c r="B334" i="20"/>
  <c r="AQ333" i="20"/>
  <c r="AR333" i="20" s="1"/>
  <c r="AP333" i="20"/>
  <c r="AI333" i="20"/>
  <c r="AJ333" i="20" s="1"/>
  <c r="AH333" i="20"/>
  <c r="AE333" i="20"/>
  <c r="AF333" i="20" s="1"/>
  <c r="AD333" i="20"/>
  <c r="AA333" i="20"/>
  <c r="AB333" i="20" s="1"/>
  <c r="Z333" i="20"/>
  <c r="W333" i="20"/>
  <c r="X333" i="20" s="1"/>
  <c r="V333" i="20"/>
  <c r="R333" i="20"/>
  <c r="Q333" i="20"/>
  <c r="P333" i="20"/>
  <c r="M333" i="20"/>
  <c r="N333" i="20" s="1"/>
  <c r="L333" i="20"/>
  <c r="G333" i="20"/>
  <c r="H333" i="20" s="1"/>
  <c r="F333" i="20"/>
  <c r="C333" i="20"/>
  <c r="D333" i="20" s="1"/>
  <c r="J333" i="20" s="1"/>
  <c r="B333" i="20"/>
  <c r="AQ332" i="20"/>
  <c r="AP332" i="20"/>
  <c r="AI332" i="20"/>
  <c r="AJ332" i="20" s="1"/>
  <c r="AE332" i="20"/>
  <c r="AF332" i="20" s="1"/>
  <c r="AD332" i="20"/>
  <c r="AA332" i="20"/>
  <c r="AB332" i="20" s="1"/>
  <c r="Z332" i="20"/>
  <c r="W332" i="20"/>
  <c r="X332" i="20" s="1"/>
  <c r="V332" i="20"/>
  <c r="Q332" i="20"/>
  <c r="R332" i="20" s="1"/>
  <c r="T332" i="20" s="1"/>
  <c r="P332" i="20"/>
  <c r="N332" i="20"/>
  <c r="M332" i="20"/>
  <c r="L332" i="20"/>
  <c r="G332" i="20"/>
  <c r="H332" i="20" s="1"/>
  <c r="F332" i="20"/>
  <c r="C332" i="20"/>
  <c r="D332" i="20" s="1"/>
  <c r="J332" i="20" s="1"/>
  <c r="B332" i="20"/>
  <c r="I332" i="20" s="1"/>
  <c r="AR331" i="20"/>
  <c r="AQ331" i="20"/>
  <c r="AI331" i="20"/>
  <c r="AJ331" i="20" s="1"/>
  <c r="AH331" i="20"/>
  <c r="AE331" i="20"/>
  <c r="AF331" i="20" s="1"/>
  <c r="AB331" i="20"/>
  <c r="AA331" i="20"/>
  <c r="Z331" i="20"/>
  <c r="W331" i="20"/>
  <c r="X331" i="20" s="1"/>
  <c r="Q331" i="20"/>
  <c r="R331" i="20" s="1"/>
  <c r="M331" i="20"/>
  <c r="N331" i="20" s="1"/>
  <c r="L331" i="20"/>
  <c r="G331" i="20"/>
  <c r="H331" i="20" s="1"/>
  <c r="F331" i="20"/>
  <c r="D331" i="20"/>
  <c r="C331" i="20"/>
  <c r="AQ330" i="20"/>
  <c r="AR330" i="20" s="1"/>
  <c r="AI330" i="20"/>
  <c r="AJ330" i="20" s="1"/>
  <c r="AE330" i="20"/>
  <c r="AF330" i="20" s="1"/>
  <c r="AD330" i="20"/>
  <c r="AA330" i="20"/>
  <c r="AB330" i="20" s="1"/>
  <c r="AL330" i="20" s="1"/>
  <c r="X330" i="20"/>
  <c r="W330" i="20"/>
  <c r="V330" i="20"/>
  <c r="Q330" i="20"/>
  <c r="R330" i="20" s="1"/>
  <c r="M330" i="20"/>
  <c r="N330" i="20" s="1"/>
  <c r="T330" i="20" s="1"/>
  <c r="L330" i="20"/>
  <c r="G330" i="20"/>
  <c r="H330" i="20" s="1"/>
  <c r="F330" i="20"/>
  <c r="C330" i="20"/>
  <c r="D330" i="20" s="1"/>
  <c r="AQ329" i="20"/>
  <c r="AI329" i="20"/>
  <c r="AJ329" i="20" s="1"/>
  <c r="AH329" i="20"/>
  <c r="AE329" i="20"/>
  <c r="AF329" i="20" s="1"/>
  <c r="AA329" i="20"/>
  <c r="AB329" i="20" s="1"/>
  <c r="W329" i="20"/>
  <c r="X329" i="20" s="1"/>
  <c r="Q329" i="20"/>
  <c r="R329" i="20" s="1"/>
  <c r="P329" i="20"/>
  <c r="N329" i="20"/>
  <c r="M329" i="20"/>
  <c r="G329" i="20"/>
  <c r="H329" i="20" s="1"/>
  <c r="C329" i="20"/>
  <c r="D329" i="20" s="1"/>
  <c r="B329" i="20"/>
  <c r="AQ328" i="20"/>
  <c r="AP328" i="20"/>
  <c r="AI328" i="20"/>
  <c r="AJ328" i="20" s="1"/>
  <c r="AF328" i="20"/>
  <c r="AE328" i="20"/>
  <c r="AD328" i="20"/>
  <c r="AA328" i="20"/>
  <c r="AB328" i="20" s="1"/>
  <c r="W328" i="20"/>
  <c r="X328" i="20" s="1"/>
  <c r="AL328" i="20" s="1"/>
  <c r="V328" i="20"/>
  <c r="Q328" i="20"/>
  <c r="R328" i="20" s="1"/>
  <c r="P328" i="20"/>
  <c r="M328" i="20"/>
  <c r="N328" i="20" s="1"/>
  <c r="T328" i="20" s="1"/>
  <c r="L328" i="20"/>
  <c r="H328" i="20"/>
  <c r="G328" i="20"/>
  <c r="F328" i="20"/>
  <c r="C328" i="20"/>
  <c r="D328" i="20" s="1"/>
  <c r="B328" i="20"/>
  <c r="I328" i="20" s="1"/>
  <c r="AQ327" i="20"/>
  <c r="AS327" i="20" s="1"/>
  <c r="AP327" i="20"/>
  <c r="AI327" i="20"/>
  <c r="AJ327" i="20" s="1"/>
  <c r="AH327" i="20"/>
  <c r="AE327" i="20"/>
  <c r="AF327" i="20" s="1"/>
  <c r="AA327" i="20"/>
  <c r="AB327" i="20" s="1"/>
  <c r="Z327" i="20"/>
  <c r="W327" i="20"/>
  <c r="X327" i="20" s="1"/>
  <c r="V327" i="20"/>
  <c r="Q327" i="20"/>
  <c r="R327" i="20" s="1"/>
  <c r="P327" i="20"/>
  <c r="M327" i="20"/>
  <c r="N327" i="20" s="1"/>
  <c r="T327" i="20" s="1"/>
  <c r="L327" i="20"/>
  <c r="S327" i="20" s="1"/>
  <c r="G327" i="20"/>
  <c r="H327" i="20" s="1"/>
  <c r="F327" i="20"/>
  <c r="D327" i="20"/>
  <c r="C327" i="20"/>
  <c r="B327" i="20"/>
  <c r="I327" i="20" s="1"/>
  <c r="AR326" i="20"/>
  <c r="AQ326" i="20"/>
  <c r="AS326" i="20"/>
  <c r="AI326" i="20"/>
  <c r="AJ326" i="20" s="1"/>
  <c r="AH326" i="20"/>
  <c r="AE326" i="20"/>
  <c r="AF326" i="20" s="1"/>
  <c r="AD326" i="20"/>
  <c r="AA326" i="20"/>
  <c r="AB326" i="20" s="1"/>
  <c r="Z326" i="20"/>
  <c r="X326" i="20"/>
  <c r="W326" i="20"/>
  <c r="Q326" i="20"/>
  <c r="R326" i="20" s="1"/>
  <c r="P326" i="20"/>
  <c r="M326" i="20"/>
  <c r="N326" i="20" s="1"/>
  <c r="L326" i="20"/>
  <c r="G326" i="20"/>
  <c r="H326" i="20" s="1"/>
  <c r="J326" i="20" s="1"/>
  <c r="F326" i="20"/>
  <c r="C326" i="20"/>
  <c r="D326" i="20" s="1"/>
  <c r="B326" i="20"/>
  <c r="AS325" i="20"/>
  <c r="AQ325" i="20"/>
  <c r="AR325" i="20" s="1"/>
  <c r="AP325" i="20"/>
  <c r="AI325" i="20"/>
  <c r="AJ325" i="20" s="1"/>
  <c r="AH325" i="20"/>
  <c r="AE325" i="20"/>
  <c r="AF325" i="20" s="1"/>
  <c r="AD325" i="20"/>
  <c r="AA325" i="20"/>
  <c r="AB325" i="20" s="1"/>
  <c r="Z325" i="20"/>
  <c r="W325" i="20"/>
  <c r="X325" i="20" s="1"/>
  <c r="V325" i="20"/>
  <c r="Q325" i="20"/>
  <c r="R325" i="20" s="1"/>
  <c r="P325" i="20"/>
  <c r="M325" i="20"/>
  <c r="N325" i="20" s="1"/>
  <c r="L325" i="20"/>
  <c r="G325" i="20"/>
  <c r="H325" i="20" s="1"/>
  <c r="F325" i="20"/>
  <c r="C325" i="20"/>
  <c r="D325" i="20" s="1"/>
  <c r="B325" i="20"/>
  <c r="AQ324" i="20"/>
  <c r="AS324" i="20" s="1"/>
  <c r="AP324" i="20"/>
  <c r="AI324" i="20"/>
  <c r="AJ324" i="20" s="1"/>
  <c r="AH324" i="20"/>
  <c r="AE324" i="20"/>
  <c r="AF324" i="20" s="1"/>
  <c r="AD324" i="20"/>
  <c r="AA324" i="20"/>
  <c r="AB324" i="20" s="1"/>
  <c r="Z324" i="20"/>
  <c r="W324" i="20"/>
  <c r="X324" i="20" s="1"/>
  <c r="V324" i="20"/>
  <c r="R324" i="20"/>
  <c r="Q324" i="20"/>
  <c r="P324" i="20"/>
  <c r="M324" i="20"/>
  <c r="N324" i="20" s="1"/>
  <c r="T324" i="20" s="1"/>
  <c r="L324" i="20"/>
  <c r="G324" i="20"/>
  <c r="H324" i="20" s="1"/>
  <c r="F324" i="20"/>
  <c r="D324" i="20"/>
  <c r="C324" i="20"/>
  <c r="B324" i="20"/>
  <c r="AS323" i="20"/>
  <c r="AR323" i="20"/>
  <c r="AQ323" i="20"/>
  <c r="AP323" i="20"/>
  <c r="AI323" i="20"/>
  <c r="AJ323" i="20" s="1"/>
  <c r="AH323" i="20"/>
  <c r="AE323" i="20"/>
  <c r="AF323" i="20" s="1"/>
  <c r="AD323" i="20"/>
  <c r="AA323" i="20"/>
  <c r="AB323" i="20" s="1"/>
  <c r="Z323" i="20"/>
  <c r="W323" i="20"/>
  <c r="X323" i="20" s="1"/>
  <c r="Q323" i="20"/>
  <c r="R323" i="20" s="1"/>
  <c r="P323" i="20"/>
  <c r="M323" i="20"/>
  <c r="N323" i="20" s="1"/>
  <c r="T323" i="20" s="1"/>
  <c r="L323" i="20"/>
  <c r="G323" i="20"/>
  <c r="H323" i="20" s="1"/>
  <c r="F323" i="20"/>
  <c r="C323" i="20"/>
  <c r="D323" i="20" s="1"/>
  <c r="AQ322" i="20"/>
  <c r="AS322" i="20" s="1"/>
  <c r="AP322" i="20"/>
  <c r="AJ322" i="20"/>
  <c r="AI322" i="20"/>
  <c r="AE322" i="20"/>
  <c r="AF322" i="20" s="1"/>
  <c r="AD322" i="20"/>
  <c r="AA322" i="20"/>
  <c r="AB322" i="20" s="1"/>
  <c r="X322" i="20"/>
  <c r="W322" i="20"/>
  <c r="V322" i="20"/>
  <c r="Q322" i="20"/>
  <c r="R322" i="20" s="1"/>
  <c r="M322" i="20"/>
  <c r="N322" i="20" s="1"/>
  <c r="L322" i="20"/>
  <c r="G322" i="20"/>
  <c r="H322" i="20" s="1"/>
  <c r="F322" i="20"/>
  <c r="C322" i="20"/>
  <c r="D322" i="20" s="1"/>
  <c r="AR321" i="20"/>
  <c r="AQ321" i="20"/>
  <c r="AI321" i="20"/>
  <c r="AJ321" i="20" s="1"/>
  <c r="AH321" i="20"/>
  <c r="AE321" i="20"/>
  <c r="AF321" i="20" s="1"/>
  <c r="AB321" i="20"/>
  <c r="AA321" i="20"/>
  <c r="Z321" i="20"/>
  <c r="W321" i="20"/>
  <c r="X321" i="20" s="1"/>
  <c r="Q321" i="20"/>
  <c r="R321" i="20" s="1"/>
  <c r="P321" i="20"/>
  <c r="N321" i="20"/>
  <c r="T321" i="20" s="1"/>
  <c r="M321" i="20"/>
  <c r="G321" i="20"/>
  <c r="H321" i="20" s="1"/>
  <c r="C321" i="20"/>
  <c r="D321" i="20" s="1"/>
  <c r="B321" i="20"/>
  <c r="AQ320" i="20"/>
  <c r="AS320" i="20" s="1"/>
  <c r="AP320" i="20"/>
  <c r="AJ320" i="20"/>
  <c r="AI320" i="20"/>
  <c r="AH320" i="20"/>
  <c r="AE320" i="20"/>
  <c r="AF320" i="20" s="1"/>
  <c r="AD320" i="20"/>
  <c r="AA320" i="20"/>
  <c r="AB320" i="20" s="1"/>
  <c r="W320" i="20"/>
  <c r="X320" i="20" s="1"/>
  <c r="V320" i="20"/>
  <c r="Q320" i="20"/>
  <c r="R320" i="20" s="1"/>
  <c r="P320" i="20"/>
  <c r="M320" i="20"/>
  <c r="N320" i="20" s="1"/>
  <c r="T320" i="20" s="1"/>
  <c r="L320" i="20"/>
  <c r="S320" i="20" s="1"/>
  <c r="G320" i="20"/>
  <c r="H320" i="20" s="1"/>
  <c r="F320" i="20"/>
  <c r="C320" i="20"/>
  <c r="D320" i="20" s="1"/>
  <c r="J320" i="20" s="1"/>
  <c r="B320" i="20"/>
  <c r="AR319" i="20"/>
  <c r="AQ319" i="20"/>
  <c r="AS319" i="20" s="1"/>
  <c r="AP319" i="20"/>
  <c r="AJ319" i="20"/>
  <c r="AI319" i="20"/>
  <c r="AH319" i="20"/>
  <c r="AE319" i="20"/>
  <c r="AF319" i="20" s="1"/>
  <c r="AD319" i="20"/>
  <c r="AA319" i="20"/>
  <c r="AB319" i="20" s="1"/>
  <c r="Z319" i="20"/>
  <c r="W319" i="20"/>
  <c r="X319" i="20" s="1"/>
  <c r="AL319" i="20" s="1"/>
  <c r="V319" i="20"/>
  <c r="Q319" i="20"/>
  <c r="R319" i="20" s="1"/>
  <c r="P319" i="20"/>
  <c r="M319" i="20"/>
  <c r="N319" i="20" s="1"/>
  <c r="L319" i="20"/>
  <c r="G319" i="20"/>
  <c r="H319" i="20" s="1"/>
  <c r="F319" i="20"/>
  <c r="D319" i="20"/>
  <c r="C319" i="20"/>
  <c r="B319" i="20"/>
  <c r="I319" i="20" s="1"/>
  <c r="AQ318" i="20"/>
  <c r="AR318" i="20" s="1"/>
  <c r="AP318" i="20"/>
  <c r="AI318" i="20"/>
  <c r="AJ318" i="20" s="1"/>
  <c r="AH318" i="20"/>
  <c r="AE318" i="20"/>
  <c r="AF318" i="20" s="1"/>
  <c r="AD318" i="20"/>
  <c r="AA318" i="20"/>
  <c r="AB318" i="20" s="1"/>
  <c r="Z318" i="20"/>
  <c r="W318" i="20"/>
  <c r="X318" i="20" s="1"/>
  <c r="V318" i="20"/>
  <c r="Q318" i="20"/>
  <c r="R318" i="20" s="1"/>
  <c r="M318" i="20"/>
  <c r="N318" i="20" s="1"/>
  <c r="T318" i="20" s="1"/>
  <c r="L318" i="20"/>
  <c r="G318" i="20"/>
  <c r="H318" i="20" s="1"/>
  <c r="F318" i="20"/>
  <c r="C318" i="20"/>
  <c r="D318" i="20" s="1"/>
  <c r="B318" i="20"/>
  <c r="AQ317" i="20"/>
  <c r="AS317" i="20" s="1"/>
  <c r="AP317" i="20"/>
  <c r="AI317" i="20"/>
  <c r="AJ317" i="20" s="1"/>
  <c r="AH317" i="20"/>
  <c r="AE317" i="20"/>
  <c r="AF317" i="20" s="1"/>
  <c r="AD317" i="20"/>
  <c r="AA317" i="20"/>
  <c r="AB317" i="20" s="1"/>
  <c r="Z317" i="20"/>
  <c r="X317" i="20"/>
  <c r="W317" i="20"/>
  <c r="V317" i="20"/>
  <c r="Q317" i="20"/>
  <c r="R317" i="20" s="1"/>
  <c r="T317" i="20" s="1"/>
  <c r="P317" i="20"/>
  <c r="M317" i="20"/>
  <c r="N317" i="20" s="1"/>
  <c r="L317" i="20"/>
  <c r="S317" i="20" s="1"/>
  <c r="H317" i="20"/>
  <c r="G317" i="20"/>
  <c r="F317" i="20"/>
  <c r="D317" i="20"/>
  <c r="J317" i="20" s="1"/>
  <c r="C317" i="20"/>
  <c r="B317" i="20"/>
  <c r="AQ316" i="20"/>
  <c r="AR316" i="20" s="1"/>
  <c r="AI316" i="20"/>
  <c r="AJ316" i="20" s="1"/>
  <c r="AH316" i="20"/>
  <c r="AE316" i="20"/>
  <c r="AF316" i="20" s="1"/>
  <c r="AD316" i="20"/>
  <c r="AA316" i="20"/>
  <c r="AB316" i="20" s="1"/>
  <c r="Z316" i="20"/>
  <c r="W316" i="20"/>
  <c r="X316" i="20" s="1"/>
  <c r="V316" i="20"/>
  <c r="Q316" i="20"/>
  <c r="R316" i="20" s="1"/>
  <c r="P316" i="20"/>
  <c r="M316" i="20"/>
  <c r="N316" i="20" s="1"/>
  <c r="T316" i="20" s="1"/>
  <c r="L316" i="20"/>
  <c r="G316" i="20"/>
  <c r="H316" i="20" s="1"/>
  <c r="F316" i="20"/>
  <c r="C316" i="20"/>
  <c r="D316" i="20" s="1"/>
  <c r="B316" i="20"/>
  <c r="I316" i="20" s="1"/>
  <c r="AQ315" i="20"/>
  <c r="AS315" i="20" s="1"/>
  <c r="AP315" i="20"/>
  <c r="AI315" i="20"/>
  <c r="AJ315" i="20" s="1"/>
  <c r="AH315" i="20"/>
  <c r="AF315" i="20"/>
  <c r="AE315" i="20"/>
  <c r="AD315" i="20"/>
  <c r="AB315" i="20"/>
  <c r="AA315" i="20"/>
  <c r="Z315" i="20"/>
  <c r="W315" i="20"/>
  <c r="X315" i="20" s="1"/>
  <c r="Q315" i="20"/>
  <c r="R315" i="20" s="1"/>
  <c r="M315" i="20"/>
  <c r="N315" i="20" s="1"/>
  <c r="L315" i="20"/>
  <c r="G315" i="20"/>
  <c r="H315" i="20" s="1"/>
  <c r="F315" i="20"/>
  <c r="D315" i="20"/>
  <c r="C315" i="20"/>
  <c r="AQ314" i="20"/>
  <c r="AP314" i="20"/>
  <c r="AI314" i="20"/>
  <c r="AJ314" i="20" s="1"/>
  <c r="AH314" i="20"/>
  <c r="AE314" i="20"/>
  <c r="AF314" i="20" s="1"/>
  <c r="AD314" i="20"/>
  <c r="AA314" i="20"/>
  <c r="AB314" i="20" s="1"/>
  <c r="W314" i="20"/>
  <c r="X314" i="20" s="1"/>
  <c r="V314" i="20"/>
  <c r="Q314" i="20"/>
  <c r="R314" i="20" s="1"/>
  <c r="P314" i="20"/>
  <c r="M314" i="20"/>
  <c r="N314" i="20" s="1"/>
  <c r="L314" i="20"/>
  <c r="G314" i="20"/>
  <c r="H314" i="20" s="1"/>
  <c r="F314" i="20"/>
  <c r="C314" i="20"/>
  <c r="D314" i="20" s="1"/>
  <c r="AQ313" i="20"/>
  <c r="AR313" i="20" s="1"/>
  <c r="AI313" i="20"/>
  <c r="AJ313" i="20" s="1"/>
  <c r="AH313" i="20"/>
  <c r="AF313" i="20"/>
  <c r="AE313" i="20"/>
  <c r="AA313" i="20"/>
  <c r="AB313" i="20" s="1"/>
  <c r="X313" i="20"/>
  <c r="W313" i="20"/>
  <c r="Q313" i="20"/>
  <c r="R313" i="20" s="1"/>
  <c r="P313" i="20"/>
  <c r="N313" i="20"/>
  <c r="M313" i="20"/>
  <c r="G313" i="20"/>
  <c r="H313" i="20" s="1"/>
  <c r="C313" i="20"/>
  <c r="D313" i="20" s="1"/>
  <c r="B313" i="20"/>
  <c r="AS312" i="20"/>
  <c r="AQ312" i="20"/>
  <c r="AR312" i="20" s="1"/>
  <c r="AP312" i="20"/>
  <c r="AI312" i="20"/>
  <c r="AJ312" i="20" s="1"/>
  <c r="AH312" i="20"/>
  <c r="AE312" i="20"/>
  <c r="AF312" i="20" s="1"/>
  <c r="AD312" i="20"/>
  <c r="AA312" i="20"/>
  <c r="AB312" i="20" s="1"/>
  <c r="Z312" i="20"/>
  <c r="W312" i="20"/>
  <c r="X312" i="20" s="1"/>
  <c r="V312" i="20"/>
  <c r="T312" i="20"/>
  <c r="Q312" i="20"/>
  <c r="R312" i="20" s="1"/>
  <c r="P312" i="20"/>
  <c r="M312" i="20"/>
  <c r="N312" i="20" s="1"/>
  <c r="L312" i="20"/>
  <c r="G312" i="20"/>
  <c r="H312" i="20" s="1"/>
  <c r="F312" i="20"/>
  <c r="C312" i="20"/>
  <c r="D312" i="20" s="1"/>
  <c r="J312" i="20" s="1"/>
  <c r="B312" i="20"/>
  <c r="AQ311" i="20"/>
  <c r="AR311" i="20" s="1"/>
  <c r="AP311" i="20"/>
  <c r="AJ311" i="20"/>
  <c r="AI311" i="20"/>
  <c r="AH311" i="20"/>
  <c r="AF311" i="20"/>
  <c r="AE311" i="20"/>
  <c r="AD311" i="20"/>
  <c r="AA311" i="20"/>
  <c r="AB311" i="20" s="1"/>
  <c r="Z311" i="20"/>
  <c r="W311" i="20"/>
  <c r="X311" i="20" s="1"/>
  <c r="V311" i="20"/>
  <c r="Q311" i="20"/>
  <c r="R311" i="20" s="1"/>
  <c r="P311" i="20"/>
  <c r="N311" i="20"/>
  <c r="M311" i="20"/>
  <c r="L311" i="20"/>
  <c r="H311" i="20"/>
  <c r="G311" i="20"/>
  <c r="F311" i="20"/>
  <c r="C311" i="20"/>
  <c r="D311" i="20" s="1"/>
  <c r="J311" i="20" s="1"/>
  <c r="B311" i="20"/>
  <c r="I311" i="20" s="1"/>
  <c r="AQ310" i="20"/>
  <c r="AR310" i="20" s="1"/>
  <c r="AP310" i="20"/>
  <c r="AI310" i="20"/>
  <c r="AJ310" i="20" s="1"/>
  <c r="AH310" i="20"/>
  <c r="AE310" i="20"/>
  <c r="AF310" i="20" s="1"/>
  <c r="AD310" i="20"/>
  <c r="AA310" i="20"/>
  <c r="AB310" i="20" s="1"/>
  <c r="Z310" i="20"/>
  <c r="W310" i="20"/>
  <c r="X310" i="20" s="1"/>
  <c r="AL310" i="20" s="1"/>
  <c r="V310" i="20"/>
  <c r="Q310" i="20"/>
  <c r="R310" i="20" s="1"/>
  <c r="P310" i="20"/>
  <c r="M310" i="20"/>
  <c r="N310" i="20" s="1"/>
  <c r="L310" i="20"/>
  <c r="G310" i="20"/>
  <c r="H310" i="20" s="1"/>
  <c r="F310" i="20"/>
  <c r="C310" i="20"/>
  <c r="D310" i="20" s="1"/>
  <c r="B310" i="20"/>
  <c r="AQ309" i="20"/>
  <c r="AS309" i="20" s="1"/>
  <c r="AP309" i="20"/>
  <c r="AJ309" i="20"/>
  <c r="AI309" i="20"/>
  <c r="AH309" i="20"/>
  <c r="AF309" i="20"/>
  <c r="AE309" i="20"/>
  <c r="AD309" i="20"/>
  <c r="AA309" i="20"/>
  <c r="AB309" i="20" s="1"/>
  <c r="Z309" i="20"/>
  <c r="W309" i="20"/>
  <c r="X309" i="20" s="1"/>
  <c r="V309" i="20"/>
  <c r="AK309" i="20" s="1"/>
  <c r="Q309" i="20"/>
  <c r="R309" i="20" s="1"/>
  <c r="P309" i="20"/>
  <c r="N309" i="20"/>
  <c r="T309" i="20" s="1"/>
  <c r="M309" i="20"/>
  <c r="L309" i="20"/>
  <c r="S309" i="20" s="1"/>
  <c r="H309" i="20"/>
  <c r="G309" i="20"/>
  <c r="F309" i="20"/>
  <c r="C309" i="20"/>
  <c r="D309" i="20" s="1"/>
  <c r="J309" i="20" s="1"/>
  <c r="B309" i="20"/>
  <c r="I309" i="20" s="1"/>
  <c r="AQ308" i="20"/>
  <c r="AR308" i="20" s="1"/>
  <c r="AI308" i="20"/>
  <c r="AJ308" i="20" s="1"/>
  <c r="AE308" i="20"/>
  <c r="AF308" i="20" s="1"/>
  <c r="AD308" i="20"/>
  <c r="AA308" i="20"/>
  <c r="AB308" i="20" s="1"/>
  <c r="Z308" i="20"/>
  <c r="W308" i="20"/>
  <c r="X308" i="20" s="1"/>
  <c r="V308" i="20"/>
  <c r="Q308" i="20"/>
  <c r="R308" i="20" s="1"/>
  <c r="P308" i="20"/>
  <c r="M308" i="20"/>
  <c r="N308" i="20" s="1"/>
  <c r="T308" i="20" s="1"/>
  <c r="L308" i="20"/>
  <c r="I308" i="20"/>
  <c r="G308" i="20"/>
  <c r="H308" i="20" s="1"/>
  <c r="F308" i="20"/>
  <c r="C308" i="20"/>
  <c r="D308" i="20" s="1"/>
  <c r="B308" i="20"/>
  <c r="AS307" i="20"/>
  <c r="AR307" i="20"/>
  <c r="AQ307" i="20"/>
  <c r="AP307" i="20"/>
  <c r="AJ307" i="20"/>
  <c r="AI307" i="20"/>
  <c r="AH307" i="20"/>
  <c r="AE307" i="20"/>
  <c r="AF307" i="20" s="1"/>
  <c r="AD307" i="20"/>
  <c r="AA307" i="20"/>
  <c r="AB307" i="20" s="1"/>
  <c r="AL307" i="20" s="1"/>
  <c r="Z307" i="20"/>
  <c r="X307" i="20"/>
  <c r="W307" i="20"/>
  <c r="V307" i="20"/>
  <c r="R307" i="20"/>
  <c r="Q307" i="20"/>
  <c r="M307" i="20"/>
  <c r="N307" i="20" s="1"/>
  <c r="T307" i="20" s="1"/>
  <c r="L307" i="20"/>
  <c r="G307" i="20"/>
  <c r="H307" i="20" s="1"/>
  <c r="F307" i="20"/>
  <c r="C307" i="20"/>
  <c r="D307" i="20" s="1"/>
  <c r="AQ306" i="20"/>
  <c r="AR306" i="20" s="1"/>
  <c r="AP306" i="20"/>
  <c r="AI306" i="20"/>
  <c r="AJ306" i="20" s="1"/>
  <c r="AE306" i="20"/>
  <c r="AF306" i="20" s="1"/>
  <c r="AD306" i="20"/>
  <c r="AA306" i="20"/>
  <c r="AB306" i="20" s="1"/>
  <c r="W306" i="20"/>
  <c r="X306" i="20" s="1"/>
  <c r="V306" i="20"/>
  <c r="Q306" i="20"/>
  <c r="R306" i="20" s="1"/>
  <c r="P306" i="20"/>
  <c r="S306" i="20" s="1"/>
  <c r="M306" i="20"/>
  <c r="N306" i="20" s="1"/>
  <c r="L306" i="20"/>
  <c r="G306" i="20"/>
  <c r="H306" i="20" s="1"/>
  <c r="F306" i="20"/>
  <c r="C306" i="20"/>
  <c r="D306" i="20" s="1"/>
  <c r="AQ305" i="20"/>
  <c r="AR305" i="20" s="1"/>
  <c r="AP305" i="20"/>
  <c r="AJ305" i="20"/>
  <c r="AI305" i="20"/>
  <c r="AH305" i="20"/>
  <c r="AF305" i="20"/>
  <c r="AE305" i="20"/>
  <c r="AA305" i="20"/>
  <c r="AB305" i="20" s="1"/>
  <c r="Z305" i="20"/>
  <c r="X305" i="20"/>
  <c r="W305" i="20"/>
  <c r="Q305" i="20"/>
  <c r="R305" i="20" s="1"/>
  <c r="P305" i="20"/>
  <c r="M305" i="20"/>
  <c r="N305" i="20" s="1"/>
  <c r="H305" i="20"/>
  <c r="G305" i="20"/>
  <c r="C305" i="20"/>
  <c r="D305" i="20" s="1"/>
  <c r="B305" i="20"/>
  <c r="AQ304" i="20"/>
  <c r="AR304" i="20" s="1"/>
  <c r="AI304" i="20"/>
  <c r="AJ304" i="20" s="1"/>
  <c r="AE304" i="20"/>
  <c r="AF304" i="20" s="1"/>
  <c r="AD304" i="20"/>
  <c r="AA304" i="20"/>
  <c r="AB304" i="20" s="1"/>
  <c r="W304" i="20"/>
  <c r="X304" i="20" s="1"/>
  <c r="V304" i="20"/>
  <c r="Q304" i="20"/>
  <c r="R304" i="20" s="1"/>
  <c r="P304" i="20"/>
  <c r="M304" i="20"/>
  <c r="N304" i="20" s="1"/>
  <c r="L304" i="20"/>
  <c r="G304" i="20"/>
  <c r="H304" i="20" s="1"/>
  <c r="F304" i="20"/>
  <c r="C304" i="20"/>
  <c r="D304" i="20" s="1"/>
  <c r="B304" i="20"/>
  <c r="I304" i="20" s="1"/>
  <c r="AS303" i="20"/>
  <c r="AQ303" i="20"/>
  <c r="AR303" i="20" s="1"/>
  <c r="AP303" i="20"/>
  <c r="AJ303" i="20"/>
  <c r="AI303" i="20"/>
  <c r="AH303" i="20"/>
  <c r="AE303" i="20"/>
  <c r="AF303" i="20" s="1"/>
  <c r="AA303" i="20"/>
  <c r="AB303" i="20" s="1"/>
  <c r="Z303" i="20"/>
  <c r="X303" i="20"/>
  <c r="W303" i="20"/>
  <c r="V303" i="20"/>
  <c r="R303" i="20"/>
  <c r="Q303" i="20"/>
  <c r="P303" i="20"/>
  <c r="M303" i="20"/>
  <c r="N303" i="20" s="1"/>
  <c r="T303" i="20" s="1"/>
  <c r="L303" i="20"/>
  <c r="H303" i="20"/>
  <c r="G303" i="20"/>
  <c r="F303" i="20"/>
  <c r="D303" i="20"/>
  <c r="J303" i="20" s="1"/>
  <c r="C303" i="20"/>
  <c r="B303" i="20"/>
  <c r="AQ302" i="20"/>
  <c r="AP302" i="20"/>
  <c r="AI302" i="20"/>
  <c r="AJ302" i="20" s="1"/>
  <c r="AH302" i="20"/>
  <c r="AE302" i="20"/>
  <c r="AF302" i="20" s="1"/>
  <c r="AD302" i="20"/>
  <c r="AA302" i="20"/>
  <c r="AB302" i="20" s="1"/>
  <c r="Z302" i="20"/>
  <c r="W302" i="20"/>
  <c r="X302" i="20" s="1"/>
  <c r="AL302" i="20" s="1"/>
  <c r="V302" i="20"/>
  <c r="R302" i="20"/>
  <c r="Q302" i="20"/>
  <c r="P302" i="20"/>
  <c r="M302" i="20"/>
  <c r="N302" i="20" s="1"/>
  <c r="L302" i="20"/>
  <c r="G302" i="20"/>
  <c r="H302" i="20" s="1"/>
  <c r="F302" i="20"/>
  <c r="C302" i="20"/>
  <c r="D302" i="20" s="1"/>
  <c r="B302" i="20"/>
  <c r="AR301" i="20"/>
  <c r="AQ301" i="20"/>
  <c r="AS301" i="20" s="1"/>
  <c r="AP301" i="20"/>
  <c r="AI301" i="20"/>
  <c r="AJ301" i="20" s="1"/>
  <c r="AH301" i="20"/>
  <c r="AE301" i="20"/>
  <c r="AF301" i="20" s="1"/>
  <c r="AD301" i="20"/>
  <c r="AA301" i="20"/>
  <c r="AB301" i="20" s="1"/>
  <c r="Z301" i="20"/>
  <c r="W301" i="20"/>
  <c r="X301" i="20" s="1"/>
  <c r="V301" i="20"/>
  <c r="Q301" i="20"/>
  <c r="R301" i="20" s="1"/>
  <c r="P301" i="20"/>
  <c r="M301" i="20"/>
  <c r="N301" i="20" s="1"/>
  <c r="L301" i="20"/>
  <c r="S301" i="20" s="1"/>
  <c r="G301" i="20"/>
  <c r="H301" i="20" s="1"/>
  <c r="F301" i="20"/>
  <c r="C301" i="20"/>
  <c r="D301" i="20" s="1"/>
  <c r="B301" i="20"/>
  <c r="I301" i="20" s="1"/>
  <c r="AQ300" i="20"/>
  <c r="AP300" i="20"/>
  <c r="AI300" i="20"/>
  <c r="AJ300" i="20" s="1"/>
  <c r="AH300" i="20"/>
  <c r="AE300" i="20"/>
  <c r="AF300" i="20" s="1"/>
  <c r="AD300" i="20"/>
  <c r="AA300" i="20"/>
  <c r="AB300" i="20" s="1"/>
  <c r="Z300" i="20"/>
  <c r="W300" i="20"/>
  <c r="X300" i="20" s="1"/>
  <c r="V300" i="20"/>
  <c r="Q300" i="20"/>
  <c r="R300" i="20" s="1"/>
  <c r="P300" i="20"/>
  <c r="S300" i="20" s="1"/>
  <c r="M300" i="20"/>
  <c r="N300" i="20" s="1"/>
  <c r="L300" i="20"/>
  <c r="G300" i="20"/>
  <c r="H300" i="20" s="1"/>
  <c r="F300" i="20"/>
  <c r="D300" i="20"/>
  <c r="C300" i="20"/>
  <c r="B300" i="20"/>
  <c r="AQ299" i="20"/>
  <c r="AS299" i="20" s="1"/>
  <c r="AP299" i="20"/>
  <c r="AJ299" i="20"/>
  <c r="AI299" i="20"/>
  <c r="AH299" i="20"/>
  <c r="AE299" i="20"/>
  <c r="AF299" i="20" s="1"/>
  <c r="AD299" i="20"/>
  <c r="AB299" i="20"/>
  <c r="AA299" i="20"/>
  <c r="Z299" i="20"/>
  <c r="W299" i="20"/>
  <c r="X299" i="20" s="1"/>
  <c r="V299" i="20"/>
  <c r="Q299" i="20"/>
  <c r="R299" i="20" s="1"/>
  <c r="M299" i="20"/>
  <c r="N299" i="20" s="1"/>
  <c r="T299" i="20" s="1"/>
  <c r="L299" i="20"/>
  <c r="H299" i="20"/>
  <c r="G299" i="20"/>
  <c r="F299" i="20"/>
  <c r="C299" i="20"/>
  <c r="D299" i="20" s="1"/>
  <c r="AQ298" i="20"/>
  <c r="AR298" i="20" s="1"/>
  <c r="AP298" i="20"/>
  <c r="AI298" i="20"/>
  <c r="AJ298" i="20" s="1"/>
  <c r="AE298" i="20"/>
  <c r="AF298" i="20" s="1"/>
  <c r="AD298" i="20"/>
  <c r="AA298" i="20"/>
  <c r="AB298" i="20" s="1"/>
  <c r="Z298" i="20"/>
  <c r="W298" i="20"/>
  <c r="X298" i="20" s="1"/>
  <c r="V298" i="20"/>
  <c r="Q298" i="20"/>
  <c r="R298" i="20" s="1"/>
  <c r="N298" i="20"/>
  <c r="M298" i="20"/>
  <c r="L298" i="20"/>
  <c r="G298" i="20"/>
  <c r="H298" i="20" s="1"/>
  <c r="F298" i="20"/>
  <c r="C298" i="20"/>
  <c r="D298" i="20" s="1"/>
  <c r="AQ297" i="20"/>
  <c r="AI297" i="20"/>
  <c r="AJ297" i="20" s="1"/>
  <c r="AH297" i="20"/>
  <c r="AE297" i="20"/>
  <c r="AF297" i="20" s="1"/>
  <c r="AA297" i="20"/>
  <c r="AB297" i="20" s="1"/>
  <c r="X297" i="20"/>
  <c r="W297" i="20"/>
  <c r="V297" i="20"/>
  <c r="Q297" i="20"/>
  <c r="R297" i="20" s="1"/>
  <c r="P297" i="20"/>
  <c r="M297" i="20"/>
  <c r="N297" i="20" s="1"/>
  <c r="L297" i="20"/>
  <c r="S297" i="20" s="1"/>
  <c r="H297" i="20"/>
  <c r="G297" i="20"/>
  <c r="F297" i="20"/>
  <c r="C297" i="20"/>
  <c r="D297" i="20" s="1"/>
  <c r="J297" i="20" s="1"/>
  <c r="B297" i="20"/>
  <c r="AQ296" i="20"/>
  <c r="AR296" i="20" s="1"/>
  <c r="AI296" i="20"/>
  <c r="AJ296" i="20" s="1"/>
  <c r="AH296" i="20"/>
  <c r="AF296" i="20"/>
  <c r="AE296" i="20"/>
  <c r="AD296" i="20"/>
  <c r="AA296" i="20"/>
  <c r="AB296" i="20" s="1"/>
  <c r="W296" i="20"/>
  <c r="X296" i="20" s="1"/>
  <c r="V296" i="20"/>
  <c r="Q296" i="20"/>
  <c r="R296" i="20" s="1"/>
  <c r="P296" i="20"/>
  <c r="M296" i="20"/>
  <c r="N296" i="20" s="1"/>
  <c r="L296" i="20"/>
  <c r="S296" i="20" s="1"/>
  <c r="G296" i="20"/>
  <c r="H296" i="20" s="1"/>
  <c r="F296" i="20"/>
  <c r="C296" i="20"/>
  <c r="D296" i="20" s="1"/>
  <c r="B296" i="20"/>
  <c r="AS295" i="20"/>
  <c r="AQ295" i="20"/>
  <c r="AR295" i="20" s="1"/>
  <c r="AP295" i="20"/>
  <c r="AJ295" i="20"/>
  <c r="AI295" i="20"/>
  <c r="AH295" i="20"/>
  <c r="AE295" i="20"/>
  <c r="AF295" i="20" s="1"/>
  <c r="AD295" i="20"/>
  <c r="AB295" i="20"/>
  <c r="AA295" i="20"/>
  <c r="Z295" i="20"/>
  <c r="W295" i="20"/>
  <c r="X295" i="20" s="1"/>
  <c r="V295" i="20"/>
  <c r="Q295" i="20"/>
  <c r="R295" i="20" s="1"/>
  <c r="P295" i="20"/>
  <c r="M295" i="20"/>
  <c r="N295" i="20" s="1"/>
  <c r="T295" i="20" s="1"/>
  <c r="L295" i="20"/>
  <c r="H295" i="20"/>
  <c r="G295" i="20"/>
  <c r="F295" i="20"/>
  <c r="C295" i="20"/>
  <c r="D295" i="20" s="1"/>
  <c r="J295" i="20" s="1"/>
  <c r="B295" i="20"/>
  <c r="AQ294" i="20"/>
  <c r="AP294" i="20"/>
  <c r="AI294" i="20"/>
  <c r="AJ294" i="20" s="1"/>
  <c r="AH294" i="20"/>
  <c r="AE294" i="20"/>
  <c r="AF294" i="20" s="1"/>
  <c r="AD294" i="20"/>
  <c r="AA294" i="20"/>
  <c r="AB294" i="20" s="1"/>
  <c r="Z294" i="20"/>
  <c r="W294" i="20"/>
  <c r="X294" i="20" s="1"/>
  <c r="V294" i="20"/>
  <c r="R294" i="20"/>
  <c r="Q294" i="20"/>
  <c r="M294" i="20"/>
  <c r="N294" i="20" s="1"/>
  <c r="T294" i="20" s="1"/>
  <c r="L294" i="20"/>
  <c r="J294" i="20"/>
  <c r="G294" i="20"/>
  <c r="H294" i="20" s="1"/>
  <c r="F294" i="20"/>
  <c r="C294" i="20"/>
  <c r="D294" i="20" s="1"/>
  <c r="B294" i="20"/>
  <c r="AQ293" i="20"/>
  <c r="AS293" i="20" s="1"/>
  <c r="AP293" i="20"/>
  <c r="AJ293" i="20"/>
  <c r="AI293" i="20"/>
  <c r="AH293" i="20"/>
  <c r="AE293" i="20"/>
  <c r="AF293" i="20" s="1"/>
  <c r="AD293" i="20"/>
  <c r="AA293" i="20"/>
  <c r="AB293" i="20" s="1"/>
  <c r="Z293" i="20"/>
  <c r="W293" i="20"/>
  <c r="X293" i="20" s="1"/>
  <c r="V293" i="20"/>
  <c r="R293" i="20"/>
  <c r="Q293" i="20"/>
  <c r="P293" i="20"/>
  <c r="M293" i="20"/>
  <c r="N293" i="20" s="1"/>
  <c r="T293" i="20" s="1"/>
  <c r="L293" i="20"/>
  <c r="G293" i="20"/>
  <c r="H293" i="20" s="1"/>
  <c r="F293" i="20"/>
  <c r="D293" i="20"/>
  <c r="J293" i="20" s="1"/>
  <c r="C293" i="20"/>
  <c r="B293" i="20"/>
  <c r="AQ292" i="20"/>
  <c r="AS292" i="20" s="1"/>
  <c r="AP292" i="20"/>
  <c r="AI292" i="20"/>
  <c r="AJ292" i="20" s="1"/>
  <c r="AH292" i="20"/>
  <c r="AE292" i="20"/>
  <c r="AF292" i="20" s="1"/>
  <c r="AD292" i="20"/>
  <c r="AB292" i="20"/>
  <c r="AA292" i="20"/>
  <c r="Z292" i="20"/>
  <c r="W292" i="20"/>
  <c r="X292" i="20" s="1"/>
  <c r="V292" i="20"/>
  <c r="Q292" i="20"/>
  <c r="R292" i="20" s="1"/>
  <c r="P292" i="20"/>
  <c r="M292" i="20"/>
  <c r="N292" i="20" s="1"/>
  <c r="L292" i="20"/>
  <c r="G292" i="20"/>
  <c r="H292" i="20" s="1"/>
  <c r="F292" i="20"/>
  <c r="C292" i="20"/>
  <c r="D292" i="20" s="1"/>
  <c r="J292" i="20" s="1"/>
  <c r="B292" i="20"/>
  <c r="AQ291" i="20"/>
  <c r="AP291" i="20"/>
  <c r="AJ291" i="20"/>
  <c r="AI291" i="20"/>
  <c r="AH291" i="20"/>
  <c r="AE291" i="20"/>
  <c r="AF291" i="20" s="1"/>
  <c r="AD291" i="20"/>
  <c r="AB291" i="20"/>
  <c r="AA291" i="20"/>
  <c r="Z291" i="20"/>
  <c r="W291" i="20"/>
  <c r="X291" i="20" s="1"/>
  <c r="V291" i="20"/>
  <c r="Q291" i="20"/>
  <c r="R291" i="20" s="1"/>
  <c r="P291" i="20"/>
  <c r="N291" i="20"/>
  <c r="T291" i="20" s="1"/>
  <c r="M291" i="20"/>
  <c r="L291" i="20"/>
  <c r="G291" i="20"/>
  <c r="H291" i="20" s="1"/>
  <c r="J291" i="20" s="1"/>
  <c r="F291" i="20"/>
  <c r="D291" i="20"/>
  <c r="C291" i="20"/>
  <c r="AS290" i="20"/>
  <c r="AQ290" i="20"/>
  <c r="AR290" i="20" s="1"/>
  <c r="AP290" i="20"/>
  <c r="AI290" i="20"/>
  <c r="AJ290" i="20" s="1"/>
  <c r="AE290" i="20"/>
  <c r="AF290" i="20" s="1"/>
  <c r="AD290" i="20"/>
  <c r="AA290" i="20"/>
  <c r="AB290" i="20" s="1"/>
  <c r="W290" i="20"/>
  <c r="X290" i="20" s="1"/>
  <c r="V290" i="20"/>
  <c r="Q290" i="20"/>
  <c r="R290" i="20" s="1"/>
  <c r="P290" i="20"/>
  <c r="M290" i="20"/>
  <c r="N290" i="20" s="1"/>
  <c r="T290" i="20" s="1"/>
  <c r="L290" i="20"/>
  <c r="G290" i="20"/>
  <c r="H290" i="20" s="1"/>
  <c r="F290" i="20"/>
  <c r="C290" i="20"/>
  <c r="D290" i="20" s="1"/>
  <c r="AQ289" i="20"/>
  <c r="AI289" i="20"/>
  <c r="AJ289" i="20" s="1"/>
  <c r="AH289" i="20"/>
  <c r="AE289" i="20"/>
  <c r="AF289" i="20" s="1"/>
  <c r="AA289" i="20"/>
  <c r="AB289" i="20" s="1"/>
  <c r="Z289" i="20"/>
  <c r="W289" i="20"/>
  <c r="X289" i="20" s="1"/>
  <c r="R289" i="20"/>
  <c r="Q289" i="20"/>
  <c r="P289" i="20"/>
  <c r="N289" i="20"/>
  <c r="M289" i="20"/>
  <c r="G289" i="20"/>
  <c r="H289" i="20" s="1"/>
  <c r="J289" i="20" s="1"/>
  <c r="C289" i="20"/>
  <c r="D289" i="20" s="1"/>
  <c r="B289" i="20"/>
  <c r="AQ288" i="20"/>
  <c r="AR288" i="20" s="1"/>
  <c r="AS288" i="20"/>
  <c r="AI288" i="20"/>
  <c r="AJ288" i="20" s="1"/>
  <c r="AH288" i="20"/>
  <c r="AE288" i="20"/>
  <c r="AF288" i="20" s="1"/>
  <c r="AD288" i="20"/>
  <c r="AA288" i="20"/>
  <c r="AB288" i="20" s="1"/>
  <c r="W288" i="20"/>
  <c r="X288" i="20" s="1"/>
  <c r="V288" i="20"/>
  <c r="Q288" i="20"/>
  <c r="R288" i="20" s="1"/>
  <c r="P288" i="20"/>
  <c r="M288" i="20"/>
  <c r="N288" i="20" s="1"/>
  <c r="T288" i="20" s="1"/>
  <c r="L288" i="20"/>
  <c r="G288" i="20"/>
  <c r="H288" i="20" s="1"/>
  <c r="F288" i="20"/>
  <c r="C288" i="20"/>
  <c r="D288" i="20" s="1"/>
  <c r="B288" i="20"/>
  <c r="AR287" i="20"/>
  <c r="AQ287" i="20"/>
  <c r="AS287" i="20" s="1"/>
  <c r="AP287" i="20"/>
  <c r="AI287" i="20"/>
  <c r="AJ287" i="20" s="1"/>
  <c r="AH287" i="20"/>
  <c r="AF287" i="20"/>
  <c r="AE287" i="20"/>
  <c r="AD287" i="20"/>
  <c r="AB287" i="20"/>
  <c r="AA287" i="20"/>
  <c r="Z287" i="20"/>
  <c r="X287" i="20"/>
  <c r="W287" i="20"/>
  <c r="V287" i="20"/>
  <c r="Q287" i="20"/>
  <c r="R287" i="20" s="1"/>
  <c r="P287" i="20"/>
  <c r="M287" i="20"/>
  <c r="N287" i="20" s="1"/>
  <c r="L287" i="20"/>
  <c r="S287" i="20" s="1"/>
  <c r="H287" i="20"/>
  <c r="G287" i="20"/>
  <c r="F287" i="20"/>
  <c r="C287" i="20"/>
  <c r="D287" i="20" s="1"/>
  <c r="J287" i="20" s="1"/>
  <c r="B287" i="20"/>
  <c r="I287" i="20" s="1"/>
  <c r="AQ286" i="20"/>
  <c r="AS286" i="20" s="1"/>
  <c r="AP286" i="20"/>
  <c r="AI286" i="20"/>
  <c r="AJ286" i="20" s="1"/>
  <c r="AH286" i="20"/>
  <c r="AE286" i="20"/>
  <c r="AF286" i="20" s="1"/>
  <c r="AD286" i="20"/>
  <c r="AA286" i="20"/>
  <c r="AB286" i="20" s="1"/>
  <c r="Z286" i="20"/>
  <c r="W286" i="20"/>
  <c r="X286" i="20" s="1"/>
  <c r="V286" i="20"/>
  <c r="R286" i="20"/>
  <c r="Q286" i="20"/>
  <c r="M286" i="20"/>
  <c r="N286" i="20" s="1"/>
  <c r="L286" i="20"/>
  <c r="G286" i="20"/>
  <c r="H286" i="20" s="1"/>
  <c r="F286" i="20"/>
  <c r="C286" i="20"/>
  <c r="D286" i="20" s="1"/>
  <c r="B286" i="20"/>
  <c r="AR285" i="20"/>
  <c r="AQ285" i="20"/>
  <c r="AS285" i="20" s="1"/>
  <c r="AP285" i="20"/>
  <c r="AJ285" i="20"/>
  <c r="AI285" i="20"/>
  <c r="AH285" i="20"/>
  <c r="AE285" i="20"/>
  <c r="AF285" i="20" s="1"/>
  <c r="AD285" i="20"/>
  <c r="AA285" i="20"/>
  <c r="AB285" i="20" s="1"/>
  <c r="Z285" i="20"/>
  <c r="W285" i="20"/>
  <c r="X285" i="20" s="1"/>
  <c r="V285" i="20"/>
  <c r="R285" i="20"/>
  <c r="Q285" i="20"/>
  <c r="P285" i="20"/>
  <c r="M285" i="20"/>
  <c r="N285" i="20" s="1"/>
  <c r="T285" i="20" s="1"/>
  <c r="L285" i="20"/>
  <c r="H285" i="20"/>
  <c r="G285" i="20"/>
  <c r="F285" i="20"/>
  <c r="C285" i="20"/>
  <c r="D285" i="20" s="1"/>
  <c r="B285" i="20"/>
  <c r="AS284" i="20"/>
  <c r="AQ284" i="20"/>
  <c r="AR284" i="20" s="1"/>
  <c r="AP284" i="20"/>
  <c r="AI284" i="20"/>
  <c r="AJ284" i="20" s="1"/>
  <c r="AH284" i="20"/>
  <c r="AE284" i="20"/>
  <c r="AF284" i="20" s="1"/>
  <c r="AD284" i="20"/>
  <c r="AA284" i="20"/>
  <c r="AB284" i="20" s="1"/>
  <c r="Z284" i="20"/>
  <c r="W284" i="20"/>
  <c r="X284" i="20" s="1"/>
  <c r="V284" i="20"/>
  <c r="Q284" i="20"/>
  <c r="R284" i="20" s="1"/>
  <c r="P284" i="20"/>
  <c r="M284" i="20"/>
  <c r="N284" i="20" s="1"/>
  <c r="T284" i="20" s="1"/>
  <c r="L284" i="20"/>
  <c r="G284" i="20"/>
  <c r="H284" i="20" s="1"/>
  <c r="F284" i="20"/>
  <c r="C284" i="20"/>
  <c r="D284" i="20" s="1"/>
  <c r="J284" i="20" s="1"/>
  <c r="B284" i="20"/>
  <c r="AQ283" i="20"/>
  <c r="AS283" i="20" s="1"/>
  <c r="AP283" i="20"/>
  <c r="AI283" i="20"/>
  <c r="AJ283" i="20" s="1"/>
  <c r="AH283" i="20"/>
  <c r="AE283" i="20"/>
  <c r="AF283" i="20" s="1"/>
  <c r="AD283" i="20"/>
  <c r="AA283" i="20"/>
  <c r="AB283" i="20" s="1"/>
  <c r="Z283" i="20"/>
  <c r="W283" i="20"/>
  <c r="X283" i="20" s="1"/>
  <c r="AL283" i="20" s="1"/>
  <c r="V283" i="20"/>
  <c r="Q283" i="20"/>
  <c r="R283" i="20" s="1"/>
  <c r="P283" i="20"/>
  <c r="M283" i="20"/>
  <c r="N283" i="20" s="1"/>
  <c r="L283" i="20"/>
  <c r="H283" i="20"/>
  <c r="G283" i="20"/>
  <c r="F283" i="20"/>
  <c r="C283" i="20"/>
  <c r="D283" i="20" s="1"/>
  <c r="J283" i="20" s="1"/>
  <c r="B283" i="20"/>
  <c r="I283" i="20" s="1"/>
  <c r="AQ282" i="20"/>
  <c r="AR282" i="20" s="1"/>
  <c r="AP282" i="20"/>
  <c r="AI282" i="20"/>
  <c r="AJ282" i="20" s="1"/>
  <c r="AE282" i="20"/>
  <c r="AF282" i="20" s="1"/>
  <c r="AD282" i="20"/>
  <c r="AA282" i="20"/>
  <c r="AB282" i="20" s="1"/>
  <c r="W282" i="20"/>
  <c r="X282" i="20" s="1"/>
  <c r="V282" i="20"/>
  <c r="Q282" i="20"/>
  <c r="R282" i="20" s="1"/>
  <c r="M282" i="20"/>
  <c r="N282" i="20" s="1"/>
  <c r="T282" i="20" s="1"/>
  <c r="L282" i="20"/>
  <c r="G282" i="20"/>
  <c r="H282" i="20" s="1"/>
  <c r="F282" i="20"/>
  <c r="C282" i="20"/>
  <c r="D282" i="20" s="1"/>
  <c r="B282" i="20"/>
  <c r="AQ281" i="20"/>
  <c r="AI281" i="20"/>
  <c r="AJ281" i="20" s="1"/>
  <c r="AH281" i="20"/>
  <c r="AE281" i="20"/>
  <c r="AF281" i="20" s="1"/>
  <c r="AA281" i="20"/>
  <c r="AB281" i="20" s="1"/>
  <c r="X281" i="20"/>
  <c r="W281" i="20"/>
  <c r="R281" i="20"/>
  <c r="Q281" i="20"/>
  <c r="P281" i="20"/>
  <c r="M281" i="20"/>
  <c r="N281" i="20" s="1"/>
  <c r="G281" i="20"/>
  <c r="H281" i="20" s="1"/>
  <c r="J281" i="20" s="1"/>
  <c r="C281" i="20"/>
  <c r="D281" i="20" s="1"/>
  <c r="B281" i="20"/>
  <c r="AQ280" i="20"/>
  <c r="AP280" i="20"/>
  <c r="AI280" i="20"/>
  <c r="AJ280" i="20" s="1"/>
  <c r="AH280" i="20"/>
  <c r="AE280" i="20"/>
  <c r="AF280" i="20" s="1"/>
  <c r="AD280" i="20"/>
  <c r="AA280" i="20"/>
  <c r="AB280" i="20" s="1"/>
  <c r="Z280" i="20"/>
  <c r="W280" i="20"/>
  <c r="X280" i="20" s="1"/>
  <c r="V280" i="20"/>
  <c r="Q280" i="20"/>
  <c r="R280" i="20" s="1"/>
  <c r="P280" i="20"/>
  <c r="S280" i="20" s="1"/>
  <c r="M280" i="20"/>
  <c r="N280" i="20" s="1"/>
  <c r="L280" i="20"/>
  <c r="I280" i="20"/>
  <c r="G280" i="20"/>
  <c r="H280" i="20" s="1"/>
  <c r="F280" i="20"/>
  <c r="C280" i="20"/>
  <c r="D280" i="20" s="1"/>
  <c r="B280" i="20"/>
  <c r="AS279" i="20"/>
  <c r="AR279" i="20"/>
  <c r="AQ279" i="20"/>
  <c r="AP279" i="20"/>
  <c r="AJ279" i="20"/>
  <c r="AI279" i="20"/>
  <c r="AH279" i="20"/>
  <c r="AE279" i="20"/>
  <c r="AF279" i="20" s="1"/>
  <c r="AD279" i="20"/>
  <c r="AB279" i="20"/>
  <c r="AA279" i="20"/>
  <c r="Z279" i="20"/>
  <c r="W279" i="20"/>
  <c r="X279" i="20" s="1"/>
  <c r="AL279" i="20" s="1"/>
  <c r="V279" i="20"/>
  <c r="AK279" i="20" s="1"/>
  <c r="Q279" i="20"/>
  <c r="R279" i="20" s="1"/>
  <c r="P279" i="20"/>
  <c r="M279" i="20"/>
  <c r="N279" i="20" s="1"/>
  <c r="T279" i="20" s="1"/>
  <c r="L279" i="20"/>
  <c r="H279" i="20"/>
  <c r="G279" i="20"/>
  <c r="F279" i="20"/>
  <c r="D279" i="20"/>
  <c r="J279" i="20" s="1"/>
  <c r="C279" i="20"/>
  <c r="B279" i="20"/>
  <c r="AQ278" i="20"/>
  <c r="AR278" i="20" s="1"/>
  <c r="AP278" i="20"/>
  <c r="AI278" i="20"/>
  <c r="AJ278" i="20" s="1"/>
  <c r="AH278" i="20"/>
  <c r="AE278" i="20"/>
  <c r="AF278" i="20" s="1"/>
  <c r="AD278" i="20"/>
  <c r="AA278" i="20"/>
  <c r="AB278" i="20" s="1"/>
  <c r="Z278" i="20"/>
  <c r="W278" i="20"/>
  <c r="X278" i="20" s="1"/>
  <c r="V278" i="20"/>
  <c r="R278" i="20"/>
  <c r="Q278" i="20"/>
  <c r="M278" i="20"/>
  <c r="N278" i="20" s="1"/>
  <c r="L278" i="20"/>
  <c r="G278" i="20"/>
  <c r="H278" i="20" s="1"/>
  <c r="F278" i="20"/>
  <c r="C278" i="20"/>
  <c r="D278" i="20" s="1"/>
  <c r="J278" i="20" s="1"/>
  <c r="B278" i="20"/>
  <c r="I278" i="20" s="1"/>
  <c r="AR277" i="20"/>
  <c r="AQ277" i="20"/>
  <c r="AS277" i="20" s="1"/>
  <c r="AP277" i="20"/>
  <c r="AI277" i="20"/>
  <c r="AJ277" i="20" s="1"/>
  <c r="AH277" i="20"/>
  <c r="AE277" i="20"/>
  <c r="AF277" i="20" s="1"/>
  <c r="AD277" i="20"/>
  <c r="AA277" i="20"/>
  <c r="AB277" i="20" s="1"/>
  <c r="Z277" i="20"/>
  <c r="W277" i="20"/>
  <c r="X277" i="20" s="1"/>
  <c r="AL277" i="20" s="1"/>
  <c r="V277" i="20"/>
  <c r="AK277" i="20" s="1"/>
  <c r="Q277" i="20"/>
  <c r="R277" i="20" s="1"/>
  <c r="P277" i="20"/>
  <c r="M277" i="20"/>
  <c r="N277" i="20" s="1"/>
  <c r="T277" i="20" s="1"/>
  <c r="L277" i="20"/>
  <c r="G277" i="20"/>
  <c r="H277" i="20" s="1"/>
  <c r="F277" i="20"/>
  <c r="C277" i="20"/>
  <c r="D277" i="20" s="1"/>
  <c r="B277" i="20"/>
  <c r="AQ276" i="20"/>
  <c r="AR276" i="20" s="1"/>
  <c r="AP276" i="20"/>
  <c r="AJ276" i="20"/>
  <c r="AI276" i="20"/>
  <c r="AH276" i="20"/>
  <c r="AE276" i="20"/>
  <c r="AF276" i="20" s="1"/>
  <c r="AD276" i="20"/>
  <c r="AA276" i="20"/>
  <c r="AB276" i="20" s="1"/>
  <c r="Z276" i="20"/>
  <c r="W276" i="20"/>
  <c r="X276" i="20" s="1"/>
  <c r="V276" i="20"/>
  <c r="Q276" i="20"/>
  <c r="R276" i="20" s="1"/>
  <c r="P276" i="20"/>
  <c r="M276" i="20"/>
  <c r="N276" i="20" s="1"/>
  <c r="T276" i="20" s="1"/>
  <c r="L276" i="20"/>
  <c r="S276" i="20" s="1"/>
  <c r="G276" i="20"/>
  <c r="H276" i="20" s="1"/>
  <c r="F276" i="20"/>
  <c r="C276" i="20"/>
  <c r="D276" i="20" s="1"/>
  <c r="B276" i="20"/>
  <c r="I276" i="20" s="1"/>
  <c r="AQ275" i="20"/>
  <c r="AP275" i="20"/>
  <c r="AI275" i="20"/>
  <c r="AJ275" i="20" s="1"/>
  <c r="AH275" i="20"/>
  <c r="AF275" i="20"/>
  <c r="AE275" i="20"/>
  <c r="AD275" i="20"/>
  <c r="AA275" i="20"/>
  <c r="AB275" i="20" s="1"/>
  <c r="Z275" i="20"/>
  <c r="X275" i="20"/>
  <c r="W275" i="20"/>
  <c r="V275" i="20"/>
  <c r="R275" i="20"/>
  <c r="Q275" i="20"/>
  <c r="M275" i="20"/>
  <c r="N275" i="20" s="1"/>
  <c r="L275" i="20"/>
  <c r="G275" i="20"/>
  <c r="H275" i="20" s="1"/>
  <c r="F275" i="20"/>
  <c r="I275" i="20" s="1"/>
  <c r="C275" i="20"/>
  <c r="D275" i="20" s="1"/>
  <c r="J275" i="20" s="1"/>
  <c r="B275" i="20"/>
  <c r="AS274" i="20"/>
  <c r="AR274" i="20"/>
  <c r="AQ274" i="20"/>
  <c r="AP274" i="20"/>
  <c r="AJ274" i="20"/>
  <c r="AI274" i="20"/>
  <c r="AE274" i="20"/>
  <c r="AF274" i="20" s="1"/>
  <c r="AD274" i="20"/>
  <c r="AB274" i="20"/>
  <c r="AA274" i="20"/>
  <c r="W274" i="20"/>
  <c r="X274" i="20" s="1"/>
  <c r="AL274" i="20" s="1"/>
  <c r="V274" i="20"/>
  <c r="Q274" i="20"/>
  <c r="R274" i="20" s="1"/>
  <c r="M274" i="20"/>
  <c r="N274" i="20" s="1"/>
  <c r="L274" i="20"/>
  <c r="G274" i="20"/>
  <c r="H274" i="20" s="1"/>
  <c r="F274" i="20"/>
  <c r="C274" i="20"/>
  <c r="D274" i="20" s="1"/>
  <c r="B274" i="20"/>
  <c r="AQ273" i="20"/>
  <c r="AR273" i="20" s="1"/>
  <c r="AP273" i="20"/>
  <c r="AI273" i="20"/>
  <c r="AJ273" i="20" s="1"/>
  <c r="AH273" i="20"/>
  <c r="AE273" i="20"/>
  <c r="AF273" i="20" s="1"/>
  <c r="AA273" i="20"/>
  <c r="AB273" i="20" s="1"/>
  <c r="Z273" i="20"/>
  <c r="W273" i="20"/>
  <c r="X273" i="20" s="1"/>
  <c r="Q273" i="20"/>
  <c r="R273" i="20" s="1"/>
  <c r="T273" i="20" s="1"/>
  <c r="P273" i="20"/>
  <c r="M273" i="20"/>
  <c r="N273" i="20" s="1"/>
  <c r="G273" i="20"/>
  <c r="H273" i="20" s="1"/>
  <c r="D273" i="20"/>
  <c r="C273" i="20"/>
  <c r="B273" i="20"/>
  <c r="AQ272" i="20"/>
  <c r="AR272" i="20" s="1"/>
  <c r="AS272" i="20"/>
  <c r="AI272" i="20"/>
  <c r="AJ272" i="20" s="1"/>
  <c r="AH272" i="20"/>
  <c r="AE272" i="20"/>
  <c r="AF272" i="20" s="1"/>
  <c r="AD272" i="20"/>
  <c r="AA272" i="20"/>
  <c r="AB272" i="20" s="1"/>
  <c r="Z272" i="20"/>
  <c r="W272" i="20"/>
  <c r="X272" i="20" s="1"/>
  <c r="AL272" i="20" s="1"/>
  <c r="V272" i="20"/>
  <c r="R272" i="20"/>
  <c r="Q272" i="20"/>
  <c r="P272" i="20"/>
  <c r="N272" i="20"/>
  <c r="M272" i="20"/>
  <c r="L272" i="20"/>
  <c r="H272" i="20"/>
  <c r="J272" i="20" s="1"/>
  <c r="G272" i="20"/>
  <c r="F272" i="20"/>
  <c r="C272" i="20"/>
  <c r="D272" i="20" s="1"/>
  <c r="B272" i="20"/>
  <c r="AR271" i="20"/>
  <c r="AQ271" i="20"/>
  <c r="AS271" i="20" s="1"/>
  <c r="AP271" i="20"/>
  <c r="AJ271" i="20"/>
  <c r="AI271" i="20"/>
  <c r="AH271" i="20"/>
  <c r="AE271" i="20"/>
  <c r="AF271" i="20" s="1"/>
  <c r="AD271" i="20"/>
  <c r="AB271" i="20"/>
  <c r="AA271" i="20"/>
  <c r="Z271" i="20"/>
  <c r="W271" i="20"/>
  <c r="X271" i="20" s="1"/>
  <c r="V271" i="20"/>
  <c r="Q271" i="20"/>
  <c r="R271" i="20" s="1"/>
  <c r="P271" i="20"/>
  <c r="M271" i="20"/>
  <c r="N271" i="20" s="1"/>
  <c r="T271" i="20" s="1"/>
  <c r="L271" i="20"/>
  <c r="G271" i="20"/>
  <c r="H271" i="20" s="1"/>
  <c r="F271" i="20"/>
  <c r="C271" i="20"/>
  <c r="D271" i="20" s="1"/>
  <c r="B271" i="20"/>
  <c r="AQ270" i="20"/>
  <c r="AR270" i="20" s="1"/>
  <c r="AP270" i="20"/>
  <c r="AJ270" i="20"/>
  <c r="AI270" i="20"/>
  <c r="AH270" i="20"/>
  <c r="AF270" i="20"/>
  <c r="AE270" i="20"/>
  <c r="AD270" i="20"/>
  <c r="AB270" i="20"/>
  <c r="AL270" i="20" s="1"/>
  <c r="AA270" i="20"/>
  <c r="Z270" i="20"/>
  <c r="W270" i="20"/>
  <c r="X270" i="20" s="1"/>
  <c r="V270" i="20"/>
  <c r="Q270" i="20"/>
  <c r="R270" i="20" s="1"/>
  <c r="T270" i="20" s="1"/>
  <c r="N270" i="20"/>
  <c r="M270" i="20"/>
  <c r="L270" i="20"/>
  <c r="G270" i="20"/>
  <c r="H270" i="20" s="1"/>
  <c r="F270" i="20"/>
  <c r="C270" i="20"/>
  <c r="D270" i="20" s="1"/>
  <c r="J270" i="20" s="1"/>
  <c r="B270" i="20"/>
  <c r="I270" i="20" s="1"/>
  <c r="AQ269" i="20"/>
  <c r="AS269" i="20" s="1"/>
  <c r="AP269" i="20"/>
  <c r="AI269" i="20"/>
  <c r="AJ269" i="20" s="1"/>
  <c r="AH269" i="20"/>
  <c r="AE269" i="20"/>
  <c r="AF269" i="20" s="1"/>
  <c r="AD269" i="20"/>
  <c r="AA269" i="20"/>
  <c r="AB269" i="20" s="1"/>
  <c r="Z269" i="20"/>
  <c r="W269" i="20"/>
  <c r="X269" i="20" s="1"/>
  <c r="V269" i="20"/>
  <c r="Q269" i="20"/>
  <c r="R269" i="20" s="1"/>
  <c r="P269" i="20"/>
  <c r="M269" i="20"/>
  <c r="N269" i="20" s="1"/>
  <c r="L269" i="20"/>
  <c r="G269" i="20"/>
  <c r="H269" i="20" s="1"/>
  <c r="F269" i="20"/>
  <c r="I269" i="20" s="1"/>
  <c r="C269" i="20"/>
  <c r="D269" i="20" s="1"/>
  <c r="B269" i="20"/>
  <c r="AQ268" i="20"/>
  <c r="AP268" i="20"/>
  <c r="AI268" i="20"/>
  <c r="AJ268" i="20" s="1"/>
  <c r="AH268" i="20"/>
  <c r="AF268" i="20"/>
  <c r="AE268" i="20"/>
  <c r="AD268" i="20"/>
  <c r="AA268" i="20"/>
  <c r="AB268" i="20" s="1"/>
  <c r="Z268" i="20"/>
  <c r="X268" i="20"/>
  <c r="W268" i="20"/>
  <c r="V268" i="20"/>
  <c r="R268" i="20"/>
  <c r="Q268" i="20"/>
  <c r="P268" i="20"/>
  <c r="N268" i="20"/>
  <c r="T268" i="20" s="1"/>
  <c r="M268" i="20"/>
  <c r="L268" i="20"/>
  <c r="S268" i="20" s="1"/>
  <c r="H268" i="20"/>
  <c r="G268" i="20"/>
  <c r="F268" i="20"/>
  <c r="C268" i="20"/>
  <c r="D268" i="20" s="1"/>
  <c r="J268" i="20" s="1"/>
  <c r="B268" i="20"/>
  <c r="AQ267" i="20"/>
  <c r="AP267" i="20"/>
  <c r="AI267" i="20"/>
  <c r="AJ267" i="20" s="1"/>
  <c r="AH267" i="20"/>
  <c r="AF267" i="20"/>
  <c r="AE267" i="20"/>
  <c r="AD267" i="20"/>
  <c r="AA267" i="20"/>
  <c r="AB267" i="20" s="1"/>
  <c r="Z267" i="20"/>
  <c r="W267" i="20"/>
  <c r="X267" i="20" s="1"/>
  <c r="V267" i="20"/>
  <c r="R267" i="20"/>
  <c r="Q267" i="20"/>
  <c r="M267" i="20"/>
  <c r="N267" i="20" s="1"/>
  <c r="L267" i="20"/>
  <c r="G267" i="20"/>
  <c r="H267" i="20" s="1"/>
  <c r="F267" i="20"/>
  <c r="I267" i="20" s="1"/>
  <c r="C267" i="20"/>
  <c r="D267" i="20" s="1"/>
  <c r="B267" i="20"/>
  <c r="AQ266" i="20"/>
  <c r="AP266" i="20"/>
  <c r="AJ266" i="20"/>
  <c r="AI266" i="20"/>
  <c r="AE266" i="20"/>
  <c r="AF266" i="20" s="1"/>
  <c r="AD266" i="20"/>
  <c r="AA266" i="20"/>
  <c r="AB266" i="20" s="1"/>
  <c r="W266" i="20"/>
  <c r="X266" i="20" s="1"/>
  <c r="V266" i="20"/>
  <c r="Q266" i="20"/>
  <c r="R266" i="20" s="1"/>
  <c r="P266" i="20"/>
  <c r="M266" i="20"/>
  <c r="N266" i="20" s="1"/>
  <c r="T266" i="20" s="1"/>
  <c r="L266" i="20"/>
  <c r="G266" i="20"/>
  <c r="H266" i="20" s="1"/>
  <c r="J266" i="20" s="1"/>
  <c r="F266" i="20"/>
  <c r="C266" i="20"/>
  <c r="D266" i="20" s="1"/>
  <c r="AQ265" i="20"/>
  <c r="AR265" i="20" s="1"/>
  <c r="AI265" i="20"/>
  <c r="AJ265" i="20" s="1"/>
  <c r="AH265" i="20"/>
  <c r="AE265" i="20"/>
  <c r="AF265" i="20" s="1"/>
  <c r="AB265" i="20"/>
  <c r="AA265" i="20"/>
  <c r="W265" i="20"/>
  <c r="X265" i="20" s="1"/>
  <c r="Q265" i="20"/>
  <c r="R265" i="20" s="1"/>
  <c r="T265" i="20" s="1"/>
  <c r="P265" i="20"/>
  <c r="M265" i="20"/>
  <c r="N265" i="20" s="1"/>
  <c r="G265" i="20"/>
  <c r="H265" i="20" s="1"/>
  <c r="J265" i="20" s="1"/>
  <c r="D265" i="20"/>
  <c r="C265" i="20"/>
  <c r="B265" i="20"/>
  <c r="AQ264" i="20"/>
  <c r="AR264" i="20" s="1"/>
  <c r="AP264" i="20"/>
  <c r="AI264" i="20"/>
  <c r="AJ264" i="20" s="1"/>
  <c r="AH264" i="20"/>
  <c r="AE264" i="20"/>
  <c r="AF264" i="20" s="1"/>
  <c r="AD264" i="20"/>
  <c r="AA264" i="20"/>
  <c r="AB264" i="20" s="1"/>
  <c r="W264" i="20"/>
  <c r="X264" i="20" s="1"/>
  <c r="V264" i="20"/>
  <c r="R264" i="20"/>
  <c r="Q264" i="20"/>
  <c r="P264" i="20"/>
  <c r="M264" i="20"/>
  <c r="N264" i="20" s="1"/>
  <c r="L264" i="20"/>
  <c r="G264" i="20"/>
  <c r="H264" i="20" s="1"/>
  <c r="J264" i="20" s="1"/>
  <c r="F264" i="20"/>
  <c r="C264" i="20"/>
  <c r="D264" i="20" s="1"/>
  <c r="B264" i="20"/>
  <c r="I264" i="20" s="1"/>
  <c r="AS263" i="20"/>
  <c r="AR263" i="20"/>
  <c r="AQ263" i="20"/>
  <c r="AP263" i="20"/>
  <c r="AJ263" i="20"/>
  <c r="AI263" i="20"/>
  <c r="AH263" i="20"/>
  <c r="AE263" i="20"/>
  <c r="AF263" i="20" s="1"/>
  <c r="AD263" i="20"/>
  <c r="AB263" i="20"/>
  <c r="AA263" i="20"/>
  <c r="Z263" i="20"/>
  <c r="W263" i="20"/>
  <c r="X263" i="20" s="1"/>
  <c r="AL263" i="20" s="1"/>
  <c r="V263" i="20"/>
  <c r="Q263" i="20"/>
  <c r="R263" i="20" s="1"/>
  <c r="P263" i="20"/>
  <c r="N263" i="20"/>
  <c r="T263" i="20" s="1"/>
  <c r="M263" i="20"/>
  <c r="L263" i="20"/>
  <c r="S263" i="20" s="1"/>
  <c r="G263" i="20"/>
  <c r="H263" i="20" s="1"/>
  <c r="F263" i="20"/>
  <c r="D263" i="20"/>
  <c r="C263" i="20"/>
  <c r="B263" i="20"/>
  <c r="AR262" i="20"/>
  <c r="AQ262" i="20"/>
  <c r="AP262" i="20"/>
  <c r="AJ262" i="20"/>
  <c r="AI262" i="20"/>
  <c r="AH262" i="20"/>
  <c r="AE262" i="20"/>
  <c r="AF262" i="20" s="1"/>
  <c r="AD262" i="20"/>
  <c r="AA262" i="20"/>
  <c r="AB262" i="20" s="1"/>
  <c r="Z262" i="20"/>
  <c r="W262" i="20"/>
  <c r="X262" i="20" s="1"/>
  <c r="V262" i="20"/>
  <c r="Q262" i="20"/>
  <c r="R262" i="20" s="1"/>
  <c r="M262" i="20"/>
  <c r="N262" i="20" s="1"/>
  <c r="L262" i="20"/>
  <c r="H262" i="20"/>
  <c r="G262" i="20"/>
  <c r="F262" i="20"/>
  <c r="D262" i="20"/>
  <c r="J262" i="20" s="1"/>
  <c r="C262" i="20"/>
  <c r="B262" i="20"/>
  <c r="AQ261" i="20"/>
  <c r="AS261" i="20" s="1"/>
  <c r="AP261" i="20"/>
  <c r="AI261" i="20"/>
  <c r="AJ261" i="20" s="1"/>
  <c r="AH261" i="20"/>
  <c r="AE261" i="20"/>
  <c r="AF261" i="20" s="1"/>
  <c r="AD261" i="20"/>
  <c r="AA261" i="20"/>
  <c r="AB261" i="20" s="1"/>
  <c r="Z261" i="20"/>
  <c r="W261" i="20"/>
  <c r="X261" i="20" s="1"/>
  <c r="V261" i="20"/>
  <c r="Q261" i="20"/>
  <c r="R261" i="20" s="1"/>
  <c r="P261" i="20"/>
  <c r="M261" i="20"/>
  <c r="N261" i="20" s="1"/>
  <c r="L261" i="20"/>
  <c r="G261" i="20"/>
  <c r="H261" i="20" s="1"/>
  <c r="F261" i="20"/>
  <c r="I261" i="20" s="1"/>
  <c r="C261" i="20"/>
  <c r="D261" i="20" s="1"/>
  <c r="B261" i="20"/>
  <c r="AQ260" i="20"/>
  <c r="AP260" i="20"/>
  <c r="AI260" i="20"/>
  <c r="AJ260" i="20" s="1"/>
  <c r="AH260" i="20"/>
  <c r="AF260" i="20"/>
  <c r="AE260" i="20"/>
  <c r="AD260" i="20"/>
  <c r="AA260" i="20"/>
  <c r="AB260" i="20" s="1"/>
  <c r="Z260" i="20"/>
  <c r="X260" i="20"/>
  <c r="W260" i="20"/>
  <c r="V260" i="20"/>
  <c r="R260" i="20"/>
  <c r="Q260" i="20"/>
  <c r="P260" i="20"/>
  <c r="N260" i="20"/>
  <c r="M260" i="20"/>
  <c r="L260" i="20"/>
  <c r="G260" i="20"/>
  <c r="H260" i="20" s="1"/>
  <c r="F260" i="20"/>
  <c r="C260" i="20"/>
  <c r="D260" i="20" s="1"/>
  <c r="J260" i="20" s="1"/>
  <c r="B260" i="20"/>
  <c r="AQ259" i="20"/>
  <c r="AP259" i="20"/>
  <c r="AI259" i="20"/>
  <c r="AJ259" i="20" s="1"/>
  <c r="AH259" i="20"/>
  <c r="AF259" i="20"/>
  <c r="AE259" i="20"/>
  <c r="AD259" i="20"/>
  <c r="AA259" i="20"/>
  <c r="AB259" i="20" s="1"/>
  <c r="Z259" i="20"/>
  <c r="X259" i="20"/>
  <c r="W259" i="20"/>
  <c r="V259" i="20"/>
  <c r="R259" i="20"/>
  <c r="Q259" i="20"/>
  <c r="P259" i="20"/>
  <c r="M259" i="20"/>
  <c r="N259" i="20" s="1"/>
  <c r="L259" i="20"/>
  <c r="H259" i="20"/>
  <c r="G259" i="20"/>
  <c r="F259" i="20"/>
  <c r="C259" i="20"/>
  <c r="D259" i="20" s="1"/>
  <c r="J259" i="20" s="1"/>
  <c r="B259" i="20"/>
  <c r="I259" i="20" s="1"/>
  <c r="AS258" i="20"/>
  <c r="AR258" i="20"/>
  <c r="AQ258" i="20"/>
  <c r="AP258" i="20"/>
  <c r="AI258" i="20"/>
  <c r="AJ258" i="20" s="1"/>
  <c r="AF258" i="20"/>
  <c r="AE258" i="20"/>
  <c r="AD258" i="20"/>
  <c r="AB258" i="20"/>
  <c r="AA258" i="20"/>
  <c r="Z258" i="20"/>
  <c r="W258" i="20"/>
  <c r="X258" i="20" s="1"/>
  <c r="V258" i="20"/>
  <c r="Q258" i="20"/>
  <c r="R258" i="20" s="1"/>
  <c r="N258" i="20"/>
  <c r="M258" i="20"/>
  <c r="L258" i="20"/>
  <c r="G258" i="20"/>
  <c r="H258" i="20" s="1"/>
  <c r="F258" i="20"/>
  <c r="D258" i="20"/>
  <c r="C258" i="20"/>
  <c r="AR257" i="20"/>
  <c r="AQ257" i="20"/>
  <c r="AI257" i="20"/>
  <c r="AJ257" i="20" s="1"/>
  <c r="AH257" i="20"/>
  <c r="AE257" i="20"/>
  <c r="AF257" i="20" s="1"/>
  <c r="AB257" i="20"/>
  <c r="AA257" i="20"/>
  <c r="Z257" i="20"/>
  <c r="W257" i="20"/>
  <c r="X257" i="20" s="1"/>
  <c r="R257" i="20"/>
  <c r="Q257" i="20"/>
  <c r="P257" i="20"/>
  <c r="M257" i="20"/>
  <c r="N257" i="20" s="1"/>
  <c r="G257" i="20"/>
  <c r="H257" i="20" s="1"/>
  <c r="J257" i="20" s="1"/>
  <c r="D257" i="20"/>
  <c r="C257" i="20"/>
  <c r="B257" i="20"/>
  <c r="AR256" i="20"/>
  <c r="AQ256" i="20"/>
  <c r="AP256" i="20"/>
  <c r="AS256" i="20"/>
  <c r="AJ256" i="20"/>
  <c r="AI256" i="20"/>
  <c r="AH256" i="20"/>
  <c r="AE256" i="20"/>
  <c r="AF256" i="20" s="1"/>
  <c r="AD256" i="20"/>
  <c r="AA256" i="20"/>
  <c r="AB256" i="20" s="1"/>
  <c r="Z256" i="20"/>
  <c r="W256" i="20"/>
  <c r="X256" i="20" s="1"/>
  <c r="AL256" i="20" s="1"/>
  <c r="V256" i="20"/>
  <c r="Q256" i="20"/>
  <c r="R256" i="20" s="1"/>
  <c r="P256" i="20"/>
  <c r="M256" i="20"/>
  <c r="N256" i="20" s="1"/>
  <c r="L256" i="20"/>
  <c r="G256" i="20"/>
  <c r="H256" i="20" s="1"/>
  <c r="J256" i="20" s="1"/>
  <c r="F256" i="20"/>
  <c r="D256" i="20"/>
  <c r="C256" i="20"/>
  <c r="B256" i="20"/>
  <c r="I256" i="20" s="1"/>
  <c r="AS255" i="20"/>
  <c r="AQ255" i="20"/>
  <c r="AR255" i="20" s="1"/>
  <c r="AP255" i="20"/>
  <c r="AI255" i="20"/>
  <c r="AJ255" i="20" s="1"/>
  <c r="AH255" i="20"/>
  <c r="AE255" i="20"/>
  <c r="AF255" i="20" s="1"/>
  <c r="AD255" i="20"/>
  <c r="AA255" i="20"/>
  <c r="AB255" i="20" s="1"/>
  <c r="Z255" i="20"/>
  <c r="W255" i="20"/>
  <c r="X255" i="20" s="1"/>
  <c r="V255" i="20"/>
  <c r="AK255" i="20" s="1"/>
  <c r="Q255" i="20"/>
  <c r="R255" i="20" s="1"/>
  <c r="P255" i="20"/>
  <c r="M255" i="20"/>
  <c r="N255" i="20" s="1"/>
  <c r="T255" i="20" s="1"/>
  <c r="L255" i="20"/>
  <c r="S255" i="20" s="1"/>
  <c r="G255" i="20"/>
  <c r="H255" i="20" s="1"/>
  <c r="F255" i="20"/>
  <c r="C255" i="20"/>
  <c r="D255" i="20" s="1"/>
  <c r="B255" i="20"/>
  <c r="AQ254" i="20"/>
  <c r="AR254" i="20" s="1"/>
  <c r="AP254" i="20"/>
  <c r="AI254" i="20"/>
  <c r="AJ254" i="20" s="1"/>
  <c r="AH254" i="20"/>
  <c r="AE254" i="20"/>
  <c r="AF254" i="20" s="1"/>
  <c r="AD254" i="20"/>
  <c r="AB254" i="20"/>
  <c r="AL254" i="20" s="1"/>
  <c r="AA254" i="20"/>
  <c r="Z254" i="20"/>
  <c r="X254" i="20"/>
  <c r="W254" i="20"/>
  <c r="V254" i="20"/>
  <c r="R254" i="20"/>
  <c r="Q254" i="20"/>
  <c r="N254" i="20"/>
  <c r="M254" i="20"/>
  <c r="L254" i="20"/>
  <c r="H254" i="20"/>
  <c r="G254" i="20"/>
  <c r="F254" i="20"/>
  <c r="C254" i="20"/>
  <c r="D254" i="20" s="1"/>
  <c r="J254" i="20" s="1"/>
  <c r="B254" i="20"/>
  <c r="AQ253" i="20"/>
  <c r="AS253" i="20" s="1"/>
  <c r="AP253" i="20"/>
  <c r="AI253" i="20"/>
  <c r="AJ253" i="20" s="1"/>
  <c r="AH253" i="20"/>
  <c r="AE253" i="20"/>
  <c r="AF253" i="20" s="1"/>
  <c r="AD253" i="20"/>
  <c r="AA253" i="20"/>
  <c r="AB253" i="20" s="1"/>
  <c r="Z253" i="20"/>
  <c r="W253" i="20"/>
  <c r="X253" i="20" s="1"/>
  <c r="V253" i="20"/>
  <c r="Q253" i="20"/>
  <c r="R253" i="20" s="1"/>
  <c r="P253" i="20"/>
  <c r="N253" i="20"/>
  <c r="M253" i="20"/>
  <c r="L253" i="20"/>
  <c r="H253" i="20"/>
  <c r="G253" i="20"/>
  <c r="F253" i="20"/>
  <c r="I253" i="20" s="1"/>
  <c r="C253" i="20"/>
  <c r="D253" i="20" s="1"/>
  <c r="B253" i="20"/>
  <c r="AQ252" i="20"/>
  <c r="AP252" i="20"/>
  <c r="AI252" i="20"/>
  <c r="AJ252" i="20" s="1"/>
  <c r="AH252" i="20"/>
  <c r="AE252" i="20"/>
  <c r="AF252" i="20" s="1"/>
  <c r="AD252" i="20"/>
  <c r="AA252" i="20"/>
  <c r="AB252" i="20" s="1"/>
  <c r="Z252" i="20"/>
  <c r="W252" i="20"/>
  <c r="X252" i="20" s="1"/>
  <c r="V252" i="20"/>
  <c r="Q252" i="20"/>
  <c r="R252" i="20" s="1"/>
  <c r="P252" i="20"/>
  <c r="M252" i="20"/>
  <c r="N252" i="20" s="1"/>
  <c r="T252" i="20" s="1"/>
  <c r="L252" i="20"/>
  <c r="S252" i="20" s="1"/>
  <c r="G252" i="20"/>
  <c r="H252" i="20" s="1"/>
  <c r="F252" i="20"/>
  <c r="D252" i="20"/>
  <c r="C252" i="20"/>
  <c r="B252" i="20"/>
  <c r="AQ251" i="20"/>
  <c r="AP251" i="20"/>
  <c r="AI251" i="20"/>
  <c r="AJ251" i="20" s="1"/>
  <c r="AH251" i="20"/>
  <c r="AE251" i="20"/>
  <c r="AF251" i="20" s="1"/>
  <c r="AD251" i="20"/>
  <c r="AA251" i="20"/>
  <c r="AB251" i="20" s="1"/>
  <c r="Z251" i="20"/>
  <c r="W251" i="20"/>
  <c r="X251" i="20" s="1"/>
  <c r="V251" i="20"/>
  <c r="Q251" i="20"/>
  <c r="R251" i="20" s="1"/>
  <c r="M251" i="20"/>
  <c r="N251" i="20" s="1"/>
  <c r="L251" i="20"/>
  <c r="H251" i="20"/>
  <c r="G251" i="20"/>
  <c r="F251" i="20"/>
  <c r="C251" i="20"/>
  <c r="D251" i="20" s="1"/>
  <c r="B251" i="20"/>
  <c r="AS250" i="20"/>
  <c r="AQ250" i="20"/>
  <c r="AR250" i="20" s="1"/>
  <c r="AP250" i="20"/>
  <c r="AI250" i="20"/>
  <c r="AJ250" i="20" s="1"/>
  <c r="AH250" i="20"/>
  <c r="AE250" i="20"/>
  <c r="AF250" i="20" s="1"/>
  <c r="AD250" i="20"/>
  <c r="AA250" i="20"/>
  <c r="AB250" i="20" s="1"/>
  <c r="W250" i="20"/>
  <c r="X250" i="20" s="1"/>
  <c r="AL250" i="20" s="1"/>
  <c r="V250" i="20"/>
  <c r="Q250" i="20"/>
  <c r="R250" i="20" s="1"/>
  <c r="M250" i="20"/>
  <c r="N250" i="20" s="1"/>
  <c r="L250" i="20"/>
  <c r="G250" i="20"/>
  <c r="H250" i="20" s="1"/>
  <c r="F250" i="20"/>
  <c r="D250" i="20"/>
  <c r="C250" i="20"/>
  <c r="AR249" i="20"/>
  <c r="AQ249" i="20"/>
  <c r="AI249" i="20"/>
  <c r="AJ249" i="20" s="1"/>
  <c r="AH249" i="20"/>
  <c r="AE249" i="20"/>
  <c r="AF249" i="20" s="1"/>
  <c r="AB249" i="20"/>
  <c r="AA249" i="20"/>
  <c r="W249" i="20"/>
  <c r="X249" i="20" s="1"/>
  <c r="R249" i="20"/>
  <c r="Q249" i="20"/>
  <c r="P249" i="20"/>
  <c r="M249" i="20"/>
  <c r="N249" i="20" s="1"/>
  <c r="G249" i="20"/>
  <c r="H249" i="20" s="1"/>
  <c r="D249" i="20"/>
  <c r="C249" i="20"/>
  <c r="B249" i="20"/>
  <c r="AR248" i="20"/>
  <c r="AQ248" i="20"/>
  <c r="AS248" i="20"/>
  <c r="AJ248" i="20"/>
  <c r="AI248" i="20"/>
  <c r="AH248" i="20"/>
  <c r="AF248" i="20"/>
  <c r="AE248" i="20"/>
  <c r="AD248" i="20"/>
  <c r="AA248" i="20"/>
  <c r="AB248" i="20" s="1"/>
  <c r="X248" i="20"/>
  <c r="W248" i="20"/>
  <c r="V248" i="20"/>
  <c r="R248" i="20"/>
  <c r="Q248" i="20"/>
  <c r="P248" i="20"/>
  <c r="M248" i="20"/>
  <c r="N248" i="20" s="1"/>
  <c r="L248" i="20"/>
  <c r="G248" i="20"/>
  <c r="H248" i="20" s="1"/>
  <c r="F248" i="20"/>
  <c r="C248" i="20"/>
  <c r="D248" i="20" s="1"/>
  <c r="B248" i="20"/>
  <c r="I248" i="20" s="1"/>
  <c r="AR247" i="20"/>
  <c r="AQ247" i="20"/>
  <c r="AS247" i="20" s="1"/>
  <c r="AP247" i="20"/>
  <c r="AJ247" i="20"/>
  <c r="AI247" i="20"/>
  <c r="AH247" i="20"/>
  <c r="AE247" i="20"/>
  <c r="AF247" i="20" s="1"/>
  <c r="AD247" i="20"/>
  <c r="AB247" i="20"/>
  <c r="AA247" i="20"/>
  <c r="Z247" i="20"/>
  <c r="W247" i="20"/>
  <c r="X247" i="20" s="1"/>
  <c r="V247" i="20"/>
  <c r="Q247" i="20"/>
  <c r="R247" i="20" s="1"/>
  <c r="P247" i="20"/>
  <c r="N247" i="20"/>
  <c r="T247" i="20" s="1"/>
  <c r="M247" i="20"/>
  <c r="L247" i="20"/>
  <c r="S247" i="20" s="1"/>
  <c r="G247" i="20"/>
  <c r="H247" i="20" s="1"/>
  <c r="F247" i="20"/>
  <c r="D247" i="20"/>
  <c r="C247" i="20"/>
  <c r="B247" i="20"/>
  <c r="AR246" i="20"/>
  <c r="AQ246" i="20"/>
  <c r="AP246" i="20"/>
  <c r="AJ246" i="20"/>
  <c r="AI246" i="20"/>
  <c r="AH246" i="20"/>
  <c r="AF246" i="20"/>
  <c r="AE246" i="20"/>
  <c r="AD246" i="20"/>
  <c r="AA246" i="20"/>
  <c r="AB246" i="20" s="1"/>
  <c r="Z246" i="20"/>
  <c r="W246" i="20"/>
  <c r="X246" i="20" s="1"/>
  <c r="V246" i="20"/>
  <c r="Q246" i="20"/>
  <c r="R246" i="20" s="1"/>
  <c r="M246" i="20"/>
  <c r="N246" i="20" s="1"/>
  <c r="L246" i="20"/>
  <c r="H246" i="20"/>
  <c r="G246" i="20"/>
  <c r="F246" i="20"/>
  <c r="D246" i="20"/>
  <c r="J246" i="20" s="1"/>
  <c r="C246" i="20"/>
  <c r="B246" i="20"/>
  <c r="AQ245" i="20"/>
  <c r="AS245" i="20" s="1"/>
  <c r="AP245" i="20"/>
  <c r="AI245" i="20"/>
  <c r="AJ245" i="20" s="1"/>
  <c r="AH245" i="20"/>
  <c r="AE245" i="20"/>
  <c r="AF245" i="20" s="1"/>
  <c r="AD245" i="20"/>
  <c r="AA245" i="20"/>
  <c r="AB245" i="20" s="1"/>
  <c r="Z245" i="20"/>
  <c r="W245" i="20"/>
  <c r="X245" i="20" s="1"/>
  <c r="V245" i="20"/>
  <c r="Q245" i="20"/>
  <c r="R245" i="20" s="1"/>
  <c r="P245" i="20"/>
  <c r="M245" i="20"/>
  <c r="N245" i="20" s="1"/>
  <c r="L245" i="20"/>
  <c r="H245" i="20"/>
  <c r="G245" i="20"/>
  <c r="F245" i="20"/>
  <c r="C245" i="20"/>
  <c r="D245" i="20" s="1"/>
  <c r="B245" i="20"/>
  <c r="AQ244" i="20"/>
  <c r="AP244" i="20"/>
  <c r="AI244" i="20"/>
  <c r="AJ244" i="20" s="1"/>
  <c r="AH244" i="20"/>
  <c r="AF244" i="20"/>
  <c r="AE244" i="20"/>
  <c r="AD244" i="20"/>
  <c r="AA244" i="20"/>
  <c r="AB244" i="20" s="1"/>
  <c r="Z244" i="20"/>
  <c r="X244" i="20"/>
  <c r="W244" i="20"/>
  <c r="V244" i="20"/>
  <c r="R244" i="20"/>
  <c r="Q244" i="20"/>
  <c r="P244" i="20"/>
  <c r="N244" i="20"/>
  <c r="M244" i="20"/>
  <c r="L244" i="20"/>
  <c r="S244" i="20" s="1"/>
  <c r="G244" i="20"/>
  <c r="H244" i="20" s="1"/>
  <c r="F244" i="20"/>
  <c r="C244" i="20"/>
  <c r="D244" i="20" s="1"/>
  <c r="B244" i="20"/>
  <c r="AQ243" i="20"/>
  <c r="AP243" i="20"/>
  <c r="AI243" i="20"/>
  <c r="AJ243" i="20" s="1"/>
  <c r="AH243" i="20"/>
  <c r="AF243" i="20"/>
  <c r="AE243" i="20"/>
  <c r="AD243" i="20"/>
  <c r="AA243" i="20"/>
  <c r="AB243" i="20" s="1"/>
  <c r="Z243" i="20"/>
  <c r="X243" i="20"/>
  <c r="W243" i="20"/>
  <c r="V243" i="20"/>
  <c r="R243" i="20"/>
  <c r="Q243" i="20"/>
  <c r="M243" i="20"/>
  <c r="N243" i="20" s="1"/>
  <c r="L243" i="20"/>
  <c r="G243" i="20"/>
  <c r="H243" i="20" s="1"/>
  <c r="F243" i="20"/>
  <c r="C243" i="20"/>
  <c r="D243" i="20" s="1"/>
  <c r="B243" i="20"/>
  <c r="AS242" i="20"/>
  <c r="AR242" i="20"/>
  <c r="AQ242" i="20"/>
  <c r="AP242" i="20"/>
  <c r="AI242" i="20"/>
  <c r="AJ242" i="20" s="1"/>
  <c r="AF242" i="20"/>
  <c r="AE242" i="20"/>
  <c r="AD242" i="20"/>
  <c r="AA242" i="20"/>
  <c r="AB242" i="20" s="1"/>
  <c r="X242" i="20"/>
  <c r="W242" i="20"/>
  <c r="V242" i="20"/>
  <c r="R242" i="20"/>
  <c r="Q242" i="20"/>
  <c r="N242" i="20"/>
  <c r="M242" i="20"/>
  <c r="L242" i="20"/>
  <c r="G242" i="20"/>
  <c r="H242" i="20" s="1"/>
  <c r="F242" i="20"/>
  <c r="D242" i="20"/>
  <c r="C242" i="20"/>
  <c r="AQ241" i="20"/>
  <c r="AR241" i="20" s="1"/>
  <c r="AI241" i="20"/>
  <c r="AJ241" i="20" s="1"/>
  <c r="AH241" i="20"/>
  <c r="AE241" i="20"/>
  <c r="AF241" i="20" s="1"/>
  <c r="AA241" i="20"/>
  <c r="AB241" i="20" s="1"/>
  <c r="Z241" i="20"/>
  <c r="W241" i="20"/>
  <c r="X241" i="20" s="1"/>
  <c r="R241" i="20"/>
  <c r="Q241" i="20"/>
  <c r="P241" i="20"/>
  <c r="M241" i="20"/>
  <c r="N241" i="20" s="1"/>
  <c r="G241" i="20"/>
  <c r="H241" i="20" s="1"/>
  <c r="C241" i="20"/>
  <c r="D241" i="20" s="1"/>
  <c r="B241" i="20"/>
  <c r="AR240" i="20"/>
  <c r="AQ240" i="20"/>
  <c r="AI240" i="20"/>
  <c r="AJ240" i="20" s="1"/>
  <c r="AH240" i="20"/>
  <c r="AE240" i="20"/>
  <c r="AF240" i="20" s="1"/>
  <c r="AD240" i="20"/>
  <c r="AA240" i="20"/>
  <c r="AB240" i="20" s="1"/>
  <c r="W240" i="20"/>
  <c r="X240" i="20" s="1"/>
  <c r="V240" i="20"/>
  <c r="R240" i="20"/>
  <c r="Q240" i="20"/>
  <c r="P240" i="20"/>
  <c r="M240" i="20"/>
  <c r="N240" i="20" s="1"/>
  <c r="T240" i="20" s="1"/>
  <c r="L240" i="20"/>
  <c r="S240" i="20" s="1"/>
  <c r="G240" i="20"/>
  <c r="H240" i="20" s="1"/>
  <c r="F240" i="20"/>
  <c r="C240" i="20"/>
  <c r="D240" i="20" s="1"/>
  <c r="B240" i="20"/>
  <c r="AS239" i="20"/>
  <c r="AR239" i="20"/>
  <c r="AQ239" i="20"/>
  <c r="AP239" i="20"/>
  <c r="AJ239" i="20"/>
  <c r="AI239" i="20"/>
  <c r="AH239" i="20"/>
  <c r="AE239" i="20"/>
  <c r="AF239" i="20" s="1"/>
  <c r="AD239" i="20"/>
  <c r="AB239" i="20"/>
  <c r="AA239" i="20"/>
  <c r="Z239" i="20"/>
  <c r="W239" i="20"/>
  <c r="X239" i="20" s="1"/>
  <c r="V239" i="20"/>
  <c r="Q239" i="20"/>
  <c r="R239" i="20" s="1"/>
  <c r="P239" i="20"/>
  <c r="M239" i="20"/>
  <c r="N239" i="20" s="1"/>
  <c r="T239" i="20" s="1"/>
  <c r="L239" i="20"/>
  <c r="G239" i="20"/>
  <c r="H239" i="20" s="1"/>
  <c r="F239" i="20"/>
  <c r="C239" i="20"/>
  <c r="D239" i="20" s="1"/>
  <c r="J239" i="20" s="1"/>
  <c r="B239" i="20"/>
  <c r="AQ238" i="20"/>
  <c r="AR238" i="20" s="1"/>
  <c r="AP238" i="20"/>
  <c r="AI238" i="20"/>
  <c r="AJ238" i="20" s="1"/>
  <c r="AH238" i="20"/>
  <c r="AE238" i="20"/>
  <c r="AF238" i="20" s="1"/>
  <c r="AD238" i="20"/>
  <c r="AA238" i="20"/>
  <c r="AB238" i="20" s="1"/>
  <c r="AL238" i="20" s="1"/>
  <c r="Z238" i="20"/>
  <c r="W238" i="20"/>
  <c r="X238" i="20" s="1"/>
  <c r="V238" i="20"/>
  <c r="S238" i="20"/>
  <c r="Q238" i="20"/>
  <c r="R238" i="20" s="1"/>
  <c r="P238" i="20"/>
  <c r="M238" i="20"/>
  <c r="N238" i="20" s="1"/>
  <c r="L238" i="20"/>
  <c r="G238" i="20"/>
  <c r="H238" i="20" s="1"/>
  <c r="F238" i="20"/>
  <c r="C238" i="20"/>
  <c r="D238" i="20" s="1"/>
  <c r="B238" i="20"/>
  <c r="AQ237" i="20"/>
  <c r="AS237" i="20" s="1"/>
  <c r="AP237" i="20"/>
  <c r="AI237" i="20"/>
  <c r="AJ237" i="20" s="1"/>
  <c r="AH237" i="20"/>
  <c r="AE237" i="20"/>
  <c r="AF237" i="20" s="1"/>
  <c r="AD237" i="20"/>
  <c r="AA237" i="20"/>
  <c r="AB237" i="20" s="1"/>
  <c r="Z237" i="20"/>
  <c r="W237" i="20"/>
  <c r="X237" i="20" s="1"/>
  <c r="V237" i="20"/>
  <c r="S237" i="20"/>
  <c r="Q237" i="20"/>
  <c r="R237" i="20" s="1"/>
  <c r="P237" i="20"/>
  <c r="M237" i="20"/>
  <c r="N237" i="20" s="1"/>
  <c r="T237" i="20" s="1"/>
  <c r="L237" i="20"/>
  <c r="G237" i="20"/>
  <c r="H237" i="20" s="1"/>
  <c r="F237" i="20"/>
  <c r="C237" i="20"/>
  <c r="D237" i="20" s="1"/>
  <c r="B237" i="20"/>
  <c r="AR236" i="20"/>
  <c r="AQ236" i="20"/>
  <c r="AS236" i="20" s="1"/>
  <c r="AP236" i="20"/>
  <c r="AJ236" i="20"/>
  <c r="AI236" i="20"/>
  <c r="AH236" i="20"/>
  <c r="AF236" i="20"/>
  <c r="AE236" i="20"/>
  <c r="AD236" i="20"/>
  <c r="AK236" i="20" s="1"/>
  <c r="AA236" i="20"/>
  <c r="AB236" i="20" s="1"/>
  <c r="Z236" i="20"/>
  <c r="W236" i="20"/>
  <c r="X236" i="20" s="1"/>
  <c r="V236" i="20"/>
  <c r="Q236" i="20"/>
  <c r="R236" i="20" s="1"/>
  <c r="P236" i="20"/>
  <c r="M236" i="20"/>
  <c r="N236" i="20" s="1"/>
  <c r="L236" i="20"/>
  <c r="G236" i="20"/>
  <c r="H236" i="20" s="1"/>
  <c r="J236" i="20" s="1"/>
  <c r="F236" i="20"/>
  <c r="C236" i="20"/>
  <c r="D236" i="20" s="1"/>
  <c r="B236" i="20"/>
  <c r="AS235" i="20"/>
  <c r="AQ235" i="20"/>
  <c r="AR235" i="20" s="1"/>
  <c r="AP235" i="20"/>
  <c r="AI235" i="20"/>
  <c r="AJ235" i="20" s="1"/>
  <c r="AH235" i="20"/>
  <c r="AE235" i="20"/>
  <c r="AF235" i="20" s="1"/>
  <c r="AD235" i="20"/>
  <c r="AA235" i="20"/>
  <c r="AB235" i="20" s="1"/>
  <c r="Z235" i="20"/>
  <c r="AK235" i="20" s="1"/>
  <c r="W235" i="20"/>
  <c r="X235" i="20" s="1"/>
  <c r="V235" i="20"/>
  <c r="Q235" i="20"/>
  <c r="R235" i="20" s="1"/>
  <c r="P235" i="20"/>
  <c r="M235" i="20"/>
  <c r="N235" i="20" s="1"/>
  <c r="L235" i="20"/>
  <c r="S235" i="20" s="1"/>
  <c r="G235" i="20"/>
  <c r="H235" i="20" s="1"/>
  <c r="F235" i="20"/>
  <c r="C235" i="20"/>
  <c r="D235" i="20" s="1"/>
  <c r="B235" i="20"/>
  <c r="AQ234" i="20"/>
  <c r="AP234" i="20"/>
  <c r="AI234" i="20"/>
  <c r="AJ234" i="20" s="1"/>
  <c r="AE234" i="20"/>
  <c r="AF234" i="20" s="1"/>
  <c r="AD234" i="20"/>
  <c r="AA234" i="20"/>
  <c r="AB234" i="20" s="1"/>
  <c r="W234" i="20"/>
  <c r="X234" i="20" s="1"/>
  <c r="V234" i="20"/>
  <c r="Q234" i="20"/>
  <c r="R234" i="20" s="1"/>
  <c r="T234" i="20" s="1"/>
  <c r="P234" i="20"/>
  <c r="M234" i="20"/>
  <c r="N234" i="20" s="1"/>
  <c r="L234" i="20"/>
  <c r="H234" i="20"/>
  <c r="J234" i="20" s="1"/>
  <c r="G234" i="20"/>
  <c r="F234" i="20"/>
  <c r="D234" i="20"/>
  <c r="C234" i="20"/>
  <c r="AQ233" i="20"/>
  <c r="AR233" i="20" s="1"/>
  <c r="AP233" i="20"/>
  <c r="AI233" i="20"/>
  <c r="AJ233" i="20" s="1"/>
  <c r="AH233" i="20"/>
  <c r="AE233" i="20"/>
  <c r="AF233" i="20" s="1"/>
  <c r="AA233" i="20"/>
  <c r="AB233" i="20" s="1"/>
  <c r="Z233" i="20"/>
  <c r="W233" i="20"/>
  <c r="X233" i="20" s="1"/>
  <c r="Q233" i="20"/>
  <c r="R233" i="20" s="1"/>
  <c r="P233" i="20"/>
  <c r="M233" i="20"/>
  <c r="N233" i="20" s="1"/>
  <c r="T233" i="20" s="1"/>
  <c r="G233" i="20"/>
  <c r="H233" i="20" s="1"/>
  <c r="F233" i="20"/>
  <c r="D233" i="20"/>
  <c r="J233" i="20" s="1"/>
  <c r="C233" i="20"/>
  <c r="B233" i="20"/>
  <c r="AQ232" i="20"/>
  <c r="AS232" i="20" s="1"/>
  <c r="AP232" i="20"/>
  <c r="AI232" i="20"/>
  <c r="AJ232" i="20" s="1"/>
  <c r="AH232" i="20"/>
  <c r="AE232" i="20"/>
  <c r="AF232" i="20" s="1"/>
  <c r="AD232" i="20"/>
  <c r="AA232" i="20"/>
  <c r="AB232" i="20" s="1"/>
  <c r="X232" i="20"/>
  <c r="W232" i="20"/>
  <c r="V232" i="20"/>
  <c r="Q232" i="20"/>
  <c r="R232" i="20" s="1"/>
  <c r="T232" i="20" s="1"/>
  <c r="P232" i="20"/>
  <c r="S232" i="20" s="1"/>
  <c r="M232" i="20"/>
  <c r="N232" i="20" s="1"/>
  <c r="L232" i="20"/>
  <c r="H232" i="20"/>
  <c r="G232" i="20"/>
  <c r="F232" i="20"/>
  <c r="C232" i="20"/>
  <c r="D232" i="20" s="1"/>
  <c r="J232" i="20" s="1"/>
  <c r="B232" i="20"/>
  <c r="AQ231" i="20"/>
  <c r="AS231" i="20" s="1"/>
  <c r="AP231" i="20"/>
  <c r="AI231" i="20"/>
  <c r="AJ231" i="20" s="1"/>
  <c r="AH231" i="20"/>
  <c r="AE231" i="20"/>
  <c r="AF231" i="20" s="1"/>
  <c r="AD231" i="20"/>
  <c r="AA231" i="20"/>
  <c r="AB231" i="20" s="1"/>
  <c r="Z231" i="20"/>
  <c r="W231" i="20"/>
  <c r="X231" i="20" s="1"/>
  <c r="V231" i="20"/>
  <c r="Q231" i="20"/>
  <c r="R231" i="20" s="1"/>
  <c r="P231" i="20"/>
  <c r="N231" i="20"/>
  <c r="M231" i="20"/>
  <c r="L231" i="20"/>
  <c r="S231" i="20" s="1"/>
  <c r="G231" i="20"/>
  <c r="H231" i="20" s="1"/>
  <c r="F231" i="20"/>
  <c r="C231" i="20"/>
  <c r="D231" i="20" s="1"/>
  <c r="B231" i="20"/>
  <c r="AQ230" i="20"/>
  <c r="AP230" i="20"/>
  <c r="AI230" i="20"/>
  <c r="AJ230" i="20" s="1"/>
  <c r="AH230" i="20"/>
  <c r="AF230" i="20"/>
  <c r="AE230" i="20"/>
  <c r="AD230" i="20"/>
  <c r="AA230" i="20"/>
  <c r="AB230" i="20" s="1"/>
  <c r="Z230" i="20"/>
  <c r="W230" i="20"/>
  <c r="X230" i="20" s="1"/>
  <c r="V230" i="20"/>
  <c r="AK230" i="20" s="1"/>
  <c r="R230" i="20"/>
  <c r="T230" i="20" s="1"/>
  <c r="Q230" i="20"/>
  <c r="P230" i="20"/>
  <c r="N230" i="20"/>
  <c r="M230" i="20"/>
  <c r="L230" i="20"/>
  <c r="S230" i="20" s="1"/>
  <c r="G230" i="20"/>
  <c r="H230" i="20" s="1"/>
  <c r="F230" i="20"/>
  <c r="C230" i="20"/>
  <c r="D230" i="20" s="1"/>
  <c r="J230" i="20" s="1"/>
  <c r="B230" i="20"/>
  <c r="AQ229" i="20"/>
  <c r="AP229" i="20"/>
  <c r="AI229" i="20"/>
  <c r="AJ229" i="20" s="1"/>
  <c r="AH229" i="20"/>
  <c r="AF229" i="20"/>
  <c r="AE229" i="20"/>
  <c r="AD229" i="20"/>
  <c r="AA229" i="20"/>
  <c r="AB229" i="20" s="1"/>
  <c r="Z229" i="20"/>
  <c r="X229" i="20"/>
  <c r="W229" i="20"/>
  <c r="V229" i="20"/>
  <c r="Q229" i="20"/>
  <c r="R229" i="20" s="1"/>
  <c r="P229" i="20"/>
  <c r="M229" i="20"/>
  <c r="N229" i="20" s="1"/>
  <c r="L229" i="20"/>
  <c r="S229" i="20" s="1"/>
  <c r="H229" i="20"/>
  <c r="G229" i="20"/>
  <c r="F229" i="20"/>
  <c r="C229" i="20"/>
  <c r="D229" i="20" s="1"/>
  <c r="J229" i="20" s="1"/>
  <c r="B229" i="20"/>
  <c r="AS228" i="20"/>
  <c r="AQ228" i="20"/>
  <c r="AR228" i="20" s="1"/>
  <c r="AP228" i="20"/>
  <c r="AI228" i="20"/>
  <c r="AJ228" i="20" s="1"/>
  <c r="AH228" i="20"/>
  <c r="AF228" i="20"/>
  <c r="AE228" i="20"/>
  <c r="AD228" i="20"/>
  <c r="AB228" i="20"/>
  <c r="AA228" i="20"/>
  <c r="Z228" i="20"/>
  <c r="X228" i="20"/>
  <c r="W228" i="20"/>
  <c r="V228" i="20"/>
  <c r="Q228" i="20"/>
  <c r="R228" i="20" s="1"/>
  <c r="P228" i="20"/>
  <c r="M228" i="20"/>
  <c r="N228" i="20" s="1"/>
  <c r="T228" i="20" s="1"/>
  <c r="L228" i="20"/>
  <c r="G228" i="20"/>
  <c r="H228" i="20" s="1"/>
  <c r="F228" i="20"/>
  <c r="C228" i="20"/>
  <c r="D228" i="20" s="1"/>
  <c r="B228" i="20"/>
  <c r="AQ227" i="20"/>
  <c r="AP227" i="20"/>
  <c r="AJ227" i="20"/>
  <c r="AI227" i="20"/>
  <c r="AH227" i="20"/>
  <c r="AE227" i="20"/>
  <c r="AF227" i="20" s="1"/>
  <c r="AD227" i="20"/>
  <c r="AB227" i="20"/>
  <c r="AA227" i="20"/>
  <c r="Z227" i="20"/>
  <c r="W227" i="20"/>
  <c r="X227" i="20" s="1"/>
  <c r="V227" i="20"/>
  <c r="T227" i="20"/>
  <c r="R227" i="20"/>
  <c r="Q227" i="20"/>
  <c r="P227" i="20"/>
  <c r="M227" i="20"/>
  <c r="N227" i="20" s="1"/>
  <c r="L227" i="20"/>
  <c r="G227" i="20"/>
  <c r="H227" i="20" s="1"/>
  <c r="F227" i="20"/>
  <c r="C227" i="20"/>
  <c r="D227" i="20" s="1"/>
  <c r="B227" i="20"/>
  <c r="I227" i="20" s="1"/>
  <c r="AQ226" i="20"/>
  <c r="AP226" i="20"/>
  <c r="AI226" i="20"/>
  <c r="AJ226" i="20" s="1"/>
  <c r="AE226" i="20"/>
  <c r="AF226" i="20" s="1"/>
  <c r="AD226" i="20"/>
  <c r="AA226" i="20"/>
  <c r="AB226" i="20" s="1"/>
  <c r="Z226" i="20"/>
  <c r="X226" i="20"/>
  <c r="AL226" i="20" s="1"/>
  <c r="W226" i="20"/>
  <c r="V226" i="20"/>
  <c r="R226" i="20"/>
  <c r="Q226" i="20"/>
  <c r="P226" i="20"/>
  <c r="N226" i="20"/>
  <c r="M226" i="20"/>
  <c r="L226" i="20"/>
  <c r="G226" i="20"/>
  <c r="H226" i="20" s="1"/>
  <c r="J226" i="20" s="1"/>
  <c r="F226" i="20"/>
  <c r="D226" i="20"/>
  <c r="C226" i="20"/>
  <c r="B226" i="20"/>
  <c r="AR225" i="20"/>
  <c r="AQ225" i="20"/>
  <c r="AJ225" i="20"/>
  <c r="AI225" i="20"/>
  <c r="AH225" i="20"/>
  <c r="AE225" i="20"/>
  <c r="AF225" i="20" s="1"/>
  <c r="AB225" i="20"/>
  <c r="AA225" i="20"/>
  <c r="W225" i="20"/>
  <c r="X225" i="20" s="1"/>
  <c r="Q225" i="20"/>
  <c r="R225" i="20" s="1"/>
  <c r="P225" i="20"/>
  <c r="N225" i="20"/>
  <c r="T225" i="20" s="1"/>
  <c r="M225" i="20"/>
  <c r="L225" i="20"/>
  <c r="S225" i="20" s="1"/>
  <c r="G225" i="20"/>
  <c r="H225" i="20" s="1"/>
  <c r="C225" i="20"/>
  <c r="D225" i="20" s="1"/>
  <c r="J225" i="20" s="1"/>
  <c r="B225" i="20"/>
  <c r="AQ224" i="20"/>
  <c r="AP224" i="20"/>
  <c r="AI224" i="20"/>
  <c r="AJ224" i="20" s="1"/>
  <c r="AH224" i="20"/>
  <c r="AE224" i="20"/>
  <c r="AF224" i="20" s="1"/>
  <c r="AD224" i="20"/>
  <c r="AA224" i="20"/>
  <c r="AB224" i="20" s="1"/>
  <c r="X224" i="20"/>
  <c r="W224" i="20"/>
  <c r="V224" i="20"/>
  <c r="Q224" i="20"/>
  <c r="R224" i="20" s="1"/>
  <c r="P224" i="20"/>
  <c r="M224" i="20"/>
  <c r="N224" i="20" s="1"/>
  <c r="L224" i="20"/>
  <c r="G224" i="20"/>
  <c r="H224" i="20" s="1"/>
  <c r="F224" i="20"/>
  <c r="C224" i="20"/>
  <c r="D224" i="20" s="1"/>
  <c r="B224" i="20"/>
  <c r="AQ223" i="20"/>
  <c r="AP223" i="20"/>
  <c r="AI223" i="20"/>
  <c r="AJ223" i="20" s="1"/>
  <c r="AH223" i="20"/>
  <c r="AE223" i="20"/>
  <c r="AF223" i="20" s="1"/>
  <c r="AD223" i="20"/>
  <c r="AA223" i="20"/>
  <c r="AB223" i="20" s="1"/>
  <c r="Z223" i="20"/>
  <c r="W223" i="20"/>
  <c r="X223" i="20" s="1"/>
  <c r="V223" i="20"/>
  <c r="Q223" i="20"/>
  <c r="R223" i="20" s="1"/>
  <c r="P223" i="20"/>
  <c r="M223" i="20"/>
  <c r="N223" i="20" s="1"/>
  <c r="L223" i="20"/>
  <c r="S223" i="20" s="1"/>
  <c r="G223" i="20"/>
  <c r="H223" i="20" s="1"/>
  <c r="F223" i="20"/>
  <c r="C223" i="20"/>
  <c r="D223" i="20" s="1"/>
  <c r="B223" i="20"/>
  <c r="I223" i="20" s="1"/>
  <c r="AQ222" i="20"/>
  <c r="AR222" i="20" s="1"/>
  <c r="AP222" i="20"/>
  <c r="AI222" i="20"/>
  <c r="AJ222" i="20" s="1"/>
  <c r="AH222" i="20"/>
  <c r="AF222" i="20"/>
  <c r="AE222" i="20"/>
  <c r="AD222" i="20"/>
  <c r="AA222" i="20"/>
  <c r="AB222" i="20" s="1"/>
  <c r="Z222" i="20"/>
  <c r="X222" i="20"/>
  <c r="W222" i="20"/>
  <c r="V222" i="20"/>
  <c r="T222" i="20"/>
  <c r="Q222" i="20"/>
  <c r="R222" i="20" s="1"/>
  <c r="P222" i="20"/>
  <c r="M222" i="20"/>
  <c r="N222" i="20" s="1"/>
  <c r="L222" i="20"/>
  <c r="H222" i="20"/>
  <c r="G222" i="20"/>
  <c r="F222" i="20"/>
  <c r="D222" i="20"/>
  <c r="J222" i="20" s="1"/>
  <c r="C222" i="20"/>
  <c r="B222" i="20"/>
  <c r="AQ221" i="20"/>
  <c r="AP221" i="20"/>
  <c r="AI221" i="20"/>
  <c r="AJ221" i="20" s="1"/>
  <c r="AH221" i="20"/>
  <c r="AE221" i="20"/>
  <c r="AF221" i="20" s="1"/>
  <c r="AD221" i="20"/>
  <c r="AA221" i="20"/>
  <c r="AB221" i="20" s="1"/>
  <c r="Z221" i="20"/>
  <c r="W221" i="20"/>
  <c r="X221" i="20" s="1"/>
  <c r="V221" i="20"/>
  <c r="Q221" i="20"/>
  <c r="R221" i="20" s="1"/>
  <c r="P221" i="20"/>
  <c r="M221" i="20"/>
  <c r="N221" i="20" s="1"/>
  <c r="L221" i="20"/>
  <c r="G221" i="20"/>
  <c r="H221" i="20" s="1"/>
  <c r="J221" i="20" s="1"/>
  <c r="F221" i="20"/>
  <c r="C221" i="20"/>
  <c r="D221" i="20" s="1"/>
  <c r="B221" i="20"/>
  <c r="I221" i="20" s="1"/>
  <c r="AQ220" i="20"/>
  <c r="AP220" i="20"/>
  <c r="AJ220" i="20"/>
  <c r="AI220" i="20"/>
  <c r="AH220" i="20"/>
  <c r="AE220" i="20"/>
  <c r="AF220" i="20" s="1"/>
  <c r="AD220" i="20"/>
  <c r="AA220" i="20"/>
  <c r="AB220" i="20" s="1"/>
  <c r="Z220" i="20"/>
  <c r="W220" i="20"/>
  <c r="X220" i="20" s="1"/>
  <c r="AL220" i="20" s="1"/>
  <c r="V220" i="20"/>
  <c r="AK220" i="20" s="1"/>
  <c r="Q220" i="20"/>
  <c r="R220" i="20" s="1"/>
  <c r="P220" i="20"/>
  <c r="N220" i="20"/>
  <c r="T220" i="20" s="1"/>
  <c r="M220" i="20"/>
  <c r="L220" i="20"/>
  <c r="S220" i="20" s="1"/>
  <c r="G220" i="20"/>
  <c r="H220" i="20" s="1"/>
  <c r="F220" i="20"/>
  <c r="C220" i="20"/>
  <c r="D220" i="20" s="1"/>
  <c r="B220" i="20"/>
  <c r="AQ219" i="20"/>
  <c r="AS219" i="20" s="1"/>
  <c r="AP219" i="20"/>
  <c r="AJ219" i="20"/>
  <c r="AI219" i="20"/>
  <c r="AH219" i="20"/>
  <c r="AE219" i="20"/>
  <c r="AF219" i="20" s="1"/>
  <c r="AD219" i="20"/>
  <c r="AA219" i="20"/>
  <c r="AB219" i="20" s="1"/>
  <c r="Z219" i="20"/>
  <c r="W219" i="20"/>
  <c r="X219" i="20" s="1"/>
  <c r="V219" i="20"/>
  <c r="R219" i="20"/>
  <c r="Q219" i="20"/>
  <c r="P219" i="20"/>
  <c r="M219" i="20"/>
  <c r="N219" i="20" s="1"/>
  <c r="L219" i="20"/>
  <c r="G219" i="20"/>
  <c r="H219" i="20" s="1"/>
  <c r="F219" i="20"/>
  <c r="C219" i="20"/>
  <c r="D219" i="20" s="1"/>
  <c r="J219" i="20" s="1"/>
  <c r="B219" i="20"/>
  <c r="AQ218" i="20"/>
  <c r="AS218" i="20" s="1"/>
  <c r="AP218" i="20"/>
  <c r="AJ218" i="20"/>
  <c r="AI218" i="20"/>
  <c r="AE218" i="20"/>
  <c r="AF218" i="20" s="1"/>
  <c r="AD218" i="20"/>
  <c r="AA218" i="20"/>
  <c r="AB218" i="20" s="1"/>
  <c r="W218" i="20"/>
  <c r="X218" i="20" s="1"/>
  <c r="V218" i="20"/>
  <c r="Q218" i="20"/>
  <c r="R218" i="20" s="1"/>
  <c r="M218" i="20"/>
  <c r="N218" i="20" s="1"/>
  <c r="L218" i="20"/>
  <c r="G218" i="20"/>
  <c r="H218" i="20" s="1"/>
  <c r="F218" i="20"/>
  <c r="C218" i="20"/>
  <c r="D218" i="20" s="1"/>
  <c r="B218" i="20"/>
  <c r="AQ217" i="20"/>
  <c r="AR217" i="20" s="1"/>
  <c r="AJ217" i="20"/>
  <c r="AI217" i="20"/>
  <c r="AH217" i="20"/>
  <c r="AE217" i="20"/>
  <c r="AF217" i="20" s="1"/>
  <c r="AA217" i="20"/>
  <c r="AB217" i="20" s="1"/>
  <c r="W217" i="20"/>
  <c r="X217" i="20" s="1"/>
  <c r="Q217" i="20"/>
  <c r="R217" i="20" s="1"/>
  <c r="P217" i="20"/>
  <c r="M217" i="20"/>
  <c r="N217" i="20" s="1"/>
  <c r="T217" i="20" s="1"/>
  <c r="G217" i="20"/>
  <c r="H217" i="20" s="1"/>
  <c r="C217" i="20"/>
  <c r="D217" i="20" s="1"/>
  <c r="J217" i="20" s="1"/>
  <c r="B217" i="20"/>
  <c r="AQ216" i="20"/>
  <c r="AS216" i="20" s="1"/>
  <c r="AP216" i="20"/>
  <c r="AJ216" i="20"/>
  <c r="AI216" i="20"/>
  <c r="AH216" i="20"/>
  <c r="AE216" i="20"/>
  <c r="AF216" i="20" s="1"/>
  <c r="AL216" i="20" s="1"/>
  <c r="AD216" i="20"/>
  <c r="AA216" i="20"/>
  <c r="AB216" i="20" s="1"/>
  <c r="X216" i="20"/>
  <c r="W216" i="20"/>
  <c r="V216" i="20"/>
  <c r="Q216" i="20"/>
  <c r="R216" i="20" s="1"/>
  <c r="P216" i="20"/>
  <c r="N216" i="20"/>
  <c r="M216" i="20"/>
  <c r="L216" i="20"/>
  <c r="G216" i="20"/>
  <c r="H216" i="20" s="1"/>
  <c r="F216" i="20"/>
  <c r="I216" i="20" s="1"/>
  <c r="C216" i="20"/>
  <c r="D216" i="20" s="1"/>
  <c r="J216" i="20" s="1"/>
  <c r="B216" i="20"/>
  <c r="AQ215" i="20"/>
  <c r="AP215" i="20"/>
  <c r="AI215" i="20"/>
  <c r="AJ215" i="20" s="1"/>
  <c r="AH215" i="20"/>
  <c r="AE215" i="20"/>
  <c r="AF215" i="20" s="1"/>
  <c r="AD215" i="20"/>
  <c r="AA215" i="20"/>
  <c r="AB215" i="20" s="1"/>
  <c r="Z215" i="20"/>
  <c r="W215" i="20"/>
  <c r="X215" i="20" s="1"/>
  <c r="AL215" i="20" s="1"/>
  <c r="V215" i="20"/>
  <c r="Q215" i="20"/>
  <c r="R215" i="20" s="1"/>
  <c r="P215" i="20"/>
  <c r="S215" i="20" s="1"/>
  <c r="N215" i="20"/>
  <c r="M215" i="20"/>
  <c r="L215" i="20"/>
  <c r="G215" i="20"/>
  <c r="H215" i="20" s="1"/>
  <c r="F215" i="20"/>
  <c r="C215" i="20"/>
  <c r="D215" i="20" s="1"/>
  <c r="B215" i="20"/>
  <c r="AQ214" i="20"/>
  <c r="AP214" i="20"/>
  <c r="AI214" i="20"/>
  <c r="AJ214" i="20" s="1"/>
  <c r="AH214" i="20"/>
  <c r="AE214" i="20"/>
  <c r="AF214" i="20" s="1"/>
  <c r="AL214" i="20" s="1"/>
  <c r="AD214" i="20"/>
  <c r="AA214" i="20"/>
  <c r="AB214" i="20" s="1"/>
  <c r="Z214" i="20"/>
  <c r="W214" i="20"/>
  <c r="X214" i="20" s="1"/>
  <c r="V214" i="20"/>
  <c r="R214" i="20"/>
  <c r="Q214" i="20"/>
  <c r="P214" i="20"/>
  <c r="N214" i="20"/>
  <c r="M214" i="20"/>
  <c r="L214" i="20"/>
  <c r="S214" i="20" s="1"/>
  <c r="G214" i="20"/>
  <c r="H214" i="20" s="1"/>
  <c r="J214" i="20" s="1"/>
  <c r="F214" i="20"/>
  <c r="C214" i="20"/>
  <c r="D214" i="20" s="1"/>
  <c r="B214" i="20"/>
  <c r="AQ213" i="20"/>
  <c r="AP213" i="20"/>
  <c r="AI213" i="20"/>
  <c r="AJ213" i="20" s="1"/>
  <c r="AH213" i="20"/>
  <c r="AE213" i="20"/>
  <c r="AF213" i="20" s="1"/>
  <c r="AD213" i="20"/>
  <c r="AA213" i="20"/>
  <c r="AB213" i="20" s="1"/>
  <c r="Z213" i="20"/>
  <c r="X213" i="20"/>
  <c r="W213" i="20"/>
  <c r="V213" i="20"/>
  <c r="R213" i="20"/>
  <c r="Q213" i="20"/>
  <c r="P213" i="20"/>
  <c r="M213" i="20"/>
  <c r="N213" i="20" s="1"/>
  <c r="L213" i="20"/>
  <c r="J213" i="20"/>
  <c r="G213" i="20"/>
  <c r="H213" i="20" s="1"/>
  <c r="F213" i="20"/>
  <c r="C213" i="20"/>
  <c r="D213" i="20" s="1"/>
  <c r="B213" i="20"/>
  <c r="I213" i="20" s="1"/>
  <c r="AQ212" i="20"/>
  <c r="AP212" i="20"/>
  <c r="AI212" i="20"/>
  <c r="AJ212" i="20" s="1"/>
  <c r="AH212" i="20"/>
  <c r="AF212" i="20"/>
  <c r="AE212" i="20"/>
  <c r="AD212" i="20"/>
  <c r="AB212" i="20"/>
  <c r="AA212" i="20"/>
  <c r="Z212" i="20"/>
  <c r="X212" i="20"/>
  <c r="W212" i="20"/>
  <c r="V212" i="20"/>
  <c r="R212" i="20"/>
  <c r="Q212" i="20"/>
  <c r="P212" i="20"/>
  <c r="M212" i="20"/>
  <c r="N212" i="20" s="1"/>
  <c r="T212" i="20" s="1"/>
  <c r="L212" i="20"/>
  <c r="G212" i="20"/>
  <c r="H212" i="20" s="1"/>
  <c r="F212" i="20"/>
  <c r="D212" i="20"/>
  <c r="C212" i="20"/>
  <c r="B212" i="20"/>
  <c r="I212" i="20" s="1"/>
  <c r="AR211" i="20"/>
  <c r="AQ211" i="20"/>
  <c r="AP211" i="20"/>
  <c r="AS211" i="20"/>
  <c r="AI211" i="20"/>
  <c r="AJ211" i="20" s="1"/>
  <c r="AH211" i="20"/>
  <c r="AE211" i="20"/>
  <c r="AF211" i="20" s="1"/>
  <c r="AD211" i="20"/>
  <c r="AB211" i="20"/>
  <c r="AA211" i="20"/>
  <c r="Z211" i="20"/>
  <c r="X211" i="20"/>
  <c r="W211" i="20"/>
  <c r="V211" i="20"/>
  <c r="R211" i="20"/>
  <c r="Q211" i="20"/>
  <c r="P211" i="20"/>
  <c r="M211" i="20"/>
  <c r="N211" i="20" s="1"/>
  <c r="L211" i="20"/>
  <c r="S211" i="20" s="1"/>
  <c r="H211" i="20"/>
  <c r="G211" i="20"/>
  <c r="F211" i="20"/>
  <c r="D211" i="20"/>
  <c r="C211" i="20"/>
  <c r="B211" i="20"/>
  <c r="AR210" i="20"/>
  <c r="AQ210" i="20"/>
  <c r="AS210" i="20" s="1"/>
  <c r="AP210" i="20"/>
  <c r="AJ210" i="20"/>
  <c r="AI210" i="20"/>
  <c r="AE210" i="20"/>
  <c r="AF210" i="20" s="1"/>
  <c r="AD210" i="20"/>
  <c r="AA210" i="20"/>
  <c r="AB210" i="20" s="1"/>
  <c r="W210" i="20"/>
  <c r="X210" i="20" s="1"/>
  <c r="V210" i="20"/>
  <c r="Q210" i="20"/>
  <c r="R210" i="20" s="1"/>
  <c r="M210" i="20"/>
  <c r="N210" i="20" s="1"/>
  <c r="L210" i="20"/>
  <c r="G210" i="20"/>
  <c r="H210" i="20" s="1"/>
  <c r="F210" i="20"/>
  <c r="D210" i="20"/>
  <c r="C210" i="20"/>
  <c r="AQ209" i="20"/>
  <c r="AJ209" i="20"/>
  <c r="AI209" i="20"/>
  <c r="AH209" i="20"/>
  <c r="AE209" i="20"/>
  <c r="AF209" i="20" s="1"/>
  <c r="AA209" i="20"/>
  <c r="AB209" i="20" s="1"/>
  <c r="W209" i="20"/>
  <c r="X209" i="20" s="1"/>
  <c r="R209" i="20"/>
  <c r="Q209" i="20"/>
  <c r="P209" i="20"/>
  <c r="N209" i="20"/>
  <c r="T209" i="20" s="1"/>
  <c r="M209" i="20"/>
  <c r="G209" i="20"/>
  <c r="H209" i="20" s="1"/>
  <c r="C209" i="20"/>
  <c r="D209" i="20" s="1"/>
  <c r="B209" i="20"/>
  <c r="AR208" i="20"/>
  <c r="AQ208" i="20"/>
  <c r="AS208" i="20" s="1"/>
  <c r="AP208" i="20"/>
  <c r="AJ208" i="20"/>
  <c r="AI208" i="20"/>
  <c r="AH208" i="20"/>
  <c r="AF208" i="20"/>
  <c r="AE208" i="20"/>
  <c r="AD208" i="20"/>
  <c r="AA208" i="20"/>
  <c r="AB208" i="20" s="1"/>
  <c r="W208" i="20"/>
  <c r="X208" i="20" s="1"/>
  <c r="V208" i="20"/>
  <c r="Q208" i="20"/>
  <c r="R208" i="20" s="1"/>
  <c r="P208" i="20"/>
  <c r="M208" i="20"/>
  <c r="N208" i="20" s="1"/>
  <c r="L208" i="20"/>
  <c r="S208" i="20" s="1"/>
  <c r="G208" i="20"/>
  <c r="H208" i="20" s="1"/>
  <c r="F208" i="20"/>
  <c r="D208" i="20"/>
  <c r="C208" i="20"/>
  <c r="B208" i="20"/>
  <c r="AR207" i="20"/>
  <c r="AQ207" i="20"/>
  <c r="AI207" i="20"/>
  <c r="AJ207" i="20" s="1"/>
  <c r="AH207" i="20"/>
  <c r="AF207" i="20"/>
  <c r="AE207" i="20"/>
  <c r="AD207" i="20"/>
  <c r="AB207" i="20"/>
  <c r="AA207" i="20"/>
  <c r="Z207" i="20"/>
  <c r="X207" i="20"/>
  <c r="W207" i="20"/>
  <c r="V207" i="20"/>
  <c r="Q207" i="20"/>
  <c r="R207" i="20" s="1"/>
  <c r="P207" i="20"/>
  <c r="N207" i="20"/>
  <c r="T207" i="20" s="1"/>
  <c r="M207" i="20"/>
  <c r="L207" i="20"/>
  <c r="H207" i="20"/>
  <c r="G207" i="20"/>
  <c r="F207" i="20"/>
  <c r="D207" i="20"/>
  <c r="C207" i="20"/>
  <c r="B207" i="20"/>
  <c r="AQ206" i="20"/>
  <c r="AR206" i="20" s="1"/>
  <c r="AI206" i="20"/>
  <c r="AJ206" i="20" s="1"/>
  <c r="AH206" i="20"/>
  <c r="AE206" i="20"/>
  <c r="AF206" i="20" s="1"/>
  <c r="AD206" i="20"/>
  <c r="AA206" i="20"/>
  <c r="AB206" i="20" s="1"/>
  <c r="Z206" i="20"/>
  <c r="W206" i="20"/>
  <c r="X206" i="20" s="1"/>
  <c r="V206" i="20"/>
  <c r="Q206" i="20"/>
  <c r="R206" i="20" s="1"/>
  <c r="P206" i="20"/>
  <c r="M206" i="20"/>
  <c r="N206" i="20" s="1"/>
  <c r="L206" i="20"/>
  <c r="S206" i="20" s="1"/>
  <c r="G206" i="20"/>
  <c r="H206" i="20" s="1"/>
  <c r="F206" i="20"/>
  <c r="C206" i="20"/>
  <c r="D206" i="20" s="1"/>
  <c r="B206" i="20"/>
  <c r="I206" i="20" s="1"/>
  <c r="AS205" i="20"/>
  <c r="AQ205" i="20"/>
  <c r="AR205" i="20" s="1"/>
  <c r="AP205" i="20"/>
  <c r="AI205" i="20"/>
  <c r="AJ205" i="20" s="1"/>
  <c r="AH205" i="20"/>
  <c r="AE205" i="20"/>
  <c r="AF205" i="20" s="1"/>
  <c r="AD205" i="20"/>
  <c r="AA205" i="20"/>
  <c r="AB205" i="20" s="1"/>
  <c r="Z205" i="20"/>
  <c r="X205" i="20"/>
  <c r="AL205" i="20" s="1"/>
  <c r="W205" i="20"/>
  <c r="V205" i="20"/>
  <c r="R205" i="20"/>
  <c r="Q205" i="20"/>
  <c r="P205" i="20"/>
  <c r="M205" i="20"/>
  <c r="N205" i="20" s="1"/>
  <c r="L205" i="20"/>
  <c r="J205" i="20"/>
  <c r="G205" i="20"/>
  <c r="H205" i="20" s="1"/>
  <c r="F205" i="20"/>
  <c r="C205" i="20"/>
  <c r="D205" i="20" s="1"/>
  <c r="B205" i="20"/>
  <c r="AS204" i="20"/>
  <c r="AQ204" i="20"/>
  <c r="AR204" i="20" s="1"/>
  <c r="AP204" i="20"/>
  <c r="AJ204" i="20"/>
  <c r="AI204" i="20"/>
  <c r="AH204" i="20"/>
  <c r="AF204" i="20"/>
  <c r="AE204" i="20"/>
  <c r="AD204" i="20"/>
  <c r="AA204" i="20"/>
  <c r="AB204" i="20" s="1"/>
  <c r="Z204" i="20"/>
  <c r="X204" i="20"/>
  <c r="W204" i="20"/>
  <c r="V204" i="20"/>
  <c r="R204" i="20"/>
  <c r="T204" i="20" s="1"/>
  <c r="Q204" i="20"/>
  <c r="P204" i="20"/>
  <c r="M204" i="20"/>
  <c r="N204" i="20" s="1"/>
  <c r="L204" i="20"/>
  <c r="H204" i="20"/>
  <c r="G204" i="20"/>
  <c r="F204" i="20"/>
  <c r="D204" i="20"/>
  <c r="C204" i="20"/>
  <c r="B204" i="20"/>
  <c r="AR203" i="20"/>
  <c r="AQ203" i="20"/>
  <c r="AP203" i="20"/>
  <c r="AS203" i="20"/>
  <c r="AI203" i="20"/>
  <c r="AJ203" i="20" s="1"/>
  <c r="AH203" i="20"/>
  <c r="AF203" i="20"/>
  <c r="AE203" i="20"/>
  <c r="AD203" i="20"/>
  <c r="AB203" i="20"/>
  <c r="AA203" i="20"/>
  <c r="Z203" i="20"/>
  <c r="X203" i="20"/>
  <c r="W203" i="20"/>
  <c r="V203" i="20"/>
  <c r="Q203" i="20"/>
  <c r="R203" i="20" s="1"/>
  <c r="P203" i="20"/>
  <c r="M203" i="20"/>
  <c r="N203" i="20" s="1"/>
  <c r="T203" i="20" s="1"/>
  <c r="L203" i="20"/>
  <c r="S203" i="20" s="1"/>
  <c r="G203" i="20"/>
  <c r="H203" i="20" s="1"/>
  <c r="F203" i="20"/>
  <c r="D203" i="20"/>
  <c r="C203" i="20"/>
  <c r="B203" i="20"/>
  <c r="I203" i="20" s="1"/>
  <c r="AR202" i="20"/>
  <c r="AQ202" i="20"/>
  <c r="AI202" i="20"/>
  <c r="AJ202" i="20" s="1"/>
  <c r="AE202" i="20"/>
  <c r="AF202" i="20" s="1"/>
  <c r="AD202" i="20"/>
  <c r="AB202" i="20"/>
  <c r="AA202" i="20"/>
  <c r="W202" i="20"/>
  <c r="X202" i="20" s="1"/>
  <c r="V202" i="20"/>
  <c r="Q202" i="20"/>
  <c r="R202" i="20" s="1"/>
  <c r="N202" i="20"/>
  <c r="M202" i="20"/>
  <c r="L202" i="20"/>
  <c r="G202" i="20"/>
  <c r="H202" i="20" s="1"/>
  <c r="F202" i="20"/>
  <c r="D202" i="20"/>
  <c r="C202" i="20"/>
  <c r="AQ201" i="20"/>
  <c r="AJ201" i="20"/>
  <c r="AI201" i="20"/>
  <c r="AH201" i="20"/>
  <c r="AE201" i="20"/>
  <c r="AF201" i="20" s="1"/>
  <c r="AD201" i="20"/>
  <c r="AB201" i="20"/>
  <c r="AL201" i="20" s="1"/>
  <c r="AA201" i="20"/>
  <c r="W201" i="20"/>
  <c r="X201" i="20" s="1"/>
  <c r="R201" i="20"/>
  <c r="Q201" i="20"/>
  <c r="P201" i="20"/>
  <c r="N201" i="20"/>
  <c r="M201" i="20"/>
  <c r="L201" i="20"/>
  <c r="S201" i="20" s="1"/>
  <c r="G201" i="20"/>
  <c r="H201" i="20" s="1"/>
  <c r="C201" i="20"/>
  <c r="D201" i="20" s="1"/>
  <c r="J201" i="20" s="1"/>
  <c r="B201" i="20"/>
  <c r="AR200" i="20"/>
  <c r="AQ200" i="20"/>
  <c r="AS200" i="20" s="1"/>
  <c r="AP200" i="20"/>
  <c r="AI200" i="20"/>
  <c r="AJ200" i="20" s="1"/>
  <c r="AH200" i="20"/>
  <c r="AE200" i="20"/>
  <c r="AF200" i="20" s="1"/>
  <c r="AD200" i="20"/>
  <c r="AB200" i="20"/>
  <c r="AA200" i="20"/>
  <c r="W200" i="20"/>
  <c r="X200" i="20" s="1"/>
  <c r="V200" i="20"/>
  <c r="T200" i="20"/>
  <c r="Q200" i="20"/>
  <c r="R200" i="20" s="1"/>
  <c r="P200" i="20"/>
  <c r="N200" i="20"/>
  <c r="M200" i="20"/>
  <c r="L200" i="20"/>
  <c r="G200" i="20"/>
  <c r="H200" i="20" s="1"/>
  <c r="F200" i="20"/>
  <c r="C200" i="20"/>
  <c r="D200" i="20" s="1"/>
  <c r="J200" i="20" s="1"/>
  <c r="B200" i="20"/>
  <c r="I200" i="20" s="1"/>
  <c r="AQ199" i="20"/>
  <c r="AP199" i="20"/>
  <c r="AJ199" i="20"/>
  <c r="AI199" i="20"/>
  <c r="AH199" i="20"/>
  <c r="AE199" i="20"/>
  <c r="AF199" i="20" s="1"/>
  <c r="AD199" i="20"/>
  <c r="AA199" i="20"/>
  <c r="AB199" i="20" s="1"/>
  <c r="Z199" i="20"/>
  <c r="X199" i="20"/>
  <c r="W199" i="20"/>
  <c r="V199" i="20"/>
  <c r="Q199" i="20"/>
  <c r="R199" i="20" s="1"/>
  <c r="P199" i="20"/>
  <c r="S199" i="20" s="1"/>
  <c r="N199" i="20"/>
  <c r="T199" i="20" s="1"/>
  <c r="M199" i="20"/>
  <c r="L199" i="20"/>
  <c r="H199" i="20"/>
  <c r="G199" i="20"/>
  <c r="F199" i="20"/>
  <c r="C199" i="20"/>
  <c r="D199" i="20" s="1"/>
  <c r="J199" i="20" s="1"/>
  <c r="B199" i="20"/>
  <c r="AQ198" i="20"/>
  <c r="AP198" i="20"/>
  <c r="AI198" i="20"/>
  <c r="AJ198" i="20" s="1"/>
  <c r="AH198" i="20"/>
  <c r="AE198" i="20"/>
  <c r="AF198" i="20" s="1"/>
  <c r="AD198" i="20"/>
  <c r="AA198" i="20"/>
  <c r="AB198" i="20" s="1"/>
  <c r="Z198" i="20"/>
  <c r="X198" i="20"/>
  <c r="AL198" i="20" s="1"/>
  <c r="W198" i="20"/>
  <c r="V198" i="20"/>
  <c r="Q198" i="20"/>
  <c r="R198" i="20" s="1"/>
  <c r="P198" i="20"/>
  <c r="M198" i="20"/>
  <c r="N198" i="20" s="1"/>
  <c r="T198" i="20" s="1"/>
  <c r="L198" i="20"/>
  <c r="S198" i="20" s="1"/>
  <c r="H198" i="20"/>
  <c r="G198" i="20"/>
  <c r="F198" i="20"/>
  <c r="C198" i="20"/>
  <c r="D198" i="20" s="1"/>
  <c r="B198" i="20"/>
  <c r="AS197" i="20"/>
  <c r="AQ197" i="20"/>
  <c r="AR197" i="20" s="1"/>
  <c r="AP197" i="20"/>
  <c r="AI197" i="20"/>
  <c r="AJ197" i="20" s="1"/>
  <c r="AH197" i="20"/>
  <c r="AE197" i="20"/>
  <c r="AF197" i="20" s="1"/>
  <c r="AD197" i="20"/>
  <c r="AA197" i="20"/>
  <c r="AB197" i="20" s="1"/>
  <c r="Z197" i="20"/>
  <c r="W197" i="20"/>
  <c r="X197" i="20" s="1"/>
  <c r="V197" i="20"/>
  <c r="Q197" i="20"/>
  <c r="R197" i="20" s="1"/>
  <c r="P197" i="20"/>
  <c r="S197" i="20" s="1"/>
  <c r="M197" i="20"/>
  <c r="N197" i="20" s="1"/>
  <c r="L197" i="20"/>
  <c r="H197" i="20"/>
  <c r="G197" i="20"/>
  <c r="F197" i="20"/>
  <c r="C197" i="20"/>
  <c r="D197" i="20" s="1"/>
  <c r="J197" i="20" s="1"/>
  <c r="B197" i="20"/>
  <c r="AQ196" i="20"/>
  <c r="AR196" i="20" s="1"/>
  <c r="AP196" i="20"/>
  <c r="AI196" i="20"/>
  <c r="AJ196" i="20" s="1"/>
  <c r="AH196" i="20"/>
  <c r="AE196" i="20"/>
  <c r="AF196" i="20" s="1"/>
  <c r="AD196" i="20"/>
  <c r="AA196" i="20"/>
  <c r="AB196" i="20" s="1"/>
  <c r="Z196" i="20"/>
  <c r="W196" i="20"/>
  <c r="X196" i="20" s="1"/>
  <c r="V196" i="20"/>
  <c r="R196" i="20"/>
  <c r="Q196" i="20"/>
  <c r="P196" i="20"/>
  <c r="M196" i="20"/>
  <c r="N196" i="20" s="1"/>
  <c r="L196" i="20"/>
  <c r="S196" i="20" s="1"/>
  <c r="G196" i="20"/>
  <c r="H196" i="20" s="1"/>
  <c r="F196" i="20"/>
  <c r="C196" i="20"/>
  <c r="D196" i="20" s="1"/>
  <c r="B196" i="20"/>
  <c r="I196" i="20" s="1"/>
  <c r="AQ195" i="20"/>
  <c r="AP195" i="20"/>
  <c r="AJ195" i="20"/>
  <c r="AI195" i="20"/>
  <c r="AH195" i="20"/>
  <c r="AE195" i="20"/>
  <c r="AF195" i="20" s="1"/>
  <c r="AD195" i="20"/>
  <c r="AB195" i="20"/>
  <c r="AA195" i="20"/>
  <c r="Z195" i="20"/>
  <c r="X195" i="20"/>
  <c r="W195" i="20"/>
  <c r="V195" i="20"/>
  <c r="Q195" i="20"/>
  <c r="R195" i="20" s="1"/>
  <c r="T195" i="20" s="1"/>
  <c r="P195" i="20"/>
  <c r="M195" i="20"/>
  <c r="N195" i="20" s="1"/>
  <c r="L195" i="20"/>
  <c r="G195" i="20"/>
  <c r="H195" i="20" s="1"/>
  <c r="F195" i="20"/>
  <c r="C195" i="20"/>
  <c r="D195" i="20" s="1"/>
  <c r="J195" i="20" s="1"/>
  <c r="B195" i="20"/>
  <c r="AS194" i="20"/>
  <c r="AR194" i="20"/>
  <c r="AQ194" i="20"/>
  <c r="AP194" i="20"/>
  <c r="AJ194" i="20"/>
  <c r="AI194" i="20"/>
  <c r="AH194" i="20"/>
  <c r="AE194" i="20"/>
  <c r="AF194" i="20" s="1"/>
  <c r="AD194" i="20"/>
  <c r="AB194" i="20"/>
  <c r="AA194" i="20"/>
  <c r="W194" i="20"/>
  <c r="X194" i="20" s="1"/>
  <c r="V194" i="20"/>
  <c r="Q194" i="20"/>
  <c r="R194" i="20" s="1"/>
  <c r="M194" i="20"/>
  <c r="N194" i="20" s="1"/>
  <c r="T194" i="20" s="1"/>
  <c r="L194" i="20"/>
  <c r="G194" i="20"/>
  <c r="H194" i="20" s="1"/>
  <c r="F194" i="20"/>
  <c r="C194" i="20"/>
  <c r="D194" i="20" s="1"/>
  <c r="AQ193" i="20"/>
  <c r="AR193" i="20" s="1"/>
  <c r="AP193" i="20"/>
  <c r="AI193" i="20"/>
  <c r="AJ193" i="20" s="1"/>
  <c r="AH193" i="20"/>
  <c r="AE193" i="20"/>
  <c r="AF193" i="20" s="1"/>
  <c r="AA193" i="20"/>
  <c r="AB193" i="20" s="1"/>
  <c r="Z193" i="20"/>
  <c r="W193" i="20"/>
  <c r="X193" i="20" s="1"/>
  <c r="T193" i="20"/>
  <c r="Q193" i="20"/>
  <c r="R193" i="20" s="1"/>
  <c r="P193" i="20"/>
  <c r="N193" i="20"/>
  <c r="M193" i="20"/>
  <c r="G193" i="20"/>
  <c r="H193" i="20" s="1"/>
  <c r="C193" i="20"/>
  <c r="D193" i="20" s="1"/>
  <c r="B193" i="20"/>
  <c r="AQ192" i="20"/>
  <c r="AP192" i="20"/>
  <c r="AJ192" i="20"/>
  <c r="AI192" i="20"/>
  <c r="AH192" i="20"/>
  <c r="AE192" i="20"/>
  <c r="AF192" i="20" s="1"/>
  <c r="AD192" i="20"/>
  <c r="AA192" i="20"/>
  <c r="AB192" i="20" s="1"/>
  <c r="W192" i="20"/>
  <c r="X192" i="20" s="1"/>
  <c r="V192" i="20"/>
  <c r="Q192" i="20"/>
  <c r="R192" i="20" s="1"/>
  <c r="P192" i="20"/>
  <c r="N192" i="20"/>
  <c r="M192" i="20"/>
  <c r="L192" i="20"/>
  <c r="S192" i="20" s="1"/>
  <c r="H192" i="20"/>
  <c r="G192" i="20"/>
  <c r="F192" i="20"/>
  <c r="I192" i="20" s="1"/>
  <c r="D192" i="20"/>
  <c r="C192" i="20"/>
  <c r="B192" i="20"/>
  <c r="AR191" i="20"/>
  <c r="AQ191" i="20"/>
  <c r="AS191" i="20" s="1"/>
  <c r="AP191" i="20"/>
  <c r="AI191" i="20"/>
  <c r="AJ191" i="20" s="1"/>
  <c r="AH191" i="20"/>
  <c r="AE191" i="20"/>
  <c r="AF191" i="20" s="1"/>
  <c r="AD191" i="20"/>
  <c r="AB191" i="20"/>
  <c r="AA191" i="20"/>
  <c r="Z191" i="20"/>
  <c r="X191" i="20"/>
  <c r="W191" i="20"/>
  <c r="V191" i="20"/>
  <c r="Q191" i="20"/>
  <c r="R191" i="20" s="1"/>
  <c r="P191" i="20"/>
  <c r="N191" i="20"/>
  <c r="T191" i="20" s="1"/>
  <c r="M191" i="20"/>
  <c r="L191" i="20"/>
  <c r="H191" i="20"/>
  <c r="G191" i="20"/>
  <c r="F191" i="20"/>
  <c r="C191" i="20"/>
  <c r="D191" i="20" s="1"/>
  <c r="J191" i="20" s="1"/>
  <c r="B191" i="20"/>
  <c r="AS190" i="20"/>
  <c r="AQ190" i="20"/>
  <c r="AR190" i="20" s="1"/>
  <c r="AP190" i="20"/>
  <c r="AI190" i="20"/>
  <c r="AJ190" i="20" s="1"/>
  <c r="AH190" i="20"/>
  <c r="AF190" i="20"/>
  <c r="AE190" i="20"/>
  <c r="AD190" i="20"/>
  <c r="AA190" i="20"/>
  <c r="AB190" i="20" s="1"/>
  <c r="Z190" i="20"/>
  <c r="X190" i="20"/>
  <c r="W190" i="20"/>
  <c r="V190" i="20"/>
  <c r="Q190" i="20"/>
  <c r="R190" i="20" s="1"/>
  <c r="P190" i="20"/>
  <c r="N190" i="20"/>
  <c r="T190" i="20" s="1"/>
  <c r="M190" i="20"/>
  <c r="L190" i="20"/>
  <c r="H190" i="20"/>
  <c r="G190" i="20"/>
  <c r="F190" i="20"/>
  <c r="I190" i="20" s="1"/>
  <c r="C190" i="20"/>
  <c r="D190" i="20" s="1"/>
  <c r="B190" i="20"/>
  <c r="AQ189" i="20"/>
  <c r="AP189" i="20"/>
  <c r="AI189" i="20"/>
  <c r="AJ189" i="20" s="1"/>
  <c r="AH189" i="20"/>
  <c r="AE189" i="20"/>
  <c r="AF189" i="20" s="1"/>
  <c r="AD189" i="20"/>
  <c r="AA189" i="20"/>
  <c r="AB189" i="20" s="1"/>
  <c r="Z189" i="20"/>
  <c r="X189" i="20"/>
  <c r="W189" i="20"/>
  <c r="V189" i="20"/>
  <c r="R189" i="20"/>
  <c r="Q189" i="20"/>
  <c r="P189" i="20"/>
  <c r="M189" i="20"/>
  <c r="N189" i="20" s="1"/>
  <c r="L189" i="20"/>
  <c r="S189" i="20" s="1"/>
  <c r="G189" i="20"/>
  <c r="H189" i="20" s="1"/>
  <c r="J189" i="20" s="1"/>
  <c r="F189" i="20"/>
  <c r="C189" i="20"/>
  <c r="D189" i="20" s="1"/>
  <c r="B189" i="20"/>
  <c r="AQ188" i="20"/>
  <c r="AS188" i="20" s="1"/>
  <c r="AP188" i="20"/>
  <c r="AJ188" i="20"/>
  <c r="AI188" i="20"/>
  <c r="AH188" i="20"/>
  <c r="AF188" i="20"/>
  <c r="AE188" i="20"/>
  <c r="AD188" i="20"/>
  <c r="AB188" i="20"/>
  <c r="AA188" i="20"/>
  <c r="Z188" i="20"/>
  <c r="W188" i="20"/>
  <c r="X188" i="20" s="1"/>
  <c r="V188" i="20"/>
  <c r="T188" i="20"/>
  <c r="Q188" i="20"/>
  <c r="R188" i="20" s="1"/>
  <c r="P188" i="20"/>
  <c r="M188" i="20"/>
  <c r="N188" i="20" s="1"/>
  <c r="L188" i="20"/>
  <c r="G188" i="20"/>
  <c r="H188" i="20" s="1"/>
  <c r="F188" i="20"/>
  <c r="C188" i="20"/>
  <c r="D188" i="20" s="1"/>
  <c r="J188" i="20" s="1"/>
  <c r="B188" i="20"/>
  <c r="AQ187" i="20"/>
  <c r="AR187" i="20" s="1"/>
  <c r="AI187" i="20"/>
  <c r="AJ187" i="20" s="1"/>
  <c r="AH187" i="20"/>
  <c r="AE187" i="20"/>
  <c r="AF187" i="20" s="1"/>
  <c r="AD187" i="20"/>
  <c r="AA187" i="20"/>
  <c r="AB187" i="20" s="1"/>
  <c r="Z187" i="20"/>
  <c r="W187" i="20"/>
  <c r="X187" i="20" s="1"/>
  <c r="V187" i="20"/>
  <c r="Q187" i="20"/>
  <c r="R187" i="20" s="1"/>
  <c r="P187" i="20"/>
  <c r="M187" i="20"/>
  <c r="N187" i="20" s="1"/>
  <c r="L187" i="20"/>
  <c r="H187" i="20"/>
  <c r="G187" i="20"/>
  <c r="F187" i="20"/>
  <c r="D187" i="20"/>
  <c r="C187" i="20"/>
  <c r="B187" i="20"/>
  <c r="AQ186" i="20"/>
  <c r="AP186" i="20"/>
  <c r="AI186" i="20"/>
  <c r="AJ186" i="20" s="1"/>
  <c r="AL186" i="20" s="1"/>
  <c r="AE186" i="20"/>
  <c r="AF186" i="20" s="1"/>
  <c r="AD186" i="20"/>
  <c r="AB186" i="20"/>
  <c r="AA186" i="20"/>
  <c r="W186" i="20"/>
  <c r="X186" i="20" s="1"/>
  <c r="V186" i="20"/>
  <c r="Q186" i="20"/>
  <c r="R186" i="20" s="1"/>
  <c r="M186" i="20"/>
  <c r="N186" i="20" s="1"/>
  <c r="T186" i="20" s="1"/>
  <c r="L186" i="20"/>
  <c r="G186" i="20"/>
  <c r="H186" i="20" s="1"/>
  <c r="F186" i="20"/>
  <c r="C186" i="20"/>
  <c r="D186" i="20" s="1"/>
  <c r="AQ185" i="20"/>
  <c r="AI185" i="20"/>
  <c r="AJ185" i="20" s="1"/>
  <c r="AH185" i="20"/>
  <c r="AE185" i="20"/>
  <c r="AF185" i="20" s="1"/>
  <c r="AA185" i="20"/>
  <c r="AB185" i="20" s="1"/>
  <c r="W185" i="20"/>
  <c r="X185" i="20" s="1"/>
  <c r="R185" i="20"/>
  <c r="Q185" i="20"/>
  <c r="P185" i="20"/>
  <c r="N185" i="20"/>
  <c r="M185" i="20"/>
  <c r="G185" i="20"/>
  <c r="H185" i="20" s="1"/>
  <c r="D185" i="20"/>
  <c r="C185" i="20"/>
  <c r="B185" i="20"/>
  <c r="AQ184" i="20"/>
  <c r="AP184" i="20"/>
  <c r="AI184" i="20"/>
  <c r="AJ184" i="20" s="1"/>
  <c r="AH184" i="20"/>
  <c r="AF184" i="20"/>
  <c r="AE184" i="20"/>
  <c r="AD184" i="20"/>
  <c r="AA184" i="20"/>
  <c r="AB184" i="20" s="1"/>
  <c r="W184" i="20"/>
  <c r="X184" i="20" s="1"/>
  <c r="V184" i="20"/>
  <c r="Q184" i="20"/>
  <c r="R184" i="20" s="1"/>
  <c r="P184" i="20"/>
  <c r="M184" i="20"/>
  <c r="N184" i="20" s="1"/>
  <c r="T184" i="20" s="1"/>
  <c r="L184" i="20"/>
  <c r="G184" i="20"/>
  <c r="H184" i="20" s="1"/>
  <c r="F184" i="20"/>
  <c r="C184" i="20"/>
  <c r="D184" i="20" s="1"/>
  <c r="B184" i="20"/>
  <c r="AQ183" i="20"/>
  <c r="AS183" i="20" s="1"/>
  <c r="AP183" i="20"/>
  <c r="AJ183" i="20"/>
  <c r="AI183" i="20"/>
  <c r="AH183" i="20"/>
  <c r="AF183" i="20"/>
  <c r="AE183" i="20"/>
  <c r="AD183" i="20"/>
  <c r="AA183" i="20"/>
  <c r="AB183" i="20" s="1"/>
  <c r="Z183" i="20"/>
  <c r="X183" i="20"/>
  <c r="W183" i="20"/>
  <c r="V183" i="20"/>
  <c r="Q183" i="20"/>
  <c r="R183" i="20" s="1"/>
  <c r="P183" i="20"/>
  <c r="M183" i="20"/>
  <c r="N183" i="20" s="1"/>
  <c r="L183" i="20"/>
  <c r="G183" i="20"/>
  <c r="H183" i="20" s="1"/>
  <c r="F183" i="20"/>
  <c r="I183" i="20" s="1"/>
  <c r="C183" i="20"/>
  <c r="D183" i="20" s="1"/>
  <c r="B183" i="20"/>
  <c r="AQ182" i="20"/>
  <c r="AP182" i="20"/>
  <c r="AI182" i="20"/>
  <c r="AJ182" i="20" s="1"/>
  <c r="AH182" i="20"/>
  <c r="AE182" i="20"/>
  <c r="AF182" i="20" s="1"/>
  <c r="AD182" i="20"/>
  <c r="AB182" i="20"/>
  <c r="AA182" i="20"/>
  <c r="Z182" i="20"/>
  <c r="W182" i="20"/>
  <c r="X182" i="20" s="1"/>
  <c r="V182" i="20"/>
  <c r="Q182" i="20"/>
  <c r="R182" i="20" s="1"/>
  <c r="P182" i="20"/>
  <c r="N182" i="20"/>
  <c r="T182" i="20" s="1"/>
  <c r="M182" i="20"/>
  <c r="L182" i="20"/>
  <c r="G182" i="20"/>
  <c r="H182" i="20" s="1"/>
  <c r="F182" i="20"/>
  <c r="C182" i="20"/>
  <c r="D182" i="20" s="1"/>
  <c r="B182" i="20"/>
  <c r="AQ181" i="20"/>
  <c r="AP181" i="20"/>
  <c r="AI181" i="20"/>
  <c r="AJ181" i="20" s="1"/>
  <c r="AH181" i="20"/>
  <c r="AE181" i="20"/>
  <c r="AF181" i="20" s="1"/>
  <c r="AD181" i="20"/>
  <c r="AA181" i="20"/>
  <c r="AB181" i="20" s="1"/>
  <c r="Z181" i="20"/>
  <c r="W181" i="20"/>
  <c r="X181" i="20" s="1"/>
  <c r="V181" i="20"/>
  <c r="Q181" i="20"/>
  <c r="R181" i="20" s="1"/>
  <c r="P181" i="20"/>
  <c r="M181" i="20"/>
  <c r="N181" i="20" s="1"/>
  <c r="T181" i="20" s="1"/>
  <c r="L181" i="20"/>
  <c r="G181" i="20"/>
  <c r="H181" i="20" s="1"/>
  <c r="F181" i="20"/>
  <c r="C181" i="20"/>
  <c r="D181" i="20" s="1"/>
  <c r="J181" i="20" s="1"/>
  <c r="B181" i="20"/>
  <c r="AS180" i="20"/>
  <c r="AR180" i="20"/>
  <c r="AQ180" i="20"/>
  <c r="AP180" i="20"/>
  <c r="AI180" i="20"/>
  <c r="AJ180" i="20" s="1"/>
  <c r="AH180" i="20"/>
  <c r="AF180" i="20"/>
  <c r="AE180" i="20"/>
  <c r="AD180" i="20"/>
  <c r="AB180" i="20"/>
  <c r="AA180" i="20"/>
  <c r="Z180" i="20"/>
  <c r="X180" i="20"/>
  <c r="W180" i="20"/>
  <c r="V180" i="20"/>
  <c r="Q180" i="20"/>
  <c r="R180" i="20" s="1"/>
  <c r="P180" i="20"/>
  <c r="M180" i="20"/>
  <c r="N180" i="20" s="1"/>
  <c r="T180" i="20" s="1"/>
  <c r="L180" i="20"/>
  <c r="S180" i="20" s="1"/>
  <c r="G180" i="20"/>
  <c r="H180" i="20" s="1"/>
  <c r="F180" i="20"/>
  <c r="C180" i="20"/>
  <c r="D180" i="20" s="1"/>
  <c r="J180" i="20" s="1"/>
  <c r="B180" i="20"/>
  <c r="AQ179" i="20"/>
  <c r="AP179" i="20"/>
  <c r="AI179" i="20"/>
  <c r="AJ179" i="20" s="1"/>
  <c r="AH179" i="20"/>
  <c r="AE179" i="20"/>
  <c r="AF179" i="20" s="1"/>
  <c r="AD179" i="20"/>
  <c r="AA179" i="20"/>
  <c r="AB179" i="20" s="1"/>
  <c r="Z179" i="20"/>
  <c r="W179" i="20"/>
  <c r="X179" i="20" s="1"/>
  <c r="AL179" i="20" s="1"/>
  <c r="V179" i="20"/>
  <c r="Q179" i="20"/>
  <c r="R179" i="20" s="1"/>
  <c r="P179" i="20"/>
  <c r="M179" i="20"/>
  <c r="N179" i="20" s="1"/>
  <c r="L179" i="20"/>
  <c r="S179" i="20" s="1"/>
  <c r="G179" i="20"/>
  <c r="H179" i="20" s="1"/>
  <c r="F179" i="20"/>
  <c r="C179" i="20"/>
  <c r="D179" i="20" s="1"/>
  <c r="B179" i="20"/>
  <c r="AQ178" i="20"/>
  <c r="AP178" i="20"/>
  <c r="AI178" i="20"/>
  <c r="AJ178" i="20" s="1"/>
  <c r="AF178" i="20"/>
  <c r="AE178" i="20"/>
  <c r="AD178" i="20"/>
  <c r="AA178" i="20"/>
  <c r="AB178" i="20" s="1"/>
  <c r="W178" i="20"/>
  <c r="X178" i="20" s="1"/>
  <c r="V178" i="20"/>
  <c r="R178" i="20"/>
  <c r="T178" i="20" s="1"/>
  <c r="Q178" i="20"/>
  <c r="P178" i="20"/>
  <c r="N178" i="20"/>
  <c r="M178" i="20"/>
  <c r="L178" i="20"/>
  <c r="G178" i="20"/>
  <c r="H178" i="20" s="1"/>
  <c r="F178" i="20"/>
  <c r="C178" i="20"/>
  <c r="D178" i="20" s="1"/>
  <c r="AR177" i="20"/>
  <c r="AQ177" i="20"/>
  <c r="AJ177" i="20"/>
  <c r="AI177" i="20"/>
  <c r="AH177" i="20"/>
  <c r="AF177" i="20"/>
  <c r="AE177" i="20"/>
  <c r="AB177" i="20"/>
  <c r="AA177" i="20"/>
  <c r="W177" i="20"/>
  <c r="X177" i="20" s="1"/>
  <c r="Q177" i="20"/>
  <c r="R177" i="20" s="1"/>
  <c r="P177" i="20"/>
  <c r="M177" i="20"/>
  <c r="N177" i="20" s="1"/>
  <c r="L177" i="20"/>
  <c r="G177" i="20"/>
  <c r="H177" i="20" s="1"/>
  <c r="C177" i="20"/>
  <c r="D177" i="20" s="1"/>
  <c r="B177" i="20"/>
  <c r="AQ176" i="20"/>
  <c r="AR176" i="20" s="1"/>
  <c r="AP176" i="20"/>
  <c r="AJ176" i="20"/>
  <c r="AI176" i="20"/>
  <c r="AH176" i="20"/>
  <c r="AF176" i="20"/>
  <c r="AE176" i="20"/>
  <c r="AD176" i="20"/>
  <c r="AB176" i="20"/>
  <c r="AA176" i="20"/>
  <c r="Z176" i="20"/>
  <c r="X176" i="20"/>
  <c r="W176" i="20"/>
  <c r="V176" i="20"/>
  <c r="Q176" i="20"/>
  <c r="R176" i="20" s="1"/>
  <c r="P176" i="20"/>
  <c r="M176" i="20"/>
  <c r="N176" i="20" s="1"/>
  <c r="T176" i="20" s="1"/>
  <c r="L176" i="20"/>
  <c r="G176" i="20"/>
  <c r="H176" i="20" s="1"/>
  <c r="J176" i="20" s="1"/>
  <c r="F176" i="20"/>
  <c r="D176" i="20"/>
  <c r="C176" i="20"/>
  <c r="B176" i="20"/>
  <c r="AQ175" i="20"/>
  <c r="AP175" i="20"/>
  <c r="AI175" i="20"/>
  <c r="AJ175" i="20" s="1"/>
  <c r="AH175" i="20"/>
  <c r="AE175" i="20"/>
  <c r="AF175" i="20" s="1"/>
  <c r="AD175" i="20"/>
  <c r="AA175" i="20"/>
  <c r="AB175" i="20" s="1"/>
  <c r="Z175" i="20"/>
  <c r="W175" i="20"/>
  <c r="X175" i="20" s="1"/>
  <c r="V175" i="20"/>
  <c r="R175" i="20"/>
  <c r="Q175" i="20"/>
  <c r="P175" i="20"/>
  <c r="N175" i="20"/>
  <c r="M175" i="20"/>
  <c r="L175" i="20"/>
  <c r="G175" i="20"/>
  <c r="H175" i="20" s="1"/>
  <c r="F175" i="20"/>
  <c r="C175" i="20"/>
  <c r="D175" i="20" s="1"/>
  <c r="B175" i="20"/>
  <c r="AR174" i="20"/>
  <c r="AQ174" i="20"/>
  <c r="AS174" i="20" s="1"/>
  <c r="AP174" i="20"/>
  <c r="AJ174" i="20"/>
  <c r="AI174" i="20"/>
  <c r="AH174" i="20"/>
  <c r="AE174" i="20"/>
  <c r="AF174" i="20" s="1"/>
  <c r="AD174" i="20"/>
  <c r="AA174" i="20"/>
  <c r="AB174" i="20" s="1"/>
  <c r="Z174" i="20"/>
  <c r="W174" i="20"/>
  <c r="X174" i="20" s="1"/>
  <c r="V174" i="20"/>
  <c r="Q174" i="20"/>
  <c r="R174" i="20" s="1"/>
  <c r="P174" i="20"/>
  <c r="M174" i="20"/>
  <c r="N174" i="20" s="1"/>
  <c r="T174" i="20" s="1"/>
  <c r="L174" i="20"/>
  <c r="S174" i="20" s="1"/>
  <c r="G174" i="20"/>
  <c r="H174" i="20" s="1"/>
  <c r="F174" i="20"/>
  <c r="C174" i="20"/>
  <c r="D174" i="20" s="1"/>
  <c r="J174" i="20" s="1"/>
  <c r="B174" i="20"/>
  <c r="I174" i="20" s="1"/>
  <c r="AQ173" i="20"/>
  <c r="AR173" i="20" s="1"/>
  <c r="AP173" i="20"/>
  <c r="AI173" i="20"/>
  <c r="AJ173" i="20" s="1"/>
  <c r="AH173" i="20"/>
  <c r="AF173" i="20"/>
  <c r="AE173" i="20"/>
  <c r="AD173" i="20"/>
  <c r="AA173" i="20"/>
  <c r="AB173" i="20" s="1"/>
  <c r="Z173" i="20"/>
  <c r="X173" i="20"/>
  <c r="W173" i="20"/>
  <c r="V173" i="20"/>
  <c r="AK173" i="20" s="1"/>
  <c r="Q173" i="20"/>
  <c r="R173" i="20" s="1"/>
  <c r="P173" i="20"/>
  <c r="M173" i="20"/>
  <c r="N173" i="20" s="1"/>
  <c r="L173" i="20"/>
  <c r="G173" i="20"/>
  <c r="H173" i="20" s="1"/>
  <c r="F173" i="20"/>
  <c r="C173" i="20"/>
  <c r="D173" i="20" s="1"/>
  <c r="B173" i="20"/>
  <c r="AR172" i="20"/>
  <c r="AQ172" i="20"/>
  <c r="AS172" i="20" s="1"/>
  <c r="AP172" i="20"/>
  <c r="AJ172" i="20"/>
  <c r="AI172" i="20"/>
  <c r="AH172" i="20"/>
  <c r="AF172" i="20"/>
  <c r="AE172" i="20"/>
  <c r="AD172" i="20"/>
  <c r="AA172" i="20"/>
  <c r="AB172" i="20" s="1"/>
  <c r="Z172" i="20"/>
  <c r="W172" i="20"/>
  <c r="X172" i="20" s="1"/>
  <c r="V172" i="20"/>
  <c r="Q172" i="20"/>
  <c r="R172" i="20" s="1"/>
  <c r="P172" i="20"/>
  <c r="N172" i="20"/>
  <c r="T172" i="20" s="1"/>
  <c r="M172" i="20"/>
  <c r="L172" i="20"/>
  <c r="G172" i="20"/>
  <c r="H172" i="20" s="1"/>
  <c r="F172" i="20"/>
  <c r="I172" i="20" s="1"/>
  <c r="C172" i="20"/>
  <c r="D172" i="20" s="1"/>
  <c r="J172" i="20" s="1"/>
  <c r="B172" i="20"/>
  <c r="AQ171" i="20"/>
  <c r="AP171" i="20"/>
  <c r="AI171" i="20"/>
  <c r="AJ171" i="20" s="1"/>
  <c r="AH171" i="20"/>
  <c r="AE171" i="20"/>
  <c r="AF171" i="20" s="1"/>
  <c r="AD171" i="20"/>
  <c r="AA171" i="20"/>
  <c r="AB171" i="20" s="1"/>
  <c r="Z171" i="20"/>
  <c r="W171" i="20"/>
  <c r="X171" i="20" s="1"/>
  <c r="V171" i="20"/>
  <c r="Q171" i="20"/>
  <c r="R171" i="20" s="1"/>
  <c r="P171" i="20"/>
  <c r="M171" i="20"/>
  <c r="N171" i="20" s="1"/>
  <c r="T171" i="20" s="1"/>
  <c r="L171" i="20"/>
  <c r="G171" i="20"/>
  <c r="H171" i="20" s="1"/>
  <c r="F171" i="20"/>
  <c r="C171" i="20"/>
  <c r="D171" i="20" s="1"/>
  <c r="B171" i="20"/>
  <c r="AQ170" i="20"/>
  <c r="AP170" i="20"/>
  <c r="AI170" i="20"/>
  <c r="AJ170" i="20" s="1"/>
  <c r="AF170" i="20"/>
  <c r="AE170" i="20"/>
  <c r="AD170" i="20"/>
  <c r="AA170" i="20"/>
  <c r="AB170" i="20" s="1"/>
  <c r="Z170" i="20"/>
  <c r="W170" i="20"/>
  <c r="X170" i="20" s="1"/>
  <c r="V170" i="20"/>
  <c r="R170" i="20"/>
  <c r="Q170" i="20"/>
  <c r="M170" i="20"/>
  <c r="N170" i="20" s="1"/>
  <c r="L170" i="20"/>
  <c r="G170" i="20"/>
  <c r="H170" i="20" s="1"/>
  <c r="F170" i="20"/>
  <c r="C170" i="20"/>
  <c r="D170" i="20" s="1"/>
  <c r="J170" i="20" s="1"/>
  <c r="B170" i="20"/>
  <c r="I170" i="20" s="1"/>
  <c r="AR169" i="20"/>
  <c r="AQ169" i="20"/>
  <c r="AJ169" i="20"/>
  <c r="AI169" i="20"/>
  <c r="AH169" i="20"/>
  <c r="AE169" i="20"/>
  <c r="AF169" i="20" s="1"/>
  <c r="AA169" i="20"/>
  <c r="AB169" i="20" s="1"/>
  <c r="W169" i="20"/>
  <c r="X169" i="20" s="1"/>
  <c r="Q169" i="20"/>
  <c r="R169" i="20" s="1"/>
  <c r="P169" i="20"/>
  <c r="M169" i="20"/>
  <c r="N169" i="20" s="1"/>
  <c r="T169" i="20" s="1"/>
  <c r="G169" i="20"/>
  <c r="H169" i="20" s="1"/>
  <c r="C169" i="20"/>
  <c r="D169" i="20" s="1"/>
  <c r="J169" i="20" s="1"/>
  <c r="B169" i="20"/>
  <c r="AR168" i="20"/>
  <c r="AQ168" i="20"/>
  <c r="AS168" i="20"/>
  <c r="AJ168" i="20"/>
  <c r="AI168" i="20"/>
  <c r="AH168" i="20"/>
  <c r="AE168" i="20"/>
  <c r="AF168" i="20" s="1"/>
  <c r="AD168" i="20"/>
  <c r="AA168" i="20"/>
  <c r="AB168" i="20" s="1"/>
  <c r="Z168" i="20"/>
  <c r="W168" i="20"/>
  <c r="X168" i="20" s="1"/>
  <c r="V168" i="20"/>
  <c r="R168" i="20"/>
  <c r="Q168" i="20"/>
  <c r="P168" i="20"/>
  <c r="M168" i="20"/>
  <c r="N168" i="20" s="1"/>
  <c r="L168" i="20"/>
  <c r="G168" i="20"/>
  <c r="H168" i="20" s="1"/>
  <c r="F168" i="20"/>
  <c r="D168" i="20"/>
  <c r="C168" i="20"/>
  <c r="B168" i="20"/>
  <c r="I168" i="20" s="1"/>
  <c r="AQ167" i="20"/>
  <c r="AS167" i="20" s="1"/>
  <c r="AP167" i="20"/>
  <c r="AI167" i="20"/>
  <c r="AJ167" i="20" s="1"/>
  <c r="AH167" i="20"/>
  <c r="AE167" i="20"/>
  <c r="AF167" i="20" s="1"/>
  <c r="AD167" i="20"/>
  <c r="AA167" i="20"/>
  <c r="AB167" i="20" s="1"/>
  <c r="Z167" i="20"/>
  <c r="W167" i="20"/>
  <c r="X167" i="20" s="1"/>
  <c r="AL167" i="20" s="1"/>
  <c r="V167" i="20"/>
  <c r="Q167" i="20"/>
  <c r="R167" i="20" s="1"/>
  <c r="P167" i="20"/>
  <c r="N167" i="20"/>
  <c r="T167" i="20" s="1"/>
  <c r="M167" i="20"/>
  <c r="L167" i="20"/>
  <c r="G167" i="20"/>
  <c r="H167" i="20" s="1"/>
  <c r="F167" i="20"/>
  <c r="C167" i="20"/>
  <c r="D167" i="20" s="1"/>
  <c r="B167" i="20"/>
  <c r="I167" i="20" s="1"/>
  <c r="AQ166" i="20"/>
  <c r="AP166" i="20"/>
  <c r="AI166" i="20"/>
  <c r="AJ166" i="20" s="1"/>
  <c r="AH166" i="20"/>
  <c r="AE166" i="20"/>
  <c r="AF166" i="20" s="1"/>
  <c r="AD166" i="20"/>
  <c r="AA166" i="20"/>
  <c r="AB166" i="20" s="1"/>
  <c r="Z166" i="20"/>
  <c r="W166" i="20"/>
  <c r="X166" i="20" s="1"/>
  <c r="V166" i="20"/>
  <c r="AK166" i="20" s="1"/>
  <c r="Q166" i="20"/>
  <c r="R166" i="20" s="1"/>
  <c r="P166" i="20"/>
  <c r="M166" i="20"/>
  <c r="N166" i="20" s="1"/>
  <c r="T166" i="20" s="1"/>
  <c r="L166" i="20"/>
  <c r="S166" i="20" s="1"/>
  <c r="G166" i="20"/>
  <c r="H166" i="20" s="1"/>
  <c r="F166" i="20"/>
  <c r="C166" i="20"/>
  <c r="D166" i="20" s="1"/>
  <c r="B166" i="20"/>
  <c r="AQ165" i="20"/>
  <c r="AP165" i="20"/>
  <c r="AI165" i="20"/>
  <c r="AJ165" i="20" s="1"/>
  <c r="AH165" i="20"/>
  <c r="AF165" i="20"/>
  <c r="AE165" i="20"/>
  <c r="AD165" i="20"/>
  <c r="AA165" i="20"/>
  <c r="AB165" i="20" s="1"/>
  <c r="Z165" i="20"/>
  <c r="X165" i="20"/>
  <c r="W165" i="20"/>
  <c r="V165" i="20"/>
  <c r="Q165" i="20"/>
  <c r="R165" i="20" s="1"/>
  <c r="P165" i="20"/>
  <c r="M165" i="20"/>
  <c r="N165" i="20" s="1"/>
  <c r="T165" i="20" s="1"/>
  <c r="L165" i="20"/>
  <c r="G165" i="20"/>
  <c r="H165" i="20" s="1"/>
  <c r="F165" i="20"/>
  <c r="C165" i="20"/>
  <c r="D165" i="20" s="1"/>
  <c r="B165" i="20"/>
  <c r="AQ164" i="20"/>
  <c r="AP164" i="20"/>
  <c r="AJ164" i="20"/>
  <c r="AI164" i="20"/>
  <c r="AH164" i="20"/>
  <c r="AF164" i="20"/>
  <c r="AE164" i="20"/>
  <c r="AD164" i="20"/>
  <c r="AK164" i="20" s="1"/>
  <c r="AB164" i="20"/>
  <c r="AA164" i="20"/>
  <c r="Z164" i="20"/>
  <c r="W164" i="20"/>
  <c r="X164" i="20" s="1"/>
  <c r="V164" i="20"/>
  <c r="Q164" i="20"/>
  <c r="R164" i="20" s="1"/>
  <c r="P164" i="20"/>
  <c r="N164" i="20"/>
  <c r="T164" i="20" s="1"/>
  <c r="M164" i="20"/>
  <c r="L164" i="20"/>
  <c r="S164" i="20" s="1"/>
  <c r="G164" i="20"/>
  <c r="H164" i="20" s="1"/>
  <c r="F164" i="20"/>
  <c r="C164" i="20"/>
  <c r="D164" i="20" s="1"/>
  <c r="B164" i="20"/>
  <c r="AS163" i="20"/>
  <c r="AQ163" i="20"/>
  <c r="AR163" i="20" s="1"/>
  <c r="AP163" i="20"/>
  <c r="AI163" i="20"/>
  <c r="AJ163" i="20" s="1"/>
  <c r="AH163" i="20"/>
  <c r="AE163" i="20"/>
  <c r="AF163" i="20" s="1"/>
  <c r="AD163" i="20"/>
  <c r="AA163" i="20"/>
  <c r="AB163" i="20" s="1"/>
  <c r="Z163" i="20"/>
  <c r="W163" i="20"/>
  <c r="X163" i="20" s="1"/>
  <c r="AL163" i="20" s="1"/>
  <c r="V163" i="20"/>
  <c r="S163" i="20"/>
  <c r="Q163" i="20"/>
  <c r="R163" i="20" s="1"/>
  <c r="P163" i="20"/>
  <c r="N163" i="20"/>
  <c r="M163" i="20"/>
  <c r="L163" i="20"/>
  <c r="G163" i="20"/>
  <c r="H163" i="20" s="1"/>
  <c r="F163" i="20"/>
  <c r="C163" i="20"/>
  <c r="D163" i="20" s="1"/>
  <c r="B163" i="20"/>
  <c r="AQ162" i="20"/>
  <c r="AP162" i="20"/>
  <c r="AI162" i="20"/>
  <c r="AJ162" i="20" s="1"/>
  <c r="AE162" i="20"/>
  <c r="AF162" i="20" s="1"/>
  <c r="AD162" i="20"/>
  <c r="AA162" i="20"/>
  <c r="AB162" i="20" s="1"/>
  <c r="W162" i="20"/>
  <c r="X162" i="20" s="1"/>
  <c r="V162" i="20"/>
  <c r="Q162" i="20"/>
  <c r="R162" i="20" s="1"/>
  <c r="M162" i="20"/>
  <c r="N162" i="20" s="1"/>
  <c r="L162" i="20"/>
  <c r="G162" i="20"/>
  <c r="H162" i="20" s="1"/>
  <c r="F162" i="20"/>
  <c r="C162" i="20"/>
  <c r="D162" i="20" s="1"/>
  <c r="AR161" i="20"/>
  <c r="AQ161" i="20"/>
  <c r="AP161" i="20"/>
  <c r="AJ161" i="20"/>
  <c r="AI161" i="20"/>
  <c r="AH161" i="20"/>
  <c r="AE161" i="20"/>
  <c r="AF161" i="20" s="1"/>
  <c r="AA161" i="20"/>
  <c r="AB161" i="20" s="1"/>
  <c r="W161" i="20"/>
  <c r="X161" i="20" s="1"/>
  <c r="Q161" i="20"/>
  <c r="R161" i="20" s="1"/>
  <c r="P161" i="20"/>
  <c r="M161" i="20"/>
  <c r="N161" i="20" s="1"/>
  <c r="G161" i="20"/>
  <c r="H161" i="20" s="1"/>
  <c r="F161" i="20"/>
  <c r="C161" i="20"/>
  <c r="D161" i="20" s="1"/>
  <c r="B161" i="20"/>
  <c r="AS160" i="20"/>
  <c r="AR160" i="20"/>
  <c r="AQ160" i="20"/>
  <c r="AP160" i="20"/>
  <c r="AJ160" i="20"/>
  <c r="AI160" i="20"/>
  <c r="AH160" i="20"/>
  <c r="AE160" i="20"/>
  <c r="AF160" i="20" s="1"/>
  <c r="AD160" i="20"/>
  <c r="AB160" i="20"/>
  <c r="AA160" i="20"/>
  <c r="W160" i="20"/>
  <c r="X160" i="20" s="1"/>
  <c r="V160" i="20"/>
  <c r="Q160" i="20"/>
  <c r="R160" i="20" s="1"/>
  <c r="P160" i="20"/>
  <c r="M160" i="20"/>
  <c r="N160" i="20" s="1"/>
  <c r="L160" i="20"/>
  <c r="G160" i="20"/>
  <c r="H160" i="20" s="1"/>
  <c r="F160" i="20"/>
  <c r="D160" i="20"/>
  <c r="J160" i="20" s="1"/>
  <c r="C160" i="20"/>
  <c r="B160" i="20"/>
  <c r="I160" i="20" s="1"/>
  <c r="AQ159" i="20"/>
  <c r="AR159" i="20" s="1"/>
  <c r="AP159" i="20"/>
  <c r="AI159" i="20"/>
  <c r="AJ159" i="20" s="1"/>
  <c r="AH159" i="20"/>
  <c r="AE159" i="20"/>
  <c r="AF159" i="20" s="1"/>
  <c r="AD159" i="20"/>
  <c r="AA159" i="20"/>
  <c r="AB159" i="20" s="1"/>
  <c r="Z159" i="20"/>
  <c r="W159" i="20"/>
  <c r="X159" i="20" s="1"/>
  <c r="V159" i="20"/>
  <c r="R159" i="20"/>
  <c r="Q159" i="20"/>
  <c r="P159" i="20"/>
  <c r="M159" i="20"/>
  <c r="N159" i="20" s="1"/>
  <c r="L159" i="20"/>
  <c r="G159" i="20"/>
  <c r="H159" i="20" s="1"/>
  <c r="F159" i="20"/>
  <c r="D159" i="20"/>
  <c r="C159" i="20"/>
  <c r="B159" i="20"/>
  <c r="AQ158" i="20"/>
  <c r="AS158" i="20" s="1"/>
  <c r="AP158" i="20"/>
  <c r="AI158" i="20"/>
  <c r="AJ158" i="20" s="1"/>
  <c r="AH158" i="20"/>
  <c r="AE158" i="20"/>
  <c r="AF158" i="20" s="1"/>
  <c r="AD158" i="20"/>
  <c r="AA158" i="20"/>
  <c r="AB158" i="20" s="1"/>
  <c r="Z158" i="20"/>
  <c r="W158" i="20"/>
  <c r="X158" i="20" s="1"/>
  <c r="V158" i="20"/>
  <c r="Q158" i="20"/>
  <c r="R158" i="20" s="1"/>
  <c r="P158" i="20"/>
  <c r="N158" i="20"/>
  <c r="T158" i="20" s="1"/>
  <c r="M158" i="20"/>
  <c r="L158" i="20"/>
  <c r="S158" i="20" s="1"/>
  <c r="G158" i="20"/>
  <c r="H158" i="20" s="1"/>
  <c r="F158" i="20"/>
  <c r="D158" i="20"/>
  <c r="C158" i="20"/>
  <c r="B158" i="20"/>
  <c r="AQ157" i="20"/>
  <c r="AP157" i="20"/>
  <c r="AI157" i="20"/>
  <c r="AJ157" i="20" s="1"/>
  <c r="AH157" i="20"/>
  <c r="AF157" i="20"/>
  <c r="AE157" i="20"/>
  <c r="AD157" i="20"/>
  <c r="AA157" i="20"/>
  <c r="AB157" i="20" s="1"/>
  <c r="Z157" i="20"/>
  <c r="W157" i="20"/>
  <c r="X157" i="20" s="1"/>
  <c r="V157" i="20"/>
  <c r="Q157" i="20"/>
  <c r="R157" i="20" s="1"/>
  <c r="P157" i="20"/>
  <c r="N157" i="20"/>
  <c r="T157" i="20" s="1"/>
  <c r="M157" i="20"/>
  <c r="L157" i="20"/>
  <c r="G157" i="20"/>
  <c r="H157" i="20" s="1"/>
  <c r="F157" i="20"/>
  <c r="C157" i="20"/>
  <c r="D157" i="20" s="1"/>
  <c r="J157" i="20" s="1"/>
  <c r="B157" i="20"/>
  <c r="I157" i="20" s="1"/>
  <c r="AQ156" i="20"/>
  <c r="AP156" i="20"/>
  <c r="AI156" i="20"/>
  <c r="AJ156" i="20" s="1"/>
  <c r="AH156" i="20"/>
  <c r="AE156" i="20"/>
  <c r="AF156" i="20" s="1"/>
  <c r="AD156" i="20"/>
  <c r="AA156" i="20"/>
  <c r="AB156" i="20" s="1"/>
  <c r="Z156" i="20"/>
  <c r="W156" i="20"/>
  <c r="X156" i="20" s="1"/>
  <c r="AL156" i="20" s="1"/>
  <c r="V156" i="20"/>
  <c r="AK156" i="20" s="1"/>
  <c r="Q156" i="20"/>
  <c r="R156" i="20" s="1"/>
  <c r="P156" i="20"/>
  <c r="M156" i="20"/>
  <c r="N156" i="20" s="1"/>
  <c r="L156" i="20"/>
  <c r="G156" i="20"/>
  <c r="H156" i="20" s="1"/>
  <c r="F156" i="20"/>
  <c r="C156" i="20"/>
  <c r="D156" i="20" s="1"/>
  <c r="J156" i="20" s="1"/>
  <c r="B156" i="20"/>
  <c r="I156" i="20" s="1"/>
  <c r="AR155" i="20"/>
  <c r="AQ155" i="20"/>
  <c r="AS155" i="20" s="1"/>
  <c r="AP155" i="20"/>
  <c r="AJ155" i="20"/>
  <c r="AI155" i="20"/>
  <c r="AH155" i="20"/>
  <c r="AE155" i="20"/>
  <c r="AF155" i="20" s="1"/>
  <c r="AD155" i="20"/>
  <c r="AA155" i="20"/>
  <c r="AB155" i="20" s="1"/>
  <c r="Z155" i="20"/>
  <c r="X155" i="20"/>
  <c r="W155" i="20"/>
  <c r="V155" i="20"/>
  <c r="R155" i="20"/>
  <c r="Q155" i="20"/>
  <c r="P155" i="20"/>
  <c r="M155" i="20"/>
  <c r="N155" i="20" s="1"/>
  <c r="L155" i="20"/>
  <c r="H155" i="20"/>
  <c r="G155" i="20"/>
  <c r="F155" i="20"/>
  <c r="D155" i="20"/>
  <c r="C155" i="20"/>
  <c r="B155" i="20"/>
  <c r="AQ154" i="20"/>
  <c r="AR154" i="20" s="1"/>
  <c r="AP154" i="20"/>
  <c r="AI154" i="20"/>
  <c r="AJ154" i="20" s="1"/>
  <c r="AE154" i="20"/>
  <c r="AF154" i="20" s="1"/>
  <c r="AD154" i="20"/>
  <c r="AA154" i="20"/>
  <c r="AB154" i="20" s="1"/>
  <c r="W154" i="20"/>
  <c r="X154" i="20" s="1"/>
  <c r="V154" i="20"/>
  <c r="Q154" i="20"/>
  <c r="R154" i="20" s="1"/>
  <c r="M154" i="20"/>
  <c r="N154" i="20" s="1"/>
  <c r="T154" i="20" s="1"/>
  <c r="L154" i="20"/>
  <c r="G154" i="20"/>
  <c r="H154" i="20" s="1"/>
  <c r="F154" i="20"/>
  <c r="C154" i="20"/>
  <c r="D154" i="20" s="1"/>
  <c r="J154" i="20" s="1"/>
  <c r="AR153" i="20"/>
  <c r="AQ153" i="20"/>
  <c r="AI153" i="20"/>
  <c r="AJ153" i="20" s="1"/>
  <c r="AH153" i="20"/>
  <c r="AE153" i="20"/>
  <c r="AF153" i="20" s="1"/>
  <c r="AD153" i="20"/>
  <c r="AB153" i="20"/>
  <c r="AA153" i="20"/>
  <c r="W153" i="20"/>
  <c r="X153" i="20" s="1"/>
  <c r="R153" i="20"/>
  <c r="Q153" i="20"/>
  <c r="P153" i="20"/>
  <c r="N153" i="20"/>
  <c r="M153" i="20"/>
  <c r="L153" i="20"/>
  <c r="H153" i="20"/>
  <c r="G153" i="20"/>
  <c r="C153" i="20"/>
  <c r="D153" i="20" s="1"/>
  <c r="J153" i="20" s="1"/>
  <c r="B153" i="20"/>
  <c r="AQ152" i="20"/>
  <c r="AS152" i="20" s="1"/>
  <c r="AP152" i="20"/>
  <c r="AI152" i="20"/>
  <c r="AJ152" i="20" s="1"/>
  <c r="AH152" i="20"/>
  <c r="AE152" i="20"/>
  <c r="AF152" i="20" s="1"/>
  <c r="AD152" i="20"/>
  <c r="AA152" i="20"/>
  <c r="AB152" i="20" s="1"/>
  <c r="Z152" i="20"/>
  <c r="W152" i="20"/>
  <c r="X152" i="20" s="1"/>
  <c r="V152" i="20"/>
  <c r="Q152" i="20"/>
  <c r="R152" i="20" s="1"/>
  <c r="P152" i="20"/>
  <c r="N152" i="20"/>
  <c r="M152" i="20"/>
  <c r="L152" i="20"/>
  <c r="G152" i="20"/>
  <c r="H152" i="20" s="1"/>
  <c r="F152" i="20"/>
  <c r="C152" i="20"/>
  <c r="D152" i="20" s="1"/>
  <c r="B152" i="20"/>
  <c r="AR151" i="20"/>
  <c r="AQ151" i="20"/>
  <c r="AS151" i="20" s="1"/>
  <c r="AP151" i="20"/>
  <c r="AI151" i="20"/>
  <c r="AJ151" i="20" s="1"/>
  <c r="AH151" i="20"/>
  <c r="AF151" i="20"/>
  <c r="AE151" i="20"/>
  <c r="AD151" i="20"/>
  <c r="AA151" i="20"/>
  <c r="AB151" i="20" s="1"/>
  <c r="Z151" i="20"/>
  <c r="W151" i="20"/>
  <c r="X151" i="20" s="1"/>
  <c r="V151" i="20"/>
  <c r="Q151" i="20"/>
  <c r="R151" i="20" s="1"/>
  <c r="P151" i="20"/>
  <c r="N151" i="20"/>
  <c r="T151" i="20" s="1"/>
  <c r="M151" i="20"/>
  <c r="L151" i="20"/>
  <c r="H151" i="20"/>
  <c r="G151" i="20"/>
  <c r="F151" i="20"/>
  <c r="C151" i="20"/>
  <c r="D151" i="20" s="1"/>
  <c r="B151" i="20"/>
  <c r="AQ150" i="20"/>
  <c r="AS150" i="20" s="1"/>
  <c r="AP150" i="20"/>
  <c r="AI150" i="20"/>
  <c r="AJ150" i="20" s="1"/>
  <c r="AH150" i="20"/>
  <c r="AF150" i="20"/>
  <c r="AE150" i="20"/>
  <c r="AD150" i="20"/>
  <c r="AA150" i="20"/>
  <c r="AB150" i="20" s="1"/>
  <c r="Z150" i="20"/>
  <c r="W150" i="20"/>
  <c r="X150" i="20" s="1"/>
  <c r="V150" i="20"/>
  <c r="Q150" i="20"/>
  <c r="R150" i="20" s="1"/>
  <c r="P150" i="20"/>
  <c r="M150" i="20"/>
  <c r="N150" i="20" s="1"/>
  <c r="T150" i="20" s="1"/>
  <c r="L150" i="20"/>
  <c r="H150" i="20"/>
  <c r="G150" i="20"/>
  <c r="F150" i="20"/>
  <c r="C150" i="20"/>
  <c r="D150" i="20" s="1"/>
  <c r="J150" i="20" s="1"/>
  <c r="B150" i="20"/>
  <c r="I150" i="20" s="1"/>
  <c r="AQ149" i="20"/>
  <c r="AR149" i="20" s="1"/>
  <c r="AP149" i="20"/>
  <c r="AI149" i="20"/>
  <c r="AJ149" i="20" s="1"/>
  <c r="AH149" i="20"/>
  <c r="AE149" i="20"/>
  <c r="AF149" i="20" s="1"/>
  <c r="AD149" i="20"/>
  <c r="AA149" i="20"/>
  <c r="AB149" i="20" s="1"/>
  <c r="Z149" i="20"/>
  <c r="X149" i="20"/>
  <c r="W149" i="20"/>
  <c r="V149" i="20"/>
  <c r="Q149" i="20"/>
  <c r="R149" i="20" s="1"/>
  <c r="P149" i="20"/>
  <c r="M149" i="20"/>
  <c r="N149" i="20" s="1"/>
  <c r="L149" i="20"/>
  <c r="S149" i="20" s="1"/>
  <c r="H149" i="20"/>
  <c r="G149" i="20"/>
  <c r="F149" i="20"/>
  <c r="C149" i="20"/>
  <c r="D149" i="20" s="1"/>
  <c r="J149" i="20" s="1"/>
  <c r="B149" i="20"/>
  <c r="AQ148" i="20"/>
  <c r="AP148" i="20"/>
  <c r="AI148" i="20"/>
  <c r="AJ148" i="20" s="1"/>
  <c r="AH148" i="20"/>
  <c r="AE148" i="20"/>
  <c r="AF148" i="20" s="1"/>
  <c r="AD148" i="20"/>
  <c r="AA148" i="20"/>
  <c r="AB148" i="20" s="1"/>
  <c r="Z148" i="20"/>
  <c r="W148" i="20"/>
  <c r="X148" i="20" s="1"/>
  <c r="V148" i="20"/>
  <c r="R148" i="20"/>
  <c r="Q148" i="20"/>
  <c r="P148" i="20"/>
  <c r="M148" i="20"/>
  <c r="N148" i="20" s="1"/>
  <c r="L148" i="20"/>
  <c r="G148" i="20"/>
  <c r="H148" i="20" s="1"/>
  <c r="F148" i="20"/>
  <c r="C148" i="20"/>
  <c r="D148" i="20" s="1"/>
  <c r="J148" i="20" s="1"/>
  <c r="B148" i="20"/>
  <c r="AR147" i="20"/>
  <c r="AQ147" i="20"/>
  <c r="AS147" i="20" s="1"/>
  <c r="AP147" i="20"/>
  <c r="AJ147" i="20"/>
  <c r="AI147" i="20"/>
  <c r="AH147" i="20"/>
  <c r="AE147" i="20"/>
  <c r="AF147" i="20" s="1"/>
  <c r="AD147" i="20"/>
  <c r="AB147" i="20"/>
  <c r="AA147" i="20"/>
  <c r="Z147" i="20"/>
  <c r="W147" i="20"/>
  <c r="X147" i="20" s="1"/>
  <c r="V147" i="20"/>
  <c r="Q147" i="20"/>
  <c r="R147" i="20" s="1"/>
  <c r="T147" i="20" s="1"/>
  <c r="P147" i="20"/>
  <c r="N147" i="20"/>
  <c r="M147" i="20"/>
  <c r="L147" i="20"/>
  <c r="H147" i="20"/>
  <c r="G147" i="20"/>
  <c r="F147" i="20"/>
  <c r="C147" i="20"/>
  <c r="D147" i="20" s="1"/>
  <c r="B147" i="20"/>
  <c r="AQ146" i="20"/>
  <c r="AP146" i="20"/>
  <c r="AI146" i="20"/>
  <c r="AJ146" i="20" s="1"/>
  <c r="AE146" i="20"/>
  <c r="AF146" i="20" s="1"/>
  <c r="AD146" i="20"/>
  <c r="AA146" i="20"/>
  <c r="AB146" i="20" s="1"/>
  <c r="W146" i="20"/>
  <c r="X146" i="20" s="1"/>
  <c r="AL146" i="20" s="1"/>
  <c r="V146" i="20"/>
  <c r="Q146" i="20"/>
  <c r="R146" i="20" s="1"/>
  <c r="M146" i="20"/>
  <c r="N146" i="20" s="1"/>
  <c r="T146" i="20" s="1"/>
  <c r="L146" i="20"/>
  <c r="G146" i="20"/>
  <c r="H146" i="20" s="1"/>
  <c r="F146" i="20"/>
  <c r="D146" i="20"/>
  <c r="J146" i="20" s="1"/>
  <c r="C146" i="20"/>
  <c r="AQ145" i="20"/>
  <c r="AR145" i="20" s="1"/>
  <c r="AJ145" i="20"/>
  <c r="AI145" i="20"/>
  <c r="AH145" i="20"/>
  <c r="AE145" i="20"/>
  <c r="AF145" i="20" s="1"/>
  <c r="AA145" i="20"/>
  <c r="AB145" i="20" s="1"/>
  <c r="W145" i="20"/>
  <c r="X145" i="20" s="1"/>
  <c r="R145" i="20"/>
  <c r="Q145" i="20"/>
  <c r="P145" i="20"/>
  <c r="N145" i="20"/>
  <c r="M145" i="20"/>
  <c r="G145" i="20"/>
  <c r="H145" i="20" s="1"/>
  <c r="D145" i="20"/>
  <c r="J145" i="20" s="1"/>
  <c r="C145" i="20"/>
  <c r="B145" i="20"/>
  <c r="AQ144" i="20"/>
  <c r="AS144" i="20" s="1"/>
  <c r="AP144" i="20"/>
  <c r="AI144" i="20"/>
  <c r="AJ144" i="20" s="1"/>
  <c r="AH144" i="20"/>
  <c r="AE144" i="20"/>
  <c r="AF144" i="20" s="1"/>
  <c r="AD144" i="20"/>
  <c r="AA144" i="20"/>
  <c r="AB144" i="20" s="1"/>
  <c r="W144" i="20"/>
  <c r="X144" i="20" s="1"/>
  <c r="V144" i="20"/>
  <c r="Q144" i="20"/>
  <c r="R144" i="20" s="1"/>
  <c r="P144" i="20"/>
  <c r="M144" i="20"/>
  <c r="N144" i="20" s="1"/>
  <c r="L144" i="20"/>
  <c r="G144" i="20"/>
  <c r="H144" i="20" s="1"/>
  <c r="F144" i="20"/>
  <c r="C144" i="20"/>
  <c r="D144" i="20" s="1"/>
  <c r="J144" i="20" s="1"/>
  <c r="B144" i="20"/>
  <c r="AQ143" i="20"/>
  <c r="AS143" i="20" s="1"/>
  <c r="AP143" i="20"/>
  <c r="AI143" i="20"/>
  <c r="AJ143" i="20" s="1"/>
  <c r="AH143" i="20"/>
  <c r="AE143" i="20"/>
  <c r="AF143" i="20" s="1"/>
  <c r="AD143" i="20"/>
  <c r="AA143" i="20"/>
  <c r="AB143" i="20" s="1"/>
  <c r="Z143" i="20"/>
  <c r="X143" i="20"/>
  <c r="W143" i="20"/>
  <c r="V143" i="20"/>
  <c r="R143" i="20"/>
  <c r="Q143" i="20"/>
  <c r="P143" i="20"/>
  <c r="M143" i="20"/>
  <c r="N143" i="20" s="1"/>
  <c r="T143" i="20" s="1"/>
  <c r="L143" i="20"/>
  <c r="G143" i="20"/>
  <c r="H143" i="20" s="1"/>
  <c r="F143" i="20"/>
  <c r="C143" i="20"/>
  <c r="D143" i="20" s="1"/>
  <c r="B143" i="20"/>
  <c r="AQ142" i="20"/>
  <c r="AP142" i="20"/>
  <c r="AI142" i="20"/>
  <c r="AJ142" i="20" s="1"/>
  <c r="AH142" i="20"/>
  <c r="AE142" i="20"/>
  <c r="AF142" i="20" s="1"/>
  <c r="AD142" i="20"/>
  <c r="AA142" i="20"/>
  <c r="AB142" i="20" s="1"/>
  <c r="Z142" i="20"/>
  <c r="X142" i="20"/>
  <c r="W142" i="20"/>
  <c r="V142" i="20"/>
  <c r="Q142" i="20"/>
  <c r="R142" i="20" s="1"/>
  <c r="P142" i="20"/>
  <c r="M142" i="20"/>
  <c r="N142" i="20" s="1"/>
  <c r="L142" i="20"/>
  <c r="S142" i="20" s="1"/>
  <c r="G142" i="20"/>
  <c r="H142" i="20" s="1"/>
  <c r="F142" i="20"/>
  <c r="C142" i="20"/>
  <c r="D142" i="20" s="1"/>
  <c r="B142" i="20"/>
  <c r="I142" i="20" s="1"/>
  <c r="AS141" i="20"/>
  <c r="AR141" i="20"/>
  <c r="AQ141" i="20"/>
  <c r="AP141" i="20"/>
  <c r="AI141" i="20"/>
  <c r="AJ141" i="20" s="1"/>
  <c r="AH141" i="20"/>
  <c r="AE141" i="20"/>
  <c r="AF141" i="20" s="1"/>
  <c r="AD141" i="20"/>
  <c r="AA141" i="20"/>
  <c r="AB141" i="20" s="1"/>
  <c r="Z141" i="20"/>
  <c r="W141" i="20"/>
  <c r="X141" i="20" s="1"/>
  <c r="V141" i="20"/>
  <c r="Q141" i="20"/>
  <c r="R141" i="20" s="1"/>
  <c r="P141" i="20"/>
  <c r="M141" i="20"/>
  <c r="N141" i="20" s="1"/>
  <c r="L141" i="20"/>
  <c r="G141" i="20"/>
  <c r="H141" i="20" s="1"/>
  <c r="F141" i="20"/>
  <c r="C141" i="20"/>
  <c r="D141" i="20" s="1"/>
  <c r="B141" i="20"/>
  <c r="I141" i="20" s="1"/>
  <c r="AQ140" i="20"/>
  <c r="AP140" i="20"/>
  <c r="AI140" i="20"/>
  <c r="AJ140" i="20" s="1"/>
  <c r="AH140" i="20"/>
  <c r="AE140" i="20"/>
  <c r="AF140" i="20" s="1"/>
  <c r="AD140" i="20"/>
  <c r="AA140" i="20"/>
  <c r="AB140" i="20" s="1"/>
  <c r="Z140" i="20"/>
  <c r="W140" i="20"/>
  <c r="X140" i="20" s="1"/>
  <c r="V140" i="20"/>
  <c r="Q140" i="20"/>
  <c r="R140" i="20" s="1"/>
  <c r="P140" i="20"/>
  <c r="S140" i="20" s="1"/>
  <c r="M140" i="20"/>
  <c r="N140" i="20" s="1"/>
  <c r="L140" i="20"/>
  <c r="G140" i="20"/>
  <c r="H140" i="20" s="1"/>
  <c r="F140" i="20"/>
  <c r="C140" i="20"/>
  <c r="D140" i="20" s="1"/>
  <c r="B140" i="20"/>
  <c r="AQ139" i="20"/>
  <c r="AS139" i="20" s="1"/>
  <c r="AP139" i="20"/>
  <c r="AI139" i="20"/>
  <c r="AJ139" i="20" s="1"/>
  <c r="AH139" i="20"/>
  <c r="AE139" i="20"/>
  <c r="AF139" i="20" s="1"/>
  <c r="AD139" i="20"/>
  <c r="AA139" i="20"/>
  <c r="AB139" i="20" s="1"/>
  <c r="Z139" i="20"/>
  <c r="W139" i="20"/>
  <c r="X139" i="20" s="1"/>
  <c r="V139" i="20"/>
  <c r="R139" i="20"/>
  <c r="Q139" i="20"/>
  <c r="P139" i="20"/>
  <c r="M139" i="20"/>
  <c r="N139" i="20" s="1"/>
  <c r="T139" i="20" s="1"/>
  <c r="L139" i="20"/>
  <c r="G139" i="20"/>
  <c r="H139" i="20" s="1"/>
  <c r="J139" i="20" s="1"/>
  <c r="F139" i="20"/>
  <c r="D139" i="20"/>
  <c r="C139" i="20"/>
  <c r="B139" i="20"/>
  <c r="AS138" i="20"/>
  <c r="AR138" i="20"/>
  <c r="AQ138" i="20"/>
  <c r="AP138" i="20"/>
  <c r="AJ138" i="20"/>
  <c r="AI138" i="20"/>
  <c r="AE138" i="20"/>
  <c r="AF138" i="20" s="1"/>
  <c r="AD138" i="20"/>
  <c r="AB138" i="20"/>
  <c r="AA138" i="20"/>
  <c r="W138" i="20"/>
  <c r="X138" i="20" s="1"/>
  <c r="V138" i="20"/>
  <c r="Q138" i="20"/>
  <c r="R138" i="20" s="1"/>
  <c r="M138" i="20"/>
  <c r="N138" i="20" s="1"/>
  <c r="L138" i="20"/>
  <c r="G138" i="20"/>
  <c r="H138" i="20" s="1"/>
  <c r="F138" i="20"/>
  <c r="D138" i="20"/>
  <c r="J138" i="20" s="1"/>
  <c r="C138" i="20"/>
  <c r="B138" i="20"/>
  <c r="AR137" i="20"/>
  <c r="AQ137" i="20"/>
  <c r="AP137" i="20"/>
  <c r="AI137" i="20"/>
  <c r="AJ137" i="20" s="1"/>
  <c r="AH137" i="20"/>
  <c r="AE137" i="20"/>
  <c r="AF137" i="20" s="1"/>
  <c r="AB137" i="20"/>
  <c r="AA137" i="20"/>
  <c r="W137" i="20"/>
  <c r="X137" i="20" s="1"/>
  <c r="R137" i="20"/>
  <c r="Q137" i="20"/>
  <c r="P137" i="20"/>
  <c r="M137" i="20"/>
  <c r="N137" i="20" s="1"/>
  <c r="T137" i="20" s="1"/>
  <c r="G137" i="20"/>
  <c r="H137" i="20" s="1"/>
  <c r="C137" i="20"/>
  <c r="D137" i="20" s="1"/>
  <c r="B137" i="20"/>
  <c r="AQ136" i="20"/>
  <c r="AS136" i="20" s="1"/>
  <c r="AP136" i="20"/>
  <c r="AI136" i="20"/>
  <c r="AJ136" i="20" s="1"/>
  <c r="AH136" i="20"/>
  <c r="AE136" i="20"/>
  <c r="AF136" i="20" s="1"/>
  <c r="AD136" i="20"/>
  <c r="AA136" i="20"/>
  <c r="AB136" i="20" s="1"/>
  <c r="Z136" i="20"/>
  <c r="W136" i="20"/>
  <c r="X136" i="20" s="1"/>
  <c r="V136" i="20"/>
  <c r="Q136" i="20"/>
  <c r="R136" i="20" s="1"/>
  <c r="P136" i="20"/>
  <c r="N136" i="20"/>
  <c r="M136" i="20"/>
  <c r="L136" i="20"/>
  <c r="S136" i="20" s="1"/>
  <c r="G136" i="20"/>
  <c r="H136" i="20" s="1"/>
  <c r="F136" i="20"/>
  <c r="C136" i="20"/>
  <c r="D136" i="20" s="1"/>
  <c r="B136" i="20"/>
  <c r="AR135" i="20"/>
  <c r="AQ135" i="20"/>
  <c r="AS135" i="20" s="1"/>
  <c r="AP135" i="20"/>
  <c r="AI135" i="20"/>
  <c r="AJ135" i="20" s="1"/>
  <c r="AH135" i="20"/>
  <c r="AE135" i="20"/>
  <c r="AF135" i="20" s="1"/>
  <c r="AD135" i="20"/>
  <c r="AB135" i="20"/>
  <c r="AA135" i="20"/>
  <c r="Z135" i="20"/>
  <c r="X135" i="20"/>
  <c r="W135" i="20"/>
  <c r="V135" i="20"/>
  <c r="R135" i="20"/>
  <c r="Q135" i="20"/>
  <c r="P135" i="20"/>
  <c r="M135" i="20"/>
  <c r="N135" i="20" s="1"/>
  <c r="L135" i="20"/>
  <c r="S135" i="20" s="1"/>
  <c r="G135" i="20"/>
  <c r="H135" i="20" s="1"/>
  <c r="F135" i="20"/>
  <c r="C135" i="20"/>
  <c r="D135" i="20" s="1"/>
  <c r="B135" i="20"/>
  <c r="I135" i="20" s="1"/>
  <c r="AQ134" i="20"/>
  <c r="AP134" i="20"/>
  <c r="AI134" i="20"/>
  <c r="AJ134" i="20" s="1"/>
  <c r="AH134" i="20"/>
  <c r="AE134" i="20"/>
  <c r="AF134" i="20" s="1"/>
  <c r="AD134" i="20"/>
  <c r="AA134" i="20"/>
  <c r="AB134" i="20" s="1"/>
  <c r="Z134" i="20"/>
  <c r="X134" i="20"/>
  <c r="W134" i="20"/>
  <c r="V134" i="20"/>
  <c r="Q134" i="20"/>
  <c r="R134" i="20" s="1"/>
  <c r="P134" i="20"/>
  <c r="M134" i="20"/>
  <c r="N134" i="20" s="1"/>
  <c r="L134" i="20"/>
  <c r="G134" i="20"/>
  <c r="H134" i="20" s="1"/>
  <c r="F134" i="20"/>
  <c r="C134" i="20"/>
  <c r="D134" i="20" s="1"/>
  <c r="B134" i="20"/>
  <c r="I134" i="20" s="1"/>
  <c r="AS133" i="20"/>
  <c r="AR133" i="20"/>
  <c r="AQ133" i="20"/>
  <c r="AP133" i="20"/>
  <c r="AJ133" i="20"/>
  <c r="AI133" i="20"/>
  <c r="AH133" i="20"/>
  <c r="AF133" i="20"/>
  <c r="AE133" i="20"/>
  <c r="AD133" i="20"/>
  <c r="AA133" i="20"/>
  <c r="AB133" i="20" s="1"/>
  <c r="Z133" i="20"/>
  <c r="W133" i="20"/>
  <c r="X133" i="20" s="1"/>
  <c r="AL133" i="20" s="1"/>
  <c r="V133" i="20"/>
  <c r="R133" i="20"/>
  <c r="Q133" i="20"/>
  <c r="P133" i="20"/>
  <c r="M133" i="20"/>
  <c r="N133" i="20" s="1"/>
  <c r="T133" i="20" s="1"/>
  <c r="L133" i="20"/>
  <c r="G133" i="20"/>
  <c r="H133" i="20" s="1"/>
  <c r="F133" i="20"/>
  <c r="D133" i="20"/>
  <c r="C133" i="20"/>
  <c r="B133" i="20"/>
  <c r="AQ132" i="20"/>
  <c r="AP132" i="20"/>
  <c r="AI132" i="20"/>
  <c r="AJ132" i="20" s="1"/>
  <c r="AH132" i="20"/>
  <c r="AE132" i="20"/>
  <c r="AF132" i="20" s="1"/>
  <c r="AD132" i="20"/>
  <c r="AA132" i="20"/>
  <c r="AB132" i="20" s="1"/>
  <c r="Z132" i="20"/>
  <c r="W132" i="20"/>
  <c r="X132" i="20" s="1"/>
  <c r="V132" i="20"/>
  <c r="S132" i="20"/>
  <c r="Q132" i="20"/>
  <c r="R132" i="20" s="1"/>
  <c r="P132" i="20"/>
  <c r="M132" i="20"/>
  <c r="N132" i="20" s="1"/>
  <c r="L132" i="20"/>
  <c r="G132" i="20"/>
  <c r="H132" i="20" s="1"/>
  <c r="F132" i="20"/>
  <c r="C132" i="20"/>
  <c r="D132" i="20" s="1"/>
  <c r="B132" i="20"/>
  <c r="AR131" i="20"/>
  <c r="AQ131" i="20"/>
  <c r="AS131" i="20" s="1"/>
  <c r="AP131" i="20"/>
  <c r="AI131" i="20"/>
  <c r="AJ131" i="20" s="1"/>
  <c r="AH131" i="20"/>
  <c r="AE131" i="20"/>
  <c r="AF131" i="20" s="1"/>
  <c r="AD131" i="20"/>
  <c r="AB131" i="20"/>
  <c r="AA131" i="20"/>
  <c r="Z131" i="20"/>
  <c r="X131" i="20"/>
  <c r="W131" i="20"/>
  <c r="V131" i="20"/>
  <c r="Q131" i="20"/>
  <c r="R131" i="20" s="1"/>
  <c r="T131" i="20" s="1"/>
  <c r="P131" i="20"/>
  <c r="N131" i="20"/>
  <c r="M131" i="20"/>
  <c r="L131" i="20"/>
  <c r="H131" i="20"/>
  <c r="G131" i="20"/>
  <c r="F131" i="20"/>
  <c r="D131" i="20"/>
  <c r="C131" i="20"/>
  <c r="B131" i="20"/>
  <c r="I131" i="20" s="1"/>
  <c r="AR130" i="20"/>
  <c r="AQ130" i="20"/>
  <c r="AS130" i="20" s="1"/>
  <c r="AP130" i="20"/>
  <c r="AI130" i="20"/>
  <c r="AJ130" i="20" s="1"/>
  <c r="AE130" i="20"/>
  <c r="AF130" i="20" s="1"/>
  <c r="AD130" i="20"/>
  <c r="AA130" i="20"/>
  <c r="AB130" i="20" s="1"/>
  <c r="W130" i="20"/>
  <c r="X130" i="20" s="1"/>
  <c r="V130" i="20"/>
  <c r="R130" i="20"/>
  <c r="T130" i="20" s="1"/>
  <c r="Q130" i="20"/>
  <c r="M130" i="20"/>
  <c r="N130" i="20" s="1"/>
  <c r="L130" i="20"/>
  <c r="G130" i="20"/>
  <c r="H130" i="20" s="1"/>
  <c r="F130" i="20"/>
  <c r="C130" i="20"/>
  <c r="D130" i="20" s="1"/>
  <c r="J130" i="20" s="1"/>
  <c r="B130" i="20"/>
  <c r="AR129" i="20"/>
  <c r="AQ129" i="20"/>
  <c r="AI129" i="20"/>
  <c r="AJ129" i="20" s="1"/>
  <c r="AH129" i="20"/>
  <c r="AE129" i="20"/>
  <c r="AF129" i="20" s="1"/>
  <c r="AA129" i="20"/>
  <c r="AB129" i="20" s="1"/>
  <c r="W129" i="20"/>
  <c r="X129" i="20" s="1"/>
  <c r="R129" i="20"/>
  <c r="Q129" i="20"/>
  <c r="P129" i="20"/>
  <c r="M129" i="20"/>
  <c r="N129" i="20" s="1"/>
  <c r="T129" i="20" s="1"/>
  <c r="G129" i="20"/>
  <c r="H129" i="20" s="1"/>
  <c r="C129" i="20"/>
  <c r="D129" i="20" s="1"/>
  <c r="B129" i="20"/>
  <c r="AQ128" i="20"/>
  <c r="AS128" i="20" s="1"/>
  <c r="AP128" i="20"/>
  <c r="AI128" i="20"/>
  <c r="AJ128" i="20" s="1"/>
  <c r="AH128" i="20"/>
  <c r="AE128" i="20"/>
  <c r="AF128" i="20" s="1"/>
  <c r="AD128" i="20"/>
  <c r="AA128" i="20"/>
  <c r="AB128" i="20" s="1"/>
  <c r="W128" i="20"/>
  <c r="X128" i="20" s="1"/>
  <c r="V128" i="20"/>
  <c r="Q128" i="20"/>
  <c r="R128" i="20" s="1"/>
  <c r="P128" i="20"/>
  <c r="N128" i="20"/>
  <c r="M128" i="20"/>
  <c r="L128" i="20"/>
  <c r="S128" i="20" s="1"/>
  <c r="G128" i="20"/>
  <c r="H128" i="20" s="1"/>
  <c r="F128" i="20"/>
  <c r="C128" i="20"/>
  <c r="D128" i="20" s="1"/>
  <c r="B128" i="20"/>
  <c r="AQ127" i="20"/>
  <c r="AS127" i="20" s="1"/>
  <c r="AP127" i="20"/>
  <c r="AI127" i="20"/>
  <c r="AJ127" i="20" s="1"/>
  <c r="AH127" i="20"/>
  <c r="AE127" i="20"/>
  <c r="AF127" i="20" s="1"/>
  <c r="AD127" i="20"/>
  <c r="AA127" i="20"/>
  <c r="AB127" i="20" s="1"/>
  <c r="Z127" i="20"/>
  <c r="W127" i="20"/>
  <c r="X127" i="20" s="1"/>
  <c r="V127" i="20"/>
  <c r="Q127" i="20"/>
  <c r="R127" i="20" s="1"/>
  <c r="P127" i="20"/>
  <c r="N127" i="20"/>
  <c r="T127" i="20" s="1"/>
  <c r="M127" i="20"/>
  <c r="L127" i="20"/>
  <c r="S127" i="20" s="1"/>
  <c r="G127" i="20"/>
  <c r="H127" i="20" s="1"/>
  <c r="F127" i="20"/>
  <c r="C127" i="20"/>
  <c r="D127" i="20" s="1"/>
  <c r="J127" i="20" s="1"/>
  <c r="B127" i="20"/>
  <c r="AQ126" i="20"/>
  <c r="AP126" i="20"/>
  <c r="AI126" i="20"/>
  <c r="AJ126" i="20" s="1"/>
  <c r="AH126" i="20"/>
  <c r="AE126" i="20"/>
  <c r="AF126" i="20" s="1"/>
  <c r="AD126" i="20"/>
  <c r="AA126" i="20"/>
  <c r="AB126" i="20" s="1"/>
  <c r="Z126" i="20"/>
  <c r="W126" i="20"/>
  <c r="X126" i="20" s="1"/>
  <c r="V126" i="20"/>
  <c r="AK126" i="20" s="1"/>
  <c r="Q126" i="20"/>
  <c r="R126" i="20" s="1"/>
  <c r="P126" i="20"/>
  <c r="M126" i="20"/>
  <c r="N126" i="20" s="1"/>
  <c r="L126" i="20"/>
  <c r="S126" i="20" s="1"/>
  <c r="H126" i="20"/>
  <c r="G126" i="20"/>
  <c r="F126" i="20"/>
  <c r="I126" i="20" s="1"/>
  <c r="C126" i="20"/>
  <c r="D126" i="20" s="1"/>
  <c r="B126" i="20"/>
  <c r="AS125" i="20"/>
  <c r="AR125" i="20"/>
  <c r="AQ125" i="20"/>
  <c r="AP125" i="20"/>
  <c r="AI125" i="20"/>
  <c r="AJ125" i="20" s="1"/>
  <c r="AH125" i="20"/>
  <c r="AE125" i="20"/>
  <c r="AF125" i="20" s="1"/>
  <c r="AD125" i="20"/>
  <c r="AA125" i="20"/>
  <c r="AB125" i="20" s="1"/>
  <c r="Z125" i="20"/>
  <c r="W125" i="20"/>
  <c r="X125" i="20" s="1"/>
  <c r="AL125" i="20" s="1"/>
  <c r="V125" i="20"/>
  <c r="Q125" i="20"/>
  <c r="R125" i="20" s="1"/>
  <c r="P125" i="20"/>
  <c r="N125" i="20"/>
  <c r="T125" i="20" s="1"/>
  <c r="M125" i="20"/>
  <c r="L125" i="20"/>
  <c r="S125" i="20" s="1"/>
  <c r="G125" i="20"/>
  <c r="H125" i="20" s="1"/>
  <c r="F125" i="20"/>
  <c r="C125" i="20"/>
  <c r="D125" i="20" s="1"/>
  <c r="B125" i="20"/>
  <c r="AQ124" i="20"/>
  <c r="AP124" i="20"/>
  <c r="AI124" i="20"/>
  <c r="AJ124" i="20" s="1"/>
  <c r="AH124" i="20"/>
  <c r="AE124" i="20"/>
  <c r="AF124" i="20" s="1"/>
  <c r="AD124" i="20"/>
  <c r="AA124" i="20"/>
  <c r="AB124" i="20" s="1"/>
  <c r="Z124" i="20"/>
  <c r="W124" i="20"/>
  <c r="X124" i="20" s="1"/>
  <c r="V124" i="20"/>
  <c r="S124" i="20"/>
  <c r="Q124" i="20"/>
  <c r="R124" i="20" s="1"/>
  <c r="P124" i="20"/>
  <c r="M124" i="20"/>
  <c r="N124" i="20" s="1"/>
  <c r="L124" i="20"/>
  <c r="G124" i="20"/>
  <c r="H124" i="20" s="1"/>
  <c r="F124" i="20"/>
  <c r="C124" i="20"/>
  <c r="D124" i="20" s="1"/>
  <c r="B124" i="20"/>
  <c r="I124" i="20" s="1"/>
  <c r="AR123" i="20"/>
  <c r="AQ123" i="20"/>
  <c r="AS123" i="20" s="1"/>
  <c r="AP123" i="20"/>
  <c r="AI123" i="20"/>
  <c r="AJ123" i="20" s="1"/>
  <c r="AH123" i="20"/>
  <c r="AF123" i="20"/>
  <c r="AE123" i="20"/>
  <c r="AD123" i="20"/>
  <c r="AA123" i="20"/>
  <c r="AB123" i="20" s="1"/>
  <c r="Z123" i="20"/>
  <c r="W123" i="20"/>
  <c r="X123" i="20" s="1"/>
  <c r="V123" i="20"/>
  <c r="Q123" i="20"/>
  <c r="R123" i="20" s="1"/>
  <c r="P123" i="20"/>
  <c r="N123" i="20"/>
  <c r="M123" i="20"/>
  <c r="L123" i="20"/>
  <c r="G123" i="20"/>
  <c r="H123" i="20" s="1"/>
  <c r="F123" i="20"/>
  <c r="C123" i="20"/>
  <c r="D123" i="20" s="1"/>
  <c r="B123" i="20"/>
  <c r="I123" i="20" s="1"/>
  <c r="AR122" i="20"/>
  <c r="AQ122" i="20"/>
  <c r="AS122" i="20" s="1"/>
  <c r="AP122" i="20"/>
  <c r="AI122" i="20"/>
  <c r="AJ122" i="20" s="1"/>
  <c r="AE122" i="20"/>
  <c r="AF122" i="20" s="1"/>
  <c r="AD122" i="20"/>
  <c r="AA122" i="20"/>
  <c r="AB122" i="20" s="1"/>
  <c r="W122" i="20"/>
  <c r="X122" i="20" s="1"/>
  <c r="V122" i="20"/>
  <c r="Q122" i="20"/>
  <c r="R122" i="20" s="1"/>
  <c r="P122" i="20"/>
  <c r="M122" i="20"/>
  <c r="N122" i="20" s="1"/>
  <c r="L122" i="20"/>
  <c r="G122" i="20"/>
  <c r="H122" i="20" s="1"/>
  <c r="F122" i="20"/>
  <c r="D122" i="20"/>
  <c r="J122" i="20" s="1"/>
  <c r="C122" i="20"/>
  <c r="B122" i="20"/>
  <c r="AR121" i="20"/>
  <c r="AQ121" i="20"/>
  <c r="AJ121" i="20"/>
  <c r="AI121" i="20"/>
  <c r="AH121" i="20"/>
  <c r="AF121" i="20"/>
  <c r="AE121" i="20"/>
  <c r="AA121" i="20"/>
  <c r="AB121" i="20" s="1"/>
  <c r="W121" i="20"/>
  <c r="X121" i="20" s="1"/>
  <c r="Q121" i="20"/>
  <c r="R121" i="20" s="1"/>
  <c r="P121" i="20"/>
  <c r="M121" i="20"/>
  <c r="N121" i="20" s="1"/>
  <c r="H121" i="20"/>
  <c r="J121" i="20" s="1"/>
  <c r="G121" i="20"/>
  <c r="D121" i="20"/>
  <c r="C121" i="20"/>
  <c r="B121" i="20"/>
  <c r="AQ120" i="20"/>
  <c r="AS120" i="20" s="1"/>
  <c r="AP120" i="20"/>
  <c r="AI120" i="20"/>
  <c r="AJ120" i="20" s="1"/>
  <c r="AH120" i="20"/>
  <c r="AE120" i="20"/>
  <c r="AF120" i="20" s="1"/>
  <c r="AD120" i="20"/>
  <c r="AA120" i="20"/>
  <c r="AB120" i="20" s="1"/>
  <c r="Z120" i="20"/>
  <c r="W120" i="20"/>
  <c r="X120" i="20" s="1"/>
  <c r="V120" i="20"/>
  <c r="Q120" i="20"/>
  <c r="R120" i="20" s="1"/>
  <c r="P120" i="20"/>
  <c r="N120" i="20"/>
  <c r="M120" i="20"/>
  <c r="L120" i="20"/>
  <c r="G120" i="20"/>
  <c r="H120" i="20" s="1"/>
  <c r="F120" i="20"/>
  <c r="C120" i="20"/>
  <c r="D120" i="20" s="1"/>
  <c r="B120" i="20"/>
  <c r="AR119" i="20"/>
  <c r="AQ119" i="20"/>
  <c r="AS119" i="20" s="1"/>
  <c r="AP119" i="20"/>
  <c r="AI119" i="20"/>
  <c r="AJ119" i="20" s="1"/>
  <c r="AH119" i="20"/>
  <c r="AE119" i="20"/>
  <c r="AF119" i="20" s="1"/>
  <c r="AD119" i="20"/>
  <c r="AA119" i="20"/>
  <c r="AB119" i="20" s="1"/>
  <c r="Z119" i="20"/>
  <c r="W119" i="20"/>
  <c r="X119" i="20" s="1"/>
  <c r="V119" i="20"/>
  <c r="R119" i="20"/>
  <c r="Q119" i="20"/>
  <c r="P119" i="20"/>
  <c r="N119" i="20"/>
  <c r="T119" i="20" s="1"/>
  <c r="M119" i="20"/>
  <c r="L119" i="20"/>
  <c r="G119" i="20"/>
  <c r="H119" i="20" s="1"/>
  <c r="F119" i="20"/>
  <c r="C119" i="20"/>
  <c r="D119" i="20" s="1"/>
  <c r="J119" i="20" s="1"/>
  <c r="B119" i="20"/>
  <c r="I119" i="20" s="1"/>
  <c r="AQ118" i="20"/>
  <c r="AS118" i="20" s="1"/>
  <c r="AP118" i="20"/>
  <c r="AI118" i="20"/>
  <c r="AJ118" i="20" s="1"/>
  <c r="AH118" i="20"/>
  <c r="AF118" i="20"/>
  <c r="AE118" i="20"/>
  <c r="AD118" i="20"/>
  <c r="AA118" i="20"/>
  <c r="AB118" i="20" s="1"/>
  <c r="Z118" i="20"/>
  <c r="W118" i="20"/>
  <c r="X118" i="20" s="1"/>
  <c r="V118" i="20"/>
  <c r="Q118" i="20"/>
  <c r="R118" i="20" s="1"/>
  <c r="P118" i="20"/>
  <c r="M118" i="20"/>
  <c r="N118" i="20" s="1"/>
  <c r="T118" i="20" s="1"/>
  <c r="L118" i="20"/>
  <c r="S118" i="20" s="1"/>
  <c r="I118" i="20"/>
  <c r="G118" i="20"/>
  <c r="H118" i="20" s="1"/>
  <c r="F118" i="20"/>
  <c r="C118" i="20"/>
  <c r="D118" i="20" s="1"/>
  <c r="B118" i="20"/>
  <c r="AS117" i="20"/>
  <c r="AR117" i="20"/>
  <c r="AQ117" i="20"/>
  <c r="AP117" i="20"/>
  <c r="AJ117" i="20"/>
  <c r="AI117" i="20"/>
  <c r="AH117" i="20"/>
  <c r="AE117" i="20"/>
  <c r="AF117" i="20" s="1"/>
  <c r="AD117" i="20"/>
  <c r="AA117" i="20"/>
  <c r="AB117" i="20" s="1"/>
  <c r="Z117" i="20"/>
  <c r="X117" i="20"/>
  <c r="W117" i="20"/>
  <c r="V117" i="20"/>
  <c r="R117" i="20"/>
  <c r="Q117" i="20"/>
  <c r="P117" i="20"/>
  <c r="M117" i="20"/>
  <c r="N117" i="20" s="1"/>
  <c r="L117" i="20"/>
  <c r="H117" i="20"/>
  <c r="G117" i="20"/>
  <c r="F117" i="20"/>
  <c r="D117" i="20"/>
  <c r="J117" i="20" s="1"/>
  <c r="C117" i="20"/>
  <c r="B117" i="20"/>
  <c r="AQ116" i="20"/>
  <c r="AP116" i="20"/>
  <c r="AI116" i="20"/>
  <c r="AJ116" i="20" s="1"/>
  <c r="AH116" i="20"/>
  <c r="AE116" i="20"/>
  <c r="AF116" i="20" s="1"/>
  <c r="AD116" i="20"/>
  <c r="AA116" i="20"/>
  <c r="AB116" i="20" s="1"/>
  <c r="Z116" i="20"/>
  <c r="W116" i="20"/>
  <c r="X116" i="20" s="1"/>
  <c r="V116" i="20"/>
  <c r="R116" i="20"/>
  <c r="Q116" i="20"/>
  <c r="P116" i="20"/>
  <c r="S116" i="20" s="1"/>
  <c r="M116" i="20"/>
  <c r="N116" i="20" s="1"/>
  <c r="T116" i="20" s="1"/>
  <c r="L116" i="20"/>
  <c r="G116" i="20"/>
  <c r="H116" i="20" s="1"/>
  <c r="F116" i="20"/>
  <c r="C116" i="20"/>
  <c r="D116" i="20" s="1"/>
  <c r="B116" i="20"/>
  <c r="AQ115" i="20"/>
  <c r="AP115" i="20"/>
  <c r="AI115" i="20"/>
  <c r="AJ115" i="20" s="1"/>
  <c r="AH115" i="20"/>
  <c r="AE115" i="20"/>
  <c r="AF115" i="20" s="1"/>
  <c r="AD115" i="20"/>
  <c r="AA115" i="20"/>
  <c r="AB115" i="20" s="1"/>
  <c r="Z115" i="20"/>
  <c r="W115" i="20"/>
  <c r="X115" i="20" s="1"/>
  <c r="V115" i="20"/>
  <c r="Q115" i="20"/>
  <c r="R115" i="20" s="1"/>
  <c r="P115" i="20"/>
  <c r="M115" i="20"/>
  <c r="N115" i="20" s="1"/>
  <c r="L115" i="20"/>
  <c r="H115" i="20"/>
  <c r="G115" i="20"/>
  <c r="F115" i="20"/>
  <c r="C115" i="20"/>
  <c r="D115" i="20" s="1"/>
  <c r="B115" i="20"/>
  <c r="AQ114" i="20"/>
  <c r="AP114" i="20"/>
  <c r="AJ114" i="20"/>
  <c r="AI114" i="20"/>
  <c r="AE114" i="20"/>
  <c r="AF114" i="20" s="1"/>
  <c r="AD114" i="20"/>
  <c r="AB114" i="20"/>
  <c r="AA114" i="20"/>
  <c r="W114" i="20"/>
  <c r="X114" i="20" s="1"/>
  <c r="V114" i="20"/>
  <c r="Q114" i="20"/>
  <c r="R114" i="20" s="1"/>
  <c r="M114" i="20"/>
  <c r="N114" i="20" s="1"/>
  <c r="L114" i="20"/>
  <c r="G114" i="20"/>
  <c r="H114" i="20" s="1"/>
  <c r="F114" i="20"/>
  <c r="C114" i="20"/>
  <c r="D114" i="20" s="1"/>
  <c r="J114" i="20" s="1"/>
  <c r="B114" i="20"/>
  <c r="AR113" i="20"/>
  <c r="AQ113" i="20"/>
  <c r="AI113" i="20"/>
  <c r="AJ113" i="20" s="1"/>
  <c r="AH113" i="20"/>
  <c r="AE113" i="20"/>
  <c r="AF113" i="20" s="1"/>
  <c r="AA113" i="20"/>
  <c r="AB113" i="20" s="1"/>
  <c r="W113" i="20"/>
  <c r="X113" i="20" s="1"/>
  <c r="Q113" i="20"/>
  <c r="R113" i="20" s="1"/>
  <c r="P113" i="20"/>
  <c r="M113" i="20"/>
  <c r="N113" i="20" s="1"/>
  <c r="G113" i="20"/>
  <c r="H113" i="20" s="1"/>
  <c r="C113" i="20"/>
  <c r="D113" i="20" s="1"/>
  <c r="B113" i="20"/>
  <c r="AQ112" i="20"/>
  <c r="AS112" i="20" s="1"/>
  <c r="AP112" i="20"/>
  <c r="AI112" i="20"/>
  <c r="AJ112" i="20" s="1"/>
  <c r="AH112" i="20"/>
  <c r="AE112" i="20"/>
  <c r="AF112" i="20" s="1"/>
  <c r="AD112" i="20"/>
  <c r="AA112" i="20"/>
  <c r="AB112" i="20" s="1"/>
  <c r="W112" i="20"/>
  <c r="X112" i="20" s="1"/>
  <c r="V112" i="20"/>
  <c r="Q112" i="20"/>
  <c r="R112" i="20" s="1"/>
  <c r="P112" i="20"/>
  <c r="N112" i="20"/>
  <c r="T112" i="20" s="1"/>
  <c r="M112" i="20"/>
  <c r="L112" i="20"/>
  <c r="G112" i="20"/>
  <c r="H112" i="20" s="1"/>
  <c r="F112" i="20"/>
  <c r="C112" i="20"/>
  <c r="D112" i="20" s="1"/>
  <c r="B112" i="20"/>
  <c r="AQ111" i="20"/>
  <c r="AP111" i="20"/>
  <c r="AI111" i="20"/>
  <c r="AJ111" i="20" s="1"/>
  <c r="AH111" i="20"/>
  <c r="AF111" i="20"/>
  <c r="AE111" i="20"/>
  <c r="AD111" i="20"/>
  <c r="AA111" i="20"/>
  <c r="AB111" i="20" s="1"/>
  <c r="Z111" i="20"/>
  <c r="X111" i="20"/>
  <c r="W111" i="20"/>
  <c r="V111" i="20"/>
  <c r="Q111" i="20"/>
  <c r="R111" i="20" s="1"/>
  <c r="T111" i="20" s="1"/>
  <c r="P111" i="20"/>
  <c r="N111" i="20"/>
  <c r="M111" i="20"/>
  <c r="L111" i="20"/>
  <c r="H111" i="20"/>
  <c r="G111" i="20"/>
  <c r="F111" i="20"/>
  <c r="C111" i="20"/>
  <c r="D111" i="20" s="1"/>
  <c r="J111" i="20" s="1"/>
  <c r="B111" i="20"/>
  <c r="I111" i="20" s="1"/>
  <c r="AQ110" i="20"/>
  <c r="AS110" i="20" s="1"/>
  <c r="AP110" i="20"/>
  <c r="AI110" i="20"/>
  <c r="AJ110" i="20" s="1"/>
  <c r="AH110" i="20"/>
  <c r="AE110" i="20"/>
  <c r="AF110" i="20" s="1"/>
  <c r="AD110" i="20"/>
  <c r="AA110" i="20"/>
  <c r="AB110" i="20" s="1"/>
  <c r="Z110" i="20"/>
  <c r="W110" i="20"/>
  <c r="X110" i="20" s="1"/>
  <c r="V110" i="20"/>
  <c r="Q110" i="20"/>
  <c r="R110" i="20" s="1"/>
  <c r="P110" i="20"/>
  <c r="M110" i="20"/>
  <c r="N110" i="20" s="1"/>
  <c r="L110" i="20"/>
  <c r="H110" i="20"/>
  <c r="G110" i="20"/>
  <c r="F110" i="20"/>
  <c r="C110" i="20"/>
  <c r="D110" i="20" s="1"/>
  <c r="B110" i="20"/>
  <c r="I110" i="20" s="1"/>
  <c r="AQ109" i="20"/>
  <c r="AS109" i="20" s="1"/>
  <c r="AP109" i="20"/>
  <c r="AI109" i="20"/>
  <c r="AJ109" i="20" s="1"/>
  <c r="AH109" i="20"/>
  <c r="AE109" i="20"/>
  <c r="AF109" i="20" s="1"/>
  <c r="AD109" i="20"/>
  <c r="AB109" i="20"/>
  <c r="AA109" i="20"/>
  <c r="Z109" i="20"/>
  <c r="X109" i="20"/>
  <c r="W109" i="20"/>
  <c r="V109" i="20"/>
  <c r="Q109" i="20"/>
  <c r="R109" i="20" s="1"/>
  <c r="P109" i="20"/>
  <c r="M109" i="20"/>
  <c r="N109" i="20" s="1"/>
  <c r="T109" i="20" s="1"/>
  <c r="L109" i="20"/>
  <c r="S109" i="20" s="1"/>
  <c r="G109" i="20"/>
  <c r="H109" i="20" s="1"/>
  <c r="F109" i="20"/>
  <c r="C109" i="20"/>
  <c r="D109" i="20" s="1"/>
  <c r="B109" i="20"/>
  <c r="I109" i="20" s="1"/>
  <c r="AQ108" i="20"/>
  <c r="AP108" i="20"/>
  <c r="AI108" i="20"/>
  <c r="AJ108" i="20" s="1"/>
  <c r="AH108" i="20"/>
  <c r="AE108" i="20"/>
  <c r="AF108" i="20" s="1"/>
  <c r="AD108" i="20"/>
  <c r="AA108" i="20"/>
  <c r="AB108" i="20" s="1"/>
  <c r="Z108" i="20"/>
  <c r="W108" i="20"/>
  <c r="X108" i="20" s="1"/>
  <c r="V108" i="20"/>
  <c r="R108" i="20"/>
  <c r="Q108" i="20"/>
  <c r="P108" i="20"/>
  <c r="M108" i="20"/>
  <c r="N108" i="20" s="1"/>
  <c r="L108" i="20"/>
  <c r="S108" i="20" s="1"/>
  <c r="G108" i="20"/>
  <c r="H108" i="20" s="1"/>
  <c r="F108" i="20"/>
  <c r="C108" i="20"/>
  <c r="D108" i="20" s="1"/>
  <c r="B108" i="20"/>
  <c r="I108" i="20" s="1"/>
  <c r="AR107" i="20"/>
  <c r="AQ107" i="20"/>
  <c r="AS107" i="20" s="1"/>
  <c r="AP107" i="20"/>
  <c r="AI107" i="20"/>
  <c r="AJ107" i="20" s="1"/>
  <c r="AH107" i="20"/>
  <c r="AE107" i="20"/>
  <c r="AF107" i="20" s="1"/>
  <c r="AD107" i="20"/>
  <c r="AA107" i="20"/>
  <c r="AB107" i="20" s="1"/>
  <c r="Z107" i="20"/>
  <c r="W107" i="20"/>
  <c r="X107" i="20" s="1"/>
  <c r="V107" i="20"/>
  <c r="AK107" i="20" s="1"/>
  <c r="R107" i="20"/>
  <c r="Q107" i="20"/>
  <c r="P107" i="20"/>
  <c r="N107" i="20"/>
  <c r="T107" i="20" s="1"/>
  <c r="M107" i="20"/>
  <c r="L107" i="20"/>
  <c r="G107" i="20"/>
  <c r="H107" i="20" s="1"/>
  <c r="F107" i="20"/>
  <c r="C107" i="20"/>
  <c r="D107" i="20" s="1"/>
  <c r="B107" i="20"/>
  <c r="I107" i="20" s="1"/>
  <c r="AS106" i="20"/>
  <c r="AR106" i="20"/>
  <c r="AQ106" i="20"/>
  <c r="AP106" i="20"/>
  <c r="AI106" i="20"/>
  <c r="AJ106" i="20" s="1"/>
  <c r="AE106" i="20"/>
  <c r="AF106" i="20" s="1"/>
  <c r="AD106" i="20"/>
  <c r="AA106" i="20"/>
  <c r="AB106" i="20" s="1"/>
  <c r="W106" i="20"/>
  <c r="X106" i="20" s="1"/>
  <c r="V106" i="20"/>
  <c r="Q106" i="20"/>
  <c r="R106" i="20" s="1"/>
  <c r="P106" i="20"/>
  <c r="M106" i="20"/>
  <c r="N106" i="20" s="1"/>
  <c r="T106" i="20" s="1"/>
  <c r="L106" i="20"/>
  <c r="G106" i="20"/>
  <c r="H106" i="20" s="1"/>
  <c r="F106" i="20"/>
  <c r="D106" i="20"/>
  <c r="C106" i="20"/>
  <c r="B106" i="20"/>
  <c r="I106" i="20" s="1"/>
  <c r="AR105" i="20"/>
  <c r="AQ105" i="20"/>
  <c r="AP105" i="20"/>
  <c r="AI105" i="20"/>
  <c r="AJ105" i="20" s="1"/>
  <c r="AH105" i="20"/>
  <c r="AE105" i="20"/>
  <c r="AF105" i="20" s="1"/>
  <c r="AB105" i="20"/>
  <c r="AA105" i="20"/>
  <c r="W105" i="20"/>
  <c r="X105" i="20" s="1"/>
  <c r="Q105" i="20"/>
  <c r="R105" i="20" s="1"/>
  <c r="P105" i="20"/>
  <c r="M105" i="20"/>
  <c r="N105" i="20" s="1"/>
  <c r="L105" i="20"/>
  <c r="G105" i="20"/>
  <c r="H105" i="20" s="1"/>
  <c r="C105" i="20"/>
  <c r="D105" i="20" s="1"/>
  <c r="J105" i="20" s="1"/>
  <c r="B105" i="20"/>
  <c r="AQ104" i="20"/>
  <c r="AS104" i="20" s="1"/>
  <c r="AP104" i="20"/>
  <c r="AI104" i="20"/>
  <c r="AJ104" i="20" s="1"/>
  <c r="AH104" i="20"/>
  <c r="AE104" i="20"/>
  <c r="AF104" i="20" s="1"/>
  <c r="AD104" i="20"/>
  <c r="AA104" i="20"/>
  <c r="AB104" i="20" s="1"/>
  <c r="W104" i="20"/>
  <c r="X104" i="20" s="1"/>
  <c r="AL104" i="20" s="1"/>
  <c r="V104" i="20"/>
  <c r="Q104" i="20"/>
  <c r="R104" i="20" s="1"/>
  <c r="P104" i="20"/>
  <c r="N104" i="20"/>
  <c r="M104" i="20"/>
  <c r="L104" i="20"/>
  <c r="G104" i="20"/>
  <c r="H104" i="20" s="1"/>
  <c r="F104" i="20"/>
  <c r="C104" i="20"/>
  <c r="D104" i="20" s="1"/>
  <c r="B104" i="20"/>
  <c r="AQ103" i="20"/>
  <c r="AS103" i="20" s="1"/>
  <c r="AP103" i="20"/>
  <c r="AI103" i="20"/>
  <c r="AJ103" i="20" s="1"/>
  <c r="AH103" i="20"/>
  <c r="AE103" i="20"/>
  <c r="AF103" i="20" s="1"/>
  <c r="AD103" i="20"/>
  <c r="AA103" i="20"/>
  <c r="AB103" i="20" s="1"/>
  <c r="Z103" i="20"/>
  <c r="W103" i="20"/>
  <c r="X103" i="20" s="1"/>
  <c r="V103" i="20"/>
  <c r="R103" i="20"/>
  <c r="Q103" i="20"/>
  <c r="P103" i="20"/>
  <c r="M103" i="20"/>
  <c r="N103" i="20" s="1"/>
  <c r="T103" i="20" s="1"/>
  <c r="L103" i="20"/>
  <c r="G103" i="20"/>
  <c r="H103" i="20" s="1"/>
  <c r="F103" i="20"/>
  <c r="D103" i="20"/>
  <c r="C103" i="20"/>
  <c r="B103" i="20"/>
  <c r="AQ102" i="20"/>
  <c r="AS102" i="20" s="1"/>
  <c r="AP102" i="20"/>
  <c r="AI102" i="20"/>
  <c r="AJ102" i="20" s="1"/>
  <c r="AH102" i="20"/>
  <c r="AE102" i="20"/>
  <c r="AF102" i="20" s="1"/>
  <c r="AD102" i="20"/>
  <c r="AA102" i="20"/>
  <c r="AB102" i="20" s="1"/>
  <c r="Z102" i="20"/>
  <c r="W102" i="20"/>
  <c r="X102" i="20" s="1"/>
  <c r="V102" i="20"/>
  <c r="Q102" i="20"/>
  <c r="R102" i="20" s="1"/>
  <c r="P102" i="20"/>
  <c r="M102" i="20"/>
  <c r="N102" i="20" s="1"/>
  <c r="L102" i="20"/>
  <c r="S102" i="20" s="1"/>
  <c r="G102" i="20"/>
  <c r="H102" i="20" s="1"/>
  <c r="F102" i="20"/>
  <c r="C102" i="20"/>
  <c r="D102" i="20" s="1"/>
  <c r="B102" i="20"/>
  <c r="AS101" i="20"/>
  <c r="AQ101" i="20"/>
  <c r="AR101" i="20" s="1"/>
  <c r="AP101" i="20"/>
  <c r="AI101" i="20"/>
  <c r="AJ101" i="20" s="1"/>
  <c r="AH101" i="20"/>
  <c r="AF101" i="20"/>
  <c r="AE101" i="20"/>
  <c r="AD101" i="20"/>
  <c r="AA101" i="20"/>
  <c r="AB101" i="20" s="1"/>
  <c r="Z101" i="20"/>
  <c r="W101" i="20"/>
  <c r="X101" i="20" s="1"/>
  <c r="V101" i="20"/>
  <c r="AK101" i="20" s="1"/>
  <c r="Q101" i="20"/>
  <c r="R101" i="20" s="1"/>
  <c r="P101" i="20"/>
  <c r="M101" i="20"/>
  <c r="N101" i="20" s="1"/>
  <c r="L101" i="20"/>
  <c r="G101" i="20"/>
  <c r="H101" i="20" s="1"/>
  <c r="F101" i="20"/>
  <c r="C101" i="20"/>
  <c r="D101" i="20" s="1"/>
  <c r="B101" i="20"/>
  <c r="AQ100" i="20"/>
  <c r="AP100" i="20"/>
  <c r="AI100" i="20"/>
  <c r="AJ100" i="20" s="1"/>
  <c r="AH100" i="20"/>
  <c r="AE100" i="20"/>
  <c r="AF100" i="20" s="1"/>
  <c r="AD100" i="20"/>
  <c r="AA100" i="20"/>
  <c r="AB100" i="20" s="1"/>
  <c r="Z100" i="20"/>
  <c r="W100" i="20"/>
  <c r="X100" i="20" s="1"/>
  <c r="V100" i="20"/>
  <c r="R100" i="20"/>
  <c r="Q100" i="20"/>
  <c r="P100" i="20"/>
  <c r="M100" i="20"/>
  <c r="N100" i="20" s="1"/>
  <c r="L100" i="20"/>
  <c r="G100" i="20"/>
  <c r="H100" i="20" s="1"/>
  <c r="F100" i="20"/>
  <c r="C100" i="20"/>
  <c r="D100" i="20" s="1"/>
  <c r="B100" i="20"/>
  <c r="AQ99" i="20"/>
  <c r="AS99" i="20" s="1"/>
  <c r="AP99" i="20"/>
  <c r="AJ99" i="20"/>
  <c r="AI99" i="20"/>
  <c r="AH99" i="20"/>
  <c r="AE99" i="20"/>
  <c r="AF99" i="20" s="1"/>
  <c r="AD99" i="20"/>
  <c r="AA99" i="20"/>
  <c r="AB99" i="20" s="1"/>
  <c r="Z99" i="20"/>
  <c r="W99" i="20"/>
  <c r="X99" i="20" s="1"/>
  <c r="V99" i="20"/>
  <c r="R99" i="20"/>
  <c r="Q99" i="20"/>
  <c r="P99" i="20"/>
  <c r="N99" i="20"/>
  <c r="T99" i="20" s="1"/>
  <c r="M99" i="20"/>
  <c r="L99" i="20"/>
  <c r="G99" i="20"/>
  <c r="H99" i="20" s="1"/>
  <c r="F99" i="20"/>
  <c r="C99" i="20"/>
  <c r="D99" i="20" s="1"/>
  <c r="B99" i="20"/>
  <c r="I99" i="20" s="1"/>
  <c r="AS98" i="20"/>
  <c r="AR98" i="20"/>
  <c r="AQ98" i="20"/>
  <c r="AP98" i="20"/>
  <c r="AJ98" i="20"/>
  <c r="AI98" i="20"/>
  <c r="AE98" i="20"/>
  <c r="AF98" i="20" s="1"/>
  <c r="AD98" i="20"/>
  <c r="AB98" i="20"/>
  <c r="AA98" i="20"/>
  <c r="W98" i="20"/>
  <c r="X98" i="20" s="1"/>
  <c r="V98" i="20"/>
  <c r="T98" i="20"/>
  <c r="Q98" i="20"/>
  <c r="R98" i="20" s="1"/>
  <c r="M98" i="20"/>
  <c r="N98" i="20" s="1"/>
  <c r="L98" i="20"/>
  <c r="G98" i="20"/>
  <c r="H98" i="20" s="1"/>
  <c r="F98" i="20"/>
  <c r="D98" i="20"/>
  <c r="C98" i="20"/>
  <c r="AR97" i="20"/>
  <c r="AQ97" i="20"/>
  <c r="AP97" i="20"/>
  <c r="AJ97" i="20"/>
  <c r="AI97" i="20"/>
  <c r="AH97" i="20"/>
  <c r="AF97" i="20"/>
  <c r="AE97" i="20"/>
  <c r="AB97" i="20"/>
  <c r="AA97" i="20"/>
  <c r="W97" i="20"/>
  <c r="X97" i="20" s="1"/>
  <c r="Q97" i="20"/>
  <c r="R97" i="20" s="1"/>
  <c r="P97" i="20"/>
  <c r="N97" i="20"/>
  <c r="M97" i="20"/>
  <c r="H97" i="20"/>
  <c r="G97" i="20"/>
  <c r="C97" i="20"/>
  <c r="D97" i="20" s="1"/>
  <c r="J97" i="20" s="1"/>
  <c r="B97" i="20"/>
  <c r="AQ96" i="20"/>
  <c r="AS96" i="20" s="1"/>
  <c r="AP96" i="20"/>
  <c r="AI96" i="20"/>
  <c r="AJ96" i="20" s="1"/>
  <c r="AH96" i="20"/>
  <c r="AE96" i="20"/>
  <c r="AF96" i="20" s="1"/>
  <c r="AD96" i="20"/>
  <c r="AA96" i="20"/>
  <c r="AB96" i="20" s="1"/>
  <c r="W96" i="20"/>
  <c r="X96" i="20" s="1"/>
  <c r="V96" i="20"/>
  <c r="Q96" i="20"/>
  <c r="R96" i="20" s="1"/>
  <c r="P96" i="20"/>
  <c r="N96" i="20"/>
  <c r="T96" i="20" s="1"/>
  <c r="M96" i="20"/>
  <c r="L96" i="20"/>
  <c r="G96" i="20"/>
  <c r="H96" i="20" s="1"/>
  <c r="F96" i="20"/>
  <c r="C96" i="20"/>
  <c r="D96" i="20" s="1"/>
  <c r="B96" i="20"/>
  <c r="I96" i="20" s="1"/>
  <c r="AR95" i="20"/>
  <c r="AQ95" i="20"/>
  <c r="AS95" i="20" s="1"/>
  <c r="AP95" i="20"/>
  <c r="AI95" i="20"/>
  <c r="AJ95" i="20" s="1"/>
  <c r="AH95" i="20"/>
  <c r="AF95" i="20"/>
  <c r="AE95" i="20"/>
  <c r="AD95" i="20"/>
  <c r="AB95" i="20"/>
  <c r="AA95" i="20"/>
  <c r="Z95" i="20"/>
  <c r="X95" i="20"/>
  <c r="W95" i="20"/>
  <c r="V95" i="20"/>
  <c r="R95" i="20"/>
  <c r="Q95" i="20"/>
  <c r="P95" i="20"/>
  <c r="N95" i="20"/>
  <c r="T95" i="20" s="1"/>
  <c r="M95" i="20"/>
  <c r="L95" i="20"/>
  <c r="S95" i="20" s="1"/>
  <c r="H95" i="20"/>
  <c r="G95" i="20"/>
  <c r="F95" i="20"/>
  <c r="C95" i="20"/>
  <c r="D95" i="20" s="1"/>
  <c r="J95" i="20" s="1"/>
  <c r="B95" i="20"/>
  <c r="AQ94" i="20"/>
  <c r="AP94" i="20"/>
  <c r="AI94" i="20"/>
  <c r="AJ94" i="20" s="1"/>
  <c r="AH94" i="20"/>
  <c r="AE94" i="20"/>
  <c r="AF94" i="20" s="1"/>
  <c r="AD94" i="20"/>
  <c r="AA94" i="20"/>
  <c r="AB94" i="20" s="1"/>
  <c r="Z94" i="20"/>
  <c r="X94" i="20"/>
  <c r="AL94" i="20" s="1"/>
  <c r="W94" i="20"/>
  <c r="V94" i="20"/>
  <c r="Q94" i="20"/>
  <c r="R94" i="20" s="1"/>
  <c r="P94" i="20"/>
  <c r="M94" i="20"/>
  <c r="N94" i="20" s="1"/>
  <c r="T94" i="20" s="1"/>
  <c r="L94" i="20"/>
  <c r="G94" i="20"/>
  <c r="H94" i="20" s="1"/>
  <c r="F94" i="20"/>
  <c r="I94" i="20" s="1"/>
  <c r="C94" i="20"/>
  <c r="D94" i="20" s="1"/>
  <c r="B94" i="20"/>
  <c r="AS93" i="20"/>
  <c r="AR93" i="20"/>
  <c r="AQ93" i="20"/>
  <c r="AP93" i="20"/>
  <c r="AI93" i="20"/>
  <c r="AJ93" i="20" s="1"/>
  <c r="AH93" i="20"/>
  <c r="AF93" i="20"/>
  <c r="AE93" i="20"/>
  <c r="AD93" i="20"/>
  <c r="AA93" i="20"/>
  <c r="AB93" i="20" s="1"/>
  <c r="AL93" i="20" s="1"/>
  <c r="Z93" i="20"/>
  <c r="X93" i="20"/>
  <c r="W93" i="20"/>
  <c r="V93" i="20"/>
  <c r="R93" i="20"/>
  <c r="Q93" i="20"/>
  <c r="P93" i="20"/>
  <c r="N93" i="20"/>
  <c r="T93" i="20" s="1"/>
  <c r="M93" i="20"/>
  <c r="L93" i="20"/>
  <c r="S93" i="20" s="1"/>
  <c r="G93" i="20"/>
  <c r="H93" i="20" s="1"/>
  <c r="J93" i="20" s="1"/>
  <c r="F93" i="20"/>
  <c r="C93" i="20"/>
  <c r="D93" i="20" s="1"/>
  <c r="B93" i="20"/>
  <c r="AQ92" i="20"/>
  <c r="AP92" i="20"/>
  <c r="AI92" i="20"/>
  <c r="AJ92" i="20" s="1"/>
  <c r="AH92" i="20"/>
  <c r="AE92" i="20"/>
  <c r="AF92" i="20" s="1"/>
  <c r="AD92" i="20"/>
  <c r="AA92" i="20"/>
  <c r="AB92" i="20" s="1"/>
  <c r="Z92" i="20"/>
  <c r="W92" i="20"/>
  <c r="X92" i="20" s="1"/>
  <c r="V92" i="20"/>
  <c r="Q92" i="20"/>
  <c r="R92" i="20" s="1"/>
  <c r="P92" i="20"/>
  <c r="M92" i="20"/>
  <c r="N92" i="20" s="1"/>
  <c r="L92" i="20"/>
  <c r="J92" i="20"/>
  <c r="G92" i="20"/>
  <c r="H92" i="20" s="1"/>
  <c r="F92" i="20"/>
  <c r="C92" i="20"/>
  <c r="D92" i="20" s="1"/>
  <c r="B92" i="20"/>
  <c r="AR91" i="20"/>
  <c r="AQ91" i="20"/>
  <c r="AS91" i="20" s="1"/>
  <c r="AP91" i="20"/>
  <c r="AJ91" i="20"/>
  <c r="AI91" i="20"/>
  <c r="AH91" i="20"/>
  <c r="AE91" i="20"/>
  <c r="AF91" i="20" s="1"/>
  <c r="AD91" i="20"/>
  <c r="AA91" i="20"/>
  <c r="AB91" i="20" s="1"/>
  <c r="Z91" i="20"/>
  <c r="X91" i="20"/>
  <c r="W91" i="20"/>
  <c r="V91" i="20"/>
  <c r="R91" i="20"/>
  <c r="Q91" i="20"/>
  <c r="P91" i="20"/>
  <c r="M91" i="20"/>
  <c r="N91" i="20" s="1"/>
  <c r="T91" i="20" s="1"/>
  <c r="L91" i="20"/>
  <c r="G91" i="20"/>
  <c r="H91" i="20" s="1"/>
  <c r="J91" i="20" s="1"/>
  <c r="F91" i="20"/>
  <c r="D91" i="20"/>
  <c r="C91" i="20"/>
  <c r="B91" i="20"/>
  <c r="AS90" i="20"/>
  <c r="AR90" i="20"/>
  <c r="AQ90" i="20"/>
  <c r="AP90" i="20"/>
  <c r="AJ90" i="20"/>
  <c r="AI90" i="20"/>
  <c r="AH90" i="20"/>
  <c r="AE90" i="20"/>
  <c r="AF90" i="20" s="1"/>
  <c r="AD90" i="20"/>
  <c r="AB90" i="20"/>
  <c r="AA90" i="20"/>
  <c r="W90" i="20"/>
  <c r="X90" i="20" s="1"/>
  <c r="V90" i="20"/>
  <c r="Q90" i="20"/>
  <c r="R90" i="20" s="1"/>
  <c r="P90" i="20"/>
  <c r="M90" i="20"/>
  <c r="N90" i="20" s="1"/>
  <c r="T90" i="20" s="1"/>
  <c r="L90" i="20"/>
  <c r="G90" i="20"/>
  <c r="H90" i="20" s="1"/>
  <c r="F90" i="20"/>
  <c r="C90" i="20"/>
  <c r="D90" i="20" s="1"/>
  <c r="AR89" i="20"/>
  <c r="AQ89" i="20"/>
  <c r="AS89" i="20" s="1"/>
  <c r="AI89" i="20"/>
  <c r="AJ89" i="20" s="1"/>
  <c r="AH89" i="20"/>
  <c r="AE89" i="20"/>
  <c r="AF89" i="20" s="1"/>
  <c r="AB89" i="20"/>
  <c r="AA89" i="20"/>
  <c r="Z89" i="20"/>
  <c r="W89" i="20"/>
  <c r="X89" i="20" s="1"/>
  <c r="Q89" i="20"/>
  <c r="R89" i="20" s="1"/>
  <c r="P89" i="20"/>
  <c r="M89" i="20"/>
  <c r="N89" i="20" s="1"/>
  <c r="G89" i="20"/>
  <c r="H89" i="20" s="1"/>
  <c r="D89" i="20"/>
  <c r="C89" i="20"/>
  <c r="B89" i="20"/>
  <c r="AQ88" i="20"/>
  <c r="AS88" i="20" s="1"/>
  <c r="AP88" i="20"/>
  <c r="AI88" i="20"/>
  <c r="AJ88" i="20" s="1"/>
  <c r="AH88" i="20"/>
  <c r="AE88" i="20"/>
  <c r="AF88" i="20" s="1"/>
  <c r="AD88" i="20"/>
  <c r="AA88" i="20"/>
  <c r="AB88" i="20" s="1"/>
  <c r="W88" i="20"/>
  <c r="X88" i="20" s="1"/>
  <c r="V88" i="20"/>
  <c r="Q88" i="20"/>
  <c r="R88" i="20" s="1"/>
  <c r="P88" i="20"/>
  <c r="M88" i="20"/>
  <c r="N88" i="20" s="1"/>
  <c r="T88" i="20" s="1"/>
  <c r="L88" i="20"/>
  <c r="S88" i="20" s="1"/>
  <c r="G88" i="20"/>
  <c r="H88" i="20" s="1"/>
  <c r="F88" i="20"/>
  <c r="C88" i="20"/>
  <c r="D88" i="20" s="1"/>
  <c r="B88" i="20"/>
  <c r="AR87" i="20"/>
  <c r="AQ87" i="20"/>
  <c r="AS87" i="20" s="1"/>
  <c r="AP87" i="20"/>
  <c r="AJ87" i="20"/>
  <c r="AI87" i="20"/>
  <c r="AH87" i="20"/>
  <c r="AE87" i="20"/>
  <c r="AF87" i="20" s="1"/>
  <c r="AD87" i="20"/>
  <c r="AA87" i="20"/>
  <c r="AB87" i="20" s="1"/>
  <c r="AL87" i="20" s="1"/>
  <c r="Z87" i="20"/>
  <c r="X87" i="20"/>
  <c r="W87" i="20"/>
  <c r="V87" i="20"/>
  <c r="R87" i="20"/>
  <c r="Q87" i="20"/>
  <c r="P87" i="20"/>
  <c r="N87" i="20"/>
  <c r="T87" i="20" s="1"/>
  <c r="M87" i="20"/>
  <c r="L87" i="20"/>
  <c r="S87" i="20" s="1"/>
  <c r="G87" i="20"/>
  <c r="H87" i="20" s="1"/>
  <c r="F87" i="20"/>
  <c r="C87" i="20"/>
  <c r="D87" i="20" s="1"/>
  <c r="B87" i="20"/>
  <c r="AQ86" i="20"/>
  <c r="AP86" i="20"/>
  <c r="AI86" i="20"/>
  <c r="AJ86" i="20" s="1"/>
  <c r="AH86" i="20"/>
  <c r="AF86" i="20"/>
  <c r="AE86" i="20"/>
  <c r="AD86" i="20"/>
  <c r="AA86" i="20"/>
  <c r="AB86" i="20" s="1"/>
  <c r="Z86" i="20"/>
  <c r="X86" i="20"/>
  <c r="W86" i="20"/>
  <c r="V86" i="20"/>
  <c r="Q86" i="20"/>
  <c r="R86" i="20" s="1"/>
  <c r="P86" i="20"/>
  <c r="M86" i="20"/>
  <c r="N86" i="20" s="1"/>
  <c r="L86" i="20"/>
  <c r="H86" i="20"/>
  <c r="G86" i="20"/>
  <c r="F86" i="20"/>
  <c r="C86" i="20"/>
  <c r="D86" i="20" s="1"/>
  <c r="B86" i="20"/>
  <c r="AQ85" i="20"/>
  <c r="AP85" i="20"/>
  <c r="AI85" i="20"/>
  <c r="AJ85" i="20" s="1"/>
  <c r="AH85" i="20"/>
  <c r="AF85" i="20"/>
  <c r="AE85" i="20"/>
  <c r="AD85" i="20"/>
  <c r="AB85" i="20"/>
  <c r="AA85" i="20"/>
  <c r="Z85" i="20"/>
  <c r="W85" i="20"/>
  <c r="X85" i="20" s="1"/>
  <c r="AL85" i="20" s="1"/>
  <c r="V85" i="20"/>
  <c r="Q85" i="20"/>
  <c r="R85" i="20" s="1"/>
  <c r="P85" i="20"/>
  <c r="M85" i="20"/>
  <c r="N85" i="20" s="1"/>
  <c r="L85" i="20"/>
  <c r="G85" i="20"/>
  <c r="H85" i="20" s="1"/>
  <c r="F85" i="20"/>
  <c r="C85" i="20"/>
  <c r="D85" i="20" s="1"/>
  <c r="B85" i="20"/>
  <c r="AQ84" i="20"/>
  <c r="AP84" i="20"/>
  <c r="AI84" i="20"/>
  <c r="AJ84" i="20" s="1"/>
  <c r="AH84" i="20"/>
  <c r="AE84" i="20"/>
  <c r="AF84" i="20" s="1"/>
  <c r="AD84" i="20"/>
  <c r="AA84" i="20"/>
  <c r="AB84" i="20" s="1"/>
  <c r="Z84" i="20"/>
  <c r="W84" i="20"/>
  <c r="X84" i="20" s="1"/>
  <c r="V84" i="20"/>
  <c r="Q84" i="20"/>
  <c r="R84" i="20" s="1"/>
  <c r="P84" i="20"/>
  <c r="M84" i="20"/>
  <c r="N84" i="20" s="1"/>
  <c r="L84" i="20"/>
  <c r="G84" i="20"/>
  <c r="H84" i="20" s="1"/>
  <c r="F84" i="20"/>
  <c r="C84" i="20"/>
  <c r="D84" i="20" s="1"/>
  <c r="B84" i="20"/>
  <c r="AR83" i="20"/>
  <c r="AQ83" i="20"/>
  <c r="AS83" i="20" s="1"/>
  <c r="AP83" i="20"/>
  <c r="AI83" i="20"/>
  <c r="AJ83" i="20" s="1"/>
  <c r="AH83" i="20"/>
  <c r="AE83" i="20"/>
  <c r="AF83" i="20" s="1"/>
  <c r="AD83" i="20"/>
  <c r="AB83" i="20"/>
  <c r="AA83" i="20"/>
  <c r="Z83" i="20"/>
  <c r="X83" i="20"/>
  <c r="W83" i="20"/>
  <c r="V83" i="20"/>
  <c r="Q83" i="20"/>
  <c r="R83" i="20" s="1"/>
  <c r="P83" i="20"/>
  <c r="M83" i="20"/>
  <c r="N83" i="20" s="1"/>
  <c r="L83" i="20"/>
  <c r="H83" i="20"/>
  <c r="G83" i="20"/>
  <c r="F83" i="20"/>
  <c r="D83" i="20"/>
  <c r="C83" i="20"/>
  <c r="B83" i="20"/>
  <c r="AS82" i="20"/>
  <c r="AR82" i="20"/>
  <c r="AQ82" i="20"/>
  <c r="AP82" i="20"/>
  <c r="AI82" i="20"/>
  <c r="AJ82" i="20" s="1"/>
  <c r="AE82" i="20"/>
  <c r="AF82" i="20" s="1"/>
  <c r="AD82" i="20"/>
  <c r="AA82" i="20"/>
  <c r="AB82" i="20" s="1"/>
  <c r="Z82" i="20"/>
  <c r="W82" i="20"/>
  <c r="X82" i="20" s="1"/>
  <c r="V82" i="20"/>
  <c r="Q82" i="20"/>
  <c r="R82" i="20" s="1"/>
  <c r="P82" i="20"/>
  <c r="M82" i="20"/>
  <c r="N82" i="20" s="1"/>
  <c r="T82" i="20" s="1"/>
  <c r="L82" i="20"/>
  <c r="G82" i="20"/>
  <c r="H82" i="20" s="1"/>
  <c r="F82" i="20"/>
  <c r="C82" i="20"/>
  <c r="D82" i="20" s="1"/>
  <c r="J82" i="20" s="1"/>
  <c r="B82" i="20"/>
  <c r="AQ81" i="20"/>
  <c r="AR81" i="20" s="1"/>
  <c r="AJ81" i="20"/>
  <c r="AI81" i="20"/>
  <c r="AH81" i="20"/>
  <c r="AE81" i="20"/>
  <c r="AF81" i="20" s="1"/>
  <c r="AB81" i="20"/>
  <c r="AA81" i="20"/>
  <c r="W81" i="20"/>
  <c r="X81" i="20" s="1"/>
  <c r="AL81" i="20" s="1"/>
  <c r="Q81" i="20"/>
  <c r="R81" i="20" s="1"/>
  <c r="P81" i="20"/>
  <c r="M81" i="20"/>
  <c r="N81" i="20" s="1"/>
  <c r="G81" i="20"/>
  <c r="H81" i="20" s="1"/>
  <c r="D81" i="20"/>
  <c r="J81" i="20" s="1"/>
  <c r="C81" i="20"/>
  <c r="B81" i="20"/>
  <c r="AQ80" i="20"/>
  <c r="AS80" i="20" s="1"/>
  <c r="AP80" i="20"/>
  <c r="AI80" i="20"/>
  <c r="AJ80" i="20" s="1"/>
  <c r="AH80" i="20"/>
  <c r="AE80" i="20"/>
  <c r="AF80" i="20" s="1"/>
  <c r="AD80" i="20"/>
  <c r="AA80" i="20"/>
  <c r="AB80" i="20" s="1"/>
  <c r="Z80" i="20"/>
  <c r="W80" i="20"/>
  <c r="X80" i="20" s="1"/>
  <c r="V80" i="20"/>
  <c r="Q80" i="20"/>
  <c r="R80" i="20" s="1"/>
  <c r="P80" i="20"/>
  <c r="M80" i="20"/>
  <c r="N80" i="20" s="1"/>
  <c r="T80" i="20" s="1"/>
  <c r="L80" i="20"/>
  <c r="G80" i="20"/>
  <c r="H80" i="20" s="1"/>
  <c r="F80" i="20"/>
  <c r="C80" i="20"/>
  <c r="D80" i="20" s="1"/>
  <c r="J80" i="20" s="1"/>
  <c r="B80" i="20"/>
  <c r="AQ79" i="20"/>
  <c r="AP79" i="20"/>
  <c r="AJ79" i="20"/>
  <c r="AI79" i="20"/>
  <c r="AH79" i="20"/>
  <c r="AF79" i="20"/>
  <c r="AE79" i="20"/>
  <c r="AD79" i="20"/>
  <c r="AA79" i="20"/>
  <c r="AB79" i="20" s="1"/>
  <c r="AL79" i="20" s="1"/>
  <c r="Z79" i="20"/>
  <c r="W79" i="20"/>
  <c r="X79" i="20" s="1"/>
  <c r="V79" i="20"/>
  <c r="AK79" i="20" s="1"/>
  <c r="Q79" i="20"/>
  <c r="R79" i="20" s="1"/>
  <c r="T79" i="20" s="1"/>
  <c r="P79" i="20"/>
  <c r="N79" i="20"/>
  <c r="M79" i="20"/>
  <c r="L79" i="20"/>
  <c r="S79" i="20" s="1"/>
  <c r="H79" i="20"/>
  <c r="G79" i="20"/>
  <c r="F79" i="20"/>
  <c r="C79" i="20"/>
  <c r="D79" i="20" s="1"/>
  <c r="J79" i="20" s="1"/>
  <c r="B79" i="20"/>
  <c r="AQ78" i="20"/>
  <c r="AP78" i="20"/>
  <c r="AI78" i="20"/>
  <c r="AJ78" i="20" s="1"/>
  <c r="AH78" i="20"/>
  <c r="AF78" i="20"/>
  <c r="AE78" i="20"/>
  <c r="AD78" i="20"/>
  <c r="AA78" i="20"/>
  <c r="AB78" i="20" s="1"/>
  <c r="Z78" i="20"/>
  <c r="W78" i="20"/>
  <c r="X78" i="20" s="1"/>
  <c r="V78" i="20"/>
  <c r="Q78" i="20"/>
  <c r="R78" i="20" s="1"/>
  <c r="P78" i="20"/>
  <c r="M78" i="20"/>
  <c r="N78" i="20" s="1"/>
  <c r="T78" i="20" s="1"/>
  <c r="L78" i="20"/>
  <c r="H78" i="20"/>
  <c r="G78" i="20"/>
  <c r="F78" i="20"/>
  <c r="C78" i="20"/>
  <c r="D78" i="20" s="1"/>
  <c r="B78" i="20"/>
  <c r="AR77" i="20"/>
  <c r="AQ77" i="20"/>
  <c r="AS77" i="20" s="1"/>
  <c r="AP77" i="20"/>
  <c r="AI77" i="20"/>
  <c r="AJ77" i="20" s="1"/>
  <c r="AH77" i="20"/>
  <c r="AE77" i="20"/>
  <c r="AF77" i="20" s="1"/>
  <c r="AD77" i="20"/>
  <c r="AB77" i="20"/>
  <c r="AA77" i="20"/>
  <c r="Z77" i="20"/>
  <c r="X77" i="20"/>
  <c r="W77" i="20"/>
  <c r="V77" i="20"/>
  <c r="Q77" i="20"/>
  <c r="R77" i="20" s="1"/>
  <c r="P77" i="20"/>
  <c r="M77" i="20"/>
  <c r="N77" i="20" s="1"/>
  <c r="L77" i="20"/>
  <c r="S77" i="20" s="1"/>
  <c r="H77" i="20"/>
  <c r="G77" i="20"/>
  <c r="F77" i="20"/>
  <c r="D77" i="20"/>
  <c r="J77" i="20" s="1"/>
  <c r="C77" i="20"/>
  <c r="B77" i="20"/>
  <c r="AQ76" i="20"/>
  <c r="AP76" i="20"/>
  <c r="AI76" i="20"/>
  <c r="AJ76" i="20" s="1"/>
  <c r="AH76" i="20"/>
  <c r="AE76" i="20"/>
  <c r="AF76" i="20" s="1"/>
  <c r="AD76" i="20"/>
  <c r="AA76" i="20"/>
  <c r="AB76" i="20" s="1"/>
  <c r="Z76" i="20"/>
  <c r="W76" i="20"/>
  <c r="X76" i="20" s="1"/>
  <c r="V76" i="20"/>
  <c r="R76" i="20"/>
  <c r="Q76" i="20"/>
  <c r="P76" i="20"/>
  <c r="M76" i="20"/>
  <c r="N76" i="20" s="1"/>
  <c r="T76" i="20" s="1"/>
  <c r="L76" i="20"/>
  <c r="S76" i="20" s="1"/>
  <c r="G76" i="20"/>
  <c r="H76" i="20" s="1"/>
  <c r="F76" i="20"/>
  <c r="C76" i="20"/>
  <c r="D76" i="20" s="1"/>
  <c r="J76" i="20" s="1"/>
  <c r="B76" i="20"/>
  <c r="I76" i="20" s="1"/>
  <c r="AQ75" i="20"/>
  <c r="AS75" i="20" s="1"/>
  <c r="AP75" i="20"/>
  <c r="AI75" i="20"/>
  <c r="AJ75" i="20" s="1"/>
  <c r="AH75" i="20"/>
  <c r="AF75" i="20"/>
  <c r="AE75" i="20"/>
  <c r="AD75" i="20"/>
  <c r="AB75" i="20"/>
  <c r="AA75" i="20"/>
  <c r="Z75" i="20"/>
  <c r="W75" i="20"/>
  <c r="X75" i="20" s="1"/>
  <c r="V75" i="20"/>
  <c r="Q75" i="20"/>
  <c r="R75" i="20" s="1"/>
  <c r="P75" i="20"/>
  <c r="N75" i="20"/>
  <c r="M75" i="20"/>
  <c r="L75" i="20"/>
  <c r="H75" i="20"/>
  <c r="G75" i="20"/>
  <c r="F75" i="20"/>
  <c r="D75" i="20"/>
  <c r="C75" i="20"/>
  <c r="B75" i="20"/>
  <c r="I75" i="20" s="1"/>
  <c r="AQ74" i="20"/>
  <c r="AS74" i="20" s="1"/>
  <c r="AP74" i="20"/>
  <c r="AI74" i="20"/>
  <c r="AJ74" i="20" s="1"/>
  <c r="AE74" i="20"/>
  <c r="AF74" i="20" s="1"/>
  <c r="AD74" i="20"/>
  <c r="AA74" i="20"/>
  <c r="AB74" i="20" s="1"/>
  <c r="W74" i="20"/>
  <c r="X74" i="20" s="1"/>
  <c r="V74" i="20"/>
  <c r="Q74" i="20"/>
  <c r="R74" i="20" s="1"/>
  <c r="M74" i="20"/>
  <c r="N74" i="20" s="1"/>
  <c r="T74" i="20" s="1"/>
  <c r="L74" i="20"/>
  <c r="G74" i="20"/>
  <c r="H74" i="20" s="1"/>
  <c r="F74" i="20"/>
  <c r="C74" i="20"/>
  <c r="D74" i="20" s="1"/>
  <c r="AR73" i="20"/>
  <c r="AQ73" i="20"/>
  <c r="AI73" i="20"/>
  <c r="AJ73" i="20" s="1"/>
  <c r="AH73" i="20"/>
  <c r="AE73" i="20"/>
  <c r="AF73" i="20" s="1"/>
  <c r="AB73" i="20"/>
  <c r="AA73" i="20"/>
  <c r="W73" i="20"/>
  <c r="X73" i="20" s="1"/>
  <c r="Q73" i="20"/>
  <c r="R73" i="20" s="1"/>
  <c r="P73" i="20"/>
  <c r="M73" i="20"/>
  <c r="N73" i="20" s="1"/>
  <c r="H73" i="20"/>
  <c r="G73" i="20"/>
  <c r="C73" i="20"/>
  <c r="D73" i="20" s="1"/>
  <c r="J73" i="20" s="1"/>
  <c r="B73" i="20"/>
  <c r="AQ72" i="20"/>
  <c r="AR72" i="20" s="1"/>
  <c r="AI72" i="20"/>
  <c r="AJ72" i="20" s="1"/>
  <c r="AH72" i="20"/>
  <c r="AE72" i="20"/>
  <c r="AF72" i="20" s="1"/>
  <c r="AD72" i="20"/>
  <c r="AA72" i="20"/>
  <c r="AB72" i="20" s="1"/>
  <c r="W72" i="20"/>
  <c r="X72" i="20" s="1"/>
  <c r="V72" i="20"/>
  <c r="Q72" i="20"/>
  <c r="R72" i="20" s="1"/>
  <c r="P72" i="20"/>
  <c r="N72" i="20"/>
  <c r="M72" i="20"/>
  <c r="L72" i="20"/>
  <c r="G72" i="20"/>
  <c r="H72" i="20" s="1"/>
  <c r="F72" i="20"/>
  <c r="C72" i="20"/>
  <c r="D72" i="20" s="1"/>
  <c r="B72" i="20"/>
  <c r="AQ71" i="20"/>
  <c r="AS71" i="20" s="1"/>
  <c r="AP71" i="20"/>
  <c r="AI71" i="20"/>
  <c r="AJ71" i="20" s="1"/>
  <c r="AH71" i="20"/>
  <c r="AE71" i="20"/>
  <c r="AF71" i="20" s="1"/>
  <c r="AD71" i="20"/>
  <c r="AA71" i="20"/>
  <c r="AB71" i="20" s="1"/>
  <c r="Z71" i="20"/>
  <c r="X71" i="20"/>
  <c r="W71" i="20"/>
  <c r="V71" i="20"/>
  <c r="R71" i="20"/>
  <c r="Q71" i="20"/>
  <c r="P71" i="20"/>
  <c r="M71" i="20"/>
  <c r="N71" i="20" s="1"/>
  <c r="T71" i="20" s="1"/>
  <c r="L71" i="20"/>
  <c r="S71" i="20" s="1"/>
  <c r="G71" i="20"/>
  <c r="H71" i="20" s="1"/>
  <c r="F71" i="20"/>
  <c r="D71" i="20"/>
  <c r="C71" i="20"/>
  <c r="B71" i="20"/>
  <c r="AQ70" i="20"/>
  <c r="AS70" i="20" s="1"/>
  <c r="AP70" i="20"/>
  <c r="AI70" i="20"/>
  <c r="AJ70" i="20" s="1"/>
  <c r="AH70" i="20"/>
  <c r="AF70" i="20"/>
  <c r="AE70" i="20"/>
  <c r="AD70" i="20"/>
  <c r="AA70" i="20"/>
  <c r="AB70" i="20" s="1"/>
  <c r="Z70" i="20"/>
  <c r="X70" i="20"/>
  <c r="W70" i="20"/>
  <c r="V70" i="20"/>
  <c r="Q70" i="20"/>
  <c r="R70" i="20" s="1"/>
  <c r="P70" i="20"/>
  <c r="M70" i="20"/>
  <c r="N70" i="20" s="1"/>
  <c r="L70" i="20"/>
  <c r="H70" i="20"/>
  <c r="G70" i="20"/>
  <c r="F70" i="20"/>
  <c r="C70" i="20"/>
  <c r="D70" i="20" s="1"/>
  <c r="J70" i="20" s="1"/>
  <c r="B70" i="20"/>
  <c r="I70" i="20" s="1"/>
  <c r="AS69" i="20"/>
  <c r="AQ69" i="20"/>
  <c r="AR69" i="20" s="1"/>
  <c r="AP69" i="20"/>
  <c r="AI69" i="20"/>
  <c r="AJ69" i="20" s="1"/>
  <c r="AH69" i="20"/>
  <c r="AF69" i="20"/>
  <c r="AE69" i="20"/>
  <c r="AD69" i="20"/>
  <c r="AB69" i="20"/>
  <c r="AA69" i="20"/>
  <c r="Z69" i="20"/>
  <c r="W69" i="20"/>
  <c r="X69" i="20" s="1"/>
  <c r="AL69" i="20" s="1"/>
  <c r="V69" i="20"/>
  <c r="Q69" i="20"/>
  <c r="R69" i="20" s="1"/>
  <c r="P69" i="20"/>
  <c r="M69" i="20"/>
  <c r="N69" i="20" s="1"/>
  <c r="L69" i="20"/>
  <c r="H69" i="20"/>
  <c r="G69" i="20"/>
  <c r="F69" i="20"/>
  <c r="C69" i="20"/>
  <c r="D69" i="20" s="1"/>
  <c r="J69" i="20" s="1"/>
  <c r="B69" i="20"/>
  <c r="AQ68" i="20"/>
  <c r="AP68" i="20"/>
  <c r="AI68" i="20"/>
  <c r="AJ68" i="20" s="1"/>
  <c r="AH68" i="20"/>
  <c r="AE68" i="20"/>
  <c r="AF68" i="20" s="1"/>
  <c r="AD68" i="20"/>
  <c r="AA68" i="20"/>
  <c r="AB68" i="20" s="1"/>
  <c r="Z68" i="20"/>
  <c r="W68" i="20"/>
  <c r="X68" i="20" s="1"/>
  <c r="V68" i="20"/>
  <c r="R68" i="20"/>
  <c r="Q68" i="20"/>
  <c r="P68" i="20"/>
  <c r="M68" i="20"/>
  <c r="N68" i="20" s="1"/>
  <c r="L68" i="20"/>
  <c r="G68" i="20"/>
  <c r="H68" i="20" s="1"/>
  <c r="J68" i="20" s="1"/>
  <c r="F68" i="20"/>
  <c r="C68" i="20"/>
  <c r="D68" i="20" s="1"/>
  <c r="B68" i="20"/>
  <c r="I68" i="20" s="1"/>
  <c r="AR67" i="20"/>
  <c r="AQ67" i="20"/>
  <c r="AS67" i="20" s="1"/>
  <c r="AP67" i="20"/>
  <c r="AI67" i="20"/>
  <c r="AJ67" i="20" s="1"/>
  <c r="AH67" i="20"/>
  <c r="AE67" i="20"/>
  <c r="AF67" i="20" s="1"/>
  <c r="AD67" i="20"/>
  <c r="AB67" i="20"/>
  <c r="AA67" i="20"/>
  <c r="Z67" i="20"/>
  <c r="W67" i="20"/>
  <c r="X67" i="20" s="1"/>
  <c r="V67" i="20"/>
  <c r="R67" i="20"/>
  <c r="Q67" i="20"/>
  <c r="P67" i="20"/>
  <c r="N67" i="20"/>
  <c r="T67" i="20" s="1"/>
  <c r="M67" i="20"/>
  <c r="L67" i="20"/>
  <c r="G67" i="20"/>
  <c r="H67" i="20" s="1"/>
  <c r="F67" i="20"/>
  <c r="D67" i="20"/>
  <c r="C67" i="20"/>
  <c r="B67" i="20"/>
  <c r="I67" i="20" s="1"/>
  <c r="AS66" i="20"/>
  <c r="AR66" i="20"/>
  <c r="AQ66" i="20"/>
  <c r="AP66" i="20"/>
  <c r="AJ66" i="20"/>
  <c r="AI66" i="20"/>
  <c r="AE66" i="20"/>
  <c r="AF66" i="20" s="1"/>
  <c r="AD66" i="20"/>
  <c r="AB66" i="20"/>
  <c r="AA66" i="20"/>
  <c r="Z66" i="20"/>
  <c r="W66" i="20"/>
  <c r="X66" i="20" s="1"/>
  <c r="V66" i="20"/>
  <c r="Q66" i="20"/>
  <c r="R66" i="20" s="1"/>
  <c r="M66" i="20"/>
  <c r="N66" i="20" s="1"/>
  <c r="L66" i="20"/>
  <c r="G66" i="20"/>
  <c r="H66" i="20" s="1"/>
  <c r="F66" i="20"/>
  <c r="C66" i="20"/>
  <c r="D66" i="20" s="1"/>
  <c r="AR65" i="20"/>
  <c r="AQ65" i="20"/>
  <c r="AI65" i="20"/>
  <c r="AJ65" i="20" s="1"/>
  <c r="AH65" i="20"/>
  <c r="AF65" i="20"/>
  <c r="AE65" i="20"/>
  <c r="AA65" i="20"/>
  <c r="AB65" i="20" s="1"/>
  <c r="X65" i="20"/>
  <c r="W65" i="20"/>
  <c r="Q65" i="20"/>
  <c r="R65" i="20" s="1"/>
  <c r="T65" i="20" s="1"/>
  <c r="P65" i="20"/>
  <c r="M65" i="20"/>
  <c r="N65" i="20" s="1"/>
  <c r="H65" i="20"/>
  <c r="G65" i="20"/>
  <c r="C65" i="20"/>
  <c r="D65" i="20" s="1"/>
  <c r="J65" i="20" s="1"/>
  <c r="B65" i="20"/>
  <c r="AQ64" i="20"/>
  <c r="AS64" i="20" s="1"/>
  <c r="AP64" i="20"/>
  <c r="AI64" i="20"/>
  <c r="AJ64" i="20" s="1"/>
  <c r="AH64" i="20"/>
  <c r="AE64" i="20"/>
  <c r="AF64" i="20" s="1"/>
  <c r="AD64" i="20"/>
  <c r="AA64" i="20"/>
  <c r="AB64" i="20" s="1"/>
  <c r="W64" i="20"/>
  <c r="X64" i="20" s="1"/>
  <c r="V64" i="20"/>
  <c r="Q64" i="20"/>
  <c r="R64" i="20" s="1"/>
  <c r="P64" i="20"/>
  <c r="N64" i="20"/>
  <c r="T64" i="20" s="1"/>
  <c r="M64" i="20"/>
  <c r="L64" i="20"/>
  <c r="G64" i="20"/>
  <c r="H64" i="20" s="1"/>
  <c r="F64" i="20"/>
  <c r="C64" i="20"/>
  <c r="D64" i="20" s="1"/>
  <c r="B64" i="20"/>
  <c r="AQ63" i="20"/>
  <c r="AP63" i="20"/>
  <c r="AI63" i="20"/>
  <c r="AJ63" i="20" s="1"/>
  <c r="AH63" i="20"/>
  <c r="AF63" i="20"/>
  <c r="AE63" i="20"/>
  <c r="AD63" i="20"/>
  <c r="AA63" i="20"/>
  <c r="AB63" i="20" s="1"/>
  <c r="Z63" i="20"/>
  <c r="X63" i="20"/>
  <c r="W63" i="20"/>
  <c r="V63" i="20"/>
  <c r="T63" i="20"/>
  <c r="R63" i="20"/>
  <c r="Q63" i="20"/>
  <c r="P63" i="20"/>
  <c r="N63" i="20"/>
  <c r="M63" i="20"/>
  <c r="L63" i="20"/>
  <c r="G63" i="20"/>
  <c r="H63" i="20" s="1"/>
  <c r="F63" i="20"/>
  <c r="C63" i="20"/>
  <c r="D63" i="20" s="1"/>
  <c r="B63" i="20"/>
  <c r="I63" i="20" s="1"/>
  <c r="AQ62" i="20"/>
  <c r="AS62" i="20" s="1"/>
  <c r="AP62" i="20"/>
  <c r="AI62" i="20"/>
  <c r="AJ62" i="20" s="1"/>
  <c r="AH62" i="20"/>
  <c r="AE62" i="20"/>
  <c r="AF62" i="20" s="1"/>
  <c r="AD62" i="20"/>
  <c r="AA62" i="20"/>
  <c r="AB62" i="20" s="1"/>
  <c r="Z62" i="20"/>
  <c r="W62" i="20"/>
  <c r="X62" i="20" s="1"/>
  <c r="V62" i="20"/>
  <c r="Q62" i="20"/>
  <c r="R62" i="20" s="1"/>
  <c r="P62" i="20"/>
  <c r="M62" i="20"/>
  <c r="N62" i="20" s="1"/>
  <c r="L62" i="20"/>
  <c r="I62" i="20"/>
  <c r="G62" i="20"/>
  <c r="H62" i="20" s="1"/>
  <c r="F62" i="20"/>
  <c r="C62" i="20"/>
  <c r="D62" i="20" s="1"/>
  <c r="B62" i="20"/>
  <c r="AR61" i="20"/>
  <c r="AQ61" i="20"/>
  <c r="AS61" i="20" s="1"/>
  <c r="AP61" i="20"/>
  <c r="AL61" i="20"/>
  <c r="AJ61" i="20"/>
  <c r="AI61" i="20"/>
  <c r="AH61" i="20"/>
  <c r="AE61" i="20"/>
  <c r="AF61" i="20" s="1"/>
  <c r="AD61" i="20"/>
  <c r="AA61" i="20"/>
  <c r="AB61" i="20" s="1"/>
  <c r="Z61" i="20"/>
  <c r="X61" i="20"/>
  <c r="W61" i="20"/>
  <c r="V61" i="20"/>
  <c r="Q61" i="20"/>
  <c r="R61" i="20" s="1"/>
  <c r="P61" i="20"/>
  <c r="M61" i="20"/>
  <c r="N61" i="20" s="1"/>
  <c r="L61" i="20"/>
  <c r="S61" i="20" s="1"/>
  <c r="H61" i="20"/>
  <c r="G61" i="20"/>
  <c r="F61" i="20"/>
  <c r="C61" i="20"/>
  <c r="D61" i="20" s="1"/>
  <c r="B61" i="20"/>
  <c r="AQ60" i="20"/>
  <c r="AP60" i="20"/>
  <c r="AI60" i="20"/>
  <c r="AJ60" i="20" s="1"/>
  <c r="AH60" i="20"/>
  <c r="AE60" i="20"/>
  <c r="AF60" i="20" s="1"/>
  <c r="AD60" i="20"/>
  <c r="AA60" i="20"/>
  <c r="AB60" i="20" s="1"/>
  <c r="Z60" i="20"/>
  <c r="W60" i="20"/>
  <c r="X60" i="20" s="1"/>
  <c r="V60" i="20"/>
  <c r="R60" i="20"/>
  <c r="Q60" i="20"/>
  <c r="P60" i="20"/>
  <c r="M60" i="20"/>
  <c r="N60" i="20" s="1"/>
  <c r="L60" i="20"/>
  <c r="S60" i="20" s="1"/>
  <c r="G60" i="20"/>
  <c r="H60" i="20" s="1"/>
  <c r="F60" i="20"/>
  <c r="C60" i="20"/>
  <c r="D60" i="20" s="1"/>
  <c r="J60" i="20" s="1"/>
  <c r="B60" i="20"/>
  <c r="I60" i="20" s="1"/>
  <c r="AR59" i="20"/>
  <c r="AQ59" i="20"/>
  <c r="AS59" i="20" s="1"/>
  <c r="AP59" i="20"/>
  <c r="AJ59" i="20"/>
  <c r="AI59" i="20"/>
  <c r="AH59" i="20"/>
  <c r="AE59" i="20"/>
  <c r="AF59" i="20" s="1"/>
  <c r="AD59" i="20"/>
  <c r="AA59" i="20"/>
  <c r="AB59" i="20" s="1"/>
  <c r="Z59" i="20"/>
  <c r="W59" i="20"/>
  <c r="X59" i="20" s="1"/>
  <c r="V59" i="20"/>
  <c r="Q59" i="20"/>
  <c r="R59" i="20" s="1"/>
  <c r="P59" i="20"/>
  <c r="N59" i="20"/>
  <c r="M59" i="20"/>
  <c r="L59" i="20"/>
  <c r="G59" i="20"/>
  <c r="H59" i="20" s="1"/>
  <c r="F59" i="20"/>
  <c r="C59" i="20"/>
  <c r="D59" i="20" s="1"/>
  <c r="B59" i="20"/>
  <c r="I59" i="20" s="1"/>
  <c r="AS58" i="20"/>
  <c r="AR58" i="20"/>
  <c r="AQ58" i="20"/>
  <c r="AP58" i="20"/>
  <c r="AJ58" i="20"/>
  <c r="AI58" i="20"/>
  <c r="AE58" i="20"/>
  <c r="AF58" i="20" s="1"/>
  <c r="AD58" i="20"/>
  <c r="AA58" i="20"/>
  <c r="AB58" i="20" s="1"/>
  <c r="Z58" i="20"/>
  <c r="X58" i="20"/>
  <c r="W58" i="20"/>
  <c r="V58" i="20"/>
  <c r="Q58" i="20"/>
  <c r="R58" i="20" s="1"/>
  <c r="P58" i="20"/>
  <c r="M58" i="20"/>
  <c r="N58" i="20" s="1"/>
  <c r="T58" i="20" s="1"/>
  <c r="L58" i="20"/>
  <c r="H58" i="20"/>
  <c r="G58" i="20"/>
  <c r="F58" i="20"/>
  <c r="D58" i="20"/>
  <c r="C58" i="20"/>
  <c r="AQ57" i="20"/>
  <c r="AR57" i="20" s="1"/>
  <c r="AJ57" i="20"/>
  <c r="AI57" i="20"/>
  <c r="AH57" i="20"/>
  <c r="AE57" i="20"/>
  <c r="AF57" i="20" s="1"/>
  <c r="AB57" i="20"/>
  <c r="AA57" i="20"/>
  <c r="W57" i="20"/>
  <c r="X57" i="20" s="1"/>
  <c r="Q57" i="20"/>
  <c r="R57" i="20" s="1"/>
  <c r="P57" i="20"/>
  <c r="M57" i="20"/>
  <c r="N57" i="20" s="1"/>
  <c r="G57" i="20"/>
  <c r="H57" i="20" s="1"/>
  <c r="D57" i="20"/>
  <c r="J57" i="20" s="1"/>
  <c r="C57" i="20"/>
  <c r="B57" i="20"/>
  <c r="AQ56" i="20"/>
  <c r="AP56" i="20"/>
  <c r="AI56" i="20"/>
  <c r="AJ56" i="20" s="1"/>
  <c r="AH56" i="20"/>
  <c r="AE56" i="20"/>
  <c r="AF56" i="20" s="1"/>
  <c r="AD56" i="20"/>
  <c r="AA56" i="20"/>
  <c r="AB56" i="20" s="1"/>
  <c r="Z56" i="20"/>
  <c r="X56" i="20"/>
  <c r="W56" i="20"/>
  <c r="V56" i="20"/>
  <c r="Q56" i="20"/>
  <c r="R56" i="20" s="1"/>
  <c r="P56" i="20"/>
  <c r="M56" i="20"/>
  <c r="N56" i="20" s="1"/>
  <c r="L56" i="20"/>
  <c r="H56" i="20"/>
  <c r="G56" i="20"/>
  <c r="F56" i="20"/>
  <c r="C56" i="20"/>
  <c r="D56" i="20" s="1"/>
  <c r="J56" i="20" s="1"/>
  <c r="B56" i="20"/>
  <c r="I56" i="20" s="1"/>
  <c r="AQ55" i="20"/>
  <c r="AS55" i="20" s="1"/>
  <c r="AP55" i="20"/>
  <c r="AI55" i="20"/>
  <c r="AJ55" i="20" s="1"/>
  <c r="AH55" i="20"/>
  <c r="AE55" i="20"/>
  <c r="AF55" i="20" s="1"/>
  <c r="AD55" i="20"/>
  <c r="AA55" i="20"/>
  <c r="AB55" i="20" s="1"/>
  <c r="AL55" i="20" s="1"/>
  <c r="Z55" i="20"/>
  <c r="W55" i="20"/>
  <c r="X55" i="20" s="1"/>
  <c r="V55" i="20"/>
  <c r="R55" i="20"/>
  <c r="Q55" i="20"/>
  <c r="P55" i="20"/>
  <c r="M55" i="20"/>
  <c r="N55" i="20" s="1"/>
  <c r="T55" i="20" s="1"/>
  <c r="L55" i="20"/>
  <c r="G55" i="20"/>
  <c r="H55" i="20" s="1"/>
  <c r="F55" i="20"/>
  <c r="D55" i="20"/>
  <c r="C55" i="20"/>
  <c r="B55" i="20"/>
  <c r="AQ54" i="20"/>
  <c r="AS54" i="20" s="1"/>
  <c r="AP54" i="20"/>
  <c r="AI54" i="20"/>
  <c r="AJ54" i="20" s="1"/>
  <c r="AH54" i="20"/>
  <c r="AE54" i="20"/>
  <c r="AF54" i="20" s="1"/>
  <c r="AD54" i="20"/>
  <c r="AB54" i="20"/>
  <c r="AA54" i="20"/>
  <c r="Z54" i="20"/>
  <c r="W54" i="20"/>
  <c r="X54" i="20" s="1"/>
  <c r="V54" i="20"/>
  <c r="Q54" i="20"/>
  <c r="R54" i="20" s="1"/>
  <c r="P54" i="20"/>
  <c r="S54" i="20" s="1"/>
  <c r="M54" i="20"/>
  <c r="N54" i="20" s="1"/>
  <c r="L54" i="20"/>
  <c r="G54" i="20"/>
  <c r="H54" i="20" s="1"/>
  <c r="F54" i="20"/>
  <c r="D54" i="20"/>
  <c r="J54" i="20" s="1"/>
  <c r="C54" i="20"/>
  <c r="B54" i="20"/>
  <c r="AR53" i="20"/>
  <c r="AQ53" i="20"/>
  <c r="AI53" i="20"/>
  <c r="AJ53" i="20" s="1"/>
  <c r="AH53" i="20"/>
  <c r="AF53" i="20"/>
  <c r="AE53" i="20"/>
  <c r="AD53" i="20"/>
  <c r="AB53" i="20"/>
  <c r="AA53" i="20"/>
  <c r="Z53" i="20"/>
  <c r="W53" i="20"/>
  <c r="X53" i="20" s="1"/>
  <c r="V53" i="20"/>
  <c r="Q53" i="20"/>
  <c r="R53" i="20" s="1"/>
  <c r="P53" i="20"/>
  <c r="N53" i="20"/>
  <c r="M53" i="20"/>
  <c r="L53" i="20"/>
  <c r="S53" i="20" s="1"/>
  <c r="G53" i="20"/>
  <c r="H53" i="20" s="1"/>
  <c r="J53" i="20" s="1"/>
  <c r="F53" i="20"/>
  <c r="C53" i="20"/>
  <c r="D53" i="20" s="1"/>
  <c r="B53" i="20"/>
  <c r="I53" i="20" s="1"/>
  <c r="AS52" i="20"/>
  <c r="AQ52" i="20"/>
  <c r="AR52" i="20" s="1"/>
  <c r="AP52" i="20"/>
  <c r="AJ52" i="20"/>
  <c r="AI52" i="20"/>
  <c r="AH52" i="20"/>
  <c r="AE52" i="20"/>
  <c r="AF52" i="20" s="1"/>
  <c r="AD52" i="20"/>
  <c r="AA52" i="20"/>
  <c r="AB52" i="20" s="1"/>
  <c r="Z52" i="20"/>
  <c r="W52" i="20"/>
  <c r="X52" i="20" s="1"/>
  <c r="V52" i="20"/>
  <c r="Q52" i="20"/>
  <c r="R52" i="20" s="1"/>
  <c r="P52" i="20"/>
  <c r="M52" i="20"/>
  <c r="N52" i="20" s="1"/>
  <c r="L52" i="20"/>
  <c r="G52" i="20"/>
  <c r="H52" i="20" s="1"/>
  <c r="F52" i="20"/>
  <c r="D52" i="20"/>
  <c r="J52" i="20" s="1"/>
  <c r="C52" i="20"/>
  <c r="B52" i="20"/>
  <c r="AQ51" i="20"/>
  <c r="AP51" i="20"/>
  <c r="AI51" i="20"/>
  <c r="AJ51" i="20" s="1"/>
  <c r="AH51" i="20"/>
  <c r="AF51" i="20"/>
  <c r="AE51" i="20"/>
  <c r="AD51" i="20"/>
  <c r="AA51" i="20"/>
  <c r="AB51" i="20" s="1"/>
  <c r="Z51" i="20"/>
  <c r="X51" i="20"/>
  <c r="W51" i="20"/>
  <c r="V51" i="20"/>
  <c r="R51" i="20"/>
  <c r="Q51" i="20"/>
  <c r="P51" i="20"/>
  <c r="N51" i="20"/>
  <c r="M51" i="20"/>
  <c r="L51" i="20"/>
  <c r="S51" i="20" s="1"/>
  <c r="G51" i="20"/>
  <c r="H51" i="20" s="1"/>
  <c r="F51" i="20"/>
  <c r="C51" i="20"/>
  <c r="D51" i="20" s="1"/>
  <c r="B51" i="20"/>
  <c r="AQ50" i="20"/>
  <c r="AS50" i="20" s="1"/>
  <c r="AP50" i="20"/>
  <c r="AI50" i="20"/>
  <c r="AJ50" i="20" s="1"/>
  <c r="AE50" i="20"/>
  <c r="AF50" i="20" s="1"/>
  <c r="AD50" i="20"/>
  <c r="AA50" i="20"/>
  <c r="AB50" i="20" s="1"/>
  <c r="Z50" i="20"/>
  <c r="W50" i="20"/>
  <c r="X50" i="20" s="1"/>
  <c r="V50" i="20"/>
  <c r="Q50" i="20"/>
  <c r="R50" i="20" s="1"/>
  <c r="M50" i="20"/>
  <c r="N50" i="20" s="1"/>
  <c r="T50" i="20" s="1"/>
  <c r="L50" i="20"/>
  <c r="G50" i="20"/>
  <c r="H50" i="20" s="1"/>
  <c r="F50" i="20"/>
  <c r="C50" i="20"/>
  <c r="D50" i="20" s="1"/>
  <c r="AR49" i="20"/>
  <c r="AQ49" i="20"/>
  <c r="AI49" i="20"/>
  <c r="AJ49" i="20" s="1"/>
  <c r="AH49" i="20"/>
  <c r="AE49" i="20"/>
  <c r="AF49" i="20" s="1"/>
  <c r="AB49" i="20"/>
  <c r="AA49" i="20"/>
  <c r="Z49" i="20"/>
  <c r="W49" i="20"/>
  <c r="X49" i="20" s="1"/>
  <c r="Q49" i="20"/>
  <c r="R49" i="20" s="1"/>
  <c r="T49" i="20" s="1"/>
  <c r="P49" i="20"/>
  <c r="M49" i="20"/>
  <c r="N49" i="20" s="1"/>
  <c r="G49" i="20"/>
  <c r="H49" i="20" s="1"/>
  <c r="D49" i="20"/>
  <c r="C49" i="20"/>
  <c r="B49" i="20"/>
  <c r="AQ48" i="20"/>
  <c r="AS48" i="20" s="1"/>
  <c r="AP48" i="20"/>
  <c r="AI48" i="20"/>
  <c r="AJ48" i="20" s="1"/>
  <c r="AH48" i="20"/>
  <c r="AE48" i="20"/>
  <c r="AF48" i="20" s="1"/>
  <c r="AD48" i="20"/>
  <c r="AA48" i="20"/>
  <c r="AB48" i="20" s="1"/>
  <c r="Z48" i="20"/>
  <c r="X48" i="20"/>
  <c r="AL48" i="20" s="1"/>
  <c r="W48" i="20"/>
  <c r="V48" i="20"/>
  <c r="Q48" i="20"/>
  <c r="R48" i="20" s="1"/>
  <c r="P48" i="20"/>
  <c r="M48" i="20"/>
  <c r="N48" i="20" s="1"/>
  <c r="L48" i="20"/>
  <c r="H48" i="20"/>
  <c r="J48" i="20" s="1"/>
  <c r="G48" i="20"/>
  <c r="F48" i="20"/>
  <c r="C48" i="20"/>
  <c r="D48" i="20" s="1"/>
  <c r="B48" i="20"/>
  <c r="AQ47" i="20"/>
  <c r="AP47" i="20"/>
  <c r="AJ47" i="20"/>
  <c r="AI47" i="20"/>
  <c r="AH47" i="20"/>
  <c r="AE47" i="20"/>
  <c r="AF47" i="20" s="1"/>
  <c r="AD47" i="20"/>
  <c r="AA47" i="20"/>
  <c r="AB47" i="20" s="1"/>
  <c r="Z47" i="20"/>
  <c r="W47" i="20"/>
  <c r="X47" i="20" s="1"/>
  <c r="V47" i="20"/>
  <c r="Q47" i="20"/>
  <c r="R47" i="20" s="1"/>
  <c r="P47" i="20"/>
  <c r="M47" i="20"/>
  <c r="N47" i="20" s="1"/>
  <c r="L47" i="20"/>
  <c r="G47" i="20"/>
  <c r="H47" i="20" s="1"/>
  <c r="F47" i="20"/>
  <c r="C47" i="20"/>
  <c r="D47" i="20" s="1"/>
  <c r="B47" i="20"/>
  <c r="AQ46" i="20"/>
  <c r="AP46" i="20"/>
  <c r="AI46" i="20"/>
  <c r="AJ46" i="20" s="1"/>
  <c r="AH46" i="20"/>
  <c r="AE46" i="20"/>
  <c r="AF46" i="20" s="1"/>
  <c r="AD46" i="20"/>
  <c r="AA46" i="20"/>
  <c r="AB46" i="20" s="1"/>
  <c r="Z46" i="20"/>
  <c r="W46" i="20"/>
  <c r="X46" i="20" s="1"/>
  <c r="V46" i="20"/>
  <c r="Q46" i="20"/>
  <c r="R46" i="20" s="1"/>
  <c r="P46" i="20"/>
  <c r="M46" i="20"/>
  <c r="N46" i="20" s="1"/>
  <c r="T46" i="20" s="1"/>
  <c r="L46" i="20"/>
  <c r="G46" i="20"/>
  <c r="H46" i="20" s="1"/>
  <c r="F46" i="20"/>
  <c r="C46" i="20"/>
  <c r="D46" i="20" s="1"/>
  <c r="B46" i="20"/>
  <c r="AQ45" i="20"/>
  <c r="AR45" i="20" s="1"/>
  <c r="AJ45" i="20"/>
  <c r="AI45" i="20"/>
  <c r="AH45" i="20"/>
  <c r="AF45" i="20"/>
  <c r="AE45" i="20"/>
  <c r="AD45" i="20"/>
  <c r="AA45" i="20"/>
  <c r="AB45" i="20" s="1"/>
  <c r="Z45" i="20"/>
  <c r="W45" i="20"/>
  <c r="X45" i="20" s="1"/>
  <c r="V45" i="20"/>
  <c r="Q45" i="20"/>
  <c r="R45" i="20" s="1"/>
  <c r="P45" i="20"/>
  <c r="M45" i="20"/>
  <c r="N45" i="20" s="1"/>
  <c r="L45" i="20"/>
  <c r="S45" i="20" s="1"/>
  <c r="G45" i="20"/>
  <c r="H45" i="20" s="1"/>
  <c r="J45" i="20" s="1"/>
  <c r="F45" i="20"/>
  <c r="I45" i="20" s="1"/>
  <c r="D45" i="20"/>
  <c r="C45" i="20"/>
  <c r="B45" i="20"/>
  <c r="AS44" i="20"/>
  <c r="AR44" i="20"/>
  <c r="AQ44" i="20"/>
  <c r="AP44" i="20"/>
  <c r="AJ44" i="20"/>
  <c r="AI44" i="20"/>
  <c r="AH44" i="20"/>
  <c r="AE44" i="20"/>
  <c r="AF44" i="20" s="1"/>
  <c r="AD44" i="20"/>
  <c r="AA44" i="20"/>
  <c r="AB44" i="20" s="1"/>
  <c r="AL44" i="20" s="1"/>
  <c r="Z44" i="20"/>
  <c r="W44" i="20"/>
  <c r="X44" i="20" s="1"/>
  <c r="V44" i="20"/>
  <c r="AK44" i="20" s="1"/>
  <c r="Q44" i="20"/>
  <c r="R44" i="20" s="1"/>
  <c r="P44" i="20"/>
  <c r="M44" i="20"/>
  <c r="N44" i="20" s="1"/>
  <c r="T44" i="20" s="1"/>
  <c r="L44" i="20"/>
  <c r="G44" i="20"/>
  <c r="H44" i="20" s="1"/>
  <c r="F44" i="20"/>
  <c r="D44" i="20"/>
  <c r="C44" i="20"/>
  <c r="B44" i="20"/>
  <c r="AQ43" i="20"/>
  <c r="AS43" i="20" s="1"/>
  <c r="AP43" i="20"/>
  <c r="AI43" i="20"/>
  <c r="AJ43" i="20" s="1"/>
  <c r="AH43" i="20"/>
  <c r="AF43" i="20"/>
  <c r="AE43" i="20"/>
  <c r="AD43" i="20"/>
  <c r="AA43" i="20"/>
  <c r="AB43" i="20" s="1"/>
  <c r="Z43" i="20"/>
  <c r="X43" i="20"/>
  <c r="W43" i="20"/>
  <c r="V43" i="20"/>
  <c r="R43" i="20"/>
  <c r="T43" i="20" s="1"/>
  <c r="Q43" i="20"/>
  <c r="P43" i="20"/>
  <c r="M43" i="20"/>
  <c r="N43" i="20" s="1"/>
  <c r="L43" i="20"/>
  <c r="G43" i="20"/>
  <c r="H43" i="20" s="1"/>
  <c r="F43" i="20"/>
  <c r="C43" i="20"/>
  <c r="D43" i="20" s="1"/>
  <c r="B43" i="20"/>
  <c r="AQ42" i="20"/>
  <c r="AS42" i="20" s="1"/>
  <c r="AP42" i="20"/>
  <c r="AI42" i="20"/>
  <c r="AJ42" i="20" s="1"/>
  <c r="AE42" i="20"/>
  <c r="AF42" i="20" s="1"/>
  <c r="AD42" i="20"/>
  <c r="AA42" i="20"/>
  <c r="AB42" i="20" s="1"/>
  <c r="W42" i="20"/>
  <c r="X42" i="20" s="1"/>
  <c r="V42" i="20"/>
  <c r="Q42" i="20"/>
  <c r="R42" i="20" s="1"/>
  <c r="N42" i="20"/>
  <c r="T42" i="20" s="1"/>
  <c r="M42" i="20"/>
  <c r="L42" i="20"/>
  <c r="G42" i="20"/>
  <c r="H42" i="20" s="1"/>
  <c r="F42" i="20"/>
  <c r="C42" i="20"/>
  <c r="D42" i="20" s="1"/>
  <c r="AR41" i="20"/>
  <c r="AQ41" i="20"/>
  <c r="AJ41" i="20"/>
  <c r="AI41" i="20"/>
  <c r="AH41" i="20"/>
  <c r="AE41" i="20"/>
  <c r="AF41" i="20" s="1"/>
  <c r="AB41" i="20"/>
  <c r="AA41" i="20"/>
  <c r="Z41" i="20"/>
  <c r="X41" i="20"/>
  <c r="AL41" i="20" s="1"/>
  <c r="W41" i="20"/>
  <c r="Q41" i="20"/>
  <c r="R41" i="20" s="1"/>
  <c r="P41" i="20"/>
  <c r="M41" i="20"/>
  <c r="N41" i="20" s="1"/>
  <c r="G41" i="20"/>
  <c r="H41" i="20" s="1"/>
  <c r="D41" i="20"/>
  <c r="C41" i="20"/>
  <c r="B41" i="20"/>
  <c r="AQ40" i="20"/>
  <c r="AP40" i="20"/>
  <c r="AI40" i="20"/>
  <c r="AJ40" i="20" s="1"/>
  <c r="AH40" i="20"/>
  <c r="AF40" i="20"/>
  <c r="AE40" i="20"/>
  <c r="AD40" i="20"/>
  <c r="AA40" i="20"/>
  <c r="AB40" i="20" s="1"/>
  <c r="W40" i="20"/>
  <c r="X40" i="20" s="1"/>
  <c r="V40" i="20"/>
  <c r="Q40" i="20"/>
  <c r="R40" i="20" s="1"/>
  <c r="P40" i="20"/>
  <c r="M40" i="20"/>
  <c r="N40" i="20" s="1"/>
  <c r="L40" i="20"/>
  <c r="S40" i="20" s="1"/>
  <c r="G40" i="20"/>
  <c r="H40" i="20" s="1"/>
  <c r="F40" i="20"/>
  <c r="C40" i="20"/>
  <c r="D40" i="20" s="1"/>
  <c r="J40" i="20" s="1"/>
  <c r="B40" i="20"/>
  <c r="I40" i="20" s="1"/>
  <c r="AS39" i="20"/>
  <c r="AR39" i="20"/>
  <c r="AQ39" i="20"/>
  <c r="AP39" i="20"/>
  <c r="AJ39" i="20"/>
  <c r="AI39" i="20"/>
  <c r="AH39" i="20"/>
  <c r="AE39" i="20"/>
  <c r="AF39" i="20" s="1"/>
  <c r="AD39" i="20"/>
  <c r="AB39" i="20"/>
  <c r="AA39" i="20"/>
  <c r="Z39" i="20"/>
  <c r="W39" i="20"/>
  <c r="X39" i="20" s="1"/>
  <c r="V39" i="20"/>
  <c r="Q39" i="20"/>
  <c r="R39" i="20" s="1"/>
  <c r="P39" i="20"/>
  <c r="N39" i="20"/>
  <c r="M39" i="20"/>
  <c r="L39" i="20"/>
  <c r="H39" i="20"/>
  <c r="G39" i="20"/>
  <c r="F39" i="20"/>
  <c r="D39" i="20"/>
  <c r="C39" i="20"/>
  <c r="B39" i="20"/>
  <c r="I39" i="20" s="1"/>
  <c r="AQ38" i="20"/>
  <c r="AS38" i="20" s="1"/>
  <c r="AP38" i="20"/>
  <c r="AI38" i="20"/>
  <c r="AJ38" i="20" s="1"/>
  <c r="AH38" i="20"/>
  <c r="AE38" i="20"/>
  <c r="AF38" i="20" s="1"/>
  <c r="AD38" i="20"/>
  <c r="AA38" i="20"/>
  <c r="AB38" i="20" s="1"/>
  <c r="Z38" i="20"/>
  <c r="W38" i="20"/>
  <c r="X38" i="20" s="1"/>
  <c r="V38" i="20"/>
  <c r="Q38" i="20"/>
  <c r="R38" i="20" s="1"/>
  <c r="P38" i="20"/>
  <c r="M38" i="20"/>
  <c r="N38" i="20" s="1"/>
  <c r="L38" i="20"/>
  <c r="G38" i="20"/>
  <c r="H38" i="20" s="1"/>
  <c r="F38" i="20"/>
  <c r="C38" i="20"/>
  <c r="D38" i="20" s="1"/>
  <c r="J38" i="20" s="1"/>
  <c r="B38" i="20"/>
  <c r="AQ37" i="20"/>
  <c r="AS37" i="20" s="1"/>
  <c r="AI37" i="20"/>
  <c r="AJ37" i="20" s="1"/>
  <c r="AH37" i="20"/>
  <c r="AF37" i="20"/>
  <c r="AE37" i="20"/>
  <c r="AD37" i="20"/>
  <c r="AB37" i="20"/>
  <c r="AA37" i="20"/>
  <c r="Z37" i="20"/>
  <c r="W37" i="20"/>
  <c r="X37" i="20" s="1"/>
  <c r="V37" i="20"/>
  <c r="Q37" i="20"/>
  <c r="R37" i="20" s="1"/>
  <c r="T37" i="20" s="1"/>
  <c r="P37" i="20"/>
  <c r="N37" i="20"/>
  <c r="M37" i="20"/>
  <c r="L37" i="20"/>
  <c r="H37" i="20"/>
  <c r="G37" i="20"/>
  <c r="F37" i="20"/>
  <c r="D37" i="20"/>
  <c r="J37" i="20" s="1"/>
  <c r="C37" i="20"/>
  <c r="B37" i="20"/>
  <c r="I37" i="20" s="1"/>
  <c r="AR36" i="20"/>
  <c r="AQ36" i="20"/>
  <c r="AS36" i="20" s="1"/>
  <c r="AP36" i="20"/>
  <c r="AL36" i="20"/>
  <c r="AJ36" i="20"/>
  <c r="AI36" i="20"/>
  <c r="AH36" i="20"/>
  <c r="AE36" i="20"/>
  <c r="AF36" i="20" s="1"/>
  <c r="AD36" i="20"/>
  <c r="AB36" i="20"/>
  <c r="AA36" i="20"/>
  <c r="Z36" i="20"/>
  <c r="W36" i="20"/>
  <c r="X36" i="20" s="1"/>
  <c r="V36" i="20"/>
  <c r="Q36" i="20"/>
  <c r="R36" i="20" s="1"/>
  <c r="P36" i="20"/>
  <c r="M36" i="20"/>
  <c r="N36" i="20" s="1"/>
  <c r="T36" i="20" s="1"/>
  <c r="L36" i="20"/>
  <c r="G36" i="20"/>
  <c r="H36" i="20" s="1"/>
  <c r="F36" i="20"/>
  <c r="D36" i="20"/>
  <c r="C36" i="20"/>
  <c r="B36" i="20"/>
  <c r="AQ35" i="20"/>
  <c r="AS35" i="20" s="1"/>
  <c r="AP35" i="20"/>
  <c r="AI35" i="20"/>
  <c r="AJ35" i="20" s="1"/>
  <c r="AH35" i="20"/>
  <c r="AF35" i="20"/>
  <c r="AE35" i="20"/>
  <c r="AD35" i="20"/>
  <c r="AA35" i="20"/>
  <c r="AB35" i="20" s="1"/>
  <c r="Z35" i="20"/>
  <c r="X35" i="20"/>
  <c r="W35" i="20"/>
  <c r="V35" i="20"/>
  <c r="R35" i="20"/>
  <c r="Q35" i="20"/>
  <c r="P35" i="20"/>
  <c r="M35" i="20"/>
  <c r="N35" i="20" s="1"/>
  <c r="L35" i="20"/>
  <c r="G35" i="20"/>
  <c r="H35" i="20" s="1"/>
  <c r="J35" i="20" s="1"/>
  <c r="F35" i="20"/>
  <c r="D35" i="20"/>
  <c r="C35" i="20"/>
  <c r="B35" i="20"/>
  <c r="AQ34" i="20"/>
  <c r="AS34" i="20" s="1"/>
  <c r="AP34" i="20"/>
  <c r="AI34" i="20"/>
  <c r="AJ34" i="20" s="1"/>
  <c r="AE34" i="20"/>
  <c r="AF34" i="20" s="1"/>
  <c r="AD34" i="20"/>
  <c r="AA34" i="20"/>
  <c r="AB34" i="20" s="1"/>
  <c r="Z34" i="20"/>
  <c r="W34" i="20"/>
  <c r="X34" i="20" s="1"/>
  <c r="V34" i="20"/>
  <c r="Q34" i="20"/>
  <c r="R34" i="20" s="1"/>
  <c r="M34" i="20"/>
  <c r="N34" i="20" s="1"/>
  <c r="T34" i="20" s="1"/>
  <c r="L34" i="20"/>
  <c r="G34" i="20"/>
  <c r="H34" i="20" s="1"/>
  <c r="F34" i="20"/>
  <c r="C34" i="20"/>
  <c r="D34" i="20" s="1"/>
  <c r="B34" i="20"/>
  <c r="I34" i="20" s="1"/>
  <c r="AQ33" i="20"/>
  <c r="AR33" i="20" s="1"/>
  <c r="AL33" i="20"/>
  <c r="AJ33" i="20"/>
  <c r="AI33" i="20"/>
  <c r="AH33" i="20"/>
  <c r="AF33" i="20"/>
  <c r="AE33" i="20"/>
  <c r="AA33" i="20"/>
  <c r="AB33" i="20" s="1"/>
  <c r="X33" i="20"/>
  <c r="W33" i="20"/>
  <c r="Q33" i="20"/>
  <c r="R33" i="20" s="1"/>
  <c r="P33" i="20"/>
  <c r="M33" i="20"/>
  <c r="N33" i="20" s="1"/>
  <c r="G33" i="20"/>
  <c r="H33" i="20" s="1"/>
  <c r="D33" i="20"/>
  <c r="C33" i="20"/>
  <c r="B33" i="20"/>
  <c r="AQ32" i="20"/>
  <c r="AP32" i="20"/>
  <c r="AI32" i="20"/>
  <c r="AJ32" i="20" s="1"/>
  <c r="AH32" i="20"/>
  <c r="AF32" i="20"/>
  <c r="AE32" i="20"/>
  <c r="AD32" i="20"/>
  <c r="AA32" i="20"/>
  <c r="AB32" i="20" s="1"/>
  <c r="W32" i="20"/>
  <c r="X32" i="20" s="1"/>
  <c r="V32" i="20"/>
  <c r="Q32" i="20"/>
  <c r="R32" i="20" s="1"/>
  <c r="P32" i="20"/>
  <c r="M32" i="20"/>
  <c r="N32" i="20" s="1"/>
  <c r="L32" i="20"/>
  <c r="G32" i="20"/>
  <c r="H32" i="20" s="1"/>
  <c r="F32" i="20"/>
  <c r="C32" i="20"/>
  <c r="D32" i="20" s="1"/>
  <c r="J32" i="20" s="1"/>
  <c r="B32" i="20"/>
  <c r="I32" i="20" s="1"/>
  <c r="AS31" i="20"/>
  <c r="AQ31" i="20"/>
  <c r="AR31" i="20" s="1"/>
  <c r="AP31" i="20"/>
  <c r="AJ31" i="20"/>
  <c r="AI31" i="20"/>
  <c r="AH31" i="20"/>
  <c r="AE31" i="20"/>
  <c r="AF31" i="20" s="1"/>
  <c r="AD31" i="20"/>
  <c r="AA31" i="20"/>
  <c r="AB31" i="20" s="1"/>
  <c r="Z31" i="20"/>
  <c r="W31" i="20"/>
  <c r="X31" i="20" s="1"/>
  <c r="V31" i="20"/>
  <c r="Q31" i="20"/>
  <c r="R31" i="20" s="1"/>
  <c r="P31" i="20"/>
  <c r="M31" i="20"/>
  <c r="N31" i="20" s="1"/>
  <c r="T31" i="20" s="1"/>
  <c r="L31" i="20"/>
  <c r="H31" i="20"/>
  <c r="G31" i="20"/>
  <c r="F31" i="20"/>
  <c r="D31" i="20"/>
  <c r="C31" i="20"/>
  <c r="B31" i="20"/>
  <c r="I31" i="20" s="1"/>
  <c r="AQ30" i="20"/>
  <c r="AS30" i="20" s="1"/>
  <c r="AP30" i="20"/>
  <c r="AI30" i="20"/>
  <c r="AJ30" i="20" s="1"/>
  <c r="AH30" i="20"/>
  <c r="AE30" i="20"/>
  <c r="AF30" i="20" s="1"/>
  <c r="AD30" i="20"/>
  <c r="AA30" i="20"/>
  <c r="AB30" i="20" s="1"/>
  <c r="Z30" i="20"/>
  <c r="W30" i="20"/>
  <c r="X30" i="20" s="1"/>
  <c r="V30" i="20"/>
  <c r="AK30" i="20" s="1"/>
  <c r="Q30" i="20"/>
  <c r="R30" i="20" s="1"/>
  <c r="P30" i="20"/>
  <c r="M30" i="20"/>
  <c r="N30" i="20" s="1"/>
  <c r="L30" i="20"/>
  <c r="S30" i="20" s="1"/>
  <c r="G30" i="20"/>
  <c r="H30" i="20" s="1"/>
  <c r="F30" i="20"/>
  <c r="C30" i="20"/>
  <c r="D30" i="20" s="1"/>
  <c r="J30" i="20" s="1"/>
  <c r="B30" i="20"/>
  <c r="AQ29" i="20"/>
  <c r="AS29" i="20" s="1"/>
  <c r="AJ29" i="20"/>
  <c r="AI29" i="20"/>
  <c r="AH29" i="20"/>
  <c r="AF29" i="20"/>
  <c r="AE29" i="20"/>
  <c r="AD29" i="20"/>
  <c r="AB29" i="20"/>
  <c r="AA29" i="20"/>
  <c r="Z29" i="20"/>
  <c r="W29" i="20"/>
  <c r="X29" i="20" s="1"/>
  <c r="AL29" i="20" s="1"/>
  <c r="V29" i="20"/>
  <c r="Q29" i="20"/>
  <c r="R29" i="20" s="1"/>
  <c r="T29" i="20" s="1"/>
  <c r="P29" i="20"/>
  <c r="N29" i="20"/>
  <c r="M29" i="20"/>
  <c r="L29" i="20"/>
  <c r="H29" i="20"/>
  <c r="G29" i="20"/>
  <c r="F29" i="20"/>
  <c r="D29" i="20"/>
  <c r="J29" i="20" s="1"/>
  <c r="C29" i="20"/>
  <c r="B29" i="20"/>
  <c r="AR28" i="20"/>
  <c r="AQ28" i="20"/>
  <c r="AS28" i="20" s="1"/>
  <c r="AP28" i="20"/>
  <c r="AL28" i="20"/>
  <c r="AJ28" i="20"/>
  <c r="AI28" i="20"/>
  <c r="AH28" i="20"/>
  <c r="AE28" i="20"/>
  <c r="AF28" i="20" s="1"/>
  <c r="AD28" i="20"/>
  <c r="AB28" i="20"/>
  <c r="AA28" i="20"/>
  <c r="Z28" i="20"/>
  <c r="W28" i="20"/>
  <c r="X28" i="20" s="1"/>
  <c r="V28" i="20"/>
  <c r="Q28" i="20"/>
  <c r="R28" i="20" s="1"/>
  <c r="P28" i="20"/>
  <c r="M28" i="20"/>
  <c r="N28" i="20" s="1"/>
  <c r="T28" i="20" s="1"/>
  <c r="L28" i="20"/>
  <c r="G28" i="20"/>
  <c r="H28" i="20" s="1"/>
  <c r="F28" i="20"/>
  <c r="D28" i="20"/>
  <c r="C28" i="20"/>
  <c r="B28" i="20"/>
  <c r="AQ27" i="20"/>
  <c r="AS27" i="20" s="1"/>
  <c r="AP27" i="20"/>
  <c r="AI27" i="20"/>
  <c r="AJ27" i="20" s="1"/>
  <c r="AH27" i="20"/>
  <c r="AF27" i="20"/>
  <c r="AE27" i="20"/>
  <c r="AD27" i="20"/>
  <c r="AA27" i="20"/>
  <c r="AB27" i="20" s="1"/>
  <c r="Z27" i="20"/>
  <c r="X27" i="20"/>
  <c r="W27" i="20"/>
  <c r="V27" i="20"/>
  <c r="R27" i="20"/>
  <c r="Q27" i="20"/>
  <c r="P27" i="20"/>
  <c r="M27" i="20"/>
  <c r="N27" i="20" s="1"/>
  <c r="L27" i="20"/>
  <c r="G27" i="20"/>
  <c r="H27" i="20" s="1"/>
  <c r="F27" i="20"/>
  <c r="C27" i="20"/>
  <c r="D27" i="20" s="1"/>
  <c r="J27" i="20" s="1"/>
  <c r="B27" i="20"/>
  <c r="AQ26" i="20"/>
  <c r="AS26" i="20" s="1"/>
  <c r="AP26" i="20"/>
  <c r="AI26" i="20"/>
  <c r="AJ26" i="20" s="1"/>
  <c r="AF26" i="20"/>
  <c r="AE26" i="20"/>
  <c r="AD26" i="20"/>
  <c r="AA26" i="20"/>
  <c r="AB26" i="20" s="1"/>
  <c r="W26" i="20"/>
  <c r="X26" i="20" s="1"/>
  <c r="V26" i="20"/>
  <c r="Q26" i="20"/>
  <c r="R26" i="20" s="1"/>
  <c r="P26" i="20"/>
  <c r="N26" i="20"/>
  <c r="T26" i="20" s="1"/>
  <c r="M26" i="20"/>
  <c r="L26" i="20"/>
  <c r="G26" i="20"/>
  <c r="H26" i="20" s="1"/>
  <c r="F26" i="20"/>
  <c r="C26" i="20"/>
  <c r="D26" i="20" s="1"/>
  <c r="B26" i="20"/>
  <c r="AQ25" i="20"/>
  <c r="AR25" i="20" s="1"/>
  <c r="AP25" i="20"/>
  <c r="AI25" i="20"/>
  <c r="AJ25" i="20" s="1"/>
  <c r="AH25" i="20"/>
  <c r="AE25" i="20"/>
  <c r="AF25" i="20" s="1"/>
  <c r="AB25" i="20"/>
  <c r="AA25" i="20"/>
  <c r="X25" i="20"/>
  <c r="AL25" i="20" s="1"/>
  <c r="W25" i="20"/>
  <c r="R25" i="20"/>
  <c r="Q25" i="20"/>
  <c r="P25" i="20"/>
  <c r="M25" i="20"/>
  <c r="N25" i="20" s="1"/>
  <c r="T25" i="20" s="1"/>
  <c r="H25" i="20"/>
  <c r="G25" i="20"/>
  <c r="D25" i="20"/>
  <c r="C25" i="20"/>
  <c r="B25" i="20"/>
  <c r="AQ24" i="20"/>
  <c r="AP24" i="20"/>
  <c r="AI24" i="20"/>
  <c r="AJ24" i="20" s="1"/>
  <c r="AH24" i="20"/>
  <c r="AE24" i="20"/>
  <c r="AF24" i="20" s="1"/>
  <c r="AD24" i="20"/>
  <c r="AA24" i="20"/>
  <c r="AB24" i="20" s="1"/>
  <c r="X24" i="20"/>
  <c r="W24" i="20"/>
  <c r="V24" i="20"/>
  <c r="Q24" i="20"/>
  <c r="R24" i="20" s="1"/>
  <c r="P24" i="20"/>
  <c r="M24" i="20"/>
  <c r="N24" i="20" s="1"/>
  <c r="L24" i="20"/>
  <c r="H24" i="20"/>
  <c r="G24" i="20"/>
  <c r="F24" i="20"/>
  <c r="C24" i="20"/>
  <c r="D24" i="20" s="1"/>
  <c r="J24" i="20" s="1"/>
  <c r="B24" i="20"/>
  <c r="AQ23" i="20"/>
  <c r="AS23" i="20" s="1"/>
  <c r="AP23" i="20"/>
  <c r="AI23" i="20"/>
  <c r="AJ23" i="20" s="1"/>
  <c r="AH23" i="20"/>
  <c r="AE23" i="20"/>
  <c r="AF23" i="20" s="1"/>
  <c r="AD23" i="20"/>
  <c r="AA23" i="20"/>
  <c r="AB23" i="20" s="1"/>
  <c r="Z23" i="20"/>
  <c r="W23" i="20"/>
  <c r="X23" i="20" s="1"/>
  <c r="V23" i="20"/>
  <c r="R23" i="20"/>
  <c r="Q23" i="20"/>
  <c r="P23" i="20"/>
  <c r="M23" i="20"/>
  <c r="N23" i="20" s="1"/>
  <c r="L23" i="20"/>
  <c r="G23" i="20"/>
  <c r="H23" i="20" s="1"/>
  <c r="F23" i="20"/>
  <c r="C23" i="20"/>
  <c r="D23" i="20" s="1"/>
  <c r="B23" i="20"/>
  <c r="AS22" i="20"/>
  <c r="AR22" i="20"/>
  <c r="AQ22" i="20"/>
  <c r="AP22" i="20"/>
  <c r="AI22" i="20"/>
  <c r="AJ22" i="20" s="1"/>
  <c r="AH22" i="20"/>
  <c r="AE22" i="20"/>
  <c r="AF22" i="20" s="1"/>
  <c r="AD22" i="20"/>
  <c r="AA22" i="20"/>
  <c r="AB22" i="20" s="1"/>
  <c r="Z22" i="20"/>
  <c r="W22" i="20"/>
  <c r="X22" i="20" s="1"/>
  <c r="V22" i="20"/>
  <c r="R22" i="20"/>
  <c r="Q22" i="20"/>
  <c r="P22" i="20"/>
  <c r="M22" i="20"/>
  <c r="N22" i="20" s="1"/>
  <c r="L22" i="20"/>
  <c r="S22" i="20" s="1"/>
  <c r="G22" i="20"/>
  <c r="H22" i="20" s="1"/>
  <c r="F22" i="20"/>
  <c r="C22" i="20"/>
  <c r="D22" i="20" s="1"/>
  <c r="J22" i="20" s="1"/>
  <c r="B22" i="20"/>
  <c r="AQ21" i="20"/>
  <c r="AR21" i="20" s="1"/>
  <c r="AJ21" i="20"/>
  <c r="AI21" i="20"/>
  <c r="AH21" i="20"/>
  <c r="AE21" i="20"/>
  <c r="AF21" i="20" s="1"/>
  <c r="AD21" i="20"/>
  <c r="AA21" i="20"/>
  <c r="AB21" i="20" s="1"/>
  <c r="Z21" i="20"/>
  <c r="W21" i="20"/>
  <c r="X21" i="20" s="1"/>
  <c r="V21" i="20"/>
  <c r="Q21" i="20"/>
  <c r="R21" i="20" s="1"/>
  <c r="P21" i="20"/>
  <c r="N21" i="20"/>
  <c r="M21" i="20"/>
  <c r="L21" i="20"/>
  <c r="G21" i="20"/>
  <c r="H21" i="20" s="1"/>
  <c r="F21" i="20"/>
  <c r="C21" i="20"/>
  <c r="D21" i="20" s="1"/>
  <c r="B21" i="20"/>
  <c r="AR20" i="20"/>
  <c r="AQ20" i="20"/>
  <c r="AS20" i="20" s="1"/>
  <c r="AP20" i="20"/>
  <c r="AJ20" i="20"/>
  <c r="AI20" i="20"/>
  <c r="AH20" i="20"/>
  <c r="AE20" i="20"/>
  <c r="AF20" i="20" s="1"/>
  <c r="AD20" i="20"/>
  <c r="AA20" i="20"/>
  <c r="AB20" i="20" s="1"/>
  <c r="Z20" i="20"/>
  <c r="W20" i="20"/>
  <c r="X20" i="20" s="1"/>
  <c r="V20" i="20"/>
  <c r="Q20" i="20"/>
  <c r="R20" i="20" s="1"/>
  <c r="P20" i="20"/>
  <c r="M20" i="20"/>
  <c r="N20" i="20" s="1"/>
  <c r="L20" i="20"/>
  <c r="S20" i="20" s="1"/>
  <c r="G20" i="20"/>
  <c r="H20" i="20" s="1"/>
  <c r="F20" i="20"/>
  <c r="D20" i="20"/>
  <c r="J20" i="20" s="1"/>
  <c r="C20" i="20"/>
  <c r="B20" i="20"/>
  <c r="AR19" i="20"/>
  <c r="AQ19" i="20"/>
  <c r="AP19" i="20"/>
  <c r="AI19" i="20"/>
  <c r="AJ19" i="20" s="1"/>
  <c r="AH19" i="20"/>
  <c r="AF19" i="20"/>
  <c r="AE19" i="20"/>
  <c r="AD19" i="20"/>
  <c r="AA19" i="20"/>
  <c r="AB19" i="20" s="1"/>
  <c r="Z19" i="20"/>
  <c r="W19" i="20"/>
  <c r="X19" i="20" s="1"/>
  <c r="V19" i="20"/>
  <c r="Q19" i="20"/>
  <c r="R19" i="20" s="1"/>
  <c r="P19" i="20"/>
  <c r="N19" i="20"/>
  <c r="M19" i="20"/>
  <c r="L19" i="20"/>
  <c r="S19" i="20" s="1"/>
  <c r="G19" i="20"/>
  <c r="H19" i="20" s="1"/>
  <c r="F19" i="20"/>
  <c r="C19" i="20"/>
  <c r="D19" i="20" s="1"/>
  <c r="B19" i="20"/>
  <c r="I19" i="20" s="1"/>
  <c r="AQ18" i="20"/>
  <c r="AS18" i="20" s="1"/>
  <c r="AP18" i="20"/>
  <c r="AI18" i="20"/>
  <c r="AJ18" i="20" s="1"/>
  <c r="AE18" i="20"/>
  <c r="AF18" i="20" s="1"/>
  <c r="AD18" i="20"/>
  <c r="AA18" i="20"/>
  <c r="AB18" i="20" s="1"/>
  <c r="Z18" i="20"/>
  <c r="W18" i="20"/>
  <c r="X18" i="20" s="1"/>
  <c r="AL18" i="20" s="1"/>
  <c r="V18" i="20"/>
  <c r="Q18" i="20"/>
  <c r="R18" i="20" s="1"/>
  <c r="P18" i="20"/>
  <c r="M18" i="20"/>
  <c r="N18" i="20" s="1"/>
  <c r="T18" i="20" s="1"/>
  <c r="L18" i="20"/>
  <c r="G18" i="20"/>
  <c r="H18" i="20" s="1"/>
  <c r="F18" i="20"/>
  <c r="C18" i="20"/>
  <c r="D18" i="20" s="1"/>
  <c r="AQ17" i="20"/>
  <c r="AI17" i="20"/>
  <c r="AJ17" i="20" s="1"/>
  <c r="AH17" i="20"/>
  <c r="AE17" i="20"/>
  <c r="AF17" i="20" s="1"/>
  <c r="AB17" i="20"/>
  <c r="AL17" i="20" s="1"/>
  <c r="AA17" i="20"/>
  <c r="Z17" i="20"/>
  <c r="W17" i="20"/>
  <c r="X17" i="20" s="1"/>
  <c r="R17" i="20"/>
  <c r="Q17" i="20"/>
  <c r="P17" i="20"/>
  <c r="M17" i="20"/>
  <c r="N17" i="20" s="1"/>
  <c r="T17" i="20" s="1"/>
  <c r="H17" i="20"/>
  <c r="G17" i="20"/>
  <c r="C17" i="20"/>
  <c r="D17" i="20" s="1"/>
  <c r="J17" i="20" s="1"/>
  <c r="B17" i="20"/>
  <c r="AQ16" i="20"/>
  <c r="AR16" i="20" s="1"/>
  <c r="AP16" i="20"/>
  <c r="AI16" i="20"/>
  <c r="AJ16" i="20" s="1"/>
  <c r="AH16" i="20"/>
  <c r="AF16" i="20"/>
  <c r="AE16" i="20"/>
  <c r="AD16" i="20"/>
  <c r="AA16" i="20"/>
  <c r="AB16" i="20" s="1"/>
  <c r="X16" i="20"/>
  <c r="W16" i="20"/>
  <c r="V16" i="20"/>
  <c r="Q16" i="20"/>
  <c r="R16" i="20" s="1"/>
  <c r="P16" i="20"/>
  <c r="M16" i="20"/>
  <c r="N16" i="20" s="1"/>
  <c r="L16" i="20"/>
  <c r="H16" i="20"/>
  <c r="G16" i="20"/>
  <c r="F16" i="20"/>
  <c r="C16" i="20"/>
  <c r="D16" i="20" s="1"/>
  <c r="J16" i="20" s="1"/>
  <c r="B16" i="20"/>
  <c r="AQ15" i="20"/>
  <c r="AS15" i="20" s="1"/>
  <c r="AP15" i="20"/>
  <c r="AI15" i="20"/>
  <c r="AJ15" i="20" s="1"/>
  <c r="AH15" i="20"/>
  <c r="AE15" i="20"/>
  <c r="AF15" i="20" s="1"/>
  <c r="AD15" i="20"/>
  <c r="AA15" i="20"/>
  <c r="AB15" i="20" s="1"/>
  <c r="Z15" i="20"/>
  <c r="W15" i="20"/>
  <c r="X15" i="20" s="1"/>
  <c r="AL15" i="20" s="1"/>
  <c r="V15" i="20"/>
  <c r="R15" i="20"/>
  <c r="Q15" i="20"/>
  <c r="P15" i="20"/>
  <c r="N15" i="20"/>
  <c r="T15" i="20" s="1"/>
  <c r="M15" i="20"/>
  <c r="L15" i="20"/>
  <c r="G15" i="20"/>
  <c r="H15" i="20" s="1"/>
  <c r="J15" i="20" s="1"/>
  <c r="F15" i="20"/>
  <c r="C15" i="20"/>
  <c r="D15" i="20" s="1"/>
  <c r="B15" i="20"/>
  <c r="AQ14" i="20"/>
  <c r="AS14" i="20" s="1"/>
  <c r="AP14" i="20"/>
  <c r="AI14" i="20"/>
  <c r="AJ14" i="20" s="1"/>
  <c r="AH14" i="20"/>
  <c r="AE14" i="20"/>
  <c r="AF14" i="20" s="1"/>
  <c r="AD14" i="20"/>
  <c r="AA14" i="20"/>
  <c r="AB14" i="20" s="1"/>
  <c r="Z14" i="20"/>
  <c r="W14" i="20"/>
  <c r="X14" i="20" s="1"/>
  <c r="V14" i="20"/>
  <c r="Q14" i="20"/>
  <c r="R14" i="20" s="1"/>
  <c r="T14" i="20" s="1"/>
  <c r="P14" i="20"/>
  <c r="M14" i="20"/>
  <c r="N14" i="20" s="1"/>
  <c r="L14" i="20"/>
  <c r="G14" i="20"/>
  <c r="H14" i="20" s="1"/>
  <c r="F14" i="20"/>
  <c r="D14" i="20"/>
  <c r="J14" i="20" s="1"/>
  <c r="C14" i="20"/>
  <c r="B14" i="20"/>
  <c r="AQ13" i="20"/>
  <c r="AR13" i="20" s="1"/>
  <c r="AS13" i="20"/>
  <c r="AI13" i="20"/>
  <c r="AJ13" i="20" s="1"/>
  <c r="AH13" i="20"/>
  <c r="AE13" i="20"/>
  <c r="AF13" i="20" s="1"/>
  <c r="AD13" i="20"/>
  <c r="AA13" i="20"/>
  <c r="AB13" i="20" s="1"/>
  <c r="Z13" i="20"/>
  <c r="W13" i="20"/>
  <c r="X13" i="20" s="1"/>
  <c r="V13" i="20"/>
  <c r="Q13" i="20"/>
  <c r="R13" i="20" s="1"/>
  <c r="T13" i="20" s="1"/>
  <c r="P13" i="20"/>
  <c r="N13" i="20"/>
  <c r="M13" i="20"/>
  <c r="L13" i="20"/>
  <c r="H13" i="20"/>
  <c r="G13" i="20"/>
  <c r="F13" i="20"/>
  <c r="D13" i="20"/>
  <c r="C13" i="20"/>
  <c r="B13" i="20"/>
  <c r="I13" i="20" s="1"/>
  <c r="AQ12" i="20"/>
  <c r="AR12" i="20" s="1"/>
  <c r="AP12" i="20"/>
  <c r="AI12" i="20"/>
  <c r="AJ12" i="20" s="1"/>
  <c r="AH12" i="20"/>
  <c r="AE12" i="20"/>
  <c r="AF12" i="20" s="1"/>
  <c r="AD12" i="20"/>
  <c r="AA12" i="20"/>
  <c r="AB12" i="20" s="1"/>
  <c r="Z12" i="20"/>
  <c r="W12" i="20"/>
  <c r="X12" i="20" s="1"/>
  <c r="V12" i="20"/>
  <c r="Q12" i="20"/>
  <c r="R12" i="20" s="1"/>
  <c r="P12" i="20"/>
  <c r="M12" i="20"/>
  <c r="N12" i="20" s="1"/>
  <c r="L12" i="20"/>
  <c r="S12" i="20" s="1"/>
  <c r="G12" i="20"/>
  <c r="H12" i="20" s="1"/>
  <c r="F12" i="20"/>
  <c r="C12" i="20"/>
  <c r="D12" i="20" s="1"/>
  <c r="B12" i="20"/>
  <c r="I12" i="20" s="1"/>
  <c r="AQ11" i="20"/>
  <c r="AS11" i="20" s="1"/>
  <c r="AP11" i="20"/>
  <c r="AI11" i="20"/>
  <c r="AJ11" i="20" s="1"/>
  <c r="AH11" i="20"/>
  <c r="AE11" i="20"/>
  <c r="AF11" i="20" s="1"/>
  <c r="AD11" i="20"/>
  <c r="AA11" i="20"/>
  <c r="AB11" i="20" s="1"/>
  <c r="Z11" i="20"/>
  <c r="W11" i="20"/>
  <c r="X11" i="20" s="1"/>
  <c r="V11" i="20"/>
  <c r="Q11" i="20"/>
  <c r="R11" i="20" s="1"/>
  <c r="P11" i="20"/>
  <c r="M11" i="20"/>
  <c r="N11" i="20" s="1"/>
  <c r="L11" i="20"/>
  <c r="G11" i="20"/>
  <c r="H11" i="20" s="1"/>
  <c r="F11" i="20"/>
  <c r="C11" i="20"/>
  <c r="D11" i="20" s="1"/>
  <c r="B11" i="20"/>
  <c r="I11" i="20" s="1"/>
  <c r="AQ10" i="20"/>
  <c r="AP10" i="20"/>
  <c r="AI10" i="20"/>
  <c r="AJ10" i="20" s="1"/>
  <c r="AF10" i="20"/>
  <c r="AE10" i="20"/>
  <c r="AD10" i="20"/>
  <c r="AA10" i="20"/>
  <c r="AB10" i="20" s="1"/>
  <c r="Z10" i="20"/>
  <c r="W10" i="20"/>
  <c r="X10" i="20" s="1"/>
  <c r="AL10" i="20" s="1"/>
  <c r="V10" i="20"/>
  <c r="Q10" i="20"/>
  <c r="R10" i="20" s="1"/>
  <c r="P10" i="20"/>
  <c r="M10" i="20"/>
  <c r="N10" i="20" s="1"/>
  <c r="T10" i="20" s="1"/>
  <c r="L10" i="20"/>
  <c r="G10" i="20"/>
  <c r="H10" i="20" s="1"/>
  <c r="F10" i="20"/>
  <c r="C10" i="20"/>
  <c r="D10" i="20" s="1"/>
  <c r="B10" i="20"/>
  <c r="I10" i="20" s="1"/>
  <c r="AQ9" i="20"/>
  <c r="AJ9" i="20"/>
  <c r="AI9" i="20"/>
  <c r="AH9" i="20"/>
  <c r="AF9" i="20"/>
  <c r="AE9" i="20"/>
  <c r="AD9" i="20"/>
  <c r="AB9" i="20"/>
  <c r="AA9" i="20"/>
  <c r="X9" i="20"/>
  <c r="W9" i="20"/>
  <c r="Q9" i="20"/>
  <c r="R9" i="20" s="1"/>
  <c r="P9" i="20"/>
  <c r="M9" i="20"/>
  <c r="N9" i="20" s="1"/>
  <c r="G9" i="20"/>
  <c r="H9" i="20" s="1"/>
  <c r="J9" i="20" s="1"/>
  <c r="C9" i="20"/>
  <c r="D9" i="20" s="1"/>
  <c r="B9" i="20"/>
  <c r="AQ8" i="20"/>
  <c r="AR8" i="20" s="1"/>
  <c r="AS8" i="20"/>
  <c r="AI8" i="20"/>
  <c r="AJ8" i="20" s="1"/>
  <c r="AH8" i="20"/>
  <c r="AF8" i="20"/>
  <c r="AE8" i="20"/>
  <c r="AD8" i="20"/>
  <c r="AA8" i="20"/>
  <c r="AB8" i="20" s="1"/>
  <c r="Z8" i="20"/>
  <c r="W8" i="20"/>
  <c r="X8" i="20" s="1"/>
  <c r="V8" i="20"/>
  <c r="Q8" i="20"/>
  <c r="R8" i="20" s="1"/>
  <c r="P8" i="20"/>
  <c r="S8" i="20" s="1"/>
  <c r="M8" i="20"/>
  <c r="N8" i="20" s="1"/>
  <c r="L8" i="20"/>
  <c r="G8" i="20"/>
  <c r="H8" i="20" s="1"/>
  <c r="F8" i="20"/>
  <c r="C8" i="20"/>
  <c r="D8" i="20" s="1"/>
  <c r="B8" i="20"/>
  <c r="AR7" i="20"/>
  <c r="AQ7" i="20"/>
  <c r="AS7" i="20" s="1"/>
  <c r="AP7" i="20"/>
  <c r="AJ7" i="20"/>
  <c r="AI7" i="20"/>
  <c r="AH7" i="20"/>
  <c r="AF7" i="20"/>
  <c r="AE7" i="20"/>
  <c r="AD7" i="20"/>
  <c r="AA7" i="20"/>
  <c r="AB7" i="20" s="1"/>
  <c r="Z7" i="20"/>
  <c r="W7" i="20"/>
  <c r="X7" i="20" s="1"/>
  <c r="V7" i="20"/>
  <c r="Q7" i="20"/>
  <c r="R7" i="20" s="1"/>
  <c r="P7" i="20"/>
  <c r="M7" i="20"/>
  <c r="N7" i="20" s="1"/>
  <c r="L7" i="20"/>
  <c r="S7" i="20" s="1"/>
  <c r="G7" i="20"/>
  <c r="H7" i="20" s="1"/>
  <c r="F7" i="20"/>
  <c r="C7" i="20"/>
  <c r="D7" i="20" s="1"/>
  <c r="B7" i="20"/>
  <c r="AQ6" i="20"/>
  <c r="AR6" i="20" s="1"/>
  <c r="AP6" i="20"/>
  <c r="AI6" i="20"/>
  <c r="AJ6" i="20" s="1"/>
  <c r="AH6" i="20"/>
  <c r="AE6" i="20"/>
  <c r="AF6" i="20" s="1"/>
  <c r="AD6" i="20"/>
  <c r="AA6" i="20"/>
  <c r="AB6" i="20" s="1"/>
  <c r="Z6" i="20"/>
  <c r="W6" i="20"/>
  <c r="X6" i="20" s="1"/>
  <c r="V6" i="20"/>
  <c r="R6" i="20"/>
  <c r="Q6" i="20"/>
  <c r="P6" i="20"/>
  <c r="M6" i="20"/>
  <c r="N6" i="20" s="1"/>
  <c r="L6" i="20"/>
  <c r="S6" i="20" s="1"/>
  <c r="H6" i="20"/>
  <c r="G6" i="20"/>
  <c r="F6" i="20"/>
  <c r="C6" i="20"/>
  <c r="D6" i="20" s="1"/>
  <c r="J6" i="20" s="1"/>
  <c r="B6" i="20"/>
  <c r="I6" i="20" s="1"/>
  <c r="AQ5" i="20"/>
  <c r="AS5" i="20" s="1"/>
  <c r="AP5" i="20"/>
  <c r="AI5" i="20"/>
  <c r="AJ5" i="20" s="1"/>
  <c r="AH5" i="20"/>
  <c r="AE5" i="20"/>
  <c r="AF5" i="20" s="1"/>
  <c r="AD5" i="20"/>
  <c r="AA5" i="20"/>
  <c r="AB5" i="20" s="1"/>
  <c r="Z5" i="20"/>
  <c r="W5" i="20"/>
  <c r="X5" i="20" s="1"/>
  <c r="AL5" i="20" s="1"/>
  <c r="V5" i="20"/>
  <c r="Q5" i="20"/>
  <c r="R5" i="20" s="1"/>
  <c r="P5" i="20"/>
  <c r="M5" i="20"/>
  <c r="N5" i="20" s="1"/>
  <c r="L5" i="20"/>
  <c r="G5" i="20"/>
  <c r="H5" i="20" s="1"/>
  <c r="F5" i="20"/>
  <c r="D5" i="20"/>
  <c r="J5" i="20" s="1"/>
  <c r="C5" i="20"/>
  <c r="B5" i="20"/>
  <c r="AQ4" i="20"/>
  <c r="AR4" i="20" s="1"/>
  <c r="AS4" i="20"/>
  <c r="AI4" i="20"/>
  <c r="AJ4" i="20" s="1"/>
  <c r="AH4" i="20"/>
  <c r="AE4" i="20"/>
  <c r="AF4" i="20" s="1"/>
  <c r="AD4" i="20"/>
  <c r="AA4" i="20"/>
  <c r="AB4" i="20" s="1"/>
  <c r="Z4" i="20"/>
  <c r="W4" i="20"/>
  <c r="X4" i="20" s="1"/>
  <c r="V4" i="20"/>
  <c r="AK4" i="20" s="1"/>
  <c r="Q4" i="20"/>
  <c r="R4" i="20" s="1"/>
  <c r="P4" i="20"/>
  <c r="M4" i="20"/>
  <c r="N4" i="20" s="1"/>
  <c r="L4" i="20"/>
  <c r="G4" i="20"/>
  <c r="H4" i="20" s="1"/>
  <c r="F4" i="20"/>
  <c r="C4" i="20"/>
  <c r="D4" i="20" s="1"/>
  <c r="J4" i="20" s="1"/>
  <c r="B4" i="20"/>
  <c r="AQ3" i="20"/>
  <c r="AS3" i="20" s="1"/>
  <c r="AP3" i="20"/>
  <c r="AI3" i="20"/>
  <c r="AJ3" i="20" s="1"/>
  <c r="AH3" i="20"/>
  <c r="AE3" i="20"/>
  <c r="AF3" i="20" s="1"/>
  <c r="AD3" i="20"/>
  <c r="AA3" i="20"/>
  <c r="AB3" i="20" s="1"/>
  <c r="Z3" i="20"/>
  <c r="W3" i="20"/>
  <c r="X3" i="20" s="1"/>
  <c r="V3" i="20"/>
  <c r="Q3" i="20"/>
  <c r="R3" i="20" s="1"/>
  <c r="P3" i="20"/>
  <c r="N3" i="20"/>
  <c r="M3" i="20"/>
  <c r="L3" i="20"/>
  <c r="G3" i="20"/>
  <c r="H3" i="20" s="1"/>
  <c r="F3" i="20"/>
  <c r="C3" i="20"/>
  <c r="D3" i="20" s="1"/>
  <c r="J3" i="20" s="1"/>
  <c r="B3" i="20"/>
  <c r="AQ2" i="20"/>
  <c r="AS2" i="20" s="1"/>
  <c r="AP2" i="20"/>
  <c r="AI2" i="20"/>
  <c r="AJ2" i="20" s="1"/>
  <c r="AH2" i="20"/>
  <c r="AE2" i="20"/>
  <c r="AF2" i="20" s="1"/>
  <c r="AD2" i="20"/>
  <c r="AA2" i="20"/>
  <c r="AB2" i="20" s="1"/>
  <c r="Z2" i="20"/>
  <c r="W2" i="20"/>
  <c r="X2" i="20" s="1"/>
  <c r="V2" i="20"/>
  <c r="Q2" i="20"/>
  <c r="R2" i="20" s="1"/>
  <c r="P2" i="20"/>
  <c r="M2" i="20"/>
  <c r="N2" i="20" s="1"/>
  <c r="T2" i="20" s="1"/>
  <c r="L2" i="20"/>
  <c r="G2" i="20"/>
  <c r="H2" i="20" s="1"/>
  <c r="F2" i="20"/>
  <c r="C2" i="20"/>
  <c r="D2" i="20" s="1"/>
  <c r="B2" i="20"/>
  <c r="I67" i="21" l="1"/>
  <c r="E63" i="21"/>
  <c r="J54" i="21"/>
  <c r="I54" i="21"/>
  <c r="J77" i="21"/>
  <c r="E29" i="21"/>
  <c r="J24" i="21"/>
  <c r="I14" i="21"/>
  <c r="H11" i="21"/>
  <c r="J11" i="21"/>
  <c r="H7" i="21"/>
  <c r="J60" i="21"/>
  <c r="I43" i="21"/>
  <c r="J49" i="21"/>
  <c r="H68" i="21"/>
  <c r="I57" i="21"/>
  <c r="J10" i="21"/>
  <c r="I78" i="21"/>
  <c r="I19" i="21"/>
  <c r="I49" i="21"/>
  <c r="H34" i="21"/>
  <c r="H61" i="21"/>
  <c r="I61" i="21"/>
  <c r="H48" i="21"/>
  <c r="I24" i="21"/>
  <c r="H33" i="21"/>
  <c r="I42" i="21"/>
  <c r="J42" i="21"/>
  <c r="E1" i="21"/>
  <c r="J2" i="21"/>
  <c r="E37" i="21"/>
  <c r="H70" i="21"/>
  <c r="H31" i="21"/>
  <c r="I35" i="21"/>
  <c r="H2" i="21"/>
  <c r="J7" i="21"/>
  <c r="I17" i="21"/>
  <c r="H59" i="21"/>
  <c r="H35" i="21"/>
  <c r="I31" i="21"/>
  <c r="J31" i="21"/>
  <c r="J66" i="21"/>
  <c r="I66" i="21"/>
  <c r="E73" i="21"/>
  <c r="I74" i="21"/>
  <c r="H3" i="21"/>
  <c r="H79" i="21"/>
  <c r="H32" i="21"/>
  <c r="J71" i="21"/>
  <c r="I71" i="21"/>
  <c r="I32" i="21"/>
  <c r="H17" i="21"/>
  <c r="I70" i="21"/>
  <c r="H58" i="21"/>
  <c r="J16" i="21"/>
  <c r="E13" i="21"/>
  <c r="H42" i="21"/>
  <c r="H69" i="21"/>
  <c r="H66" i="21"/>
  <c r="I10" i="21"/>
  <c r="J79" i="21"/>
  <c r="H10" i="21"/>
  <c r="H38" i="21"/>
  <c r="I6" i="21"/>
  <c r="H74" i="21"/>
  <c r="I23" i="21"/>
  <c r="H57" i="21"/>
  <c r="H23" i="21"/>
  <c r="I59" i="21"/>
  <c r="H18" i="21"/>
  <c r="I58" i="21"/>
  <c r="J3" i="21"/>
  <c r="J46" i="21"/>
  <c r="E45" i="21"/>
  <c r="E21" i="21"/>
  <c r="J22" i="21"/>
  <c r="I22" i="21"/>
  <c r="H77" i="21"/>
  <c r="H47" i="21"/>
  <c r="H67" i="21"/>
  <c r="I33" i="21"/>
  <c r="I69" i="21"/>
  <c r="H16" i="21"/>
  <c r="H56" i="21"/>
  <c r="I18" i="21"/>
  <c r="I48" i="21"/>
  <c r="I47" i="21"/>
  <c r="I56" i="21"/>
  <c r="J56" i="21"/>
  <c r="J74" i="21"/>
  <c r="I38" i="21"/>
  <c r="H78" i="21"/>
  <c r="I60" i="21"/>
  <c r="H43" i="21"/>
  <c r="H22" i="21"/>
  <c r="H46" i="21"/>
  <c r="I2" i="21"/>
  <c r="J6" i="21"/>
  <c r="J38" i="21"/>
  <c r="H6" i="21"/>
  <c r="AL89" i="20"/>
  <c r="J43" i="20"/>
  <c r="J109" i="20"/>
  <c r="AS114" i="20"/>
  <c r="AR114" i="20"/>
  <c r="AL7" i="20"/>
  <c r="AR10" i="20"/>
  <c r="AS10" i="20"/>
  <c r="AR29" i="20"/>
  <c r="AR37" i="20"/>
  <c r="J41" i="20"/>
  <c r="T47" i="20"/>
  <c r="AL78" i="20"/>
  <c r="AS79" i="20"/>
  <c r="AR79" i="20"/>
  <c r="T149" i="20"/>
  <c r="AR164" i="20"/>
  <c r="AS164" i="20"/>
  <c r="AS226" i="20"/>
  <c r="AR226" i="20"/>
  <c r="AR75" i="20"/>
  <c r="AL105" i="20"/>
  <c r="AS224" i="20"/>
  <c r="AR224" i="20"/>
  <c r="AL77" i="20"/>
  <c r="AL109" i="20"/>
  <c r="AL145" i="20"/>
  <c r="J63" i="20"/>
  <c r="AL19" i="20"/>
  <c r="J51" i="20"/>
  <c r="T57" i="20"/>
  <c r="AL73" i="20"/>
  <c r="AL83" i="20"/>
  <c r="AS115" i="20"/>
  <c r="AR115" i="20"/>
  <c r="AL137" i="20"/>
  <c r="J147" i="20"/>
  <c r="T159" i="20"/>
  <c r="AR182" i="20"/>
  <c r="AS182" i="20"/>
  <c r="AR213" i="20"/>
  <c r="AS213" i="20"/>
  <c r="AL4" i="20"/>
  <c r="J8" i="20"/>
  <c r="J21" i="20"/>
  <c r="J23" i="20"/>
  <c r="T27" i="20"/>
  <c r="J33" i="20"/>
  <c r="AS47" i="20"/>
  <c r="AR47" i="20"/>
  <c r="T77" i="20"/>
  <c r="J85" i="20"/>
  <c r="AS85" i="20"/>
  <c r="AR85" i="20"/>
  <c r="J89" i="20"/>
  <c r="AL117" i="20"/>
  <c r="AL121" i="20"/>
  <c r="AL153" i="20"/>
  <c r="AL168" i="20"/>
  <c r="AS46" i="20"/>
  <c r="AR46" i="20"/>
  <c r="T35" i="20"/>
  <c r="AL37" i="20"/>
  <c r="AR171" i="20"/>
  <c r="AS171" i="20"/>
  <c r="T23" i="20"/>
  <c r="J61" i="20"/>
  <c r="AL75" i="20"/>
  <c r="T83" i="20"/>
  <c r="AL95" i="20"/>
  <c r="AL101" i="20"/>
  <c r="T135" i="20"/>
  <c r="AR146" i="20"/>
  <c r="AS146" i="20"/>
  <c r="AL160" i="20"/>
  <c r="AL191" i="20"/>
  <c r="AL207" i="20"/>
  <c r="AR215" i="20"/>
  <c r="AS215" i="20"/>
  <c r="AS234" i="20"/>
  <c r="AR234" i="20"/>
  <c r="J12" i="20"/>
  <c r="AL12" i="20"/>
  <c r="T21" i="20"/>
  <c r="AL23" i="20"/>
  <c r="T53" i="20"/>
  <c r="J55" i="20"/>
  <c r="T61" i="20"/>
  <c r="T66" i="20"/>
  <c r="J87" i="20"/>
  <c r="T92" i="20"/>
  <c r="AL100" i="20"/>
  <c r="J108" i="20"/>
  <c r="J113" i="20"/>
  <c r="T115" i="20"/>
  <c r="J120" i="20"/>
  <c r="J125" i="20"/>
  <c r="J129" i="20"/>
  <c r="J132" i="20"/>
  <c r="J134" i="20"/>
  <c r="AL139" i="20"/>
  <c r="J141" i="20"/>
  <c r="J159" i="20"/>
  <c r="T161" i="20"/>
  <c r="J164" i="20"/>
  <c r="AL171" i="20"/>
  <c r="J178" i="20"/>
  <c r="AL178" i="20"/>
  <c r="J183" i="20"/>
  <c r="J186" i="20"/>
  <c r="AL210" i="20"/>
  <c r="AS220" i="20"/>
  <c r="AR220" i="20"/>
  <c r="AL225" i="20"/>
  <c r="AL234" i="20"/>
  <c r="T236" i="20"/>
  <c r="J243" i="20"/>
  <c r="AL246" i="20"/>
  <c r="AL268" i="20"/>
  <c r="J273" i="20"/>
  <c r="J13" i="20"/>
  <c r="J19" i="20"/>
  <c r="T19" i="20"/>
  <c r="AL20" i="20"/>
  <c r="T33" i="20"/>
  <c r="T41" i="20"/>
  <c r="AL52" i="20"/>
  <c r="AL57" i="20"/>
  <c r="AL65" i="20"/>
  <c r="T69" i="20"/>
  <c r="J100" i="20"/>
  <c r="AL120" i="20"/>
  <c r="AL136" i="20"/>
  <c r="T145" i="20"/>
  <c r="T153" i="20"/>
  <c r="AL155" i="20"/>
  <c r="AL169" i="20"/>
  <c r="AR179" i="20"/>
  <c r="AS179" i="20"/>
  <c r="AR195" i="20"/>
  <c r="AS195" i="20"/>
  <c r="AS212" i="20"/>
  <c r="AR212" i="20"/>
  <c r="T248" i="20"/>
  <c r="AL276" i="20"/>
  <c r="AS352" i="20"/>
  <c r="AR352" i="20"/>
  <c r="J11" i="20"/>
  <c r="J49" i="20"/>
  <c r="J75" i="20"/>
  <c r="AL97" i="20"/>
  <c r="J101" i="20"/>
  <c r="T123" i="20"/>
  <c r="AL131" i="20"/>
  <c r="AL142" i="20"/>
  <c r="AL166" i="20"/>
  <c r="J168" i="20"/>
  <c r="AL172" i="20"/>
  <c r="AS181" i="20"/>
  <c r="AR181" i="20"/>
  <c r="T196" i="20"/>
  <c r="AL206" i="20"/>
  <c r="T274" i="20"/>
  <c r="AS357" i="20"/>
  <c r="AR357" i="20"/>
  <c r="AS388" i="20"/>
  <c r="AR388" i="20"/>
  <c r="AL21" i="20"/>
  <c r="J31" i="20"/>
  <c r="AR5" i="20"/>
  <c r="T6" i="20"/>
  <c r="AS6" i="20"/>
  <c r="AR15" i="20"/>
  <c r="AS21" i="20"/>
  <c r="T22" i="20"/>
  <c r="AR23" i="20"/>
  <c r="AR30" i="20"/>
  <c r="AR38" i="20"/>
  <c r="J67" i="20"/>
  <c r="AR74" i="20"/>
  <c r="AL76" i="20"/>
  <c r="AL80" i="20"/>
  <c r="J86" i="20"/>
  <c r="AL107" i="20"/>
  <c r="AR109" i="20"/>
  <c r="AL116" i="20"/>
  <c r="T117" i="20"/>
  <c r="AR139" i="20"/>
  <c r="J151" i="20"/>
  <c r="T155" i="20"/>
  <c r="AL158" i="20"/>
  <c r="AL176" i="20"/>
  <c r="T185" i="20"/>
  <c r="J210" i="20"/>
  <c r="J211" i="20"/>
  <c r="AL218" i="20"/>
  <c r="T219" i="20"/>
  <c r="AR219" i="20"/>
  <c r="T254" i="20"/>
  <c r="AL262" i="20"/>
  <c r="AL228" i="20"/>
  <c r="T262" i="20"/>
  <c r="T7" i="20"/>
  <c r="AL31" i="20"/>
  <c r="J39" i="20"/>
  <c r="AL9" i="20"/>
  <c r="T12" i="20"/>
  <c r="J25" i="20"/>
  <c r="AL35" i="20"/>
  <c r="AR55" i="20"/>
  <c r="T68" i="20"/>
  <c r="T70" i="20"/>
  <c r="AL71" i="20"/>
  <c r="AS72" i="20"/>
  <c r="J84" i="20"/>
  <c r="AL88" i="20"/>
  <c r="J96" i="20"/>
  <c r="J98" i="20"/>
  <c r="T114" i="20"/>
  <c r="J116" i="20"/>
  <c r="AL119" i="20"/>
  <c r="J124" i="20"/>
  <c r="J128" i="20"/>
  <c r="AR143" i="20"/>
  <c r="AL149" i="20"/>
  <c r="AS149" i="20"/>
  <c r="J152" i="20"/>
  <c r="T163" i="20"/>
  <c r="AL165" i="20"/>
  <c r="AL177" i="20"/>
  <c r="AL180" i="20"/>
  <c r="T183" i="20"/>
  <c r="T189" i="20"/>
  <c r="J198" i="20"/>
  <c r="T208" i="20"/>
  <c r="AR218" i="20"/>
  <c r="AL223" i="20"/>
  <c r="T224" i="20"/>
  <c r="AL236" i="20"/>
  <c r="J242" i="20"/>
  <c r="AL242" i="20"/>
  <c r="J244" i="20"/>
  <c r="T246" i="20"/>
  <c r="J248" i="20"/>
  <c r="AL248" i="20"/>
  <c r="T250" i="20"/>
  <c r="T256" i="20"/>
  <c r="T264" i="20"/>
  <c r="AS266" i="20"/>
  <c r="AR266" i="20"/>
  <c r="AL8" i="20"/>
  <c r="T11" i="20"/>
  <c r="T51" i="20"/>
  <c r="J7" i="20"/>
  <c r="T20" i="20"/>
  <c r="T30" i="20"/>
  <c r="T38" i="20"/>
  <c r="T39" i="20"/>
  <c r="T45" i="20"/>
  <c r="J46" i="20"/>
  <c r="J47" i="20"/>
  <c r="AL47" i="20"/>
  <c r="T52" i="20"/>
  <c r="T54" i="20"/>
  <c r="T59" i="20"/>
  <c r="AL64" i="20"/>
  <c r="J71" i="20"/>
  <c r="J72" i="20"/>
  <c r="T75" i="20"/>
  <c r="T81" i="20"/>
  <c r="J83" i="20"/>
  <c r="T85" i="20"/>
  <c r="T89" i="20"/>
  <c r="AL91" i="20"/>
  <c r="AL92" i="20"/>
  <c r="AL96" i="20"/>
  <c r="AR99" i="20"/>
  <c r="J104" i="20"/>
  <c r="AL112" i="20"/>
  <c r="AL115" i="20"/>
  <c r="T122" i="20"/>
  <c r="J133" i="20"/>
  <c r="J135" i="20"/>
  <c r="AL135" i="20"/>
  <c r="T136" i="20"/>
  <c r="J137" i="20"/>
  <c r="T138" i="20"/>
  <c r="J140" i="20"/>
  <c r="T141" i="20"/>
  <c r="AL141" i="20"/>
  <c r="T142" i="20"/>
  <c r="J143" i="20"/>
  <c r="AL152" i="20"/>
  <c r="J162" i="20"/>
  <c r="J167" i="20"/>
  <c r="T173" i="20"/>
  <c r="T179" i="20"/>
  <c r="AL184" i="20"/>
  <c r="AS186" i="20"/>
  <c r="AR186" i="20"/>
  <c r="AS196" i="20"/>
  <c r="AR216" i="20"/>
  <c r="AL217" i="20"/>
  <c r="AL266" i="20"/>
  <c r="J184" i="20"/>
  <c r="AL192" i="20"/>
  <c r="AL202" i="20"/>
  <c r="J206" i="20"/>
  <c r="J218" i="20"/>
  <c r="AL255" i="20"/>
  <c r="J267" i="20"/>
  <c r="AL285" i="20"/>
  <c r="AS291" i="20"/>
  <c r="AR291" i="20"/>
  <c r="AL311" i="20"/>
  <c r="J338" i="20"/>
  <c r="AL378" i="20"/>
  <c r="J392" i="20"/>
  <c r="J175" i="20"/>
  <c r="J193" i="20"/>
  <c r="T210" i="20"/>
  <c r="J215" i="20"/>
  <c r="T216" i="20"/>
  <c r="AL233" i="20"/>
  <c r="T235" i="20"/>
  <c r="J241" i="20"/>
  <c r="J249" i="20"/>
  <c r="J250" i="20"/>
  <c r="J258" i="20"/>
  <c r="AS264" i="20"/>
  <c r="T297" i="20"/>
  <c r="J319" i="20"/>
  <c r="J330" i="20"/>
  <c r="AS332" i="20"/>
  <c r="AR332" i="20"/>
  <c r="AL345" i="20"/>
  <c r="T369" i="20"/>
  <c r="T305" i="20"/>
  <c r="AR362" i="20"/>
  <c r="AS362" i="20"/>
  <c r="J173" i="20"/>
  <c r="J182" i="20"/>
  <c r="AL197" i="20"/>
  <c r="J224" i="20"/>
  <c r="AL252" i="20"/>
  <c r="J274" i="20"/>
  <c r="T281" i="20"/>
  <c r="T283" i="20"/>
  <c r="AL288" i="20"/>
  <c r="AL317" i="20"/>
  <c r="T319" i="20"/>
  <c r="AL321" i="20"/>
  <c r="T352" i="20"/>
  <c r="AL363" i="20"/>
  <c r="J366" i="20"/>
  <c r="J367" i="20"/>
  <c r="AS402" i="20"/>
  <c r="AR402" i="20"/>
  <c r="J171" i="20"/>
  <c r="T177" i="20"/>
  <c r="J179" i="20"/>
  <c r="J185" i="20"/>
  <c r="J192" i="20"/>
  <c r="J202" i="20"/>
  <c r="T205" i="20"/>
  <c r="J207" i="20"/>
  <c r="J209" i="20"/>
  <c r="AL209" i="20"/>
  <c r="T213" i="20"/>
  <c r="AL222" i="20"/>
  <c r="AS222" i="20"/>
  <c r="J238" i="20"/>
  <c r="T244" i="20"/>
  <c r="AL244" i="20"/>
  <c r="T257" i="20"/>
  <c r="T258" i="20"/>
  <c r="T260" i="20"/>
  <c r="AL260" i="20"/>
  <c r="AL291" i="20"/>
  <c r="AL322" i="20"/>
  <c r="T344" i="20"/>
  <c r="AL380" i="20"/>
  <c r="AL384" i="20"/>
  <c r="J227" i="20"/>
  <c r="AL230" i="20"/>
  <c r="J235" i="20"/>
  <c r="J240" i="20"/>
  <c r="T241" i="20"/>
  <c r="T242" i="20"/>
  <c r="T249" i="20"/>
  <c r="J252" i="20"/>
  <c r="AL269" i="20"/>
  <c r="AL271" i="20"/>
  <c r="T272" i="20"/>
  <c r="J299" i="20"/>
  <c r="T301" i="20"/>
  <c r="J307" i="20"/>
  <c r="AL313" i="20"/>
  <c r="J315" i="20"/>
  <c r="AL359" i="20"/>
  <c r="T361" i="20"/>
  <c r="T365" i="20"/>
  <c r="AL367" i="20"/>
  <c r="AS378" i="20"/>
  <c r="AR378" i="20"/>
  <c r="AL392" i="20"/>
  <c r="AL290" i="20"/>
  <c r="T292" i="20"/>
  <c r="AL320" i="20"/>
  <c r="T331" i="20"/>
  <c r="J360" i="20"/>
  <c r="J361" i="20"/>
  <c r="AL365" i="20"/>
  <c r="AL399" i="20"/>
  <c r="AL281" i="20"/>
  <c r="AL293" i="20"/>
  <c r="AL295" i="20"/>
  <c r="T300" i="20"/>
  <c r="J302" i="20"/>
  <c r="AR309" i="20"/>
  <c r="AR317" i="20"/>
  <c r="AR320" i="20"/>
  <c r="J322" i="20"/>
  <c r="AR322" i="20"/>
  <c r="AR327" i="20"/>
  <c r="J329" i="20"/>
  <c r="AL329" i="20"/>
  <c r="J335" i="20"/>
  <c r="T340" i="20"/>
  <c r="AS347" i="20"/>
  <c r="T366" i="20"/>
  <c r="T372" i="20"/>
  <c r="AL372" i="20"/>
  <c r="J377" i="20"/>
  <c r="AR384" i="20"/>
  <c r="AS394" i="20"/>
  <c r="T396" i="20"/>
  <c r="AS397" i="20"/>
  <c r="AL298" i="20"/>
  <c r="AS298" i="20"/>
  <c r="AR299" i="20"/>
  <c r="AL301" i="20"/>
  <c r="AS304" i="20"/>
  <c r="AL306" i="20"/>
  <c r="J325" i="20"/>
  <c r="AS339" i="20"/>
  <c r="J378" i="20"/>
  <c r="J379" i="20"/>
  <c r="J383" i="20"/>
  <c r="J391" i="20"/>
  <c r="T395" i="20"/>
  <c r="T397" i="20"/>
  <c r="T401" i="20"/>
  <c r="AS403" i="20"/>
  <c r="AL315" i="20"/>
  <c r="AL318" i="20"/>
  <c r="AL323" i="20"/>
  <c r="AL333" i="20"/>
  <c r="J351" i="20"/>
  <c r="T359" i="20"/>
  <c r="AL375" i="20"/>
  <c r="T378" i="20"/>
  <c r="AL381" i="20"/>
  <c r="J398" i="20"/>
  <c r="AL404" i="20"/>
  <c r="AS395" i="20"/>
  <c r="AS387" i="20"/>
  <c r="AR292" i="20"/>
  <c r="AR293" i="20"/>
  <c r="AS296" i="20"/>
  <c r="T315" i="20"/>
  <c r="AR315" i="20"/>
  <c r="AS318" i="20"/>
  <c r="T322" i="20"/>
  <c r="J328" i="20"/>
  <c r="AS333" i="20"/>
  <c r="T338" i="20"/>
  <c r="J340" i="20"/>
  <c r="AL350" i="20"/>
  <c r="AR364" i="20"/>
  <c r="AL370" i="20"/>
  <c r="AL389" i="20"/>
  <c r="J286" i="20"/>
  <c r="T287" i="20"/>
  <c r="AL296" i="20"/>
  <c r="J300" i="20"/>
  <c r="J305" i="20"/>
  <c r="AS310" i="20"/>
  <c r="J324" i="20"/>
  <c r="J343" i="20"/>
  <c r="J350" i="20"/>
  <c r="J363" i="20"/>
  <c r="AL366" i="20"/>
  <c r="T367" i="20"/>
  <c r="T377" i="20"/>
  <c r="T380" i="20"/>
  <c r="AL383" i="20"/>
  <c r="J384" i="20"/>
  <c r="AL386" i="20"/>
  <c r="AL388" i="20"/>
  <c r="AL391" i="20"/>
  <c r="AL395" i="20"/>
  <c r="J400" i="20"/>
  <c r="AS353" i="20"/>
  <c r="AS345" i="20"/>
  <c r="AS313" i="20"/>
  <c r="AS305" i="20"/>
  <c r="AS233" i="20"/>
  <c r="AS217" i="20"/>
  <c r="AS169" i="20"/>
  <c r="AS161" i="20"/>
  <c r="AS121" i="20"/>
  <c r="AS57" i="20"/>
  <c r="AS33" i="20"/>
  <c r="AS25" i="20"/>
  <c r="AR283" i="20"/>
  <c r="AL287" i="20"/>
  <c r="T289" i="20"/>
  <c r="AL305" i="20"/>
  <c r="T313" i="20"/>
  <c r="J314" i="20"/>
  <c r="J327" i="20"/>
  <c r="T333" i="20"/>
  <c r="T335" i="20"/>
  <c r="T353" i="20"/>
  <c r="J355" i="20"/>
  <c r="AS355" i="20"/>
  <c r="J358" i="20"/>
  <c r="T381" i="20"/>
  <c r="AS9" i="20"/>
  <c r="AS17" i="20"/>
  <c r="AS49" i="20"/>
  <c r="AP121" i="20"/>
  <c r="AS177" i="20"/>
  <c r="AS257" i="20"/>
  <c r="AS265" i="20"/>
  <c r="AP313" i="20"/>
  <c r="AS377" i="20"/>
  <c r="AS379" i="20"/>
  <c r="AS41" i="20"/>
  <c r="AP57" i="20"/>
  <c r="AS97" i="20"/>
  <c r="AS105" i="20"/>
  <c r="AS137" i="20"/>
  <c r="AP169" i="20"/>
  <c r="AS225" i="20"/>
  <c r="AS273" i="20"/>
  <c r="AS321" i="20"/>
  <c r="AS153" i="20"/>
  <c r="AS371" i="20"/>
  <c r="AP33" i="20"/>
  <c r="AP217" i="20"/>
  <c r="AS361" i="20"/>
  <c r="AS373" i="20"/>
  <c r="AS385" i="20"/>
  <c r="AS113" i="20"/>
  <c r="AS401" i="20"/>
  <c r="AS65" i="20"/>
  <c r="AS73" i="20"/>
  <c r="AS81" i="20"/>
  <c r="AS241" i="20"/>
  <c r="AS249" i="20"/>
  <c r="AK303" i="20"/>
  <c r="AK8" i="20"/>
  <c r="AK109" i="20"/>
  <c r="AK295" i="20"/>
  <c r="AK206" i="20"/>
  <c r="AK293" i="20"/>
  <c r="AK333" i="20"/>
  <c r="AK368" i="20"/>
  <c r="AK85" i="20"/>
  <c r="AK171" i="20"/>
  <c r="AK247" i="20"/>
  <c r="AK299" i="20"/>
  <c r="AK372" i="20"/>
  <c r="AK95" i="20"/>
  <c r="AK262" i="20"/>
  <c r="AK308" i="20"/>
  <c r="AK147" i="20"/>
  <c r="AK239" i="20"/>
  <c r="AK364" i="20"/>
  <c r="AK43" i="20"/>
  <c r="AK62" i="20"/>
  <c r="AK69" i="20"/>
  <c r="AK91" i="20"/>
  <c r="AK102" i="20"/>
  <c r="AK103" i="20"/>
  <c r="AK111" i="20"/>
  <c r="AK183" i="20"/>
  <c r="AK237" i="20"/>
  <c r="AK263" i="20"/>
  <c r="AK311" i="20"/>
  <c r="AK373" i="20"/>
  <c r="AK63" i="20"/>
  <c r="AK67" i="20"/>
  <c r="AK134" i="20"/>
  <c r="AK46" i="20"/>
  <c r="AK115" i="20"/>
  <c r="AK116" i="20"/>
  <c r="AK141" i="20"/>
  <c r="AK182" i="20"/>
  <c r="AK302" i="20"/>
  <c r="AK335" i="20"/>
  <c r="AK404" i="20"/>
  <c r="AK122" i="20"/>
  <c r="AK114" i="20"/>
  <c r="AK7" i="20"/>
  <c r="AK219" i="20"/>
  <c r="AK222" i="20"/>
  <c r="AK399" i="20"/>
  <c r="AK398" i="20"/>
  <c r="AK75" i="20"/>
  <c r="AK83" i="20"/>
  <c r="AK202" i="20"/>
  <c r="AK98" i="20"/>
  <c r="AK6" i="20"/>
  <c r="AK12" i="20"/>
  <c r="AK99" i="20"/>
  <c r="AK100" i="20"/>
  <c r="AK123" i="20"/>
  <c r="AK127" i="20"/>
  <c r="AK135" i="20"/>
  <c r="AK139" i="20"/>
  <c r="AK187" i="20"/>
  <c r="AK283" i="20"/>
  <c r="AK290" i="20"/>
  <c r="AK304" i="20"/>
  <c r="AK310" i="20"/>
  <c r="AK318" i="20"/>
  <c r="AK328" i="20"/>
  <c r="AK340" i="20"/>
  <c r="AK384" i="20"/>
  <c r="AK192" i="20"/>
  <c r="AK282" i="20"/>
  <c r="AK320" i="20"/>
  <c r="AK31" i="20"/>
  <c r="AK38" i="20"/>
  <c r="AK47" i="20"/>
  <c r="AK61" i="20"/>
  <c r="AK131" i="20"/>
  <c r="AK143" i="20"/>
  <c r="AK199" i="20"/>
  <c r="AK211" i="20"/>
  <c r="AK244" i="20"/>
  <c r="AK246" i="20"/>
  <c r="AK344" i="20"/>
  <c r="AK380" i="20"/>
  <c r="AK383" i="20"/>
  <c r="AK339" i="20"/>
  <c r="AK315" i="20"/>
  <c r="AK71" i="20"/>
  <c r="AK93" i="20"/>
  <c r="AK118" i="20"/>
  <c r="AK151" i="20"/>
  <c r="AK189" i="20"/>
  <c r="AK214" i="20"/>
  <c r="AK258" i="20"/>
  <c r="AK287" i="20"/>
  <c r="AK356" i="20"/>
  <c r="AK367" i="20"/>
  <c r="AK375" i="20"/>
  <c r="AK394" i="20"/>
  <c r="AK88" i="20"/>
  <c r="AK160" i="20"/>
  <c r="AK186" i="20"/>
  <c r="AK360" i="20"/>
  <c r="AK370" i="20"/>
  <c r="AK386" i="20"/>
  <c r="AK402" i="20"/>
  <c r="AK194" i="20"/>
  <c r="AK250" i="20"/>
  <c r="AK296" i="20"/>
  <c r="AK338" i="20"/>
  <c r="AK354" i="20"/>
  <c r="AK378" i="20"/>
  <c r="AK14" i="20"/>
  <c r="AK15" i="20"/>
  <c r="AK22" i="20"/>
  <c r="AK27" i="20"/>
  <c r="AK28" i="20"/>
  <c r="AK59" i="20"/>
  <c r="AK39" i="20"/>
  <c r="AK86" i="20"/>
  <c r="AK87" i="20"/>
  <c r="AK119" i="20"/>
  <c r="AK136" i="20"/>
  <c r="AK148" i="20"/>
  <c r="AK204" i="20"/>
  <c r="AK212" i="20"/>
  <c r="AK274" i="20"/>
  <c r="AK285" i="20"/>
  <c r="AK298" i="20"/>
  <c r="AK391" i="20"/>
  <c r="AK393" i="20"/>
  <c r="AK385" i="20"/>
  <c r="AK369" i="20"/>
  <c r="AK321" i="20"/>
  <c r="AK313" i="20"/>
  <c r="AK305" i="20"/>
  <c r="AK257" i="20"/>
  <c r="AK249" i="20"/>
  <c r="AK241" i="20"/>
  <c r="AK233" i="20"/>
  <c r="AK225" i="20"/>
  <c r="AK217" i="20"/>
  <c r="AK209" i="20"/>
  <c r="AK185" i="20"/>
  <c r="AK169" i="20"/>
  <c r="AK113" i="20"/>
  <c r="AK89" i="20"/>
  <c r="AK73" i="20"/>
  <c r="AK57" i="20"/>
  <c r="AK49" i="20"/>
  <c r="AK41" i="20"/>
  <c r="AK23" i="20"/>
  <c r="AK35" i="20"/>
  <c r="AK77" i="20"/>
  <c r="AK90" i="20"/>
  <c r="AK117" i="20"/>
  <c r="AK133" i="20"/>
  <c r="AK163" i="20"/>
  <c r="AK252" i="20"/>
  <c r="AK254" i="20"/>
  <c r="AK268" i="20"/>
  <c r="AK270" i="20"/>
  <c r="AK284" i="20"/>
  <c r="AK349" i="20"/>
  <c r="AK359" i="20"/>
  <c r="AK365" i="20"/>
  <c r="AK376" i="20"/>
  <c r="AK381" i="20"/>
  <c r="AK2" i="20"/>
  <c r="AK149" i="20"/>
  <c r="AK168" i="20"/>
  <c r="AK203" i="20"/>
  <c r="AK74" i="20"/>
  <c r="AK125" i="20"/>
  <c r="AK10" i="20"/>
  <c r="AK20" i="20"/>
  <c r="AK161" i="20"/>
  <c r="AK188" i="20"/>
  <c r="AK327" i="20"/>
  <c r="AK58" i="20"/>
  <c r="AK347" i="20"/>
  <c r="AK355" i="20"/>
  <c r="AK388" i="20"/>
  <c r="AK396" i="20"/>
  <c r="AK191" i="20"/>
  <c r="S262" i="20"/>
  <c r="S43" i="20"/>
  <c r="S46" i="20"/>
  <c r="S48" i="20"/>
  <c r="S94" i="20"/>
  <c r="S103" i="20"/>
  <c r="S111" i="20"/>
  <c r="S114" i="20"/>
  <c r="S119" i="20"/>
  <c r="S148" i="20"/>
  <c r="S151" i="20"/>
  <c r="S156" i="20"/>
  <c r="S162" i="20"/>
  <c r="S167" i="20"/>
  <c r="S190" i="20"/>
  <c r="S200" i="20"/>
  <c r="S210" i="20"/>
  <c r="S216" i="20"/>
  <c r="S222" i="20"/>
  <c r="S282" i="20"/>
  <c r="S283" i="20"/>
  <c r="S333" i="20"/>
  <c r="S338" i="20"/>
  <c r="S362" i="20"/>
  <c r="S367" i="20"/>
  <c r="S399" i="20"/>
  <c r="S400" i="20"/>
  <c r="S398" i="20"/>
  <c r="S390" i="20"/>
  <c r="S382" i="20"/>
  <c r="S366" i="20"/>
  <c r="S24" i="20"/>
  <c r="S32" i="20"/>
  <c r="S56" i="20"/>
  <c r="S64" i="20"/>
  <c r="S90" i="20"/>
  <c r="S92" i="20"/>
  <c r="S101" i="20"/>
  <c r="S105" i="20"/>
  <c r="S117" i="20"/>
  <c r="S141" i="20"/>
  <c r="S160" i="20"/>
  <c r="S165" i="20"/>
  <c r="S168" i="20"/>
  <c r="S175" i="20"/>
  <c r="S182" i="20"/>
  <c r="S184" i="20"/>
  <c r="S207" i="20"/>
  <c r="S221" i="20"/>
  <c r="S302" i="20"/>
  <c r="S303" i="20"/>
  <c r="S316" i="20"/>
  <c r="S324" i="20"/>
  <c r="S375" i="20"/>
  <c r="S74" i="20"/>
  <c r="S270" i="20"/>
  <c r="S330" i="20"/>
  <c r="S374" i="20"/>
  <c r="S4" i="20"/>
  <c r="S100" i="20"/>
  <c r="S110" i="20"/>
  <c r="S181" i="20"/>
  <c r="S183" i="20"/>
  <c r="S293" i="20"/>
  <c r="S307" i="20"/>
  <c r="S312" i="20"/>
  <c r="S315" i="20"/>
  <c r="S260" i="20"/>
  <c r="S325" i="20"/>
  <c r="S386" i="20"/>
  <c r="S395" i="20"/>
  <c r="S11" i="20"/>
  <c r="S35" i="20"/>
  <c r="S130" i="20"/>
  <c r="S143" i="20"/>
  <c r="S178" i="20"/>
  <c r="S194" i="20"/>
  <c r="S14" i="20"/>
  <c r="S29" i="20"/>
  <c r="S84" i="20"/>
  <c r="S85" i="20"/>
  <c r="S112" i="20"/>
  <c r="S133" i="20"/>
  <c r="S153" i="20"/>
  <c r="S157" i="20"/>
  <c r="S171" i="20"/>
  <c r="S177" i="20"/>
  <c r="S187" i="20"/>
  <c r="S205" i="20"/>
  <c r="S277" i="20"/>
  <c r="S310" i="20"/>
  <c r="S311" i="20"/>
  <c r="S322" i="20"/>
  <c r="S339" i="20"/>
  <c r="S357" i="20"/>
  <c r="S358" i="20"/>
  <c r="S370" i="20"/>
  <c r="S392" i="20"/>
  <c r="S402" i="20"/>
  <c r="S394" i="20"/>
  <c r="S378" i="20"/>
  <c r="S191" i="20"/>
  <c r="S202" i="20"/>
  <c r="S16" i="20"/>
  <c r="S27" i="20"/>
  <c r="S38" i="20"/>
  <c r="S52" i="20"/>
  <c r="S58" i="20"/>
  <c r="S63" i="20"/>
  <c r="S69" i="20"/>
  <c r="S78" i="20"/>
  <c r="S122" i="20"/>
  <c r="S188" i="20"/>
  <c r="S213" i="20"/>
  <c r="S224" i="20"/>
  <c r="S246" i="20"/>
  <c r="S271" i="20"/>
  <c r="S290" i="20"/>
  <c r="S292" i="20"/>
  <c r="S295" i="20"/>
  <c r="S335" i="20"/>
  <c r="S371" i="20"/>
  <c r="S385" i="20"/>
  <c r="S377" i="20"/>
  <c r="S353" i="20"/>
  <c r="S345" i="20"/>
  <c r="S337" i="20"/>
  <c r="S329" i="20"/>
  <c r="S313" i="20"/>
  <c r="S305" i="20"/>
  <c r="S289" i="20"/>
  <c r="S273" i="20"/>
  <c r="S265" i="20"/>
  <c r="S257" i="20"/>
  <c r="S249" i="20"/>
  <c r="S241" i="20"/>
  <c r="S217" i="20"/>
  <c r="S209" i="20"/>
  <c r="S193" i="20"/>
  <c r="S185" i="20"/>
  <c r="S145" i="20"/>
  <c r="S129" i="20"/>
  <c r="S121" i="20"/>
  <c r="S113" i="20"/>
  <c r="S97" i="20"/>
  <c r="S89" i="20"/>
  <c r="S81" i="20"/>
  <c r="S73" i="20"/>
  <c r="S65" i="20"/>
  <c r="S57" i="20"/>
  <c r="S49" i="20"/>
  <c r="S41" i="20"/>
  <c r="S33" i="20"/>
  <c r="S25" i="20"/>
  <c r="S17" i="20"/>
  <c r="S9" i="20"/>
  <c r="S254" i="20"/>
  <c r="S299" i="20"/>
  <c r="S267" i="20"/>
  <c r="S204" i="20"/>
  <c r="S259" i="20"/>
  <c r="S284" i="20"/>
  <c r="S314" i="20"/>
  <c r="S10" i="20"/>
  <c r="S328" i="20"/>
  <c r="I105" i="20"/>
  <c r="I209" i="20"/>
  <c r="I281" i="20"/>
  <c r="I16" i="20"/>
  <c r="I17" i="20"/>
  <c r="I26" i="20"/>
  <c r="I29" i="20"/>
  <c r="I35" i="20"/>
  <c r="I43" i="20"/>
  <c r="I46" i="20"/>
  <c r="I47" i="20"/>
  <c r="I71" i="20"/>
  <c r="I84" i="20"/>
  <c r="I86" i="20"/>
  <c r="I92" i="20"/>
  <c r="I95" i="20"/>
  <c r="I102" i="20"/>
  <c r="I112" i="20"/>
  <c r="I120" i="20"/>
  <c r="I125" i="20"/>
  <c r="I127" i="20"/>
  <c r="I129" i="20"/>
  <c r="I143" i="20"/>
  <c r="I163" i="20"/>
  <c r="I165" i="20"/>
  <c r="I187" i="20"/>
  <c r="I226" i="20"/>
  <c r="I229" i="20"/>
  <c r="I231" i="20"/>
  <c r="I237" i="20"/>
  <c r="I289" i="20"/>
  <c r="I339" i="20"/>
  <c r="I342" i="20"/>
  <c r="I358" i="20"/>
  <c r="I361" i="20"/>
  <c r="I368" i="20"/>
  <c r="I389" i="20"/>
  <c r="I341" i="20"/>
  <c r="I153" i="20"/>
  <c r="I385" i="20"/>
  <c r="I399" i="20"/>
  <c r="I137" i="20"/>
  <c r="I305" i="20"/>
  <c r="I369" i="20"/>
  <c r="I57" i="20"/>
  <c r="I81" i="20"/>
  <c r="I122" i="20"/>
  <c r="I132" i="20"/>
  <c r="I145" i="20"/>
  <c r="I181" i="20"/>
  <c r="I191" i="20"/>
  <c r="I193" i="20"/>
  <c r="I201" i="20"/>
  <c r="I254" i="20"/>
  <c r="I294" i="20"/>
  <c r="I300" i="20"/>
  <c r="I313" i="20"/>
  <c r="I324" i="20"/>
  <c r="I359" i="20"/>
  <c r="I366" i="20"/>
  <c r="I395" i="20"/>
  <c r="I387" i="20"/>
  <c r="I379" i="20"/>
  <c r="I363" i="20"/>
  <c r="I355" i="20"/>
  <c r="I331" i="20"/>
  <c r="I323" i="20"/>
  <c r="I299" i="20"/>
  <c r="I291" i="20"/>
  <c r="I51" i="20"/>
  <c r="I65" i="20"/>
  <c r="I73" i="20"/>
  <c r="I79" i="20"/>
  <c r="I89" i="20"/>
  <c r="I113" i="20"/>
  <c r="I121" i="20"/>
  <c r="I239" i="20"/>
  <c r="I251" i="20"/>
  <c r="I384" i="20"/>
  <c r="I403" i="20"/>
  <c r="I394" i="20"/>
  <c r="I386" i="20"/>
  <c r="I346" i="20"/>
  <c r="I330" i="20"/>
  <c r="I314" i="20"/>
  <c r="I306" i="20"/>
  <c r="I234" i="20"/>
  <c r="I194" i="20"/>
  <c r="I186" i="20"/>
  <c r="I178" i="20"/>
  <c r="I162" i="20"/>
  <c r="I154" i="20"/>
  <c r="I90" i="20"/>
  <c r="I66" i="20"/>
  <c r="I58" i="20"/>
  <c r="I50" i="20"/>
  <c r="I42" i="20"/>
  <c r="I18" i="20"/>
  <c r="I28" i="20"/>
  <c r="I87" i="20"/>
  <c r="I103" i="20"/>
  <c r="I114" i="20"/>
  <c r="I138" i="20"/>
  <c r="I140" i="20"/>
  <c r="I147" i="20"/>
  <c r="I159" i="20"/>
  <c r="I161" i="20"/>
  <c r="I176" i="20"/>
  <c r="I195" i="20"/>
  <c r="I208" i="20"/>
  <c r="I218" i="20"/>
  <c r="I224" i="20"/>
  <c r="I240" i="20"/>
  <c r="I286" i="20"/>
  <c r="I293" i="20"/>
  <c r="I337" i="20"/>
  <c r="I376" i="20"/>
  <c r="I3" i="20"/>
  <c r="I5" i="20"/>
  <c r="I21" i="20"/>
  <c r="I23" i="20"/>
  <c r="I24" i="20"/>
  <c r="I27" i="20"/>
  <c r="I36" i="20"/>
  <c r="I44" i="20"/>
  <c r="I48" i="20"/>
  <c r="I78" i="20"/>
  <c r="I80" i="20"/>
  <c r="I83" i="20"/>
  <c r="I91" i="20"/>
  <c r="I97" i="20"/>
  <c r="I144" i="20"/>
  <c r="I151" i="20"/>
  <c r="I155" i="20"/>
  <c r="I166" i="20"/>
  <c r="I169" i="20"/>
  <c r="I175" i="20"/>
  <c r="I182" i="20"/>
  <c r="I189" i="20"/>
  <c r="I211" i="20"/>
  <c r="I219" i="20"/>
  <c r="I232" i="20"/>
  <c r="I235" i="20"/>
  <c r="I246" i="20"/>
  <c r="I262" i="20"/>
  <c r="I272" i="20"/>
  <c r="I297" i="20"/>
  <c r="I302" i="20"/>
  <c r="I317" i="20"/>
  <c r="I372" i="20"/>
  <c r="I390" i="20"/>
  <c r="I2" i="20"/>
  <c r="I199" i="20"/>
  <c r="I282" i="20"/>
  <c r="I173" i="20"/>
  <c r="I210" i="20"/>
  <c r="I245" i="20"/>
  <c r="I322" i="20"/>
  <c r="I338" i="20"/>
  <c r="I360" i="20"/>
  <c r="I400" i="20"/>
  <c r="S2" i="20"/>
  <c r="AL2" i="20"/>
  <c r="AK3" i="20"/>
  <c r="AK5" i="20"/>
  <c r="I9" i="20"/>
  <c r="T9" i="20"/>
  <c r="AL27" i="20"/>
  <c r="AL39" i="20"/>
  <c r="AL43" i="20"/>
  <c r="AL3" i="20"/>
  <c r="I8" i="20"/>
  <c r="AL11" i="20"/>
  <c r="AK16" i="20"/>
  <c r="S3" i="20"/>
  <c r="AK33" i="20"/>
  <c r="I4" i="20"/>
  <c r="T4" i="20"/>
  <c r="AK36" i="20"/>
  <c r="AK52" i="20"/>
  <c r="J2" i="20"/>
  <c r="T3" i="20"/>
  <c r="AL6" i="20"/>
  <c r="AK9" i="20"/>
  <c r="AK17" i="20"/>
  <c r="T5" i="20"/>
  <c r="AL13" i="20"/>
  <c r="AK25" i="20"/>
  <c r="I15" i="20"/>
  <c r="AK24" i="20"/>
  <c r="I25" i="20"/>
  <c r="AK32" i="20"/>
  <c r="AL38" i="20"/>
  <c r="AK40" i="20"/>
  <c r="AS45" i="20"/>
  <c r="AP45" i="20"/>
  <c r="AR2" i="20"/>
  <c r="AP4" i="20"/>
  <c r="AP8" i="20"/>
  <c r="J10" i="20"/>
  <c r="S15" i="20"/>
  <c r="AS16" i="20"/>
  <c r="AR17" i="20"/>
  <c r="AK18" i="20"/>
  <c r="I20" i="20"/>
  <c r="S47" i="20"/>
  <c r="AK50" i="20"/>
  <c r="AK51" i="20"/>
  <c r="I52" i="20"/>
  <c r="AL53" i="20"/>
  <c r="I54" i="20"/>
  <c r="AL56" i="20"/>
  <c r="AL67" i="20"/>
  <c r="AK121" i="20"/>
  <c r="AL123" i="20"/>
  <c r="AS140" i="20"/>
  <c r="AR140" i="20"/>
  <c r="I149" i="20"/>
  <c r="S5" i="20"/>
  <c r="T8" i="20"/>
  <c r="AK13" i="20"/>
  <c r="AL22" i="20"/>
  <c r="J26" i="20"/>
  <c r="AL30" i="20"/>
  <c r="I33" i="20"/>
  <c r="J34" i="20"/>
  <c r="I41" i="20"/>
  <c r="J42" i="20"/>
  <c r="AS51" i="20"/>
  <c r="AR51" i="20"/>
  <c r="I7" i="20"/>
  <c r="AR11" i="20"/>
  <c r="AP13" i="20"/>
  <c r="T16" i="20"/>
  <c r="AL16" i="20"/>
  <c r="S18" i="20"/>
  <c r="I22" i="20"/>
  <c r="S23" i="20"/>
  <c r="T24" i="20"/>
  <c r="AL24" i="20"/>
  <c r="AR27" i="20"/>
  <c r="S28" i="20"/>
  <c r="I30" i="20"/>
  <c r="S31" i="20"/>
  <c r="T32" i="20"/>
  <c r="AL32" i="20"/>
  <c r="AR35" i="20"/>
  <c r="S36" i="20"/>
  <c r="I38" i="20"/>
  <c r="S39" i="20"/>
  <c r="T40" i="20"/>
  <c r="AL40" i="20"/>
  <c r="AR43" i="20"/>
  <c r="S44" i="20"/>
  <c r="AK45" i="20"/>
  <c r="AL46" i="20"/>
  <c r="AK48" i="20"/>
  <c r="I49" i="20"/>
  <c r="S50" i="20"/>
  <c r="T56" i="20"/>
  <c r="AK66" i="20"/>
  <c r="AL151" i="20"/>
  <c r="AL128" i="20"/>
  <c r="J18" i="20"/>
  <c r="S21" i="20"/>
  <c r="AK21" i="20"/>
  <c r="AL45" i="20"/>
  <c r="AL63" i="20"/>
  <c r="AK82" i="20"/>
  <c r="AK130" i="20"/>
  <c r="AK138" i="20"/>
  <c r="AS166" i="20"/>
  <c r="AR166" i="20"/>
  <c r="AS12" i="20"/>
  <c r="AK110" i="20"/>
  <c r="AL14" i="20"/>
  <c r="AR14" i="20"/>
  <c r="AK26" i="20"/>
  <c r="J28" i="20"/>
  <c r="AK29" i="20"/>
  <c r="AK34" i="20"/>
  <c r="J36" i="20"/>
  <c r="S37" i="20"/>
  <c r="AK37" i="20"/>
  <c r="AK42" i="20"/>
  <c r="J44" i="20"/>
  <c r="T48" i="20"/>
  <c r="J50" i="20"/>
  <c r="AS53" i="20"/>
  <c r="AP53" i="20"/>
  <c r="AR54" i="20"/>
  <c r="AK55" i="20"/>
  <c r="AS56" i="20"/>
  <c r="AS60" i="20"/>
  <c r="AR60" i="20"/>
  <c r="T101" i="20"/>
  <c r="AK106" i="20"/>
  <c r="AL111" i="20"/>
  <c r="AL143" i="20"/>
  <c r="AL144" i="20"/>
  <c r="AL50" i="20"/>
  <c r="AR3" i="20"/>
  <c r="AR9" i="20"/>
  <c r="AK11" i="20"/>
  <c r="I14" i="20"/>
  <c r="AK19" i="20"/>
  <c r="AP21" i="20"/>
  <c r="AS24" i="20"/>
  <c r="AR24" i="20"/>
  <c r="S26" i="20"/>
  <c r="AP29" i="20"/>
  <c r="AS32" i="20"/>
  <c r="AR32" i="20"/>
  <c r="S34" i="20"/>
  <c r="AP37" i="20"/>
  <c r="AS40" i="20"/>
  <c r="AR40" i="20"/>
  <c r="S42" i="20"/>
  <c r="AL49" i="20"/>
  <c r="AL51" i="20"/>
  <c r="AK54" i="20"/>
  <c r="S55" i="20"/>
  <c r="I61" i="20"/>
  <c r="AS63" i="20"/>
  <c r="AR63" i="20"/>
  <c r="S68" i="20"/>
  <c r="S99" i="20"/>
  <c r="AL99" i="20"/>
  <c r="S147" i="20"/>
  <c r="AL147" i="20"/>
  <c r="S13" i="20"/>
  <c r="AS19" i="20"/>
  <c r="AL26" i="20"/>
  <c r="AL34" i="20"/>
  <c r="AL42" i="20"/>
  <c r="AK53" i="20"/>
  <c r="AL54" i="20"/>
  <c r="I55" i="20"/>
  <c r="AK56" i="20"/>
  <c r="AS68" i="20"/>
  <c r="AR68" i="20"/>
  <c r="AL72" i="20"/>
  <c r="I85" i="20"/>
  <c r="AS111" i="20"/>
  <c r="AR111" i="20"/>
  <c r="I133" i="20"/>
  <c r="AK146" i="20"/>
  <c r="J59" i="20"/>
  <c r="T60" i="20"/>
  <c r="S66" i="20"/>
  <c r="S70" i="20"/>
  <c r="I72" i="20"/>
  <c r="AL74" i="20"/>
  <c r="AK76" i="20"/>
  <c r="I82" i="20"/>
  <c r="AS84" i="20"/>
  <c r="AR84" i="20"/>
  <c r="AL90" i="20"/>
  <c r="AK92" i="20"/>
  <c r="I98" i="20"/>
  <c r="J103" i="20"/>
  <c r="I104" i="20"/>
  <c r="AK105" i="20"/>
  <c r="S106" i="20"/>
  <c r="AS108" i="20"/>
  <c r="AR108" i="20"/>
  <c r="I117" i="20"/>
  <c r="T120" i="20"/>
  <c r="AS124" i="20"/>
  <c r="AR124" i="20"/>
  <c r="J126" i="20"/>
  <c r="AL127" i="20"/>
  <c r="I128" i="20"/>
  <c r="AS132" i="20"/>
  <c r="AR132" i="20"/>
  <c r="S137" i="20"/>
  <c r="S138" i="20"/>
  <c r="T140" i="20"/>
  <c r="T144" i="20"/>
  <c r="I148" i="20"/>
  <c r="S150" i="20"/>
  <c r="I152" i="20"/>
  <c r="AL62" i="20"/>
  <c r="AK72" i="20"/>
  <c r="T73" i="20"/>
  <c r="AS78" i="20"/>
  <c r="S83" i="20"/>
  <c r="AS94" i="20"/>
  <c r="AL102" i="20"/>
  <c r="AK104" i="20"/>
  <c r="T105" i="20"/>
  <c r="AL110" i="20"/>
  <c r="AL113" i="20"/>
  <c r="AL118" i="20"/>
  <c r="AK128" i="20"/>
  <c r="S131" i="20"/>
  <c r="AS142" i="20"/>
  <c r="AK152" i="20"/>
  <c r="AR198" i="20"/>
  <c r="AS198" i="20"/>
  <c r="AR48" i="20"/>
  <c r="AR56" i="20"/>
  <c r="S62" i="20"/>
  <c r="I64" i="20"/>
  <c r="J66" i="20"/>
  <c r="I69" i="20"/>
  <c r="I74" i="20"/>
  <c r="AS76" i="20"/>
  <c r="AR76" i="20"/>
  <c r="AL82" i="20"/>
  <c r="AK84" i="20"/>
  <c r="AS92" i="20"/>
  <c r="AR92" i="20"/>
  <c r="AL98" i="20"/>
  <c r="J99" i="20"/>
  <c r="J106" i="20"/>
  <c r="S107" i="20"/>
  <c r="AK108" i="20"/>
  <c r="S115" i="20"/>
  <c r="AK120" i="20"/>
  <c r="T121" i="20"/>
  <c r="S123" i="20"/>
  <c r="AK124" i="20"/>
  <c r="AL126" i="20"/>
  <c r="AS129" i="20"/>
  <c r="AL130" i="20"/>
  <c r="AK132" i="20"/>
  <c r="S139" i="20"/>
  <c r="AK144" i="20"/>
  <c r="AK145" i="20"/>
  <c r="AL148" i="20"/>
  <c r="J58" i="20"/>
  <c r="S59" i="20"/>
  <c r="AK60" i="20"/>
  <c r="T62" i="20"/>
  <c r="J64" i="20"/>
  <c r="S67" i="20"/>
  <c r="AK70" i="20"/>
  <c r="S72" i="20"/>
  <c r="J78" i="20"/>
  <c r="AK80" i="20"/>
  <c r="AK81" i="20"/>
  <c r="AL84" i="20"/>
  <c r="AL86" i="20"/>
  <c r="J94" i="20"/>
  <c r="AK96" i="20"/>
  <c r="AK97" i="20"/>
  <c r="T100" i="20"/>
  <c r="T102" i="20"/>
  <c r="S104" i="20"/>
  <c r="AL108" i="20"/>
  <c r="T110" i="20"/>
  <c r="J112" i="20"/>
  <c r="AL124" i="20"/>
  <c r="J131" i="20"/>
  <c r="AL132" i="20"/>
  <c r="AL134" i="20"/>
  <c r="I139" i="20"/>
  <c r="AK140" i="20"/>
  <c r="J142" i="20"/>
  <c r="AS145" i="20"/>
  <c r="S146" i="20"/>
  <c r="AK150" i="20"/>
  <c r="S152" i="20"/>
  <c r="AR18" i="20"/>
  <c r="AR26" i="20"/>
  <c r="AR34" i="20"/>
  <c r="AR42" i="20"/>
  <c r="AR50" i="20"/>
  <c r="AL60" i="20"/>
  <c r="AL66" i="20"/>
  <c r="AK68" i="20"/>
  <c r="J74" i="20"/>
  <c r="I77" i="20"/>
  <c r="S82" i="20"/>
  <c r="S86" i="20"/>
  <c r="I88" i="20"/>
  <c r="J90" i="20"/>
  <c r="I93" i="20"/>
  <c r="S98" i="20"/>
  <c r="AS100" i="20"/>
  <c r="AR100" i="20"/>
  <c r="AL106" i="20"/>
  <c r="J107" i="20"/>
  <c r="T113" i="20"/>
  <c r="I115" i="20"/>
  <c r="AS116" i="20"/>
  <c r="AR116" i="20"/>
  <c r="S120" i="20"/>
  <c r="T126" i="20"/>
  <c r="AS126" i="20"/>
  <c r="AK129" i="20"/>
  <c r="S134" i="20"/>
  <c r="I136" i="20"/>
  <c r="AL138" i="20"/>
  <c r="AL140" i="20"/>
  <c r="S144" i="20"/>
  <c r="T148" i="20"/>
  <c r="AK154" i="20"/>
  <c r="AL58" i="20"/>
  <c r="AL59" i="20"/>
  <c r="J62" i="20"/>
  <c r="AK64" i="20"/>
  <c r="AK65" i="20"/>
  <c r="AL68" i="20"/>
  <c r="AL70" i="20"/>
  <c r="AR71" i="20"/>
  <c r="T72" i="20"/>
  <c r="S75" i="20"/>
  <c r="AK78" i="20"/>
  <c r="S80" i="20"/>
  <c r="T84" i="20"/>
  <c r="T86" i="20"/>
  <c r="AS86" i="20"/>
  <c r="J88" i="20"/>
  <c r="S91" i="20"/>
  <c r="AK94" i="20"/>
  <c r="S96" i="20"/>
  <c r="T97" i="20"/>
  <c r="I100" i="20"/>
  <c r="I101" i="20"/>
  <c r="J102" i="20"/>
  <c r="AL103" i="20"/>
  <c r="AR103" i="20"/>
  <c r="T104" i="20"/>
  <c r="T108" i="20"/>
  <c r="J110" i="20"/>
  <c r="AK112" i="20"/>
  <c r="AL114" i="20"/>
  <c r="J115" i="20"/>
  <c r="I116" i="20"/>
  <c r="J118" i="20"/>
  <c r="AL122" i="20"/>
  <c r="J123" i="20"/>
  <c r="T124" i="20"/>
  <c r="AR127" i="20"/>
  <c r="T128" i="20"/>
  <c r="AL129" i="20"/>
  <c r="I130" i="20"/>
  <c r="T132" i="20"/>
  <c r="T134" i="20"/>
  <c r="AS134" i="20"/>
  <c r="J136" i="20"/>
  <c r="AK137" i="20"/>
  <c r="AK142" i="20"/>
  <c r="I146" i="20"/>
  <c r="AS148" i="20"/>
  <c r="AR148" i="20"/>
  <c r="AL150" i="20"/>
  <c r="T152" i="20"/>
  <c r="AP187" i="20"/>
  <c r="AS187" i="20"/>
  <c r="J155" i="20"/>
  <c r="J163" i="20"/>
  <c r="AS165" i="20"/>
  <c r="AR165" i="20"/>
  <c r="AL175" i="20"/>
  <c r="AS176" i="20"/>
  <c r="I180" i="20"/>
  <c r="AL188" i="20"/>
  <c r="AL162" i="20"/>
  <c r="AS170" i="20"/>
  <c r="AR170" i="20"/>
  <c r="AK197" i="20"/>
  <c r="AR62" i="20"/>
  <c r="AR70" i="20"/>
  <c r="AP72" i="20"/>
  <c r="AR78" i="20"/>
  <c r="AR86" i="20"/>
  <c r="AR94" i="20"/>
  <c r="AR102" i="20"/>
  <c r="AR110" i="20"/>
  <c r="AR118" i="20"/>
  <c r="AR126" i="20"/>
  <c r="AR134" i="20"/>
  <c r="AR142" i="20"/>
  <c r="AR150" i="20"/>
  <c r="AL154" i="20"/>
  <c r="AL164" i="20"/>
  <c r="J165" i="20"/>
  <c r="T168" i="20"/>
  <c r="S173" i="20"/>
  <c r="AK180" i="20"/>
  <c r="AR199" i="20"/>
  <c r="AS199" i="20"/>
  <c r="AL200" i="20"/>
  <c r="T206" i="20"/>
  <c r="AK153" i="20"/>
  <c r="I164" i="20"/>
  <c r="J166" i="20"/>
  <c r="S170" i="20"/>
  <c r="AL170" i="20"/>
  <c r="AK172" i="20"/>
  <c r="AK176" i="20"/>
  <c r="J204" i="20"/>
  <c r="AP207" i="20"/>
  <c r="AS207" i="20"/>
  <c r="AS227" i="20"/>
  <c r="AR227" i="20"/>
  <c r="AR64" i="20"/>
  <c r="AR80" i="20"/>
  <c r="AR88" i="20"/>
  <c r="AR96" i="20"/>
  <c r="AR104" i="20"/>
  <c r="AR112" i="20"/>
  <c r="AR120" i="20"/>
  <c r="AR128" i="20"/>
  <c r="AR136" i="20"/>
  <c r="AR144" i="20"/>
  <c r="AR152" i="20"/>
  <c r="AS154" i="20"/>
  <c r="AK155" i="20"/>
  <c r="T156" i="20"/>
  <c r="AS156" i="20"/>
  <c r="AR156" i="20"/>
  <c r="I158" i="20"/>
  <c r="AK159" i="20"/>
  <c r="T160" i="20"/>
  <c r="AL161" i="20"/>
  <c r="AL174" i="20"/>
  <c r="AK195" i="20"/>
  <c r="T197" i="20"/>
  <c r="S154" i="20"/>
  <c r="S155" i="20"/>
  <c r="AL159" i="20"/>
  <c r="T170" i="20"/>
  <c r="AK177" i="20"/>
  <c r="AK179" i="20"/>
  <c r="AS184" i="20"/>
  <c r="AR184" i="20"/>
  <c r="I202" i="20"/>
  <c r="AL208" i="20"/>
  <c r="AL212" i="20"/>
  <c r="AK162" i="20"/>
  <c r="AK167" i="20"/>
  <c r="T175" i="20"/>
  <c r="I177" i="20"/>
  <c r="AL185" i="20"/>
  <c r="T187" i="20"/>
  <c r="AL189" i="20"/>
  <c r="T192" i="20"/>
  <c r="AS193" i="20"/>
  <c r="AS206" i="20"/>
  <c r="AP206" i="20"/>
  <c r="AK228" i="20"/>
  <c r="AL264" i="20"/>
  <c r="AS157" i="20"/>
  <c r="AR158" i="20"/>
  <c r="J161" i="20"/>
  <c r="T162" i="20"/>
  <c r="AS162" i="20"/>
  <c r="AR162" i="20"/>
  <c r="AP168" i="20"/>
  <c r="I171" i="20"/>
  <c r="S172" i="20"/>
  <c r="AS173" i="20"/>
  <c r="AK178" i="20"/>
  <c r="J187" i="20"/>
  <c r="J190" i="20"/>
  <c r="AL190" i="20"/>
  <c r="AL194" i="20"/>
  <c r="AK196" i="20"/>
  <c r="AL203" i="20"/>
  <c r="AK205" i="20"/>
  <c r="AK207" i="20"/>
  <c r="AK157" i="20"/>
  <c r="AR157" i="20"/>
  <c r="AK158" i="20"/>
  <c r="J177" i="20"/>
  <c r="AS178" i="20"/>
  <c r="AR178" i="20"/>
  <c r="AL196" i="20"/>
  <c r="AK201" i="20"/>
  <c r="AL204" i="20"/>
  <c r="I207" i="20"/>
  <c r="AS244" i="20"/>
  <c r="AR244" i="20"/>
  <c r="AS268" i="20"/>
  <c r="AR268" i="20"/>
  <c r="AL157" i="20"/>
  <c r="S159" i="20"/>
  <c r="AS159" i="20"/>
  <c r="S169" i="20"/>
  <c r="AK174" i="20"/>
  <c r="AS175" i="20"/>
  <c r="I179" i="20"/>
  <c r="AK181" i="20"/>
  <c r="AL182" i="20"/>
  <c r="I184" i="20"/>
  <c r="AS185" i="20"/>
  <c r="AR185" i="20"/>
  <c r="AK190" i="20"/>
  <c r="AL193" i="20"/>
  <c r="J194" i="20"/>
  <c r="I197" i="20"/>
  <c r="AK198" i="20"/>
  <c r="AL199" i="20"/>
  <c r="T201" i="20"/>
  <c r="T202" i="20"/>
  <c r="J203" i="20"/>
  <c r="AL213" i="20"/>
  <c r="AK215" i="20"/>
  <c r="AL231" i="20"/>
  <c r="J158" i="20"/>
  <c r="AK165" i="20"/>
  <c r="AL173" i="20"/>
  <c r="AK175" i="20"/>
  <c r="AL183" i="20"/>
  <c r="J196" i="20"/>
  <c r="I198" i="20"/>
  <c r="AS209" i="20"/>
  <c r="AR209" i="20"/>
  <c r="AR230" i="20"/>
  <c r="AS230" i="20"/>
  <c r="S161" i="20"/>
  <c r="AK170" i="20"/>
  <c r="S176" i="20"/>
  <c r="AL181" i="20"/>
  <c r="AL187" i="20"/>
  <c r="AR189" i="20"/>
  <c r="AS189" i="20"/>
  <c r="AS202" i="20"/>
  <c r="AP202" i="20"/>
  <c r="T211" i="20"/>
  <c r="AK184" i="20"/>
  <c r="I188" i="20"/>
  <c r="AK193" i="20"/>
  <c r="J212" i="20"/>
  <c r="AK213" i="20"/>
  <c r="AS223" i="20"/>
  <c r="AL232" i="20"/>
  <c r="AL239" i="20"/>
  <c r="S186" i="20"/>
  <c r="AS192" i="20"/>
  <c r="AS201" i="20"/>
  <c r="I205" i="20"/>
  <c r="AL211" i="20"/>
  <c r="T214" i="20"/>
  <c r="I220" i="20"/>
  <c r="I222" i="20"/>
  <c r="AK227" i="20"/>
  <c r="S228" i="20"/>
  <c r="AR232" i="20"/>
  <c r="S233" i="20"/>
  <c r="AR237" i="20"/>
  <c r="AP248" i="20"/>
  <c r="AL261" i="20"/>
  <c r="AR167" i="20"/>
  <c r="AR175" i="20"/>
  <c r="AR183" i="20"/>
  <c r="AR188" i="20"/>
  <c r="AR192" i="20"/>
  <c r="S195" i="20"/>
  <c r="AK200" i="20"/>
  <c r="AR201" i="20"/>
  <c r="I204" i="20"/>
  <c r="AS214" i="20"/>
  <c r="AR214" i="20"/>
  <c r="T215" i="20"/>
  <c r="S219" i="20"/>
  <c r="AK221" i="20"/>
  <c r="AL224" i="20"/>
  <c r="I228" i="20"/>
  <c r="I230" i="20"/>
  <c r="AS240" i="20"/>
  <c r="AP240" i="20"/>
  <c r="AS252" i="20"/>
  <c r="AR252" i="20"/>
  <c r="AL195" i="20"/>
  <c r="J208" i="20"/>
  <c r="AK208" i="20"/>
  <c r="AK210" i="20"/>
  <c r="S212" i="20"/>
  <c r="I215" i="20"/>
  <c r="S227" i="20"/>
  <c r="AK229" i="20"/>
  <c r="AL245" i="20"/>
  <c r="AK280" i="20"/>
  <c r="I217" i="20"/>
  <c r="AL219" i="20"/>
  <c r="AS221" i="20"/>
  <c r="AR221" i="20"/>
  <c r="AK223" i="20"/>
  <c r="I225" i="20"/>
  <c r="AL227" i="20"/>
  <c r="AS229" i="20"/>
  <c r="AR229" i="20"/>
  <c r="AK231" i="20"/>
  <c r="I233" i="20"/>
  <c r="AL235" i="20"/>
  <c r="I236" i="20"/>
  <c r="S236" i="20"/>
  <c r="J237" i="20"/>
  <c r="I243" i="20"/>
  <c r="AL247" i="20"/>
  <c r="J251" i="20"/>
  <c r="AL253" i="20"/>
  <c r="AK260" i="20"/>
  <c r="AS260" i="20"/>
  <c r="AR260" i="20"/>
  <c r="AK266" i="20"/>
  <c r="I214" i="20"/>
  <c r="AK216" i="20"/>
  <c r="S218" i="20"/>
  <c r="AK218" i="20"/>
  <c r="T221" i="20"/>
  <c r="AL221" i="20"/>
  <c r="J223" i="20"/>
  <c r="T223" i="20"/>
  <c r="S226" i="20"/>
  <c r="AK226" i="20"/>
  <c r="T229" i="20"/>
  <c r="AL229" i="20"/>
  <c r="J231" i="20"/>
  <c r="T231" i="20"/>
  <c r="S234" i="20"/>
  <c r="AK234" i="20"/>
  <c r="I238" i="20"/>
  <c r="AK240" i="20"/>
  <c r="AK242" i="20"/>
  <c r="AL258" i="20"/>
  <c r="AK273" i="20"/>
  <c r="AK276" i="20"/>
  <c r="AL304" i="20"/>
  <c r="J220" i="20"/>
  <c r="J228" i="20"/>
  <c r="T238" i="20"/>
  <c r="AL240" i="20"/>
  <c r="AK265" i="20"/>
  <c r="AK271" i="20"/>
  <c r="AP272" i="20"/>
  <c r="AR280" i="20"/>
  <c r="AS280" i="20"/>
  <c r="T218" i="20"/>
  <c r="AK224" i="20"/>
  <c r="T226" i="20"/>
  <c r="AK232" i="20"/>
  <c r="AL237" i="20"/>
  <c r="AS275" i="20"/>
  <c r="AR275" i="20"/>
  <c r="S281" i="20"/>
  <c r="AS246" i="20"/>
  <c r="AS254" i="20"/>
  <c r="AS262" i="20"/>
  <c r="AS270" i="20"/>
  <c r="AS276" i="20"/>
  <c r="AL280" i="20"/>
  <c r="AL282" i="20"/>
  <c r="AS334" i="20"/>
  <c r="AP334" i="20"/>
  <c r="AL241" i="20"/>
  <c r="AS243" i="20"/>
  <c r="AR243" i="20"/>
  <c r="AK245" i="20"/>
  <c r="I247" i="20"/>
  <c r="AL249" i="20"/>
  <c r="AS251" i="20"/>
  <c r="AR251" i="20"/>
  <c r="AK253" i="20"/>
  <c r="I255" i="20"/>
  <c r="AL257" i="20"/>
  <c r="AS259" i="20"/>
  <c r="AR259" i="20"/>
  <c r="AK261" i="20"/>
  <c r="I263" i="20"/>
  <c r="AL265" i="20"/>
  <c r="AS267" i="20"/>
  <c r="AR267" i="20"/>
  <c r="AK269" i="20"/>
  <c r="I271" i="20"/>
  <c r="AL273" i="20"/>
  <c r="I277" i="20"/>
  <c r="I241" i="20"/>
  <c r="AK243" i="20"/>
  <c r="S245" i="20"/>
  <c r="I249" i="20"/>
  <c r="AK251" i="20"/>
  <c r="S253" i="20"/>
  <c r="I257" i="20"/>
  <c r="AK259" i="20"/>
  <c r="S261" i="20"/>
  <c r="I265" i="20"/>
  <c r="AK267" i="20"/>
  <c r="S269" i="20"/>
  <c r="I273" i="20"/>
  <c r="AK275" i="20"/>
  <c r="AK278" i="20"/>
  <c r="AS281" i="20"/>
  <c r="AR281" i="20"/>
  <c r="T286" i="20"/>
  <c r="AK292" i="20"/>
  <c r="AR223" i="20"/>
  <c r="AR231" i="20"/>
  <c r="AK238" i="20"/>
  <c r="AS238" i="20"/>
  <c r="I242" i="20"/>
  <c r="S242" i="20"/>
  <c r="I244" i="20"/>
  <c r="J247" i="20"/>
  <c r="I250" i="20"/>
  <c r="S250" i="20"/>
  <c r="I252" i="20"/>
  <c r="J255" i="20"/>
  <c r="I258" i="20"/>
  <c r="S258" i="20"/>
  <c r="I260" i="20"/>
  <c r="J263" i="20"/>
  <c r="I266" i="20"/>
  <c r="S266" i="20"/>
  <c r="I268" i="20"/>
  <c r="J271" i="20"/>
  <c r="I274" i="20"/>
  <c r="S274" i="20"/>
  <c r="J277" i="20"/>
  <c r="AS278" i="20"/>
  <c r="I284" i="20"/>
  <c r="AS300" i="20"/>
  <c r="AR300" i="20"/>
  <c r="S239" i="20"/>
  <c r="T243" i="20"/>
  <c r="AL243" i="20"/>
  <c r="J245" i="20"/>
  <c r="T245" i="20"/>
  <c r="S248" i="20"/>
  <c r="AK248" i="20"/>
  <c r="T251" i="20"/>
  <c r="AL251" i="20"/>
  <c r="J253" i="20"/>
  <c r="T253" i="20"/>
  <c r="S256" i="20"/>
  <c r="AK256" i="20"/>
  <c r="T259" i="20"/>
  <c r="AL259" i="20"/>
  <c r="J261" i="20"/>
  <c r="T261" i="20"/>
  <c r="S264" i="20"/>
  <c r="AK264" i="20"/>
  <c r="T267" i="20"/>
  <c r="AL267" i="20"/>
  <c r="J269" i="20"/>
  <c r="T269" i="20"/>
  <c r="S272" i="20"/>
  <c r="AK272" i="20"/>
  <c r="T275" i="20"/>
  <c r="AL275" i="20"/>
  <c r="J298" i="20"/>
  <c r="S288" i="20"/>
  <c r="S294" i="20"/>
  <c r="AL297" i="20"/>
  <c r="AK301" i="20"/>
  <c r="J304" i="20"/>
  <c r="AK306" i="20"/>
  <c r="T314" i="20"/>
  <c r="AS294" i="20"/>
  <c r="AL299" i="20"/>
  <c r="AL303" i="20"/>
  <c r="AK312" i="20"/>
  <c r="AL327" i="20"/>
  <c r="J282" i="20"/>
  <c r="AK286" i="20"/>
  <c r="I288" i="20"/>
  <c r="AS289" i="20"/>
  <c r="AR289" i="20"/>
  <c r="AL292" i="20"/>
  <c r="I295" i="20"/>
  <c r="T296" i="20"/>
  <c r="S298" i="20"/>
  <c r="T302" i="20"/>
  <c r="AS302" i="20"/>
  <c r="AK307" i="20"/>
  <c r="AL308" i="20"/>
  <c r="J276" i="20"/>
  <c r="AL278" i="20"/>
  <c r="I279" i="20"/>
  <c r="T280" i="20"/>
  <c r="I285" i="20"/>
  <c r="S285" i="20"/>
  <c r="AL286" i="20"/>
  <c r="J288" i="20"/>
  <c r="AK289" i="20"/>
  <c r="I290" i="20"/>
  <c r="AK300" i="20"/>
  <c r="J301" i="20"/>
  <c r="S304" i="20"/>
  <c r="AL316" i="20"/>
  <c r="AK330" i="20"/>
  <c r="AR245" i="20"/>
  <c r="AR253" i="20"/>
  <c r="AR261" i="20"/>
  <c r="AR269" i="20"/>
  <c r="S279" i="20"/>
  <c r="AK281" i="20"/>
  <c r="AS282" i="20"/>
  <c r="AL284" i="20"/>
  <c r="AK288" i="20"/>
  <c r="J290" i="20"/>
  <c r="AK291" i="20"/>
  <c r="AK294" i="20"/>
  <c r="I296" i="20"/>
  <c r="AS297" i="20"/>
  <c r="AR297" i="20"/>
  <c r="T298" i="20"/>
  <c r="AL300" i="20"/>
  <c r="I303" i="20"/>
  <c r="T304" i="20"/>
  <c r="J306" i="20"/>
  <c r="AS316" i="20"/>
  <c r="AP316" i="20"/>
  <c r="AS329" i="20"/>
  <c r="AR329" i="20"/>
  <c r="T278" i="20"/>
  <c r="J280" i="20"/>
  <c r="J285" i="20"/>
  <c r="S286" i="20"/>
  <c r="AL289" i="20"/>
  <c r="S291" i="20"/>
  <c r="I292" i="20"/>
  <c r="AL294" i="20"/>
  <c r="J296" i="20"/>
  <c r="AK297" i="20"/>
  <c r="I298" i="20"/>
  <c r="AS314" i="20"/>
  <c r="AR314" i="20"/>
  <c r="J321" i="20"/>
  <c r="AK326" i="20"/>
  <c r="I318" i="20"/>
  <c r="AS331" i="20"/>
  <c r="AP331" i="20"/>
  <c r="AR286" i="20"/>
  <c r="AP288" i="20"/>
  <c r="AR294" i="20"/>
  <c r="AP296" i="20"/>
  <c r="AR302" i="20"/>
  <c r="AP304" i="20"/>
  <c r="AS306" i="20"/>
  <c r="S308" i="20"/>
  <c r="AL312" i="20"/>
  <c r="I315" i="20"/>
  <c r="J316" i="20"/>
  <c r="J318" i="20"/>
  <c r="I320" i="20"/>
  <c r="AK323" i="20"/>
  <c r="AK334" i="20"/>
  <c r="AS308" i="20"/>
  <c r="AP308" i="20"/>
  <c r="AL309" i="20"/>
  <c r="T310" i="20"/>
  <c r="T311" i="20"/>
  <c r="AS311" i="20"/>
  <c r="J313" i="20"/>
  <c r="AK322" i="20"/>
  <c r="AS328" i="20"/>
  <c r="AR328" i="20"/>
  <c r="J331" i="20"/>
  <c r="I333" i="20"/>
  <c r="T306" i="20"/>
  <c r="I307" i="20"/>
  <c r="I310" i="20"/>
  <c r="AK314" i="20"/>
  <c r="AK316" i="20"/>
  <c r="S332" i="20"/>
  <c r="AL332" i="20"/>
  <c r="AK337" i="20"/>
  <c r="AS346" i="20"/>
  <c r="AR346" i="20"/>
  <c r="J308" i="20"/>
  <c r="J310" i="20"/>
  <c r="I312" i="20"/>
  <c r="AL314" i="20"/>
  <c r="AK325" i="20"/>
  <c r="AL339" i="20"/>
  <c r="AK317" i="20"/>
  <c r="S318" i="20"/>
  <c r="S319" i="20"/>
  <c r="AK319" i="20"/>
  <c r="I321" i="20"/>
  <c r="S321" i="20"/>
  <c r="S323" i="20"/>
  <c r="AL325" i="20"/>
  <c r="I326" i="20"/>
  <c r="AP330" i="20"/>
  <c r="AS330" i="20"/>
  <c r="T337" i="20"/>
  <c r="AL348" i="20"/>
  <c r="AS349" i="20"/>
  <c r="AR349" i="20"/>
  <c r="AK351" i="20"/>
  <c r="AK352" i="20"/>
  <c r="AK324" i="20"/>
  <c r="AK329" i="20"/>
  <c r="S334" i="20"/>
  <c r="AL334" i="20"/>
  <c r="AK346" i="20"/>
  <c r="AL351" i="20"/>
  <c r="J323" i="20"/>
  <c r="AL324" i="20"/>
  <c r="AR324" i="20"/>
  <c r="AP326" i="20"/>
  <c r="AK331" i="20"/>
  <c r="T334" i="20"/>
  <c r="AR335" i="20"/>
  <c r="AL344" i="20"/>
  <c r="J353" i="20"/>
  <c r="AL355" i="20"/>
  <c r="S326" i="20"/>
  <c r="AL326" i="20"/>
  <c r="T329" i="20"/>
  <c r="AK336" i="20"/>
  <c r="J339" i="20"/>
  <c r="I344" i="20"/>
  <c r="J357" i="20"/>
  <c r="I325" i="20"/>
  <c r="T325" i="20"/>
  <c r="T326" i="20"/>
  <c r="S331" i="20"/>
  <c r="AL331" i="20"/>
  <c r="I335" i="20"/>
  <c r="AL335" i="20"/>
  <c r="I336" i="20"/>
  <c r="AS337" i="20"/>
  <c r="AR337" i="20"/>
  <c r="AK341" i="20"/>
  <c r="J345" i="20"/>
  <c r="AL347" i="20"/>
  <c r="AK332" i="20"/>
  <c r="J336" i="20"/>
  <c r="AS336" i="20"/>
  <c r="AR336" i="20"/>
  <c r="AL341" i="20"/>
  <c r="J342" i="20"/>
  <c r="J349" i="20"/>
  <c r="AL353" i="20"/>
  <c r="AS354" i="20"/>
  <c r="AR354" i="20"/>
  <c r="T355" i="20"/>
  <c r="S356" i="20"/>
  <c r="AK357" i="20"/>
  <c r="AK342" i="20"/>
  <c r="AK343" i="20"/>
  <c r="J344" i="20"/>
  <c r="J348" i="20"/>
  <c r="T348" i="20"/>
  <c r="AL349" i="20"/>
  <c r="S351" i="20"/>
  <c r="AL352" i="20"/>
  <c r="J356" i="20"/>
  <c r="T356" i="20"/>
  <c r="AL357" i="20"/>
  <c r="AK362" i="20"/>
  <c r="S342" i="20"/>
  <c r="AL343" i="20"/>
  <c r="I345" i="20"/>
  <c r="T346" i="20"/>
  <c r="AL346" i="20"/>
  <c r="AK350" i="20"/>
  <c r="T351" i="20"/>
  <c r="AS351" i="20"/>
  <c r="S352" i="20"/>
  <c r="I353" i="20"/>
  <c r="T354" i="20"/>
  <c r="AL354" i="20"/>
  <c r="AL362" i="20"/>
  <c r="AL368" i="20"/>
  <c r="AS369" i="20"/>
  <c r="AR369" i="20"/>
  <c r="AK371" i="20"/>
  <c r="AL373" i="20"/>
  <c r="AL376" i="20"/>
  <c r="T342" i="20"/>
  <c r="T343" i="20"/>
  <c r="AK345" i="20"/>
  <c r="S347" i="20"/>
  <c r="I349" i="20"/>
  <c r="S350" i="20"/>
  <c r="I352" i="20"/>
  <c r="AK353" i="20"/>
  <c r="S355" i="20"/>
  <c r="I357" i="20"/>
  <c r="AL360" i="20"/>
  <c r="AS372" i="20"/>
  <c r="AR372" i="20"/>
  <c r="AR340" i="20"/>
  <c r="AS343" i="20"/>
  <c r="AR343" i="20"/>
  <c r="AS350" i="20"/>
  <c r="AS360" i="20"/>
  <c r="I362" i="20"/>
  <c r="AK366" i="20"/>
  <c r="AL390" i="20"/>
  <c r="AK358" i="20"/>
  <c r="S368" i="20"/>
  <c r="S373" i="20"/>
  <c r="AS374" i="20"/>
  <c r="AR374" i="20"/>
  <c r="AS376" i="20"/>
  <c r="AK377" i="20"/>
  <c r="AP345" i="20"/>
  <c r="AR351" i="20"/>
  <c r="AP353" i="20"/>
  <c r="AL358" i="20"/>
  <c r="AS366" i="20"/>
  <c r="AR366" i="20"/>
  <c r="AL369" i="20"/>
  <c r="AL371" i="20"/>
  <c r="AK374" i="20"/>
  <c r="I375" i="20"/>
  <c r="S376" i="20"/>
  <c r="AL377" i="20"/>
  <c r="AR348" i="20"/>
  <c r="AR356" i="20"/>
  <c r="AK361" i="20"/>
  <c r="S363" i="20"/>
  <c r="AK363" i="20"/>
  <c r="I365" i="20"/>
  <c r="S365" i="20"/>
  <c r="T368" i="20"/>
  <c r="T371" i="20"/>
  <c r="I373" i="20"/>
  <c r="T373" i="20"/>
  <c r="AK379" i="20"/>
  <c r="AK387" i="20"/>
  <c r="T358" i="20"/>
  <c r="S360" i="20"/>
  <c r="AL364" i="20"/>
  <c r="I367" i="20"/>
  <c r="J368" i="20"/>
  <c r="J370" i="20"/>
  <c r="J372" i="20"/>
  <c r="J373" i="20"/>
  <c r="AL374" i="20"/>
  <c r="J375" i="20"/>
  <c r="T376" i="20"/>
  <c r="I377" i="20"/>
  <c r="AS358" i="20"/>
  <c r="AR358" i="20"/>
  <c r="T360" i="20"/>
  <c r="AL361" i="20"/>
  <c r="T362" i="20"/>
  <c r="T363" i="20"/>
  <c r="AS363" i="20"/>
  <c r="J365" i="20"/>
  <c r="S379" i="20"/>
  <c r="AL379" i="20"/>
  <c r="I383" i="20"/>
  <c r="AS391" i="20"/>
  <c r="AR391" i="20"/>
  <c r="AS392" i="20"/>
  <c r="AL394" i="20"/>
  <c r="AS398" i="20"/>
  <c r="AR398" i="20"/>
  <c r="AP387" i="20"/>
  <c r="AS389" i="20"/>
  <c r="AK392" i="20"/>
  <c r="AL385" i="20"/>
  <c r="AL393" i="20"/>
  <c r="AL398" i="20"/>
  <c r="AR371" i="20"/>
  <c r="AR379" i="20"/>
  <c r="AS381" i="20"/>
  <c r="AL387" i="20"/>
  <c r="AK390" i="20"/>
  <c r="AK403" i="20"/>
  <c r="AR360" i="20"/>
  <c r="AR368" i="20"/>
  <c r="J389" i="20"/>
  <c r="T390" i="20"/>
  <c r="AS390" i="20"/>
  <c r="AR390" i="20"/>
  <c r="T392" i="20"/>
  <c r="J393" i="20"/>
  <c r="J397" i="20"/>
  <c r="AS399" i="20"/>
  <c r="AR399" i="20"/>
  <c r="AL402" i="20"/>
  <c r="AL403" i="20"/>
  <c r="AR373" i="20"/>
  <c r="I381" i="20"/>
  <c r="I382" i="20"/>
  <c r="AK382" i="20"/>
  <c r="AS383" i="20"/>
  <c r="S387" i="20"/>
  <c r="I391" i="20"/>
  <c r="AS393" i="20"/>
  <c r="AK400" i="20"/>
  <c r="AK401" i="20"/>
  <c r="I404" i="20"/>
  <c r="I380" i="20"/>
  <c r="J381" i="20"/>
  <c r="T382" i="20"/>
  <c r="AS382" i="20"/>
  <c r="AR382" i="20"/>
  <c r="T387" i="20"/>
  <c r="I388" i="20"/>
  <c r="S388" i="20"/>
  <c r="AK395" i="20"/>
  <c r="S401" i="20"/>
  <c r="AL401" i="20"/>
  <c r="J402" i="20"/>
  <c r="S403" i="20"/>
  <c r="T404" i="20"/>
  <c r="AP405" i="20" l="1"/>
  <c r="AR405" i="20"/>
  <c r="AN405" i="20" l="1"/>
  <c r="AM405" i="20"/>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I10" i="10"/>
  <c r="H10" i="10"/>
  <c r="G10" i="10"/>
  <c r="I9" i="10"/>
  <c r="H9" i="10"/>
  <c r="G9" i="10"/>
  <c r="I8" i="10"/>
  <c r="H8" i="10"/>
  <c r="G8" i="10"/>
  <c r="I7" i="10"/>
  <c r="H7" i="10"/>
  <c r="G7" i="10"/>
  <c r="I6" i="10"/>
  <c r="H6" i="10"/>
  <c r="G6" i="10"/>
  <c r="I5" i="10"/>
  <c r="H5" i="10"/>
  <c r="G5" i="10"/>
  <c r="I4" i="10"/>
  <c r="H4" i="10"/>
  <c r="G4" i="10"/>
  <c r="I3" i="10"/>
  <c r="H3" i="10"/>
  <c r="G3" i="10"/>
  <c r="I2" i="10"/>
  <c r="H2" i="10"/>
  <c r="G2" i="10"/>
  <c r="BH408" i="12"/>
  <c r="BH407" i="12"/>
  <c r="BH406" i="12"/>
  <c r="BC408" i="12"/>
  <c r="BC407" i="12"/>
  <c r="BC406" i="12"/>
  <c r="AX408" i="12"/>
  <c r="AX407" i="12"/>
  <c r="AX406" i="12"/>
  <c r="AS408" i="12"/>
  <c r="AS407" i="12"/>
  <c r="AS406" i="12"/>
  <c r="AN408" i="12"/>
  <c r="AN407" i="12"/>
  <c r="AN406" i="12"/>
  <c r="AI408" i="12"/>
  <c r="AI407" i="12"/>
  <c r="AI406" i="12"/>
  <c r="AD408" i="12"/>
  <c r="AD407" i="12"/>
  <c r="AD406" i="12"/>
  <c r="Y408" i="12"/>
  <c r="Y407" i="12"/>
  <c r="Y406" i="12"/>
  <c r="BH409" i="12"/>
  <c r="BC409" i="12"/>
  <c r="T408" i="12"/>
  <c r="T407" i="12"/>
  <c r="T406" i="12"/>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A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AG319" i="12" l="1"/>
  <c r="AO402" i="12"/>
  <c r="AO274" i="12"/>
  <c r="BA347" i="12"/>
  <c r="BA203" i="12"/>
  <c r="W369" i="12"/>
  <c r="AV396" i="12"/>
  <c r="W347" i="12"/>
  <c r="AQ327" i="12"/>
  <c r="AQ263" i="12"/>
  <c r="BD358" i="12"/>
  <c r="R361" i="12"/>
  <c r="AE350" i="12"/>
  <c r="AG231" i="12"/>
  <c r="AL371" i="12"/>
  <c r="AO250" i="12"/>
  <c r="AQ199" i="12"/>
  <c r="AV370" i="12"/>
  <c r="R339" i="12"/>
  <c r="U299" i="12"/>
  <c r="AE222" i="12"/>
  <c r="AL362" i="12"/>
  <c r="AO210" i="12"/>
  <c r="AV332" i="12"/>
  <c r="U267" i="12"/>
  <c r="AL283" i="12"/>
  <c r="AV306" i="12"/>
  <c r="BA275" i="12"/>
  <c r="AJ286" i="12"/>
  <c r="AL202" i="12"/>
  <c r="AT228" i="12"/>
  <c r="AV236" i="12"/>
  <c r="AG310" i="12"/>
  <c r="AJ262" i="12"/>
  <c r="BI264" i="12"/>
  <c r="AB400" i="12"/>
  <c r="AG374" i="12"/>
  <c r="AQ391" i="12"/>
  <c r="BD233" i="12"/>
  <c r="W365" i="12"/>
  <c r="W293" i="12"/>
  <c r="AG391" i="12"/>
  <c r="AG223" i="12"/>
  <c r="AL275" i="12"/>
  <c r="AQ381" i="12"/>
  <c r="AQ317" i="12"/>
  <c r="AQ253" i="12"/>
  <c r="AV386" i="12"/>
  <c r="AV322" i="12"/>
  <c r="AV228" i="12"/>
  <c r="BA339" i="12"/>
  <c r="BA267" i="12"/>
  <c r="BA199" i="12"/>
  <c r="BD344" i="12"/>
  <c r="BI200" i="12"/>
  <c r="R297" i="12"/>
  <c r="U222" i="12"/>
  <c r="W349" i="12"/>
  <c r="W261" i="12"/>
  <c r="AE262" i="12"/>
  <c r="AG383" i="12"/>
  <c r="AG295" i="12"/>
  <c r="AG214" i="12"/>
  <c r="AL347" i="12"/>
  <c r="AL266" i="12"/>
  <c r="AO226" i="12"/>
  <c r="AQ375" i="12"/>
  <c r="AQ311" i="12"/>
  <c r="AQ247" i="12"/>
  <c r="AV380" i="12"/>
  <c r="AV316" i="12"/>
  <c r="AV194" i="12"/>
  <c r="BA403" i="12"/>
  <c r="BA331" i="12"/>
  <c r="BA263" i="12"/>
  <c r="BD334" i="12"/>
  <c r="R275" i="12"/>
  <c r="W197" i="12"/>
  <c r="AG287" i="12"/>
  <c r="AG199" i="12"/>
  <c r="AL339" i="12"/>
  <c r="AL251" i="12"/>
  <c r="AQ365" i="12"/>
  <c r="AQ301" i="12"/>
  <c r="AQ237" i="12"/>
  <c r="BA395" i="12"/>
  <c r="BA327" i="12"/>
  <c r="BA241" i="12"/>
  <c r="BD326" i="12"/>
  <c r="R233" i="12"/>
  <c r="W341" i="12"/>
  <c r="AB320" i="12"/>
  <c r="AE206" i="12"/>
  <c r="AG359" i="12"/>
  <c r="AG278" i="12"/>
  <c r="AL330" i="12"/>
  <c r="AL243" i="12"/>
  <c r="AO378" i="12"/>
  <c r="AQ359" i="12"/>
  <c r="AQ295" i="12"/>
  <c r="AQ231" i="12"/>
  <c r="AV364" i="12"/>
  <c r="AV300" i="12"/>
  <c r="BA391" i="12"/>
  <c r="BA305" i="12"/>
  <c r="BD398" i="12"/>
  <c r="BD312"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AX409" i="12"/>
  <c r="AS409" i="12"/>
  <c r="AN409" i="12"/>
  <c r="AI409" i="12"/>
  <c r="AD409" i="12"/>
  <c r="Y409" i="12"/>
  <c r="T409" i="12"/>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B3" i="1" l="1"/>
  <c r="B2" i="1"/>
  <c r="B4" i="1"/>
  <c r="B2" i="2"/>
  <c r="B4" i="2"/>
  <c r="B3" i="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D3" i="8"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C4" i="2" s="1"/>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B3" i="5" l="1"/>
  <c r="D3" i="2"/>
  <c r="C4" i="3"/>
  <c r="B3" i="7"/>
  <c r="R407" i="12"/>
  <c r="D4" i="6"/>
  <c r="E54" i="11" s="1"/>
  <c r="B2" i="9"/>
  <c r="C81" i="11" s="1"/>
  <c r="C3" i="5"/>
  <c r="D43" i="11" s="1"/>
  <c r="C3" i="4"/>
  <c r="D33" i="11" s="1"/>
  <c r="AT405" i="12"/>
  <c r="B7" i="10" s="1"/>
  <c r="D2" i="3"/>
  <c r="E22" i="11" s="1"/>
  <c r="C3" i="6"/>
  <c r="D53" i="11" s="1"/>
  <c r="D2" i="7"/>
  <c r="E62" i="11" s="1"/>
  <c r="D4" i="4"/>
  <c r="E34" i="11" s="1"/>
  <c r="B4" i="4"/>
  <c r="C34" i="11" s="1"/>
  <c r="C2" i="7"/>
  <c r="D62" i="11" s="1"/>
  <c r="B4" i="3"/>
  <c r="C24" i="11" s="1"/>
  <c r="AY405" i="12"/>
  <c r="B8" i="10" s="1"/>
  <c r="BD405" i="12"/>
  <c r="B9" i="10" s="1"/>
  <c r="B3" i="6"/>
  <c r="C53" i="11" s="1"/>
  <c r="D2" i="6"/>
  <c r="E52" i="11" s="1"/>
  <c r="D4" i="1"/>
  <c r="E5" i="11" s="1"/>
  <c r="D3" i="5"/>
  <c r="W407" i="12"/>
  <c r="D3" i="6"/>
  <c r="E53" i="11" s="1"/>
  <c r="C2" i="1"/>
  <c r="D3" i="11" s="1"/>
  <c r="B3" i="3"/>
  <c r="C4" i="8"/>
  <c r="D73" i="11" s="1"/>
  <c r="AB407" i="12"/>
  <c r="C4" i="7"/>
  <c r="D64" i="11" s="1"/>
  <c r="D3" i="4"/>
  <c r="E33" i="11" s="1"/>
  <c r="C2" i="2"/>
  <c r="D12" i="11" s="1"/>
  <c r="D4" i="5"/>
  <c r="E44" i="11" s="1"/>
  <c r="D3" i="3"/>
  <c r="E23" i="11" s="1"/>
  <c r="R408" i="12"/>
  <c r="AJ405" i="12"/>
  <c r="B5" i="10" s="1"/>
  <c r="C2" i="9"/>
  <c r="D81" i="11" s="1"/>
  <c r="C4" i="9"/>
  <c r="D83" i="11" s="1"/>
  <c r="C3" i="9"/>
  <c r="D82" i="11" s="1"/>
  <c r="BI405" i="12"/>
  <c r="B10" i="10" s="1"/>
  <c r="D4" i="2"/>
  <c r="E14" i="11" s="1"/>
  <c r="AQ406" i="12"/>
  <c r="C3" i="1"/>
  <c r="D4" i="11" s="1"/>
  <c r="B2" i="3"/>
  <c r="C22" i="11" s="1"/>
  <c r="B2" i="8"/>
  <c r="C71" i="11" s="1"/>
  <c r="C2" i="3"/>
  <c r="D22" i="11" s="1"/>
  <c r="C3" i="7"/>
  <c r="D63" i="11" s="1"/>
  <c r="AG408" i="12"/>
  <c r="C3" i="2"/>
  <c r="D13" i="11" s="1"/>
  <c r="AL406" i="12"/>
  <c r="D2" i="1"/>
  <c r="U405" i="12"/>
  <c r="B2" i="10" s="1"/>
  <c r="Z405" i="12"/>
  <c r="B3" i="10" s="1"/>
  <c r="AE405" i="12"/>
  <c r="B4" i="10" s="1"/>
  <c r="W406" i="12"/>
  <c r="AQ408" i="12"/>
  <c r="AV406" i="12"/>
  <c r="D4" i="8"/>
  <c r="E73" i="11" s="1"/>
  <c r="AB408" i="12"/>
  <c r="C4" i="4"/>
  <c r="D34" i="11" s="1"/>
  <c r="B3" i="9"/>
  <c r="C82" i="11" s="1"/>
  <c r="D2" i="5"/>
  <c r="E42" i="11" s="1"/>
  <c r="D3" i="1"/>
  <c r="E4" i="11" s="1"/>
  <c r="AO405" i="12"/>
  <c r="B6" i="10" s="1"/>
  <c r="W408" i="12"/>
  <c r="AV407" i="12"/>
  <c r="B4" i="8"/>
  <c r="C73" i="11" s="1"/>
  <c r="BA406" i="12"/>
  <c r="C3" i="3"/>
  <c r="D23" i="11" s="1"/>
  <c r="C2" i="5"/>
  <c r="D42" i="11" s="1"/>
  <c r="C2" i="4"/>
  <c r="D32" i="11" s="1"/>
  <c r="B4" i="9"/>
  <c r="C83" i="11" s="1"/>
  <c r="AL407" i="12"/>
  <c r="D2" i="2"/>
  <c r="E12" i="11" s="1"/>
  <c r="B4" i="5"/>
  <c r="C44" i="11" s="1"/>
  <c r="D3" i="7"/>
  <c r="E63" i="11" s="1"/>
  <c r="BA408" i="12"/>
  <c r="C2" i="8"/>
  <c r="D71" i="11" s="1"/>
  <c r="C4" i="5"/>
  <c r="D44" i="11" s="1"/>
  <c r="AL408" i="12"/>
  <c r="B2" i="4"/>
  <c r="C32" i="11" s="1"/>
  <c r="R406" i="12"/>
  <c r="B2" i="5"/>
  <c r="C42" i="11" s="1"/>
  <c r="AV408" i="12"/>
  <c r="B3" i="8"/>
  <c r="C72" i="11" s="1"/>
  <c r="BA407" i="12"/>
  <c r="B2" i="6"/>
  <c r="C52" i="11" s="1"/>
  <c r="AG406" i="12"/>
  <c r="C4" i="6"/>
  <c r="D54" i="11" s="1"/>
  <c r="B3" i="4"/>
  <c r="C33" i="11" s="1"/>
  <c r="B4" i="7"/>
  <c r="C64" i="11" s="1"/>
  <c r="AQ407" i="12"/>
  <c r="D4" i="7"/>
  <c r="E64" i="11" s="1"/>
  <c r="C3" i="8"/>
  <c r="D72" i="11" s="1"/>
  <c r="D2" i="8"/>
  <c r="E71" i="11" s="1"/>
  <c r="B4" i="6"/>
  <c r="C54" i="11" s="1"/>
  <c r="D2" i="4"/>
  <c r="E32" i="11" s="1"/>
  <c r="AG407" i="12"/>
  <c r="C2" i="6"/>
  <c r="D52" i="11" s="1"/>
  <c r="D4" i="3"/>
  <c r="E24" i="11" s="1"/>
  <c r="B2" i="7"/>
  <c r="C62" i="11" s="1"/>
  <c r="D4" i="9"/>
  <c r="E83" i="11" s="1"/>
  <c r="BF408" i="12"/>
  <c r="BF407" i="12"/>
  <c r="BF406" i="12"/>
  <c r="D3" i="9"/>
  <c r="E82" i="11" s="1"/>
  <c r="D2" i="9"/>
  <c r="E81" i="11" s="1"/>
  <c r="C4" i="1"/>
  <c r="D5" i="11" s="1"/>
  <c r="AB406" i="12"/>
  <c r="E72" i="11"/>
  <c r="E13" i="11"/>
  <c r="C5" i="11"/>
  <c r="C23" i="11"/>
  <c r="C14" i="11"/>
  <c r="C13" i="11"/>
  <c r="C12" i="11"/>
  <c r="E43" i="11"/>
  <c r="E3" i="11"/>
  <c r="C63" i="11"/>
  <c r="C4" i="11"/>
  <c r="C3" i="11"/>
  <c r="D14" i="11"/>
  <c r="C43" i="11"/>
  <c r="D24" i="11"/>
  <c r="BA409" i="12" l="1"/>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J9" i="10" l="1"/>
  <c r="K6" i="10"/>
  <c r="K9" i="10"/>
  <c r="K3" i="10"/>
  <c r="L6"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M2" i="10" l="1"/>
  <c r="E9" i="10"/>
  <c r="M9" i="10"/>
  <c r="M6"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0C1F07DD-6E4D-4930-8DAD-525B8251743B}" keepAlive="1" name="Query - step3_calibration" description="Connection to the 'step3_calibration' query in the workbook." type="5" refreshedVersion="0" background="1" saveData="1">
    <dbPr connection="Provider=Microsoft.Mashup.OleDb.1;Data Source=$Workbook$;Location=step3_calibration;Extended Properties=&quot;&quot;" command="SELECT * FROM [step3_calibration]"/>
  </connection>
  <connection id="5" xr16:uid="{F87937FA-2AC0-43F8-948E-C54F24A6CCDF}" keepAlive="1" name="Query - step3_calibration (10)" description="Connection to the 'step3_calibration (10)' query in the workbook." type="5" refreshedVersion="0" background="1" saveData="1">
    <dbPr connection="Provider=Microsoft.Mashup.OleDb.1;Data Source=$Workbook$;Location=&quot;step3_calibration (10)&quot;;Extended Properties=&quot;&quot;" command="SELECT * FROM [step3_calibration (10)]"/>
  </connection>
  <connection id="6" xr16:uid="{097249A5-EECC-4B55-960B-DF79FFA18DB8}" keepAlive="1" name="Query - step3_calibration (11)" description="Connection to the 'step3_calibration (11)' query in the workbook." type="5" refreshedVersion="0" background="1" saveData="1">
    <dbPr connection="Provider=Microsoft.Mashup.OleDb.1;Data Source=$Workbook$;Location=&quot;step3_calibration (11)&quot;;Extended Properties=&quot;&quot;" command="SELECT * FROM [step3_calibration (11)]"/>
  </connection>
  <connection id="7" xr16:uid="{9149ED3D-A7CC-44A6-B3A1-4D9DE4DD6695}" keepAlive="1" name="Query - step3_calibration (2)" description="Connection to the 'step3_calibration (2)' query in the workbook." type="5" refreshedVersion="0" background="1" saveData="1">
    <dbPr connection="Provider=Microsoft.Mashup.OleDb.1;Data Source=$Workbook$;Location=&quot;step3_calibration (2)&quot;;Extended Properties=&quot;&quot;" command="SELECT * FROM [step3_calibration (2)]"/>
  </connection>
  <connection id="8" xr16:uid="{1C97B903-722F-4545-A7C7-BD62DA2565C3}" keepAlive="1" name="Query - step3_calibration (3)" description="Connection to the 'step3_calibration (3)' query in the workbook." type="5" refreshedVersion="8" background="1" saveData="1">
    <dbPr connection="Provider=Microsoft.Mashup.OleDb.1;Data Source=$Workbook$;Location=&quot;step3_calibration (3)&quot;;Extended Properties=&quot;&quot;" command="SELECT * FROM [step3_calibration (3)]"/>
  </connection>
  <connection id="9" xr16:uid="{2BDB6015-4C61-458A-827A-6CB5CACB3788}" keepAlive="1" name="Query - step3_calibration (4)" description="Connection to the 'step3_calibration (4)' query in the workbook." type="5" refreshedVersion="8" background="1" saveData="1">
    <dbPr connection="Provider=Microsoft.Mashup.OleDb.1;Data Source=$Workbook$;Location=&quot;step3_calibration (4)&quot;;Extended Properties=&quot;&quot;" command="SELECT * FROM [step3_calibration (4)]"/>
  </connection>
  <connection id="10" xr16:uid="{017B4B31-2551-4E5F-9273-EFE6DEEDF3C8}" keepAlive="1" name="Query - step3_calibration (5)" description="Connection to the 'step3_calibration (5)' query in the workbook." type="5" refreshedVersion="0" background="1" saveData="1">
    <dbPr connection="Provider=Microsoft.Mashup.OleDb.1;Data Source=$Workbook$;Location=&quot;step3_calibration (5)&quot;;Extended Properties=&quot;&quot;" command="SELECT * FROM [step3_calibration (5)]"/>
  </connection>
  <connection id="11" xr16:uid="{B9EC7FF7-EE1B-44D2-B8A2-FD39C3D7603B}" keepAlive="1" name="Query - step3_calibration (6)" description="Connection to the 'step3_calibration (6)' query in the workbook." type="5" refreshedVersion="8" background="1" saveData="1">
    <dbPr connection="Provider=Microsoft.Mashup.OleDb.1;Data Source=$Workbook$;Location=&quot;step3_calibration (6)&quot;;Extended Properties=&quot;&quot;" command="SELECT * FROM [step3_calibration (6)]"/>
  </connection>
  <connection id="12" xr16:uid="{7371B640-93A2-4F66-B5BA-5C921A295E3F}" keepAlive="1" name="Query - step3_calibration (7)" description="Connection to the 'step3_calibration (7)' query in the workbook." type="5" refreshedVersion="8" background="1" saveData="1">
    <dbPr connection="Provider=Microsoft.Mashup.OleDb.1;Data Source=$Workbook$;Location=&quot;step3_calibration (7)&quot;;Extended Properties=&quot;&quot;" command="SELECT * FROM [step3_calibration (7)]"/>
  </connection>
  <connection id="13" xr16:uid="{10D89DD9-12FC-49E8-A97E-7E3F9DD6E2EB}" keepAlive="1" name="Query - step3_calibration (8)" description="Connection to the 'step3_calibration (8)' query in the workbook." type="5" refreshedVersion="0" background="1" saveData="1">
    <dbPr connection="Provider=Microsoft.Mashup.OleDb.1;Data Source=$Workbook$;Location=&quot;step3_calibration (8)&quot;;Extended Properties=&quot;&quot;" command="SELECT * FROM [step3_calibration (8)]"/>
  </connection>
  <connection id="14" xr16:uid="{5DD0B30A-6397-44D9-9D84-C3AA432B5E71}" keepAlive="1" name="Query - step3_calibration (9)" description="Connection to the 'step3_calibration (9)' query in the workbook." type="5" refreshedVersion="8" background="1" saveData="1">
    <dbPr connection="Provider=Microsoft.Mashup.OleDb.1;Data Source=$Workbook$;Location=&quot;step3_calibration (9)&quot;;Extended Properties=&quot;&quot;" command="SELECT * FROM [step3_calibration (9)]"/>
  </connection>
  <connection id="15"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16"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17"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18"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19"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20"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<sst xmlns="http://schemas.openxmlformats.org/spreadsheetml/2006/main" count="9206" uniqueCount="3824">
  <si>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</si>
  <si>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</si>
  <si>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</si>
  <si>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</si>
  <si>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</si>
  <si>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</si>
  <si>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</si>
  <si>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</si>
  <si>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</si>
  <si>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</si>
  <si>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</si>
  <si>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</si>
  <si>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</si>
  <si>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</si>
  <si>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</si>
  <si>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</si>
  <si>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</si>
  <si>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</si>
  <si>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</si>
  <si>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</si>
  <si>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</si>
  <si>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</si>
  <si>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</si>
  <si>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</si>
  <si>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</si>
  <si>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</si>
  <si>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</si>
  <si>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</si>
  <si>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</si>
  <si>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</si>
  <si>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</si>
  <si>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</si>
  <si>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</si>
  <si>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</si>
  <si>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</si>
  <si>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</si>
  <si>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</si>
  <si>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</si>
  <si>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</si>
  <si>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</si>
  <si>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</si>
  <si>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</si>
  <si>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</si>
  <si>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</si>
  <si>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</si>
  <si>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</si>
  <si>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</si>
  <si>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</si>
  <si>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</si>
  <si>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</si>
  <si>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</si>
  <si>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</si>
  <si>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</si>
  <si>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</si>
  <si>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</si>
  <si>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</si>
  <si>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</si>
  <si>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</si>
  <si>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</si>
  <si>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</si>
  <si>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</si>
  <si>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</si>
  <si>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</si>
  <si>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</si>
  <si>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</si>
  <si>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</si>
  <si>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</si>
  <si>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</si>
  <si>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</si>
  <si>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</si>
  <si>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</si>
  <si>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</si>
  <si>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</si>
  <si>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</si>
  <si>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</si>
  <si>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</si>
  <si>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</si>
  <si>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</si>
  <si>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</si>
  <si>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</si>
  <si>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</si>
  <si>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</si>
  <si>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</si>
  <si>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</si>
  <si>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</si>
  <si>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</si>
  <si>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</si>
  <si>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</si>
  <si>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</si>
  <si>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</si>
  <si>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</si>
  <si>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</si>
  <si>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</si>
  <si>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</si>
  <si>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</si>
  <si>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</si>
  <si>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</si>
  <si>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</si>
  <si>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</si>
  <si>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</si>
  <si>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</si>
  <si>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</si>
  <si>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</si>
  <si>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</si>
  <si>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</si>
  <si>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</si>
  <si>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</si>
  <si>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</si>
  <si>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</si>
  <si>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</si>
  <si>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</si>
  <si>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</si>
  <si>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</si>
  <si>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</si>
  <si>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</si>
  <si>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</si>
  <si>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</si>
  <si>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</si>
  <si>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</si>
  <si>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</si>
  <si>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</si>
  <si>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</si>
  <si>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</si>
  <si>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</si>
  <si>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</si>
  <si>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</si>
  <si>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</si>
  <si>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</si>
  <si>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</si>
  <si>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</si>
  <si>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</si>
  <si>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</si>
  <si>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</si>
  <si>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</si>
  <si>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</si>
  <si>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</si>
  <si>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</si>
  <si>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</si>
  <si>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</si>
  <si>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</si>
  <si>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</si>
  <si>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</si>
  <si>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</si>
  <si>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</si>
  <si>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</si>
  <si>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</si>
  <si>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</si>
  <si>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</si>
  <si>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</si>
  <si>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</si>
  <si>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</si>
  <si>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</si>
  <si>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</si>
  <si>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</si>
  <si>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</si>
  <si>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</si>
  <si>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</si>
  <si>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</si>
  <si>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</si>
  <si>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</si>
  <si>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</si>
  <si>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</si>
  <si>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</si>
  <si>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</si>
  <si>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</si>
  <si>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</si>
  <si>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</si>
  <si>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</si>
  <si>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</si>
  <si>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</si>
  <si>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</si>
  <si>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</si>
  <si>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</si>
  <si>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</si>
  <si>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</si>
  <si>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</si>
  <si>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</si>
  <si>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</si>
  <si>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</si>
  <si>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</si>
  <si>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</si>
  <si>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</si>
  <si>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</si>
  <si>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</si>
  <si>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</si>
  <si>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</si>
  <si>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</si>
  <si>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</si>
  <si>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</si>
  <si>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</si>
  <si>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</si>
  <si>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</si>
  <si>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</si>
  <si>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</si>
  <si>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</si>
  <si>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</si>
  <si>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</si>
  <si>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</si>
  <si>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</si>
  <si>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</si>
  <si>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</si>
  <si>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</si>
  <si>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</si>
  <si>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</si>
  <si>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</si>
  <si>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</si>
  <si>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</si>
  <si>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</si>
  <si>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</si>
  <si>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</si>
  <si>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</si>
  <si>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</si>
  <si>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</si>
  <si>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</si>
  <si>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</si>
  <si>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</si>
  <si>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
  </si>
  <si>
    <t>Biểu thuế được đơn giản hóa từ 7 bậc xuống còn 5 bậc, dễ hiểu và thực hiện hơn.</t>
  </si>
  <si>
    <t>Biểu thuế mới đơn giản hơn so với trước đây, dễ hiểu và thực hiện nhanh chóng hơn.</t>
  </si>
  <si>
    <t>Mức giảm trừ gia cảnh tăng, thủ tục khai báo đơn giản hơn so với trước đây.</t>
  </si>
  <si>
    <t>Cách tính thuế và các bậc thuế trong phương án mới đơn giản hơn, giúp người nộp thuế dễ hiểu và thực hiện.</t>
  </si>
  <si>
    <t>Tôi tin rằng số tiền thuế đóng sẽ được sử dụng hiệu quả cho các dịch vụ công, đặc biệt là y tế và giao thông.</t>
  </si>
  <si>
    <t>Nguyên tắc của thuế phải công bằng, minh bạch. Các quy định quản lý thuế hiện nay tăng mức giảm trừ gia cảnh, giúp người nộp thuế tiết kiệm tiền và dễ dàng tuân thủ. Việc đơn giản hóa biểu thuế cũng giúp người dân hiểu rõ hơn.</t>
  </si>
  <si>
    <t>Công nghệ ngày càng phát triển, hệ thống quản lý thuế hiện đại sẽ dễ dàng phát hiện các hành vi trốn thuế và xử lý nghiêm minh. Cơ quan thuế cũng có nhiều nguồn lực để thực hiện chức năng này.</t>
  </si>
  <si>
    <t>Thay đổi biểu thuế với ít bậc hơn, cùng việc tăng mức giảm trừ gia cảnh sẽ giúp quy trình khai báo thuế trở nên đơn giản và nhanh chóng hơn. Người dân không còn cảm thấy bị áp lực khi phải đối mặt với nhiều bậc thuế.</t>
  </si>
  <si>
    <t>Biểu thuế mới đã được đơn giản hóa, dễ hiểu hơn so với trước đây. Việc giảm số bậc thuế cũng giúp người nộp thuế dễ dàng tính toán và kê khai đúng</t>
  </si>
  <si>
    <t>Nhà nước đã cải cách để tăng mức giảm trừ gia cảnh và đơn giản hóa biểu thuế, điều này thể hiện sự công bằng trong việc phân bổ nghĩa vụ thuế giữa các đối tượng. Cơ quan thuế cũng cần phải thực thi chính sách một cách khách quan</t>
  </si>
  <si>
    <t>Nhìn chung mức thuế mới có thể hợp lý hơn so với trước đây, đặc biệt là sau khi tính toán giảm trừ gia cảnh. Tuy nhiên, việc áp dụng mức thuế này còn phụ thuộc vào thu nhập cụ thể của từng người</t>
  </si>
  <si>
    <t>Thuế đóng góp quan trọng vào việc xây dựng cơ sở hạ tầng và dịch vụ công chất lượng. Việc cải cách thuế giúp tăng nguồn thu cho ngân sách, từ đó có thể sử dụng hiệu quả hơn cho các mục đích này</t>
  </si>
  <si>
    <t>Nhà nước đã giải thích rõ ràng về mức giảm trừ gia cảnh và đơn giản hóa biểu thuế. Tuy nhiên, việc minh bạch hoàn toàn còn phụ thuộc vào cách thông tin được truyền đạt đến người dân</t>
  </si>
  <si>
    <t>Dù các cải cách mang lại lợi ích tài chính nhưng tôi vẫn giữ mức độ nghi ngờ cao về thực thi chính sách. Tuy nhiên, việc đơn giản hóa quy trình thuế và tăng giảm trừ gia cảnh khiến tôi sẵn sàng tuân thủ hơn</t>
  </si>
  <si>
    <t>Biện pháp quản lý thuế mới có thể tăng cường phát hiện trốn thuế, nhưng vẫn cần công nghệ hỗ trợ để thực thi hiệu quả.</t>
  </si>
  <si>
    <t>Công nghệ hiện đại giúp Nhà nước và cơ quan thuế kiểm soát tốt hơn, giảm rủi ro trốn thuế.</t>
  </si>
  <si>
    <t>Mức giảm trừ gia cảnh tăng có thể đơn giản hóa quy trình khai báo, nhưng vẫn cần thời gian để làm quen.</t>
  </si>
  <si>
    <t>Biểu thuế được đơn giản hóa nên dễ hiểu hơn, nhưng việc chuyển đổi từ biểu cũ đến mới có thể gây bất tiện tạm thời.</t>
  </si>
  <si>
    <t>Nhà nước đã tăng giảm trừ gia cảnh và đơn giản hóa biểu thuế, thể hiện sự công bằng trong cách phân chia gánh nặng thuế giữa các đối tượng.</t>
  </si>
  <si>
    <t>Mức thuế mới được thiết lập dựa trên thu nhập cá nhân nên tôi thấy là hợp lý, nhưng cần xem xét việc điều chỉnh này có thực sự công bằng hay không.</t>
  </si>
  <si>
    <t>Giảm trừ gia cảnh tăng và đơn giản hóa biểu thuế sẽ giúp cải thiện dịch vụ công, nhưng hiệu quả cụ thể phụ thuộc vào cách sử dụng nguồn thu từ thuế.</t>
  </si>
  <si>
    <t>Thông tin về sửa đổi thuế được cung cấp đầy đủ, nhưng cần thời gian để hiểu rõ và thuyết phục mọi người về tính công bằng của việc này.</t>
  </si>
  <si>
    <t>Quy định mới có lợi cho tôi với mức giảm trừ gia cảnh tăng, nhưng vẫn cần cân nhắc giữa nghĩa vụ thuế và quyền lợi cá nhân.</t>
  </si>
  <si>
    <t>Cải cách thuế TNCN đã tăng mức giảm trừ gia cảnh, điều này làm giảm gánh nặng tài chính cho người dân. Số bậc thuế đơn giản hơn cũng giúp việc khai báo dễ dàng và ít sai sót, nâng cao khả năng phát hiện trốn thuế.</t>
  </si>
  <si>
    <t>Phát triển công nghệ trong quản lý thuế đã hỗ trợ hiệu quả trong việc theo dõi và giám sát các giao dịch tài chính. Tuy nhiên, vẫn còn một số rủi ro liên quan đến vấn đề bảo mật và khả năng phát hiện trốn thuế.</t>
  </si>
  <si>
    <t>Các quy định mới đơn giản hóa quy trình khai báo thuế, giảm bớt các thủ tục phiền phức. Mức giảm trừ gia cảnh tăng giúp việc tính toán thu nhập chịu thuế trở nên thuận tiện hơn.</t>
  </si>
  <si>
    <t>Biểu thuế mới với số bậc giảm đi làm quá trình tính thuế dễ hiểu và đơn giản hơn. Tuy nhiên, cần thêm thời gian để mọi người quen thuộc với cách tính mới này.</t>
  </si>
  <si>
    <t>Nhà nước đã tăng mức giảm trừ gia cảnh, giúp phần lớn người dân được hưởng lợi về mặt tài chính. Điều này tạo niềm tin rằng chính sách mới là khách quan và công bằng.</t>
  </si>
  <si>
    <t>Mức thuế mới phù hợp với thu nhập của tôi, do đó tôi thấy nó là công bằng. Tuy nhiên, cần thêm thời gian để quen thuộc với các bậc thuế mới này.</t>
  </si>
  <si>
    <t>Nhà nước đã sử dụng một phần tiền thuế để cải thiện dịch vụ công như y tế và giáo dục. Điều này làm tăng niềm tin rằng thuế đóng góp vào sự phát triển chung của xã hội.</t>
  </si>
  <si>
    <t>Chính phủ đã công bố thông tin về việc sửa đổi thuế một cách minh bạch, giúp tôi hiểu rõ hơn về mục đích và lý do cải cách. Điều này tăng sự tin tưởng vào quyết định của họ.</t>
  </si>
  <si>
    <t>Trong tổng thể, các thay đổi mang lại nhiều lợi ích cho người dân như giảm gánh nặng thuế và đơn giản hóa quy trình khai báo. Tôi ủng hộ chính sách mới nhưng vẫn cần thêm thời gian để quen thuộc.</t>
  </si>
  <si>
    <t>Các quy định quản lý thuế hiện nay có nhiều cải tiến, nhưng việc phát hiện và xử lý trốn thuế vẫn phụ thuộc vào sự thực thi. Công nghệ hiện đại giúp tăng cường khả năng phát hiện, nhưng không hoàn toàn loại bỏ rủi ro gian lận.</t>
  </si>
  <si>
    <t>Công nghệ hiện đại như AI và blockchain đã được áp dụng để phát hiện trốn thuế. Tuy nhiên, vẫn cần sự phối hợp hiệu quả giữa các cơ quan chức năng.</t>
  </si>
  <si>
    <t>Mức giảm trừ gia cảnh tăng lên cùng với việc đơn giản hóa biểu thuế làm cho quy trình khai báo trở nên dễ dàng hơn. Tuy nhiên, vẫn còn một số thủ tục cần cải thiện.</t>
  </si>
  <si>
    <t>Biểu thuế mới có ít bậc hơn và mức thuế suất thấp hơn so với trước đây, làm cho việc tính thuế trở nên dễ hiểu hơn. Tuy nhiên, vẫn cần thêm thời gian để quen thuộc.</t>
  </si>
  <si>
    <t>Nhà nước đã cải thiện các quy định về giảm trừ gia cảnh và biểu thuế, mang lại sự công bằng cho người nộp thuế. Tuy nhiên, niềm tin vào tính khách quan của cơ quan thuế vẫn cần thời gian xây dựng.</t>
  </si>
  <si>
    <t>Mức thuế mới theo phương án này có thể được xem là công bằng đối với người thu nhập như tôi. Tuy nhiên, vẫn cần thêm thông tin về cách sử dụng số tiền thuế để đánh giá hoàn toàn.</t>
  </si>
  <si>
    <t>Số tiền thuế đóng sẽ được sử dụng hiệu quả cho các dịch vụ công. Tuy nhiên, việc này phụ thuộc vào khả năng quản lý và thực thi của cơ quan chức năng.</t>
  </si>
  <si>
    <t>Nhà nước đã giải thích rõ ràng về mục tiêu cải cách thuế, nhưng vẫn cần thêm thông tin cụ thể về quá trình thực hiện.</t>
  </si>
  <si>
    <t>Sau khi cân nhắc lợi ích và nghĩa vụ, tôi thấy chính sách mới mang lại nhiều thuận lợi. Tuy nhiên, niềm tin và sự công bằng vẫn cần thời gian để phát triển hoàn toàn.</t>
  </si>
  <si>
    <t>Các quy định quản lý thuế hiện nay không được đề cập cụ thể trong thông tin chính sách, nhưng việc tăng giảm trừ gia cảnh và đơn giản hóa biểu thuế có thể làm giảm cơ hội trốn thuế. Tuy nhiên, khả năng phát hiện gian lận vẫn phụ thuộc vào sự thực thi của nhà nước.</t>
  </si>
  <si>
    <t>Theo thông tin chính sách, Nhà nước và cơ quan thuế có đủ khả năng để phát hiện trốn thuế với các thay đổi về quản lý thuế. Công nghệ cũng được cải tiến nhằm tăng cường hiệu quả quản lý.</t>
  </si>
  <si>
    <t>Biểu thuế được đơn giản hóa từ 7 bậc xuống còn 5 bậc, và mức giảm trừ gia cảnh cũng tăng lên. Điều này giúp quá trình khai báo thuế trở nên dễ dàng hơn.</t>
  </si>
  <si>
    <t>Cách tính thuế mới với số bậc thuế ít hơn có thể làm cho việc hiểu và thực hiện đơn giản hơn so với trước đây.</t>
  </si>
  <si>
    <t>Nhà nước đã tăng mức giảm trừ gia cảnh, điều này thể hiện sự công bằng trong việc đối xử giữa các cá nhân có thu nhập khác nhau. Tuy nhiên, không có thông tin cụ thể về cách thực thi chính sách mới.</t>
  </si>
  <si>
    <t>Mức thuế mới được thiết kế dựa trên mức thu nhập của người nộp thuế. Điều này tạo ra sự công bằng hơn so với trước đây, nhưng vẫn cần thêm thông tin về cách tính thuế cụ thể để đánh giá.</t>
  </si>
  <si>
    <t>Tăng giảm trừ gia cảnh có thể làm tăng niềm tin vào việc số tiền thuế đóng được sử dụng hiệu quả cho các dịch vụ công. Tuy nhiên, không có thông tin cụ thể về cách sử dụng nguồn thu thuế.</t>
  </si>
  <si>
    <t>Thông tin về lý do và mục tiêu của việc sửa đổi thuế chưa được đề cập rõ ràng trong chính sách, nên tạo ra sự hoài nghi từ phía người dân. Cần thêm thông tin minh bạch để tăng niềm tin.</t>
  </si>
  <si>
    <t>Dù các thay đổi về thuế có thể mang lại lợi ích tài chính và thủ tục đơn giản hơn, nhưng không đủ thông tin về thực thi chính sách mới khiến tôi chưa cam kết hoàn toàn tuân thủ. Tuy nhiên, nếu thông tin minh bạch được cải thiện, khả năng ủng hộ sẽ tăng.</t>
  </si>
  <si>
    <t>Cải cách thuế TNCN mới có thêm nhiều quy định quản lý và giảm trừ gia cảnh, nhưng vẫn chưa rõ liệu công nghệ hiện đại như thế nào để phát hiện trốn thuế.</t>
  </si>
  <si>
    <t>Như đã nêu trong ENF1, khả năng phát hiện trốn thuế phụ thuộc vào nhiều yếu tố và chưa chắc chắn.</t>
  </si>
  <si>
    <t>Mức giảm trừ gia cảnh tăng lên giúp việc khai báo đơn giản hơn, nhưng quy trình làm việc với cơ quan thuế vẫn còn khá phức tạp.</t>
  </si>
  <si>
    <t>Số bậc thuế giảm từ 7 xuống 5 có thể giúp người dân dễ hiểu và thực hiện các bước tính thuế nhanh chóng hơn, nhưng vẫn chưa đơn giản như mong đợi.</t>
  </si>
  <si>
    <t>Trình tự áp dụng mức thuế mới công bằng đối với thu nhập khác nhau, tuy nhiên còn thiếu minh bạch trong thực thi chính sách.</t>
  </si>
  <si>
    <t>Mức thuế mới được thiết kế hợp lý cho thu nhập của tôi, nhưng chưa rõ liệu Nhà nước có sử dụng hiệu quả số tiền thu được hay không.</t>
  </si>
  <si>
    <t>Việc cải cách thuế TNCN mới vẫn còn nhiều nghi ngờ về khả năng sử dụng hiệu quả số tiền thuế thu được cho dịch vụ công</t>
  </si>
  <si>
    <t>Thông tin giải thích về việc sửa đổi thuế chưa rõ ràng và minh bạch, khiến tôi có nhiều câu hỏi.</t>
  </si>
  <si>
    <t>Dù các cải cách mang lại lợi ích tài chính, nhưng do còn nhiều nghi ngờ nên quyết định tuân thủ chỉ ở mức độ trung bình.</t>
  </si>
  <si>
    <t>Tăng mức giảm trừ gia cảnh và đơn giản hóa biểu thuế có thể làm giảm rủi ro trốn thuế, nhưng vẫn cần công nghệ hiện đại để phát hiện gian lận.</t>
  </si>
  <si>
    <t>Công nghệ hiện đại giúp phát hiện trốn thuế nhanh chóng và chính xác hơn, tăng khả năng xử lý nghiêm.</t>
  </si>
  <si>
    <t>Mức giảm trừ gia cảnh cao hơn có thể làm thủ tục đơn giản hơn nhưng quy trình khai báo vẫn cần thời gian để quen thuộc.</t>
  </si>
  <si>
    <t>Biểu thuế đơn giản hóa giúp tính toán dễ dàng hơn, nhưng người dân chưa quen với thay đổi mới.</t>
  </si>
  <si>
    <t>Nâng cao mức giảm trừ gia cảnh có thể làm tăng niềm tin vào sự công bằng của chính sách thuế.</t>
  </si>
  <si>
    <t>Biểu thuế mới có thay đổi rõ ràng nhưng cần thời gian để người dân đánh giá tính công bằng.</t>
  </si>
  <si>
    <t>Nâng cao mức giảm trừ gia cảnh và đơn giản hóa biểu thuế có thể làm tăng niềm tin vào việc sử dụng hiệu quả số tiền thuế.</t>
  </si>
  <si>
    <t>Các thông điệp giải thích về thay đổi mới chưa đủ rõ ràng, nên cần thêm thời gian để người dân hiểu và tin tưởng.</t>
  </si>
  <si>
    <t>Thu nhập không cao nhưng mức giảm trừ gia cảnh tăng đáng kể, giảm bớt áp lực thuế. Tuy nhiên, vẫn có sự phức tạp về thay đổi mới cần thời gian để thích nghi.</t>
  </si>
  <si>
    <t>Các quy định quản lý thuế hiện nay có nhiều biện pháp phát hiện gian lận, như công nghệ giám sát và cảnh báo tự động. Điều này tăng khả năng phát hiện hành vi trốn thuế.</t>
  </si>
  <si>
    <t>Cơ quan thuế đã đầu tư vào công nghệ để nâng cao hiệu quả quản lý và xử lý nghiêm các trường hợp gian lận, tạo ra môi trường thuận lợi cho việc phát hiện trốn thuế.</t>
  </si>
  <si>
    <t>Mức giảm trừ gia cảnh tăng lên, quy trình khai báo thuế đơn giản hơn và có nhiều ưu đãi, làm cho thủ tục trở nên thuận tiện hơn.</t>
  </si>
  <si>
    <t>Biểu thuế được rút gọn, dễ hiểu và tính toán nhanh chóng hơn, giúp người dân nắm bắt và áp dụng dễ dàng hơn so với trước đây.</t>
  </si>
  <si>
    <t>Mức giảm trừ gia cảnh tăng lên, tạo cảm giác công bằng khi đối xử với mọi người nộp thuế. Cơ quan thuế có thể thực thi chính sách một cách khách quan và công bằng.</t>
  </si>
  <si>
    <t>Thuế suất được điều chỉnh phù hợp với mức thu nhập, tạo cảm giác công bằng đối với tôi. Tuy nhiên, vẫn còn nghi ngại về việc thực thi chính sách trong thực tế.</t>
  </si>
  <si>
    <t>Giảm trừ gia cảnh tăng lên và thuế suất được điều chỉnh phù hợp giúp tôi tin rằng số tiền đóng thuế sẽ được sử dụng hiệu quả cho mục đích cải thiện dịch vụ công.</t>
  </si>
  <si>
    <t>Các thông điệp về lý do và mục tiêu của việc sửa đổi thuế đã được giải thích rõ ràng hơn, tạo cảm giác tin tưởng vào quyết định của chính phủ.</t>
  </si>
  <si>
    <t>Sau khi xem xét các quyền lợi từ mức giảm trừ gia cảnh tăng lên, tôi có xu hướng ủng hộ và tuân thủ chính sách mới. Tuy nhiên, vẫn cần thời gian để đánh giá hiệu quả thực tế.</t>
  </si>
  <si>
    <t>Mức giảm trừ gia cảnh được tăng, giúp giảm áp lực về thuế đối với người nộp thuế thấp. Tuy nhiên, khả năng phát hiện hành vi trốn thuế vẫn phụ thuộc vào nhiều yếu tố khác.</t>
  </si>
  <si>
    <t>Công nghệ tiên tiến ngày càng được ứng dụng trong quản lý thuế, nhưng thực tế vẫn còn nhiều khó khăn. Cơ quan thuế cần tăng cường năng lực để phát hiện các hành vi trốn thuế hiệu quả.</t>
  </si>
  <si>
    <t>Bậc thuế đơn giản hơn trước, giúp quy trình khai báo thuế trở nên nhanh chóng và dễ dàng hơn. Tuy nhiên, vẫn còn một số thủ tục phức tạp cần cải thiện.</t>
  </si>
  <si>
    <t>Các bậc thuế mới rõ ràng và dễ hiểu hơn so với trước đây, giảm bớt sự khó khăn trong việc tính toán. Tuy nhiên, mức thuế vẫn có thể gây bất lợi cho người thu nhập cao.</t>
  </si>
  <si>
    <t>Nhà nước đã tăng mức giảm trừ gia cảnh và đơn giản hóa biểu thuế, tạo ra sự công bằng hơn trong việc đánh giá mức thuế. Tuy nhiên, vẫn cần cải thiện trong việc thực thi chính sách.</t>
  </si>
  <si>
    <t>Mức thuế mới có thể hợp lý đối với người thu nhập như tôi nhưng chưa hoàn toàn minh bạch về nguyên nhân và mục đích của thay đổi. Cần thêm thông tin để tăng niềm tin.</t>
  </si>
  <si>
    <t>Nhà nước đã cải thiện giảm trừ gia cảnh, tạo ra sự công bằng hơn trong việc đánh giá mức thuế. Tuy nhiên, hiệu quả sử dụng số tiền thuế vẫn còn cần thêm thông tin để đánh giá.</t>
  </si>
  <si>
    <t>Nhà nước đã giải thích rõ ràng về thay đổi thuế nhưng chưa đầy đủ về mục tiêu cụ thể và cách thực hiện. Cần có thêm thông tin minh bạch hơn.</t>
  </si>
  <si>
    <t>Tăng mức giảm trừ gia cảnh giúp giảm áp lực về thuế, tạo ra sự công bằng hơn. Tuy nhiên, vẫn còn một số điểm cần cải thiện và tôi cần thêm thời gian để đánh giá toàn diện.</t>
  </si>
  <si>
    <t>Các quy định quản lý thuế hiện nay đã tăng cường mức giảm trừ gia cảnh, điều này giúp phát hiện và xử lý nghiêm các hành vi trốn thuế trở nên dễ dàng hơn. Tuy nhiên, vẫn cần công nghệ hỗ trợ để thực hiện hiệu quả.</t>
  </si>
  <si>
    <t>Nhà nước đã đầu tư vào hệ thống công nghệ thông tin và nguồn lực để phát hiện và xử lý nghiêm các hành vi trốn thuế. Công nghệ tiên tiến giúp tăng cường khả năng giám sát.</t>
  </si>
  <si>
    <t>Mức giảm trừ gia cảnh tăng lên, cùng với việc đơn giản hóa biểu thuế từ 7 bậc xuống còn 5 bậc, quy trình khai báo thuế trở nên thuận tiện hơn. Điều này giúp người dân dễ dàng thực hiện.</t>
  </si>
  <si>
    <t>Biểu thuế mới có ít bậc và mức thuế suất hợp lý, khiến việc tính toán thu nhập chịu thuế trở nên đơn giản hơn so với trước đây.</t>
  </si>
  <si>
    <t>Nhà nước đã tăng cường quản lý thuế thông qua các quy định mới, tạo ra một môi trường công bằng hơn cho mọi người nộp thuế. Mức giảm trừ gia cảnh tăng lên thể hiện sự công bằng trong việc phân bổ gánh nặng thuế.</t>
  </si>
  <si>
    <t>Thuế suất và ngưỡng chịu thuế mới được thiết lập một cách hợp lý dựa trên thu nhập, đảm bảo mức thuế tôi phải đóng là công bằng. Tuy nhiên, vẫn cần thêm thông tin về việc thực thi chính sách.</t>
  </si>
  <si>
    <t>Mức giảm trừ gia cảnh tăng lên và số bậc thuế đơn giản hóa giúp cải thiện dịch vụ công, nhưng chưa đủ để tôi hoàn toàn tin tưởng số tiền thuế đóng sẽ được sử dụng hiệu quả.</t>
  </si>
  <si>
    <t>Nhà nước đã giải thích rõ ràng về các thay đổi trong biểu thuế, tuy nhiên, tôi mong muốn có thêm thông tin chi tiết và minh bạch hơn từ cơ quan thuế để tăng niềm tin.</t>
  </si>
  <si>
    <t>Dù mức giảm trừ gia cảnh và số bậc thuế đơn giản hóa đã cải thiện đáng kể, nhưng tôi cần thêm thời gian để đánh giá thực tế về hiệu quả thực thi chính sách. Hiện tại, tôi ủng hộ và tuân thủ với điều kiện.</t>
  </si>
  <si>
    <t>Các quy định quản lý thuế hiện tại được cải cách, tăng giảm trừ gia cảnh và đơn giản hóa biểu thuế. Tuy nhiên, việc phát hiện trốn thuế vẫn phụ thuộc vào nhiều yếu tố khác như công nghệ và nhân lực. Công nghệ mới có thể giúp nhưng chưa chắc chắn.</t>
  </si>
  <si>
    <t>Việc áp dụng công nghệ tiên tiến trong quản lý thuế đã cải thiện đáng kể khả năng phát hiện trốn thuế, đặc biệt là với các hệ thống tự động hóa và phân tích dữ liệu. Công nghệ có thể giúp phát hiện và xử lý nghiêm các hành vi trốn thuế.</t>
  </si>
  <si>
    <t>Bậc thuế được đơn giản hóa từ 7 xuống còn 5, giảm bớt rườm rà trong khai báo. Tuy nhiên, quy trình làm việc với cơ quan thuế vẫn cần thời gian để thích ứng.</t>
  </si>
  <si>
    <t>Biểu thuế mới đơn giản hơn và có ít bậc thuế hơn so với trước đây, giúp tính toán dễ dàng hơn. Tuy nhiên, sự phức tạp còn phụ thuộc vào cách hiểu của từng người.</t>
  </si>
  <si>
    <t>Nhà nước đã tăng giảm trừ gia cảnh và đơn giản hóa biểu thuế, làm giảm gánh nặng thuế cho người dân. Điều này có thể tạo niềm tin rằng chính sách mới được thực thi công bằng đối với mọi người.</t>
  </si>
  <si>
    <t>Mức thuế mới được thiết kế để công bằng hơn so với trước đây, dựa trên thu nhập của cá nhân. Tuy nhiên, mức độ công bằng phụ thuộc vào cách hiểu và nhận thức của mỗi người.</t>
  </si>
  <si>
    <t>Giảm trừ gia cảnh được tăng lên đáng kể giúp giảm gánh nặng thuế, tạo niềm tin rằng số tiền đóng thuế sẽ được sử dụng hiệu quả cho dịch vụ công. Tuy nhiên, hiệu quả thực tế phụ thuộc vào việc quản lý ngân sách.</t>
  </si>
  <si>
    <t>Nhà nước đã cải cách và đơn giản hóa biểu thuế mới, tuy nhiên, sự minh bạch trong giải thích về mục tiêu của chính sách chưa rõ ràng như mong đợi. Thông điệp truyền tải đến công chúng có thể không đầy đủ.</t>
  </si>
  <si>
    <t>Sau khi xem xét các quyền lợi và nghĩa vụ, tôi thấy chính sách mới mang lại nhiều lợi ích cho người dân với mức thuế thấp hơn và giảm trừ gia cảnh cao. Tuy nhiên, quyết định tuân thủ phụ thuộc vào niềm tin và nhận thức về hiệu quả của chính sách.</t>
  </si>
  <si>
    <t>Cải cách thuế đã đơn giản hóa quy trình và tăng cường quản lý, nhưng mức độ phát hiện trốn thuế vẫn phụ thuộc vào hiệu quả thực tế của công nghệ và nguồn lực.</t>
  </si>
  <si>
    <t>Nếu nhà nước và cơ quan thuế có đủ công nghệ tiên tiến và nguồn lực, họ sẽ dễ dàng phát hiện và xử lý trốn thuế nghiêm túc. Đây là một yếu tố quyết định quan trọng.</t>
  </si>
  <si>
    <t>Các quy định mới đơn giản hóa biểu thuế nhưng vẫn có thể tốn thời gian do quy trình khai báo và làm việc với cơ quan thuế còn phức tạp.</t>
  </si>
  <si>
    <t>Phương án mới đơn giản hơn so với trước đây, giúp người dân dễ hiểu và thực hiện các bậc thuế một cách rõ ràng.</t>
  </si>
  <si>
    <t>Nhà nước đã cải thiện giảm trừ gia cảnh và đơn giản hóa biểu thuế, tạo cảm giác công bằng trong việc đối xử với mọi người nộp thuế.</t>
  </si>
  <si>
    <t>Thuế mới có mức độ công bằng hơn do tăng giảm trừ gia cảnh và đơn giản hóa bậc thuế, khiến tôi thấy mình đóng đúng mức nên tin tưởng.</t>
  </si>
  <si>
    <t>Dù cải cách đã cố gắng tạo ra hiệu quả trong việc sử dụng số tiền thu được từ thuế để phát triển công cộng nhưng vẫn cần giám sát chặt chẽ hơn.</t>
  </si>
  <si>
    <t>Nhà nước đã giải thích rõ ràng về mục tiêu cải cách thuế, giúp tôi hiểu rõ hơn và tin tưởng vào quyết định của họ.</t>
  </si>
  <si>
    <t>Cải cách thuế mang lại lợi ích tài chính và tạo cảm giác công bằng nhưng vẫn cần thời gian để quen với quy trình mới. Tôi sẽ ủng hộ và tuân thủ.</t>
  </si>
  <si>
    <t>Nâng cao giảm trừ gia cảnh và đơn giản hóa biểu thuế có thể làm giảm rủi ro trốn thuế, nhưng khả năng phát hiện vẫn phụ thuộc vào sự thực thi của cơ quan thuế.</t>
  </si>
  <si>
    <t>Công nghệ số và cải tiến trong quản lý thuế có thể giúp tăng cường phát hiện trốn thuế, tuy nhiên vẫn cần sự cam kết từ phía chính phủ.</t>
  </si>
  <si>
    <t>Biểu thuế đơn giản hơn nhưng vẫn cần thời gian để làm quen với quy trình mới. Khả năng giảm rủi ro trốn thuế qua việc minh bạch hóa quy định có thể tạo thuận lợi.</t>
  </si>
  <si>
    <t>Biểu thuế đơn giản hơn và giảm bậc thuế có thể tạo cảm giác dễ dàng trong làm việc với cơ quan thuế, nhưng vẫn cần thời gian để thích ứng.</t>
  </si>
  <si>
    <t>Giảm trừ gia cảnh cao hơn và biểu thuế đơn giản hóa có thể tăng niềm tin vào sự công bằng của hệ thống thuế.</t>
  </si>
  <si>
    <t>Mức thuế mới đối với thu nhập trung bình như tôi chưa rõ ràng, nhưng giảm trừ gia cảnh cao hơn có thể tạo cảm giác công bằng.</t>
  </si>
  <si>
    <t>Giảm trừ gia cảnh và biểu thuế đơn giản hóa có thể tăng niềm tin vào việc sử dụng hiệu quả số tiền đóng thuế.</t>
  </si>
  <si>
    <t>Thông tin về cải cách thuế chưa đủ chi tiết, nhưng giảm trừ gia cảnh cao hơn tạo cảm giác công bằng trong việc thực thi thuế.</t>
  </si>
  <si>
    <t>Niềm tin và cảm giác công bằng do cải cách thuế tăng, nhưng vẫn cần thời gian để quen với quy trình mới. Thống nhất ủng hộ chính sách mới.</t>
  </si>
  <si>
    <t>Việc tăng mức giảm trừ gia cảnh và đơn giản hóa biểu thuế có thể làm giảm rủi ro trốn thuế, nhưng công nghệ phát hiện vẫn còn hạn chế.</t>
  </si>
  <si>
    <t>Công nghệ ngày càng tiên tiến, tuy nhiên khả năng phát hiện và xử lý nghiêm túc cần thời gian để triển khai rộng rãi.</t>
  </si>
  <si>
    <t>Đơn giản hóa biểu thuế có thể làm thủ tục thuận tiện hơn, nhưng quy trình khai báo vẫn còn phức tạp.</t>
  </si>
  <si>
    <t>Phương án mới đơn giản hóa biểu thuế, giảm số bậc nên dễ hiểu và thực hiện hơn so với trước đây.</t>
  </si>
  <si>
    <t>Nâng mức giảm trừ gia cảnh cho bản thân và người phụ thuộc tạo cảm giác công bằng và tin tưởng vào chính sách.</t>
  </si>
  <si>
    <t>Mức thuế mới được điều chỉnh dựa trên thu nhập, nhưng chưa rõ ràng về cách tính đối với các mức thu nhập cao hơn.</t>
  </si>
  <si>
    <t>Giảm trừ gia cảnh tăng có thể làm cho số tiền đóng thuế trở nên công bằng và hiệu quả trong sử dụng ngân sách nhà nước.</t>
  </si>
  <si>
    <t>Thay đổi thuế cần giải thích rõ ràng hơn để tạo niềm tin vào mục tiêu và lý do của chính sách mới, hiện tại chưa đầy đủ.</t>
  </si>
  <si>
    <t>Tăng mức giảm trừ gia cảnh và đơn giản hóa biểu thuế có thể làm tăng ủng hộ, nhưng vẫn cần thời gian để hình thành quyết định hành vi.</t>
  </si>
  <si>
    <t>Tăng mức giảm trừ gia cảnh và đơn giản hóa quy trình khai báo thuế có thể làm tăng khả năng phát hiện hành vi trốn thuế, nhưng vẫn cần công nghệ hỗ trợ.</t>
  </si>
  <si>
    <t>Công nghệ phát triển nhanh chóng và cơ quan thuế thường xuyên cải tiến hệ thống của mình để nâng cao hiệu quả quản lý.</t>
  </si>
  <si>
    <t>Mức giảm trừ gia cảnh tăng và đơn giản hóa biểu thuế có thể làm thủ tục khai báo thuận tiện hơn, nhưng vẫn cần thời gian thích ứng.</t>
  </si>
  <si>
    <t>So với trước đây, cách tính thuế mới có ít bậc hơn nên dễ hiểu hơn, tuy nhiên các mức thuế suất vẫn phức tạp đối với người không chuyên về tài chính.</t>
  </si>
  <si>
    <t>Tăng mức giảm trừ gia cảnh và đơn giản hóa quy trình khai báo thuế có thể làm tăng niềm tin vào sự công bằng của hệ thống thuế, nhưng cần thời gian để thực thi.</t>
  </si>
  <si>
    <t>Ngưỡng chịu thuế mới có thể phù hợp hơn với thu nhập trung bình, tuy nhiên mức thuế suất cao vẫn gây nghi ngờ về tính công bằng.</t>
  </si>
  <si>
    <t>Đối với người thu nhập trung bình như tôi, việc tăng mức giảm trừ gia cảnh có thể làm tăng niềm tin vào việc sử dụng tiền thuế hiệu quả cho dịch vụ công.</t>
  </si>
  <si>
    <t>Việc đơn giản hóa biểu thuế và tăng mức giảm trừ gia cảnh có thể làm minh bạch hơn về lý do và mục tiêu của chính sách, nhưng vẫn cần thêm thông tin chi tiết từ cơ quan thuế.</t>
  </si>
  <si>
    <t>Sau khi xem xét lợi ích tài chính và sự đơn giản hóa, tôi sẽ ủng hộ chính sách mới, mặc dù vẫn có một số lo ngại về mức thuế suất cao đối với thu nhập cao hơn.</t>
  </si>
  <si>
    <t>Chính sách mới với nhiều giảm trừ gia cảnh và đơn giản hóa quy trình khai thuế có thể làm tăng độ khó cho việc trốn thuế. Tuy nhiên, các quy định quản lý thuế hiện tại chưa rõ ràng về công nghệ phát hiện gian lận.</t>
  </si>
  <si>
    <t>Công nghệ ngày càng tiên tiến giúp nhà nước và cơ quan thuế có khả năng phát hiện trốn thuế nhanh chóng, hiệu quả hơn. Tuy nhiên, cần có sự đầu tư và cập nhật công nghệ.</t>
  </si>
  <si>
    <t>Biểu thuế được đơn giản hóa từ 7 bậc xuống còn 5 bậc, giảm bớt rắc rối cho người nộp thuế khi khai báo. Tuy nhiên, quy trình làm việc với cơ quan thuế chưa có nhiều cải tiến.</t>
  </si>
  <si>
    <t>Sử dụng ít bậc thuế hơn và mức thuế suất rõ ràng giúp cách tính thuế dễ hiểu hơn. Người dân thấy rằng họ không cần phải lo lắng về việc bị phạt quá mức do hiểu lầm.</t>
  </si>
  <si>
    <t>Nhà nước đã cải thiện giảm trừ gia cảnh, nhưng chưa có nhiều thông tin rõ ràng về cách thực thi công bằng. Người dân có quyền nghi ngờ về khả năng thực hiện chính sách một cách công bằng.</t>
  </si>
  <si>
    <t>Mức thuế mới được thiết kế để phù hợp với thu nhập trung bình, nhưng không phải ai cũng đồng ý với mức này. Người dân cần thời gian để đánh giá sự công bằng của chính sách</t>
  </si>
  <si>
    <t>Nhà nước đã giải thích rõ ràng về giảm trừ gia cảnh, nhưng còn thiếu thông tin về cách sử dụng số tiền thuế thu được. Người dân có quyền nghi ngờ về việc cải thiện dịch vụ công.</t>
  </si>
  <si>
    <t>Người dân chưa thấy sự minh bạch rõ ràng trong quá trình giải thích lý do và mục tiêu của chính sách mới, dẫn đến mức độ tin tưởng thấp. Tuy nhiên, thông tin đã được cải thiện so với trước đây.</t>
  </si>
  <si>
    <t>Dù giảm gánh nặng thuế, nhưng người dân vẫn nghi ngờ về khả năng thực hiện chính sách một cách công bằng và minh bạch. Cân nhắc giữa lợi ích và nghĩa vụ dẫn đến sự thận trọng trong việc tuân thủ.</t>
  </si>
  <si>
    <t>Các quy định quản lý thuế hiện nay có nhiều cải tiến, nhưng vẫn còn nhiều rủi ro về việc phát hiện trốn thuế. Công nghệ giúp tăng khả năng phát hiện, nhưng không hoàn toàn đảm bảo.</t>
  </si>
  <si>
    <t>Nhuận sắc ban hành với các biện pháp công nghệ và quản lý mới tạo điều kiện để phát hiện gian lận, trốn thuế một cách hiệu quả. Công nghệ AI vàBig Data được áp dụng giúp tăng cường khả năng giám sát.</t>
  </si>
  <si>
    <t>Mức giảm trừ gia cảnh và số bậc thuế đơn giản hơn tạo cảm giác thuận tiện khi khai báo, tuy nhiên quy trình vẫn có thể phức tạp đối với người không am hiểu về thuế.</t>
  </si>
  <si>
    <t>Biểu thuế mới đơn giản hóa quá trình tính toán và giảm số bậc thuế giúp dễ dàng hơn trong việc tuân thủ. Tuy nhiên, cần thời gian để mọi người quen với quy trình mới.</t>
  </si>
  <si>
    <t>Nhà nước đã cải thiện các quy định về quản lý và giảm trừ gia cảnh, tạo ra sự công bằng hơn so với trước đây. Tuy nhiên, vẫn còn nhiều yếu tố phụ thuộc vào cách thực thi.</t>
  </si>
  <si>
    <t>Mức thuế mới được thiết kế để phù hợp với thu nhập của tôi, tạo cảm giác công bằng. Tuy nhiên, cần xem xét hiệu quả thực tế trong việc sử dụng nguồn thuế này cho dịch vụ công.</t>
  </si>
  <si>
    <t>Tôi tin rằng số tiền thuế đóng sẽ được sử dụng hiệu quả để cải thiện chất lượng cuộc sống thông qua các dịch vụ công. Tuy nhiên, cần thêm thông tin về cách quản lý nguồn thu thuế.</t>
  </si>
  <si>
    <t>Nhà nước đã giải thích rõ ràng về mục tiêu của chính sách mới, nhưng có thể cần thêm thông tin chi tiết để tôi cảm thấy hoàn toàn thuyết phục. Tuy nhiên, cải tiến là hướng đi đúng.</t>
  </si>
  <si>
    <t>Sau khi xem xét các quyền lợi và nghĩa vụ, tôi ủng hộ chính sách mới vì nó tạo ra sự công bằng và thuận tiện hơn cho người nộp thuế. Tuy nhiên, vẫn cần thêm thời gian để hoàn thiện quy trình.</t>
  </si>
  <si>
    <t>Biện pháp quản lý thuế hiện đại như công nghệ AI, dữ liệu lớn và hệ thống thông tin điện tử giúp phát hiện trốn thuế hiệu quả.</t>
  </si>
  <si>
    <t>Công nghệ và nguồn lực của cơ quan thuế được đầu tư mạnh mẽ để cải thiện khả năng phát hiện và xử lý trốn thuế.</t>
  </si>
  <si>
    <t>Mức giảm trừ gia cảnh tăng, quy trình khai báo đơn giản hơn nên thuận tiện cho người nộp thuế.</t>
  </si>
  <si>
    <t>Biểu thuế được đơn giản hóa từ 7 bậc xuống còn 5 bậc, giảm bớt rườm rà và dễ hiểu hơn đối với người dân.</t>
  </si>
  <si>
    <t>Mức giảm trừ gia cảnh tăng lên nên tôi cảm thấy công bằng và được đối xử bình đẳng hơn.</t>
  </si>
  <si>
    <t>Nhìn chung, mức thuế mới vẫn hợp lý so với thu nhập của tôi, cho nên tôi thấy nó là công bằng.</t>
  </si>
  <si>
    <t>Giảm trừ gia cảnh tăng và biểu thuế đơn giản hóa có thể giúp cải thiện dịch vụ công như y tế, giao thông...</t>
  </si>
  <si>
    <t>Tăng mức giảm trừ gia cảnh và đơn giản hóa quy trình khai báo thuế đã được giải thích rõ ràng trong các thông cáo.</t>
  </si>
  <si>
    <t>Trải qua quá trình cân nhắc, tôi thấy lợi ích từ chính sách mới nên sẽ ủng hộ và tuân thủ</t>
  </si>
  <si>
    <t>Chính phủ đã tăng cường quản lý và công nghệ hiện đại nên khả năng phát hiện hành vi gian lận có thể tốt hơn trước.</t>
  </si>
  <si>
    <t>Công nghệ tiên tiến và quy định chặt chẽ giúp Nhà nước có thể xử lý nghiêm các vụ trốn thuế hiệu quả.</t>
  </si>
  <si>
    <t>Mức giảm trừ gia cảnh tăng, cùng với việc đơn giản hóa biểu thuế, tạo thuận lợi cho người nộp thuế.</t>
  </si>
  <si>
    <t>Biểu thuế đơn giản hơn và các bậc thuế rõ ràng hơn, dễ dàng tính toán hơn so với trước đây.</t>
  </si>
  <si>
    <t>Những thay đổi về giảm trừ gia cảnh và biểu thuế mới được cho là công bằng đối với mọi người nộp thuế.</t>
  </si>
  <si>
    <t>Mức thuế mới có thể phù hợp hơn với thu nhập hiện tại, tạo cảm giác công bằng.</t>
  </si>
  <si>
    <t>Thuế được sử dụng cho các dịch vụ công nên tôi tin tưởng số tiền thuế đóng sẽ mang lại lợi ích xã hội.</t>
  </si>
  <si>
    <t>Chính phủ đã cung cấp thông tin về mục tiêu cải cách thuế, nhưng cần thêm minh bạch hơn.</t>
  </si>
  <si>
    <t>Tăng giảm trừ gia cảnh và biểu thuế đơn giản giúp tôi cảm thấy thuận lợi hơn khi tuân thủ chính sách mới.</t>
  </si>
  <si>
    <t>Công nghệ hiện đại và quy định quản lý thuế mới có thể phát hiện gian lận, nhưng vẫn cần sự cố gắng từ phía cơ quan thuế.</t>
  </si>
  <si>
    <t>Nhà nước đã đầu tư công nghệ để phát hiện trốn thuế, tuy nhiên hiệu quả phụ thuộc vào nguồn lực và thực thi.</t>
  </si>
  <si>
    <t>Mức giảm trừ gia cảnh tăng và đơn giản hóa biểu thuế có thể làm thủ tục khai báo thuận tiện hơn.</t>
  </si>
  <si>
    <t>Biểu thuế đơn giản, nhưng không rõ mức thuế cụ thể cho từng bậc nên cần thêm thông tin để hiểu rõ.</t>
  </si>
  <si>
    <t>Nhà nước đã cải thiện quy định về giảm trừ gia cảnh và biểu thuế, tạo cảm giác công bằng hơn.</t>
  </si>
  <si>
    <t>Mức thuế mới có thể phù hợp với thu nhập của tôi, nhưng không rõ liệu nó có công bằng so với người khác hay không.</t>
  </si>
  <si>
    <t>Tăng giảm trừ gia cảnh và đơn giản hóa biểu thuế giúp cải thiện dịch vụ công, tạo niềm tin hơn.</t>
  </si>
  <si>
    <t>Các thông báo về cải cách thuế chưa đủ rõ ràng để thuyết phục tôi hoàn toàn.</t>
  </si>
  <si>
    <t>Nhìn chung, các thay đổi mang lại lợi ích tài chính, nhưng cần thêm thời gian để kiểm chứng hiệu quả thực tế.</t>
  </si>
  <si>
    <t>Quy định quản lý thuế hiện nay được cải thiện, đặc biệt là mức giảm trừ gia cảnh tăng cao. Tuy nhiên, khả năng phát hiện trốn thuế phụ thuộc nhiều vào công nghệ và nguồn lực của cơ quan thuế.</t>
  </si>
  <si>
    <t>Công nghệ hiện đại như AI và Big Data có thể giúp phát hiện trốn thuế hiệu quả hơn. Tuy nhiên, khả năng thực thi phụ thuộc vào nguồn lực và quyết tâm của Nhà nước.</t>
  </si>
  <si>
    <t>Biểu thuế được đơn giản hóa từ 7 bậc xuống còn 5 bậc, làm cho việc khai báo trở nên dễ dàng hơn. Ngoài ra, các quy định quản lý thuế cũng thuận lợi hơn so với trước đây.</t>
  </si>
  <si>
    <t>Cách tính thuế mới đơn giản và rõ ràng hơn, giảm số bậc thuế từ 7 xuống 5, giúp người dân dễ hiểu và thực hiện quy trình làm việc với cơ quan thuế nhanh chóng.</t>
  </si>
  <si>
    <t>Nhà nước đã cải thiện các quy định quản lý thuế một cách công bằng hơn, giảm gánh nặng thuế cho người dân. Điều này tăng niềm tin vào sự khách quan và công tâm của chính sách mới.</t>
  </si>
  <si>
    <t>Mức thuế mới được thiết kế dựa trên thu nhập cá nhân, tạo ra cảm giác công bằng. Tuy nhiên, tôi vẫn nghi ngờ về khả năng thực hiện các quy định này một cách công bằng.</t>
  </si>
  <si>
    <t>Thuế mới sẽ được sử dụng hiệu quả để cải thiện dịch vụ công, đặc biệt là y tế và đường xá. Tuy nhiên, tôi cần thêm thông tin về việc sử dụng nguồn thu thuế thực tế.</t>
  </si>
  <si>
    <t>Nhà nước đã giải thích rõ ràng về mục tiêu cải cách thuế lần này. Tuy nhiên, sự minh bạch trong quá trình thực thi chính sách vẫn còn hạn chế.</t>
  </si>
  <si>
    <t>Sau khi xem xét các quyền lợi và nghĩa vụ, tôi ủng hộ chính sách mới vì nó mang lại nhiều thuận lợi hơn. Tuy nhiên, sự không chắc chắn về thực thi chính sách làm giảm mức độ ủng hộ.</t>
  </si>
  <si>
    <t>Cải cách thuế TNCN không chỉ tăng giảm trừ gia cảnh mà còn đơn giản hóa quy trình khai báo, giúp việc phát hiện trốn thuế dễ dàng hơn. Công nghệ hiện đại cũng hỗ trợ mạnh mẽ trong việc giám sát.</t>
  </si>
  <si>
    <t>Công nghệ và hệ thống quản lý thuế hiện đại đã được cải thiện đáng kể, tăng cường khả năng phát hiện các hành vi trốn thuế. Tuy nhiên, vẫn còn phụ thuộc vào thực thi và giám sát.</t>
  </si>
  <si>
    <t>Mức giảm trừ gia cảnh cao hơn và đơn giản hóa biểu thuế tạo thuận lợi cho việc khai báo thuế, giảm bớt rắc rối cho người dân. Các quy định mới cũng giúp quá trình làm việc với cơ quan thuế dễ dàng hơn.</t>
  </si>
  <si>
    <t>Biểu thuế đơn giản và rõ ràng hơn, tạo cảm giác thuận lợi trong việc tính toán và đóng thuế. Điều này tăng cường sự hiểu biết và tin tưởng của người dân đối với hệ thống thuế mới.</t>
  </si>
  <si>
    <t>Thuế TNCN mới được cải cách công bằng hơn, giảm gánh nặng cho nhiều nhóm thu nhập thấp và trung bình. Điều này tạo niềm tin rằng cơ quan thuế sẽ thực thi chính sách một cách khách quan và công tâm.</t>
  </si>
  <si>
    <t>Mức thuế mới được thiết kế để phù hợp với nhiều nhóm thu nhập, tạo cảm giác công bằng. Tuy nhiên, vẫn cần thời gian để đánh giá hiệu quả thực tế của chính sách.</t>
  </si>
  <si>
    <t>Thuế mới sẽ giúp cải thiện các dịch vụ công như y tế và đường xá, tạo niềm tin rằng tiền thuế đóng góp vào việc nâng cao chất lượng cuộc sống cộng đồng. Tuy nhiên, cần thời gian để thấy kết quả cụ thể.</t>
  </si>
  <si>
    <t>Chính phủ đã giải thích rõ về mục tiêu cải cách và mức độ công bằng của chính sách mới. Tuy nhiên, sự minh bạch hoàn toàn vẫn cần được đảm bảo để tăng thêm niềm tin từ người dân.</t>
  </si>
  <si>
    <t>Thuế TNCN mới thuận lợi hơn về mặt thủ tục và tạo cảm giác công bằng hơn. Tuy nhiên, vẫn cần thời gian để đánh giá hiệu quả thực tế của chính sách trên thực địa.</t>
  </si>
  <si>
    <t>Tăng mức giảm trừ gia cảnh và đơn giản hóa biểu thuế có thể làm tăng sức ép lên các hành vi trốn thuế, nhưng không đảm bảo 100% phát hiện được tất cả các trường hợp gian lận.</t>
  </si>
  <si>
    <t>Công nghệ và khả năng của cơ quan thuế có thể cải thiện hiệu quả trong việc phát hiện trốn thuế, nhưng vẫn cần thời gian để áp dụng rộng rãi.</t>
  </si>
  <si>
    <t>Mức giảm trừ gia cảnh cao hơn và số bậc thuế ít đi có thể làm các thủ tục đơn giản hóa, thuận tiện hơn cho người dân.</t>
  </si>
  <si>
    <t>Cách tính thuế mới đơn giản hơn so với trước đây, nhưng vẫn cần thời gian để nắm bắt và thực hiện.</t>
  </si>
  <si>
    <t>Điều chỉnh giảm trừ gia cảnh và số bậc thuế ít đi có thể tạo niềm tin rằng chính sách đã công bằng đối xử với mọi người nộp thuế.</t>
  </si>
  <si>
    <t>Mức thu nhập chịu thuế mới có thể được coi là hợp lý, nhưng cần xem xét tổng thể để đánh giá tính công bằng.</t>
  </si>
  <si>
    <t>Giảm trừ gia cảnh cao hơn và đơn giản hóa biểu thuế có thể làm tăng niềm tin rằng số tiền thuế đóng sẽ được sử dụng hiệu quả.</t>
  </si>
  <si>
    <t>Thay đổi chính sách chưa được giải thích rõ ràng, nên còn nhiều nghi ngờ về mục tiêu và lý do của việc điều chỉnh.</t>
  </si>
  <si>
    <t>Niềm tin và cảm giác công bằng đã cải thiện, nhưng vẫn cần thời gian để đánh giá tác động thực tế đối với quyết định tuân thủ.</t>
  </si>
  <si>
    <t>Dựa trên thông tin cải cách thuế, không có biện pháp cụ thể tăng cường phát hiện trốn thuế, do đó khả năng phát hiện trốn thuế vẫn còn hạn chế.</t>
  </si>
  <si>
    <t>Công nghệ hiện đại có thể giúp phát hiện trốn thuế nhưng chưa rõ liệu Nhà nước đã đầu tư vào công nghệ này hay không.</t>
  </si>
  <si>
    <t>Số bậc thuế giảm từ 7 xuống 5, đơn giản hóa quy trình khai báo và làm việc với cơ quan thuế, nhưng chưa rõ liệu có cải thiện thực tế hay không.</t>
  </si>
  <si>
    <t>Cách tính thuế mới đơn giản hơn, nhưng cần xem xét thêm về khả năng áp dụng trong thực tế.</t>
  </si>
  <si>
    <t>Tăng giảm trừ gia cảnh có thể làm tăng niềm tin về sự công bằng đối xử của chính sách, song chưa rõ liệu việc này sẽ được thực hiện như thế nào.</t>
  </si>
  <si>
    <t>Mức thuế mới trong phương án cải cách dường như hợp lý cho thu nhập hiện tại nhưng cần xem xét thêm về hiệu quả thực tế.</t>
  </si>
  <si>
    <t>Tăng giảm trừ gia cảnh có thể làm tăng niềm tin vào việc sử dụng tiền thuế một cách hiệu quả, song chưa rõ liệu Nhà nước đã giải thích đầy đủ về mục tiêu của cải cách này.</t>
  </si>
  <si>
    <t>Cải cách thuế mới còn thiếu thông tin minh bạch, do đó niềm tin vào việc Nhà nước giải thích rõ ràng và minh bạch về mục đích cải cách còn hạn chế.</t>
  </si>
  <si>
    <t>Niềm tin và sự công bằng của chính sách mới chưa đủ mạnh để khuyến khích tuân thủ, song với mức thuế giảm nhẹ có thể thúc đẩy người dân tuân thủ một phần.</t>
  </si>
  <si>
    <t>Quy định quản lý thuế hiện nay chưa rõ ràng, dễ bị lợi dụng.</t>
  </si>
  <si>
    <t>Công nghệ hiện đại giúp phát hiện trốn thuế nhưng vẫn cần sự giám sát chặt chẽ.</t>
  </si>
  <si>
    <t>Biểu thuế rút gọn, các bậc thuế rõ ràng hơn, dễ hiểu và dễ thực hiện.</t>
  </si>
  <si>
    <t>Nhà nước đã tăng mức giảm trừ gia cảnh, thể hiện tính công bằng trong việc đánh giá thu nhập.</t>
  </si>
  <si>
    <t>Mức thuế mới phù hợp với thu nhập của mình, cảm thấy công bằng hơn so với trước đây.</t>
  </si>
  <si>
    <t>Thuê đóng góp vào các dịch vụ công, hy vọng số tiền đóng sẽ được sử dụng hiệu quả.</t>
  </si>
  <si>
    <t>Thông tin về lý do và mục tiêu của chính sách thuế mới đã được giải thích rõ ràng hơn.</t>
  </si>
  <si>
    <t>Thu nhập giảm nhưng lợi ích từ các mức giảm trừ gia cảnh tăng, quyết định tuân thủ vì lợi ích tổng thể.</t>
  </si>
  <si>
    <t>Biên pháp thuế mới có nhiều biện pháp quản lý, giảm trừ gia cảnh cao hơn nên việc trốn thuế khó hơn. Công nghệ cũng đã phát triển giúp phát hiện các hành vi gian lận.</t>
  </si>
  <si>
    <t>Công nghệ hiện đại ngày càng được áp dụng trong quản lý thuế, giúp nhà nước và cơ quan thuế có khả năng phát hiện trốn thuế nhanh chóng hơn.</t>
  </si>
  <si>
    <t>Mức giảm trừ gia cảnh cao hơn và đơn giản hóa biểu thuế làm quá trình khai báo trở nên dễ dàng, nhanh chóng hơn so với trước đây.</t>
  </si>
  <si>
    <t>Cách tính thuế mới có ít bậc hơn, khiến việc xác định mức thuế cần đóng trở nên đơn giản và dễ hiểu hơn.</t>
  </si>
  <si>
    <t>Nâng cao giảm trừ gia cảnh và đơn giản hóa biểu thuế tạo niềm tin rằng nhà nước đang đối xử công bằng với người nộp thuế.</t>
  </si>
  <si>
    <t>Mức thuế mới có thể phù hợp hơn với thu nhập của tôi, tạo cảm giác rằng mức thuế đóng là công bằng.</t>
  </si>
  <si>
    <t>Giảm trừ gia cảnh cao hơn và đơn giản hóa biểu thuế có thể làm cho số tiền thuế đóng được sử dụng hiệu quả để cải thiện dịch vụ công</t>
  </si>
  <si>
    <t>Thông tin về các thay đổi trong thuế đã được giải thích rõ ràng, mặc dù không phải lúc nào cũng thấy nó minh bạch.</t>
  </si>
  <si>
    <t>Niềm tin và cảm giác công bằng tăng lên do cải cách thuế, nhưng vẫn còn một chút hoài nghi về thực thi chính sách. Tuy nhiên, quyết định ủng hộ vì lợi ích cụ thể từ các thay đổi.</t>
  </si>
  <si>
    <t>Mức giảm trừ gia cảnh và thuế suất mới có thể làm giảm gánh nặng thuế đối với người dân, nhưng vẫn cần sự phát triển công nghệ để phát hiện trốn thuế.</t>
  </si>
  <si>
    <t>Công nghệ ngày càng phát triển mạnh mẽ, hỗ trợ việc phát hiện và xử lý trốn thuế hiệu quả hơn. Tuy nhiên, vẫn còn những rủi ro về sự lạm dụng công nghệ.</t>
  </si>
  <si>
    <t>Biểu thuế đơn giản hơn nhưng mức giảm trừ gia cảnh cao hơn có thể làm cho khai báo thuế thuận tiện hơn. Tuy nhiên, quy trình làm việc với cơ quan thuế vẫn cần cải tiến.</t>
  </si>
  <si>
    <t>Cách tính thuế mới đơn giản hóa và rõ ràng hơn so với trước đây, giúp người dân dễ dàng hiểu và áp dụng.</t>
  </si>
  <si>
    <t>Niềm tin vào sự công bằng trong việc thực thi chính sách tăng lên do mức giảm trừ gia cảnh cao hơn. Tuy nhiên, vẫn còn nghi ngại về cách xử lý thuế của một số ngành nghề cụ thể.</t>
  </si>
  <si>
    <t>Mức thuế mới được thiết kế công bằng với thu nhập cá nhân hiện nay. Tuy nhiên, vẫn cần thời gian để đánh giá hiệu quả thực tế sau khi áp dụng.</t>
  </si>
  <si>
    <t>Niềm tin rằng số tiền thuế đóng sẽ được sử dụng hiệu quả để cải thiện dịch vụ công đang tăng lên. Tuy nhiên, vẫn cần sự minh bạch và kiểm soát để đảm bảo điều này.</t>
  </si>
  <si>
    <t>Giải thích về lý do và mục tiêu của việc sửa đổi thuế rõ ràng hơn so với trước đây, tuy nhiên vẫn còn nghi ngại về quá trình truyền thông chính sách.</t>
  </si>
  <si>
    <t>Niềm tin và mức độ công bằng tăng lên do các cải cách mới. Tuy nhiên, sự phức tạp của quy định thuế vẫn có thể làm giảm khả năng tuân thủ. Cần thời gian để đánh giá hiệu quả thực tế.</t>
  </si>
  <si>
    <t>Biểu thuế đơn giản hơn có thể làm giảm cơ hội trốn thuế, và mức giảm trừ gia cảnh cao hơn cũng giúp kiểm soát thu nhập chính xác hơn.</t>
  </si>
  <si>
    <t>Công nghệ hiện đại và tăng cường quản lý có thể phát hiện hành vi gian lận nhanh chóng. Tuy nhiên, vẫn cần cải thiện công khai về cách thực thi.</t>
  </si>
  <si>
    <t>Biểu thuế đơn giản hơn và mức giảm trừ gia cảnh cao hơn tạo thuận lợi trong việc khai báo thuế. Quy trình làm việc với cơ quan thuế cũng đã cải thiện đáng kể.</t>
  </si>
  <si>
    <t>Cách tính thuế mới rõ ràng, dễ hiểu và đơn giản hóa quy trình thuế, giảm bớt gánh nặng cho người nộp thuế.</t>
  </si>
  <si>
    <t>Những thay đổi về mức giảm trừ gia cảnh công bằng hơn đối với mọi người. Cơ sở pháp lý mới cũng tạo cảm giác tin cậy.</t>
  </si>
  <si>
    <t>Mức thuế mới được thiết kế dựa trên thu nhập, thể hiện sự công bằng và phù hợp với trình độ tài chính của tôi.</t>
  </si>
  <si>
    <t>Thuế đóng góp vào cải thiện dịch vụ công như y tế, giáo dục, đường xá, tạo cảm giác được sử dụng hiệu quả.</t>
  </si>
  <si>
    <t>Thông tin về chính sách mới chưa đầy đủ và minh bạch. Tuy nhiên, có cải thiện so với trước đây.</t>
  </si>
  <si>
    <t>Tổng thể, tôi ủng hộ chính sách thuế mới do lợi ích tài chính và thuận tiện trong khai báo. Đánh giá cao về độ công bằng nhưng vẫn còn băn khoăn về minh bạch.</t>
  </si>
  <si>
    <t>Hiện nay, các quy định quản lý thuế đã được cải thiện đáng kể với nhiều công nghệ hỗ trợ phát hiện trốn thuế. Tuy nhiên, vẫn cần có thêm biện pháp thực thi mạnh mẽ hơn để đảm bảo tính công bằng.</t>
  </si>
  <si>
    <t>Công nghệ hiện đại đã được áp dụng rộng rãi trong quản lý thuế, giúp phát hiện và xử lý nghiêm các hành vi trốn thuế. Điều này tăng niềm tin của người dân vào hệ thống thuế mới.</t>
  </si>
  <si>
    <t>Thủ tục khai báo thuế đã đơn giản hơn, giảm bớt sự phức tạp trước đây và nhanh chóng hơn trong việc làm việc với cơ quan thuế. Tuy nhiên, vẫn còn một số điểm cần cải thiện.</t>
  </si>
  <si>
    <t>Cách tính thuế mới đơn giản, dễ hiểu hơn so với phương án cũ và các bậc thuế cũng được rút gọn, giúp việc thực hiện dễ dàng hơn. Tuy nhiên, cần thêm thời gian để quen với hệ thống mới.</t>
  </si>
  <si>
    <t>Nhà nước đã cố gắng cải thiện tính công bằng trong quản lý thuế thông qua việc tăng giảm trừ gia cảnh và đơn giản hóa biểu thuế. Tuy nhiên, vẫn còn một số lo ngại về cách thực thi.</t>
  </si>
  <si>
    <t>Mức thuế mới được thiết kế sao cho công bằng hơn so với mức cũ. Đặc biệt đối với thu nhập trung bình như tôi, mức thuế này là hợp lý và công bằng.</t>
  </si>
  <si>
    <t>Tôi tin rằng số tiền thuế đóng sẽ được sử dụng hiệu quả để cải thiện các dịch vụ công. Tuy nhiên, cần thêm thông tin về cách sử dụng nguồn thu thuế mới</t>
  </si>
  <si>
    <t>Nhà nước đã cung cấp giải thích rõ ràng về lý do và mục tiêu của việc sửa đổi thuế. Điều này tăng niềm tin vào quyết định cải cách.</t>
  </si>
  <si>
    <t>Mặc dù có một số nghi ngại, tôi vẫn ủng hộ chính sách mới vì nó mang lại lợi ích tài chính và công bằng cho thu nhập trung bình như tôi. Tuy nhiên, cần thêm thời gian để quen với hệ thống mới.</t>
  </si>
  <si>
    <t>Hiện nay, với mức giảm trừ gia cảnh tăng lên đáng kể và quy định quản lý thuế được cải cách, việc phát hiện hành vi gian lận hoặc trốn thuế sẽ trở nên dễ dàng hơn. Công nghệ tiên tiến cũng giúp cơ quan thuế xử lý các trường hợp trốn thuế một cách hiệu quả.</t>
  </si>
  <si>
    <t>Công nghệ và hệ thống quản lý thuế hiện đại, cộng với sự tăng cường giám sát, sẽ đảm bảo việc phát hiện và xử lý nghiêm minh các hành vi trốn thuế. Các biện pháp kỹ thuật như AI và Big Data cũng được áp dụng để hỗ trợ công tác này.</t>
  </si>
  <si>
    <t>Mức giảm trừ gia cảnh tăng, cùng với việc đơn giản hóa biểu thuế, đã làm cho quy trình khai báo thuế trở nên dễ dàng hơn. Các bước làm việc với cơ quan thuế cũng được tối ưu hóa, giúp quá trình thuận tiện và nhanh chóng.</t>
  </si>
  <si>
    <t>Cách tính thuế mới đơn giản hơn, có ít bậc thuế hơn so với trước đây. Điều này làm giảm độ phức tạp cho người nộp thuế, dễ hiểu và thực hiện hơn.</t>
  </si>
  <si>
    <t>Nhà nước đã tăng mức giảm trừ gia cảnh, giúp giảm gánh nặng thuế cho người dân. Sự công bằng trong việc áp dụng các bậc thuế mới cũng tạo niềm tin cho tôi về sự đối xử bình đẳng của cơ quan thuế.</t>
  </si>
  <si>
    <t>Nhìn chung, mức thuế mới được thiết kế sao cho hợp lý với thu nhập cá nhân hiện nay. Điều này thể hiện tính công bằng trong việc phân bổ gánh nặng thuế.</t>
  </si>
  <si>
    <t>Tôi tin rằng số tiền thuế đóng sẽ được sử dụng hiệu quả để cải thiện các dịch vụ công, như y tế và hạ tầng cơ sở. Tuy nhiên, cần thời gian để xem xét thực tế về việc này.</t>
  </si>
  <si>
    <t>Nhà nước đã giải thích khá rõ ràng về mục tiêu của cải cách thuế, nhưng vẫn còn một số thông tin chưa đủ minh bạch. Tôi hy vọng sẽ có thêm thông tin chi tiết trong thời gian tới.</t>
  </si>
  <si>
    <t>Sau khi cân nhắc các quyền lợi và nghĩa vụ, tôi ủng hộ chính sách mới vì mức thuế giảm đáng kể và quy trình làm việc với cơ quan thuế đơn giản hơn. Tuy nhiên, vẫn còn một số lo ngại về minh bạch của thông tin giải thích.</t>
  </si>
  <si>
    <t>Nâng cao mức giảm trừ gia cảnh và đơn giản hóa quy trình khai báo thuế có thể làm tăng khả năng phát hiện trốn thuế, nhưng không đủ để hoàn toàn tin tưởng.</t>
  </si>
  <si>
    <t>Công nghệ hiện đại giúp phát hiện trốn thuế nhanh chóng hơn, song vẫn cần sự giám sát và xử lý nghiêm minh.</t>
  </si>
  <si>
    <t>Mức giảm trừ gia cảnh tăng và đơn giản hóa biểu thuế có thể làm các thủ tục khai báo trở nên tiện lợi hơn, nhưng không phải lúc nào cũng nhanh chóng.</t>
  </si>
  <si>
    <t>Biểu thuế được rút gọn từ 7 bậc xuống còn 5 bậc, việc tính toán và thực hiện đơn giản hóa đáng kể so với trước đây.</t>
  </si>
  <si>
    <t>Nâng cao mức giảm trừ gia cảnh cho người phụ thuộc có thể làm tăng niềm tin vào sự công bằng trong quy định, nhưng việc giám sát và thực thi cần được cải thiện.</t>
  </si>
  <si>
    <t>Thuế suất mới có thể tạo cảm giác công bằng hơn cho những người thuộc cùng mức thu nhập, song vẫn cần xem xét tổng thể để đánh giá.</t>
  </si>
  <si>
    <t>Nâng cao mức giảm trừ gia cảnh và đơn giản hóa biểu thuế có thể làm tăng niềm tin vào việc sử dụng tiền thuế hiệu quả, nhưng cần cải thiện thông tin về cách sử dụng</t>
  </si>
  <si>
    <t>Thông tin giải thích về chính sách mới chưa đầy đủ và rõ ràng, do đó tạo ra sự hoài nghi.</t>
  </si>
  <si>
    <t>Niềm tin và cảm giác công bằng tăng lên nhờ đơn giản hóa quy định thuế, nhưng cần cải thiện thông tin giải thích để tăng mức độ ủng hộ và tuân thủ.</t>
  </si>
  <si>
    <t>Nhà nước đã tăng cường quản lý và công nghệ hiện đại giúp phát hiện trốn thuế hiệu quả hơn.</t>
  </si>
  <si>
    <t>Công nghệ tiên tiến cùng sự cải cách mạnh mẽ về quản lý thuế làm giảm khả năng trốn tránh.</t>
  </si>
  <si>
    <t>Mức giảm trừ gia cảnh tăng, đồng thời quy trình khai báo trở nên đơn giản hơn so với trước đây.</t>
  </si>
  <si>
    <t>Biểu thuế được đơn giản hóa, người dân dễ dàng tính toán và hiểu rõ hơn về thuế của mình.</t>
  </si>
  <si>
    <t>Nhà nước đã công bố các quy định mới một cách minh bạch, tạo niềm tin cho người nộp thuế.</t>
  </si>
  <si>
    <t>Mức thuế mới được thiết kế hợp lý với thu nhập cá nhân hiện nay, tạo cảm giác công bằng.</t>
  </si>
  <si>
    <t>Thuế đóng góp vào các dịch vụ công quan trọng như y tế và giao thông, tạo niềm tin về sự hiệu quả sử dụng nguồn lực.</t>
  </si>
  <si>
    <t>Nhà nước đã giải thích rõ ràng mục tiêu cải cách thuế, tuy nhiên vẫn cần thêm minh bạch trong quá trình thực thi.</t>
  </si>
  <si>
    <t>Chính sách mới có lợi cho người nộp thuế với mức giảm trừ gia cảnh tăng và quy trình đơn giản hơn, nên tôi ủng hộ và tuân thủ.</t>
  </si>
  <si>
    <t>Tăng mức giảm trừ gia cảnh và đơn giản hóa biểu thuế có thể làm giảm rủi ro trốn thuế, nhưng khả năng phát hiện vẫn phụ thuộc vào công nghệ và nguồn lực của cơ quan thuế.</t>
  </si>
  <si>
    <t>Công nghệ hiện đại như AI và Big Data có thể hỗ trợ việc phát hiện trốn thuế hiệu quả hơn so với trước đây, nhưng sự thực thi phụ thuộc vào nguồn lực và chính sách của cơ quan thuế.</t>
  </si>
  <si>
    <t>Mức giảm trừ gia cảnh cao hơn và số bậc thuế ít đi có thể làm đơn giản hóa quy trình khai báo, nhưng vẫn cần thời gian để người dân thích nghi với các thay đổi mới.</t>
  </si>
  <si>
    <t>Biểu thuế được đơn giản hóa rõ ràng, giúp việc tính toán và nộp thuế trở nên dễ dàng hơn so với trước đây.</t>
  </si>
  <si>
    <t>Nguyên tắc công bằng trong chính sách mới có thể làm tăng niềm tin của người dân, nhưng mức độ thực thi quyết định hiệu quả của việc cải cách.</t>
  </si>
  <si>
    <t>Nhìn chung, mức thuế theo phương án mới được xem là hợp lý đối với thu nhập hiện tại, tăng niềm tin về sự công bằng trong hệ thống thuế.</t>
  </si>
  <si>
    <t>Nguyên tắc cải cách nhằm mục đích sử dụng hiệu quả nguồn thu từ thuế để nâng cao chất lượng dịch vụ công, nhưng hiệu quả thực tế phụ thuộc vào quản lý và phân bổ ngân sách của Nhà nước.</t>
  </si>
  <si>
    <t>Thông tin về chính sách mới được truyền đạt một cách rõ ràng, giúp người dân hiểu mục đích cải cách, tăng sự minh bạch và niềm tin.</t>
  </si>
  <si>
    <t>Nhìn chung, các cải cách mang lại lợi ích tài chính và đơn giản hóa quy trình khai báo, đồng thời nâng cao mức độ công bằng trong hệ thống thuế, do đó tăng khả năng tuân thủ.</t>
  </si>
  <si>
    <t>Cải cách thuế TNCN tăng giảm trừ gia cảnh và đơn giản hóa biểu thuế, tuy nhiên khả năng phát hiện trốn thuế còn phụ thuộc vào công nghệ quản lý của cơ quan thuế.</t>
  </si>
  <si>
    <t>Việc áp dụng công nghệ mới như AI trong phát hiện trốn thuế có thể tăng hiệu quả, nhưng cần thời gian và nguồn lực để triển khai.</t>
  </si>
  <si>
    <t>Biểu thuế được đơn giản hóa từ 7 bậc xuống còn 5 bậc, giảm bớt các bước phức tạp trong khai báo thuế.</t>
  </si>
  <si>
    <t>Cách tính thuế và bậc thuế mới rõ ràng hơn, dễ hiểu hơn so với trước đây</t>
  </si>
  <si>
    <t>Giảm trừ gia cảnh tăng lên, giảm gánh nặng thuế cho người dân. Tuy nhiên, niềm tin vào sự công bằng của cơ quan thuế phụ thuộc vào thực tế quản lý.</t>
  </si>
  <si>
    <t>Mức thuế mới được điều chỉnh theo thu nhập cá nhân, tạo cảm giác công bằng hơn</t>
  </si>
  <si>
    <t>Giảm trừ gia cảnh và đơn giản hóa biểu thuế tạo cơ hội cho việc sử dụng số tiền thuế đóng vào các dịch vụ công hiệu quả hơn.</t>
  </si>
  <si>
    <t>Điều chỉnh mức thuế và giảm trừ gia cảnh được giải thích rõ ràng, nhưng vẫn cần thời gian để nhìn nhận thực tế</t>
  </si>
  <si>
    <t>Thu nhập của tôi nằm trong bậc thuế mới thấp hơn, giảm gánh nặng. Tuy nhiên, sự phức tạp về quản lý thuế vẫn gây lo ngại.</t>
  </si>
  <si>
    <t>Các quy định quản lý thuế hiện nay đã tăng cường giảm trừ gia cảnh, giúp phát hiện và xử lý các hành vi gian lận hoặc trốn thuế dễ dàng hơn.</t>
  </si>
  <si>
    <t>Việc áp dụng công nghệ trong quản lý thuế sẽ nâng cao hiệu quả trong việc phát hiện, xử lý nghiêm các hành vi trốn thuế.</t>
  </si>
  <si>
    <t>Mức giảm trừ gia cảnh tăng và số bậc thuế được đơn giản hóa giúp quy trình khai báo thuế trở nên thuận tiện hơn.</t>
  </si>
  <si>
    <t>Các bậc thuế mới đã được đơn giản hóa, làm cho việc tính thuế dễ hiểu hơn so với trước đây.</t>
  </si>
  <si>
    <t>Nhà nước đã tăng cường giảm trừ gia cảnh, tạo cảm giác công bằng trong cách đối xử giữa người nộp thuế khác nhau.</t>
  </si>
  <si>
    <t>Mức thuế mới được thiết kế để phản ánh công bằng với thu nhập hiện tại của tôi, do đó tôi thấy nó hợp lý.</t>
  </si>
  <si>
    <t>Tăng cường giảm trừ gia cảnh giúp tôi tin rằng tiền thuế đóng sẽ được sử dụng hiệu quả hơn cho dịch vụ công.</t>
  </si>
  <si>
    <t>Nhà nước đã giải thích rõ ràng về lý do tăng mức giảm trừ gia cảnh, tạo cảm giác minh bạch và thuyết phục.</t>
  </si>
  <si>
    <t>Tích cực từ các ưu đãi thuế giúp tôi tin tưởng hơn vào chính sách mới. Tôi sẵn sàng tuân thủ vì lợi ích cá nhân cũng như công bằng đối với người khác.</t>
  </si>
  <si>
    <t>Việc tăng giảm trừ gia cảnh và đơn giản hóa biểu thuế có thể khiến cơ quan thuế khó phát hiện hành vi gian lận. Tuy nhiên, với sự cải tiến về công nghệ quản lý thuế, khả năng phát hiện trốn thuế vẫn được nâng cao.</t>
  </si>
  <si>
    <t>Công nghệ và hệ thống quản lý thuế mới có thể giúp cơ quan thuế phát hiện các hành vi trốn thuế một cách hiệu quả hơn. Tuy nhiên, việc thực thi cần có sự phối hợp chặt chẽ giữa các cơ quan.</t>
  </si>
  <si>
    <t>Biểu thuế đơn giản hóa và giảm trừ gia cảnh tăng lên làm cho quy trình khai báo thuế dễ dàng hơn. Tuy nhiên, việc thực hiện vẫn cần tuân thủ theo quy định mới.</t>
  </si>
  <si>
    <t>Cách tính thuế mới đơn giản hóa so với trước đây, giúp người nộp thuế hiểu và thực hiện thuận tiện hơn. Bậc thuế giảm đi cũng làm cho việc đánh giá thuế trở nên dễ dàng hơn.</t>
  </si>
  <si>
    <t>Mức giảm trừ gia cảnh tăng lên có thể tạo ra cảm giác công bằng, đồng thời cơ quan thuế được cải tổ công nghệ giúp họ thực thi chính sách một cách khách quan và minh bạch hơn.</t>
  </si>
  <si>
    <t>Mức thuế mới dường như hợp lý với thu nhập hiện tại của tôi, nhưng cần xem xét thời gian để có cái nhìn tổng thể về hiệu quả chính sách.</t>
  </si>
  <si>
    <t>Tôi tin rằng số tiền thuế đóng sẽ được sử dụng hiệu quả cho các dịch vụ công, nhưng cần thời gian để đánh giá thực tế</t>
  </si>
  <si>
    <t>Nhà nước đã giải thích về mục tiêu của chính sách mới, nhưng việc thực hiện vẫn cần thêm minh bạch và thuyết phục hơn.</t>
  </si>
  <si>
    <t>Sau khi xem xét các quyền lợi và nghĩa vụ, tôi có xu hướng ủng hộ chính sách mới. Tuy nhiên, quyết định cuối cùng phụ thuộc vào việc thực thi hiệu quả của nó.</t>
  </si>
  <si>
    <t>Tăng cường quản lý thuế và công nghệ hiện đại có thể giúp phát hiện hành vi trốn thuế. Mức giảm trừ gia cảnh tăng cũng làm giảm gian lận.</t>
  </si>
  <si>
    <t>Công nghệ ngày càng tiên tiến, cùng với sự cải cách quản lý thuế sẽ giúp phát hiện và xử lý nghiêm túc trốn thuế.</t>
  </si>
  <si>
    <t>Mức giảm trừ gia cảnh tăng, biểu thuế đơn giản hơn có thể làm thủ tục khai báo trở nên dễ dàng hơn.</t>
  </si>
  <si>
    <t>Biểu thuế được thu gọn từ 7 bậc xuống còn 5 bậc, khiến việc tính toán và hiểu rõ mức thuế trở nên dễ dàng hơn.</t>
  </si>
  <si>
    <t>Nâng cao giảm trừ gia cảnh có thể làm cho quy trình thuế công bằng hơn đối với người dân bình thường. Tuy nhiên, vẫn còn nghi ngờ về thực thi chính sách.</t>
  </si>
  <si>
    <t>Mức thuế mới có vẻ công bằng nhưng do chưa quen thuộc nên chưa hoàn toàn tin tưởng.</t>
  </si>
  <si>
    <t>Nâng cao giảm trừ gia cảnh và đơn giản hóa biểu thuế có thể làm cho việc đóng thuế trở thành một phần của dịch vụ công được cải thiện. Tuy nhiên, vẫn còn nghi ngờ về thực thi chính sách.</t>
  </si>
  <si>
    <t>Thông tin về sửa đổi thuế chưa rõ ràng và minh bạch như mong đợi, nên không hoàn toàn tin tưởng vào mục tiêu của chính sách mới.</t>
  </si>
  <si>
    <t>Dù giảm trừ gia cảnh tăng và biểu thuế đơn giản hơn nhưng vẫn còn nghi ngờ về thực thi chính sách. Quyết định tuân thủ dựa trên lợi ích cá nhân và trải nghiệm hiện tại.</t>
  </si>
  <si>
    <t>Những cải cách thuế mới như tăng giảm trừ gia cảnh và đơn giản hóa biểu thuế có thể làm giảm gian lận, nhưng vẫn cần công nghệ phát hiện trốn thuế. Hiện nay, tôi chưa thấy nhiều bằng chứng về khả năng phát hiện mạnh mẽ.</t>
  </si>
  <si>
    <t>Công nghệ hiện đại ngày càng phát triển và chính phủ đã đầu tư vào các hệ thống quản lý thuế. Tuy nhiên, việc trốn thuế vẫn còn phức tạp và khó kiểm soát hoàn toàn.</t>
  </si>
  <si>
    <t>Biểu thuế đơn giản hơn nhưng mức giảm trừ gia cảnh cao hơn có thể làm quá trình khai báo thuận lợi hơn. Tuy nhiên, quy định về thuế vẫn còn phức tạp đối với người dân bình thường.</t>
  </si>
  <si>
    <t>Cách tính thuế đơn giản hơn và số bậc giảm từ 7 xuống 5 có thể giúp việc hiểu và thực hiện dễ dàng hơn. Tuy nhiên, mức thuế mới vẫn còn khó hiểu đối với nhiều người.</t>
  </si>
  <si>
    <t>Nhà nước đã cải thiện quy định về giảm trừ gia cảnh nhưng chưa rõ ràng trong việc xử lý công bằng giữa các đối tượng nộp thuế khác nhau.</t>
  </si>
  <si>
    <t>Mức thuế mới có thể được coi là hợp lý với thu nhập hiện tại của tôi, tuy nhiên, tôi vẫn lo ngại về sự công bằng trong việc áp dụng.</t>
  </si>
  <si>
    <t>Tôi tin rằng số tiền thuế đóng sẽ được sử dụng hiệu quả vào các dịch vụ công nhưng chưa rõ ràng về cách quản lý và phân bổ nguồn lực.</t>
  </si>
  <si>
    <t>Nhà nước đã giải thích khá tốt về mục tiêu của cải cách nhưng vẫn còn thiếu trong việc cung cấp thông tin cụ thể về quy trình thực hiện.</t>
  </si>
  <si>
    <t>Mặc dù thuế mới có lợi cho tôi về mặt tài chính, nhưng sự phức tạp và đa dạng thu nhập khiến tôi lo ngại về khả năng tuân thủ.</t>
  </si>
  <si>
    <t>Các quy định quản lý thuế hiện nay đã tăng cường mức giảm trừ gia cảnh, điều này làm giảm gánh nặng về mặt tài chính và khiến tôi tin rằng hành vi trốn thuế sẽ bị phát hiện dễ dàng hơn.</t>
  </si>
  <si>
    <t>Việc áp dụng công nghệ tiên tiến trong quản lý thuế như AI và Big Data giúp nhà nước có khả năng phát hiện, xử lý nghiêm các hành vi trốn thuế một cách hiệu quả.</t>
  </si>
  <si>
    <t>Mức giảm trừ gia cảnh tăng lên đã đơn giản hóa quá trình khai báo thuế cho tôi. Thu nhập của tôi nay nằm trong bậc thuế thấp hơn, giúp việc làm việc với cơ quan thuế trở nên dễ dàng hơn.</t>
  </si>
  <si>
    <t>Biểu thuế mới đã đơn giản hóa các bậc thuế từ 7 xuống còn 5, khiến tôi thấy cách tính thuế và quy trình làm việc với cơ quan thuế dễ hiểu hơn.</t>
  </si>
  <si>
    <t>Nhà nước đã tăng mức giảm trừ gia cảnh cho bản thân và người phụ thuộc, điều này thể hiện sự công bằng trong việc áp dụng chính sách thuế.</t>
  </si>
  <si>
    <t>Thu nhập của tôi nay nằm trong bậc thuế thấp hơn so với trước đây, khiến tôi thấy mức thuế mới đóng là hợp lý.</t>
  </si>
  <si>
    <t>Mức giảm trừ gia cảnh tăng lên giúp tôi tin rằng số tiền thuế tôi đóng sẽ được sử dụng hiệu quả để cải thiện các dịch vụ công.</t>
  </si>
  <si>
    <t>Nhà nước đã có những thông báo chính thức về việc tăng mức giảm trừ và đơn giản hóa biểu thuế, giúp tôi hiểu rõ lý do và mục tiêu của chính sách mới.</t>
  </si>
  <si>
    <t>Sau khi xem xét các quyền lợi và nghĩa vụ, tôi ủng hộ chính sách mới. Mức giảm trừ gia cảnh tăng lên đã làm giảm gánh nặng về mặt tài chính cho tôi.</t>
  </si>
  <si>
    <t>Tăng cường quản lý thuế và công nghệ phát hiện gian lận có thể nâng cao hiệu quả trong việc ngăn chặn trốn thuế.</t>
  </si>
  <si>
    <t>Nhà nước đã đầu tư vào công nghệ để cải thiện khả năng phát hiện, xử lý trốn thuế, tuy nhiên còn phụ thuộc vào sự tuân thủ của cá nhân.</t>
  </si>
  <si>
    <t>Bậc thuế đơn giản hóa và mức giảm trừ gia cảnh tăng có thể làm cho việc khai báo thuế trở nên dễ dàng hơn.</t>
  </si>
  <si>
    <t>Cách tính thuế mới với ít bậc hơn tạo ra sự rõ ràng, dễ hiểu và thực hiện nhanh chóng hơn so với trước đây.</t>
  </si>
  <si>
    <t>Nâng cao mức giảm trừ gia cảnh có thể làm cho việc nộp thuế công bằng hơn, nhưng vẫn còn nhiều bất đồng trong cách thực thi.</t>
  </si>
  <si>
    <t>Mức thuế mới dựa trên thu nhập cá nhân có vẻ hợp lý, nhưng cần thời gian để đánh giá hiệu quả thực tế của nó.</t>
  </si>
  <si>
    <t>Tăng mức giảm trừ gia cảnh và đơn giản hóa biểu thuế có thể tăng niềm tin vào việc sử dụng hiệu quả số tiền thuế.</t>
  </si>
  <si>
    <t>Giải thích rõ ràng về mục tiêu của chính sách mới cần thêm thời gian để xác minh, nhưng đã hướng đến cải thiện quản lý thuế.</t>
  </si>
  <si>
    <t>Nâng cao mức giảm trừ gia cảnh và đơn giản hóa biểu thuế tạo ra sự công bằng hơn trong việc nộp thuế, đồng thời tăng khả năng tuân thủ.</t>
  </si>
  <si>
    <t>Nâng cao giảm trừ gia cảnh và đơn giản hóa quy trình thuế có thể làm giảm hành vi gian lận, nhưng chưa rõ về công nghệ phát hiện trốn thuế.</t>
  </si>
  <si>
    <t>Việc áp dụng công nghệ trong quản lý thuế có thể tăng hiệu quả phát hiện trốn thuế, nhưng vẫn cần cải thiện.</t>
  </si>
  <si>
    <t>Giảm số bậc thuế từ 7 xuống 5 có thể làm giảm rườm rà trong khai báo, nâng cao thuận tiện cho người dân.</t>
  </si>
  <si>
    <t>Đơn giản hóa biểu thuế và tăng giảm trừ gia cảnh giúp tính toán thuế trở nên dễ dàng hơn đối với người dân.</t>
  </si>
  <si>
    <t>Giảm trừ gia cảnh lớn hơn, nhưng chưa rõ về sự công bằng trong cách thực thi chính sách giữa các nhóm thu nhập khác nhau.</t>
  </si>
  <si>
    <t>Mức thuế mới có thể hợp lý đối với người thu nhập trung bình, nhưng cần thêm thông tin để đánh giá toàn diện.</t>
  </si>
  <si>
    <t>Cải cách thuế giúp cải thiện dịch vụ công, nhưng hiệu quả sử dụng nguồn thu chưa rõ ràng.</t>
  </si>
  <si>
    <t>Thông tin giải thích về mục tiêu sửa đổi thuế còn hạn chế, cần thêm thông điệp minh bạch từ nhà nước.</t>
  </si>
  <si>
    <t>Chỉ với cải cách thuế và giảm trừ gia cảnh, chưa đủ thuyết phục để ủng hộ hoàn toàn, nhưng sẵn sàng tuân thủ có điều kiện.</t>
  </si>
  <si>
    <t>Các quy định quản lý thuế hiện nay có nhiều cải tiến như việc tăng giảm trừ gia cảnh, đơn giản hóa biểu thuế, nhưng chưa rõ liệu công nghệ phát hiện trốn thuế đã được nâng cấp hay không.</t>
  </si>
  <si>
    <t>Việc Nhà nước và cơ quan thuế có đủ khả năng và công nghệ để phát hiện trốn thuế phụ thuộc nhiều vào việc triển khai thực tế của các quy định mới. Hiện tại, chưa rõ ràng.</t>
  </si>
  <si>
    <t>Các thủ tục khai báo thuế đơn giản hơn so với trước đây do giảm số bậc thuế từ 7 xuống còn 5, nhưng vẫn còn một số rào cản trong quá trình làm việc với cơ quan thuế.</t>
  </si>
  <si>
    <t>Tôi tin rằng Nhà nước sẽ thực thi chính sách một cách công bằng đối với mọi người nộp thuế. Tăng giảm trừ gia cảnh và giảm số bậc thuế tạo cảm giác công bằng hơn.</t>
  </si>
  <si>
    <t>Mức thuế mới theo phương án này có vẻ hợp lý so với thu nhập của tôi, nhưng vẫn cần thời gian để đánh giá hiệu quả thực tế sau khi chính sách được áp dụng.</t>
  </si>
  <si>
    <t>Tôi tin số tiền thuế đóng sẽ được sử dụng hiệu quả cho các dịch vụ công. Tuy nhiên, cần thêm thời gian để xem xét kết quả thực tế.</t>
  </si>
  <si>
    <t>Các thông tin về lý do và mục tiêu của việc sửa đổi thuế chưa đủ rõ ràng, nhưng tôi hy vọng Nhà nước sẽ giải thích tốt hơn trong tương lai.</t>
  </si>
  <si>
    <t>Sau khi xem xét các quyền lợi và nghĩa vụ, tôi có thể ủng hộ chính sách mới. Tuy nhiên, cần thêm thời gian để đánh giá hiệu quả thực tế của chính sách này.</t>
  </si>
  <si>
    <t>Theo quy định mới, mức giảm trừ gia cảnh và biểu thuế đơn giản hơn, giảm rủi ro cho người nộp thuế. Các quy định quản lý thuế hiện nay có khả năng phát hiện gian lận trốn thuế tốt hơn.</t>
  </si>
  <si>
    <t>Việc áp dụng công nghệ trong quản lý thuế giúp tăng cường khả năng giám sát và xử lý nghiêm các hành vi trốn thuế. Tuy nhiên, vẫn cần cải thiện về độ minh bạch của quy trình.</t>
  </si>
  <si>
    <t>Mức giảm trừ gia cảnh cao hơn, biểu thuế đơn giản, việc khai báo và làm việc với cơ quan thuế trở nên dễ dàng hơn. Điều này tăng tính thuận tiện cho người nộp thuế.</t>
  </si>
  <si>
    <t>Các bậc thuế mới rõ ràng hơn, giảm rủi ro cho người nộp thuế. Cách tính thuế đơn giản hóa giúp người dân dễ hiểu và thực hiện.</t>
  </si>
  <si>
    <t>Nhà nước đã cải thiện quy định quản lý thuế một cách công bằng, có thể làm tăng niềm tin vào việc thực thi chính sách khách quan. Tuy nhiên, vẫn cần minh bạch hơn về cách sử dụng tiền thuế.</t>
  </si>
  <si>
    <t>Mức thuế mới phù hợp với thu nhập hiện tại của tôi, giảm gánh nặng so với trước đây. Điều này tăng sự công bằng trong việc đóng góp thuế.</t>
  </si>
  <si>
    <t>Thuận tiện trong việc khai báo và làm việc với cơ quan thuế có thể tạo cảm giác tin tưởng vào việc sử dụng tiền thuế hiệu quả, nhưng vẫn cần minh bạch hơn về cách chi tiêu.</t>
  </si>
  <si>
    <t>Nhà nước đã cải thiện quy định quản lý thuế và cung cấp thông tin rõ ràng. Tuy nhiên, việc minh bạch về mục đích của các thay đổi thuế cần được tăng cường.</t>
  </si>
  <si>
    <t>Chính sách mới thuận tiện hơn cho người nộp thuế, giảm gánh nặng và tạo cảm giác công bằng. Tuy nhiên, vẫn còn nghi ngại về việc sử dụng tiền thuế hiệu quả.</t>
  </si>
  <si>
    <t>Các quy định quản lý thuế hiện nay đã được cải thiện đáng kể, đặc biệt là với sự hỗ trợ của công nghệ mới. Điều này tăng cường khả năng phát hiện hành vi gian lận và trốn thuế.</t>
  </si>
  <si>
    <t>Nhà nước và cơ quan thuế đã đầu tư vào công nghệ để phát hiện và xử lý nghiêm các hành vi trốn thuế, tạo ra một môi trường làm việc minh bạch hơn.</t>
  </si>
  <si>
    <t>Các quy trình khai báo thuế trở nên đơn giản hơn với số bậc thuế giảm từ 7 xuống còn 5. Điều này giúp tiết kiệm thời gian và công sức của người dân.</t>
  </si>
  <si>
    <t>Phương án mới về cách tính thuế đã làm cho nó dễ hiểu hơn, đặc biệt là với số bậc thuế giảm đi từ 7 xuống còn 5.</t>
  </si>
  <si>
    <t>Trình tự và quy định quản lý thuế hiện nay được thực thi một cách công bằng. Những thay đổi như tăng mức giảm trừ gia cảnh giúp tạo ra sự công bằng trong việc đóng thuế.</t>
  </si>
  <si>
    <t>Mức thuế mới theo phương án này đối với thu nhập của tôi là hợp lý, vì vậy tôi cảm thấy nó là một hệ thống công bằng.</t>
  </si>
  <si>
    <t>Thuế đóng góp vào việc cải thiện các dịch vụ công như y tế và giao thông. Mức thuế mới được giảm đi từ trước, tạo ra sự tin tưởng về cách sử dụng tiền thuế.</t>
  </si>
  <si>
    <t>Nhà nước đã giải thích rõ ràng lý do và mục tiêu của việc sửa đổi thuế này. Điều này giúp tôi hiểu rõ hơn về quy định mới.</t>
  </si>
  <si>
    <t>Sau khi xem xét các quyền lợi từ mức giảm trừ gia cảnh tăng lên, tôi thấy mình sẽ tuân thủ chính sách mới vì nó tạo ra sự công bằng và tiện lợi cho người dân.</t>
  </si>
  <si>
    <t>Biện pháp quản lý thuế được cải thiện với mức giảm trừ gia cảnh cao hơn, do đó khả năng phát hiện gian lận tăng lên. Tuy nhiên, vẫn cần công nghệ và nguồn lực để thực thi hiệu quả.</t>
  </si>
  <si>
    <t>Công nghệ hiện đại như AI, Big Data đã được ứng dụng trong quản lý thuế, giúp phát hiện trốn thuế nhanh chóng. Tuy nhiên, vẫn có nguy cơ bị lợi dụng thông tin cá nhân.</t>
  </si>
  <si>
    <t>Số bậc thuế giảm từ 7 xuống còn 5, quy trình khai báo trở nên đơn giản hơn. Tuy nhiên, vẫn cần thời gian để người dân thích nghi với các thay đổi mới.</t>
  </si>
  <si>
    <t>Cách tính thuế và bậc thuế mới dễ hiểu hơn so với trước đây. Điều này giúp giảm bớt sự phức tạp trong việc làm toán thuế.</t>
  </si>
  <si>
    <t>Nhà nước đã cải thiện mức giảm trừ gia cảnh, tạo ra một hệ thống thuế công bằng hơn. Tuy nhiên, vẫn cần thời gian để mọi người tin tưởng vào sự thực thi chính sách.</t>
  </si>
  <si>
    <t>Mức thuế mới được thiết kế nhằm đảm bảo tính công bằng giữa các nhóm thu nhập khác nhau. Tuy nhiên, vẫn có sự nghi ngờ về khả năng áp dụng chính sách đúng đắn.</t>
  </si>
  <si>
    <t>Thuế đóng góp vào việc cải thiện dịch vụ công là điều quan trọng. Tuy nhiên, hiệu quả sử dụng nguồn thu thuế vẫn cần được giám sát chặt chẽ để đảm bảo tính minh bạch.</t>
  </si>
  <si>
    <t>Nhà nước đã giải thích rõ ràng về mục tiêu cải cách thuế nhưng công chúng vẫn có nhiều câu hỏi và nghi ngờ. Tuy nhiên, mức độ tin cậy của thông tin vẫn đang được cải thiện.</t>
  </si>
  <si>
    <t>Sau khi cân nhắc các quyền lợi và nghĩa vụ, tôi thấy chính sách mới mang lại lợi ích tài chính và đơn giản hóa quy trình. Tuy nhiên, quyết định tuân thủ phụ thuộc vào việc thực thi chính sách hiệu quả.</t>
  </si>
  <si>
    <t>Các quy định quản lý thuế hiện nay có nhiều cải tiến như tăng giảm trừ gia cảnh, đơn giản hóa biểu thuế nhưng vẫn chưa rõ ràng về công nghệ phát hiện trốn thuế.</t>
  </si>
  <si>
    <t>Nhà nước và cơ quan thuế đã đầu tư vào công nghệ để phát hiện hành vi gian lận, tăng cường kiểm tra và xử lý nghiêm các trường hợp trốn thuế.</t>
  </si>
  <si>
    <t>Thủ tục khai báo thuế đơn giản hơn với số bậc thuế giảm từ 7 xuống còn 5. Tuy nhiên, quy trình làm việc với cơ quan thuế chưa có nhiều cải tiến đáng kể.</t>
  </si>
  <si>
    <t>Cách tính thuế và các bậc thuế mới đơn giản hóa so với trước đây, giúp người nộp thuế dễ hiểu hơn.</t>
  </si>
  <si>
    <t>Nhà nước đã cải thiện quy định quản lý thuế để đảm bảo công bằng cho mọi người nộp thuế. Tuy nhiên, mức độ tin tưởng vào cách thực thi chính sách còn phụ thuộc vào việc kiểm tra và xử lý trốn thuế.</t>
  </si>
  <si>
    <t>Mức thuế mới được thiết kế để công bằng với thu nhập cá nhân hiện tại. Tuy nhiên, vẫn cần thời gian để đánh giá hiệu quả thực tế của chính sách.</t>
  </si>
  <si>
    <t>Việc cải thiện quy định quản lý thuế có thể giúp tăng mức độ tin tưởng vào việc sử dụng tiền thuế cho lợi ích chung. Tuy nhiên, cần xem xét hiệu quả thực tế trong việc sử dụng nguồn lực.</t>
  </si>
  <si>
    <t>Nhà nước đã cung cấp thông tin về lý do và mục tiêu của việc sửa đổi thuế nhưng vẫn cần tăng cường minh bạch hơn để người dân hiểu rõ.</t>
  </si>
  <si>
    <t>Sau khi xem xét cải tiến của chính sách, tôi ủng hộ vì nó giúp giảm gánh nặng thuế và đơn giản hóa quy trình. Tuy nhiên, quyết định cuối cùng phụ thuộc vào sự thực thi chính sách.</t>
  </si>
  <si>
    <t>Các quy định quản lý thuế hiện nay đã được cải thiện đáng kể, đặc biệt là với sự tăng cường công nghệ giám sát và phát hiện trốn thuế. Điều này giảm khả năng gian lận và tạo ra một môi trường minh bạch hơn.</t>
  </si>
  <si>
    <t>Công nghệ hiện đại, như hệ thống điện tử hóa khai thuế, giúp cơ quan thuế có thể phát hiện sớm hơn các hành vi trốn thuế. Tuy nhiên, vẫn cần sự kiên trì và cải tiến liên tục.</t>
  </si>
  <si>
    <t>Một số quy trình đã được đơn giản hóa, nhưng vẫn còn một số bước phức tạp do việc khai báo trực tuyến. Tuy nhiên, so với trước đây, các thủ tục đã trở nên dễ dàng hơn.</t>
  </si>
  <si>
    <t>Các bậc thuế đã được đơn giản hóa, giảm bớt sự phức tạp và dễ hiểu hơn. Điều này giúp người dân tính toán thu nhập chịu thuế một cách nhanh chóng.</t>
  </si>
  <si>
    <t>Nhà nước có thể thực thi chính sách một cách khách quan và công bằng, nhưng do tôi là người đa nghi, cần thêm thời gian để đánh giá hiệu quả thực tế của chính sách mới.</t>
  </si>
  <si>
    <t>Các bậc thuế mới được thiết kế hợp lý dựa trên thu nhập, tạo cảm giác công bằng. Tuy nhiên, do tôi là người đa nghi, cần thêm thông tin để đánh giá</t>
  </si>
  <si>
    <t>Niềm tin vào việc sử dụng hiệu quả số tiền thuế đóng còn thấp do các dự án công cộng không được minh bạch. Tuy nhiên, với cải cách mới, tôi có hy vọng.</t>
  </si>
  <si>
    <t>Các thông điệp giải thích về lý do và mục tiêu của việc sửa đổi thuế đã được truyền tải rõ ràng hơn so với trước đây, nhưng cần thêm thời gian để đánh giá</t>
  </si>
  <si>
    <t>Sau khi xem xét các quyền lợi và nghĩa vụ, tôi ủng hộ chính sách mới vì nó tạo ra cảm giác công bằng và đơn giản hơn. Tuy nhiên, do tâm lý đa nghi của tôi, cần thêm thời gian để đánh giá cụ thể.</t>
  </si>
  <si>
    <t>Trong thời đại công nghệ thông tin phát triển, khả năng phát hiện gian lận và trốn thuế của cơ quan thuế sẽ cao hơn. Việc tăng giảm trừ gia cảnh cũng không ảnh hưởng nhiều đến khả năng phát hiện.</t>
  </si>
  <si>
    <t>Công nghệ ngày càng tiên tiến, cùng với sự cải cách quản lý thuế, việc xử lý nghiêm các hành vi trốn thuế sẽ dễ dàng hơn. Tuy nhiên, vẫn còn có sự nghi ngờ về hiệu quả thực thi.</t>
  </si>
  <si>
    <t>Biểu thuế được đơn giản hóa từ 7 bậc xuống 5 bậc nên việc khai báo và làm việc với cơ quan thuế trở nên dễ dàng hơn. Tuy nhiên, vẫn cần thời gian để người dân thích nghi.</t>
  </si>
  <si>
    <t>Cách tính thuế mới đơn giản hóa từ 7 bậc xuống 5 bậc, giúp người nộp thuế dễ hiểu và thực hiện hơn so với trước đây. Tuy nhiên, việc làm rõ các mức thuế suất còn cần thời gian.</t>
  </si>
  <si>
    <t>Nhà nước đã cải cách thuế một cách công khai, nhưng vẫn có sự nghi ngờ về cách thực thi chính sách mới.</t>
  </si>
  <si>
    <t>Mức thuế mới được thiết kế để phù hợp với thu nhập cá nhân hiện nay, tuy nhiên vẫn cần thời gian để đánh giá tính công bằng.</t>
  </si>
  <si>
    <t>Nhà nước đã cải thiện các giảm trừ gia cảnh, nhưng hiệu quả sử dụng số tiền thuế đóng vào dịch vụ công còn chưa rõ ràng.</t>
  </si>
  <si>
    <t>Các thông tin về lý do và mục tiêu của việc sửa đổi thuế được cung cấp một cách minh bạch, nhưng vẫn cần thời gian để đánh giá</t>
  </si>
  <si>
    <t>Chính sách mới có thể mang lại lợi ích tài chính cho người thu nhập thấp và trung bình, tuy nhiên, quyết định ủng hộ hay không phụ thuộc vào sự tin tưởng vào thực thi của cơ quan thuế.</t>
  </si>
  <si>
    <t>Biểu thuế được đơn giản hóa, các bậc thuế suất và ngưỡng chịu thuế rõ ràng hơn. Tuy nhiên, mức giảm trừ gia cảnh tăng mạnh có thể làm cho việc phát hiện trốn thuế phức tạp hơn.</t>
  </si>
  <si>
    <t>Công nghệ hiện đại hỗ trợ giám sát và xử lý vi phạm thuế hiệu quả, nhưng vẫn cần nguồn lực con người để kiểm soát.</t>
  </si>
  <si>
    <t>Mức giảm trừ gia cảnh tăng mạnh, giúp thủ tục khai báo đơn giản hơn. Quy trình làm việc với cơ quan thuế nhanh chóng hơn.</t>
  </si>
  <si>
    <t>Biểu thuế được đơn giản hóa từ 7 bậc xuống còn 5 bậc, dễ hiểu và thực hiện dễ dàng hơn.</t>
  </si>
  <si>
    <t>Nhìn chung, mức giảm trừ gia cảnh tăng mạnh, giúp việc nộp thuế công bằng hơn. Tuy nhiên, vẫn có sự lo ngại về cách thực thi chính sách.</t>
  </si>
  <si>
    <t>Mức thuế mới được thiết kế dựa trên thu nhập cá nhân, nên tôi thấy là công bằng. Mức giảm trừ gia cảnh tăng mạnh làm cho việc đánh giá mức thuế trở nên rõ ràng hơn.</t>
  </si>
  <si>
    <t>Nhuận từ và mức giảm trừ gia cảnh tăng đáng kể, giúp tôi tin rằng số tiền thuế đóng sẽ được sử dụng hiệu quả. Tuy nhiên, vẫn cần thời gian để chứng minh thực tế.</t>
  </si>
  <si>
    <t>Đã có giải thích rõ ràng về mục tiêu và lý do của việc sửa đổi thuế. Tuy nhiên, tôi vẫn cần thêm thông tin về cách thức thực thi mới.</t>
  </si>
  <si>
    <t>Nhìn chung, mức giảm trừ gia cảnh tăng mạnh đã làm cho việc tuân thủ chính sách trở nên dễ dàng hơn. Tôi sẽ ủng hộ và tuân thủ chính sách này.</t>
  </si>
  <si>
    <t xml:space="preserve">Các quy định quản lý thuế hiện nay đã được cải thiện, tăng mức giảm trừ gia cảnh và đơn giản hóa biểu thuế. Điều này làm giảm khả năng trốn thuế, nhưng vẫn cần công nghệ phát hiện. </t>
  </si>
  <si>
    <t>Việc áp dụng công nghệ AI và dữ liệu lớn để phát hiện trốn thuế đã cải thiện đáng kể so với trước đây.</t>
  </si>
  <si>
    <t>Mức giảm trừ gia cảnh tăng, quy trình khai báo đơn giản hơn. Điều này làm cho thủ tục trở nên tiện lợi và nhanh chóng hơn.</t>
  </si>
  <si>
    <t>Biểu thuế được rút gọn, các bậc thuế rõ ràng hơn, dễ hiểu và thực hiện dễ dàng.</t>
  </si>
  <si>
    <t>Nhà nước đã cải thiện quy định quản lý thuế một cách khách quan và công bằng. Tuy nhiên, mức độ tin tưởng còn phụ thuộc vào việc thực thi chính sách</t>
  </si>
  <si>
    <t>Thuế suất và ngưỡng chịu thuế mới có thể phù hợp với thu nhập cá nhân hiện nay, tạo cảm giác công bằng.</t>
  </si>
  <si>
    <t>Giảm trừ gia cảnh tăng giúp cải thiện dịch vụ công. Tuy nhiên, việc sử dụng tiền thuế hiệu quả còn phụ thuộc vào quản lý của Nhà nước</t>
  </si>
  <si>
    <t>Nhà nước đã giải thích rõ ràng về mục tiêu của chính sách mới, nhưng vẫn cần thêm thông tin để thuyết phục hoàn toàn.</t>
  </si>
  <si>
    <t>Chính sách mới mang lại lợi ích tài chính và thủ tục đơn giản hơn. Tuy nhiên, quyết định cuối cùng phụ thuộc vào mức độ tin tưởng và cảm giác công bằng của cá nhân.</t>
  </si>
  <si>
    <t>Biểu thuế đơn giản hóa và tăng giảm trừ gia cảnh có thể làm giảm rủi ro trốn thuế, nhưng khả năng phát hiện vẫn phụ thuộc vào công nghệ và nguồn lực của cơ quan thuế.</t>
  </si>
  <si>
    <t>Công nghệ ngày càng tiên tiến, đặc biệt với AI và Big Data, việc phát hiện gian lận thuế sẽ trở nên dễ dàng hơn. Tuy nhiên, vẫn cần nguồn lực và quy định cụ thể.</t>
  </si>
  <si>
    <t>Mức giảm trừ gia cảnh tăng lên có thể làm đơn giản hóa thủ tục khai báo cho một số người nộp thuế. Tuy nhiên, quy trình làm việc với cơ quan thuế vẫn còn phức tạp.</t>
  </si>
  <si>
    <t>Biểu thuế đơn giản hơn và có ít bậc thuế, điều này làm tăng tính dễ hiểu và thực hiện đối với người nộp thuế. Tuy nhiên, sự thay đổi cần thời gian để mọi người quen thuộc.</t>
  </si>
  <si>
    <t>Nhà nước đã cải thiện quy định quản lý thuế, giảm rủi ro trốn thuế và tăng độ minh bạch. Điều này có thể tăng niềm tin vào sự công bằng trong thực thi chính sách.</t>
  </si>
  <si>
    <t>Mức thuế mới dựa trên thu nhập có thể được xem là công bằng, tuy nhiên mức thuế cụ thể của mỗi người phụ thuộc vào tình hình cá nhân. Tuy nhiên, sự minh bạch trong quy định giúp giảm rủi ro.</t>
  </si>
  <si>
    <t>Thuế được sử dụng hiệu quả để cải thiện dịch vụ công có thể tăng niềm tin của người dân vào chính sách thuế mới. Tuy nhiên, cần thời gian để đánh giá tác động thực tế.</t>
  </si>
  <si>
    <t xml:space="preserve">Các thông điệp từ Nhà nước về mục tiêu và lý do của cải cách thuế khá rõ ràng, nhưng vẫn có sự bất đồng giữa người dân do mức độ tiếp cận thông tin khác nhau. </t>
  </si>
  <si>
    <t>Sau khi xem xét các quyền lợi và nghĩa vụ mới, tôi thấy chính sách mới mang lại nhiều thuận lợi cho một số nhóm người nộp thuế. Tuy nhiên, quyết định tuân thủ phụ thuộc vào việc cân nhắc giữa lợi ích cá nhân và trách nhiệm chung.</t>
  </si>
  <si>
    <t>Quy định quản lý thuế hiện nay chưa rõ ràng, cần nhiều cải thiện để phát hiện hành vi gian lận.</t>
  </si>
  <si>
    <t>Công nghệ hiện tại giúp phát hiện trốn thuế hiệu quả hơn nhưng vẫn có những hạn chế.</t>
  </si>
  <si>
    <t>Thủ tục khai báo thuế đơn giản hơn, đặc biệt là với mức giảm trừ gia cảnh cao hơn.</t>
  </si>
  <si>
    <t>Cách tính thuế và bậc thuế mới đơn giản rõ ràng, phù hợp với nhiều đối tượng.</t>
  </si>
  <si>
    <t>Nhà nước và cơ quan thuế có thể thực thi chính sách một cách công tâm nhưng cần nhiều cải thiện.</t>
  </si>
  <si>
    <t>Mức thuế mới được đánh giá là hợp lý đối với thu nhập hiện tại, tạo cảm giác công bằng.</t>
  </si>
  <si>
    <t>Tiền thuế đóng góp vào cải thiện dịch vụ công nhưng còn nhiều lo ngại về hiệu quả sử dụng.</t>
  </si>
  <si>
    <t>Nhà nước đã giải thích rõ ràng về mục tiêu chính sách, tạo niềm tin cho người dân.</t>
  </si>
  <si>
    <t>Các quyền lợi và nghĩa vụ được cân nhắc kỹ, quyết định tuân thủ dựa trên lợi ích cá nhân.</t>
  </si>
  <si>
    <t>Luật Thuế TNCN sửa đổi với việc tăng giảm trừ gia cảnh và đơn giản hóa biểu thuế có thể làm giảm cơ hội trốn thuế. Tuy nhiên, khả năng phát hiện hành vi gian lận vẫn phụ thuộc vào nguồn lực của cơ quan thuế.</t>
  </si>
  <si>
    <t>Nhà nước và cơ quan thuế đã đầu tư công nghệ để phát hiện trốn thuế. Tuy nhiên, việc thực thi hiệu quả còn phụ thuộc vào nhiều yếu tố như nguồn lực và chính sách quản lý.</t>
  </si>
  <si>
    <t>Biểu thuế đơn giản hơn có thể làm các thủ tục khai báo thuế dễ dàng hơn. Tuy nhiên, việc thực hiện vẫn cần tuân theo quy định cụ thể.</t>
  </si>
  <si>
    <t>Cách tính thuế mới đơn giản hơn so với trước đây, giúp người dân hiểu rõ hơn về mức thuế mình phải đóng.</t>
  </si>
  <si>
    <t>Nhà nước đã tăng giảm trừ gia cảnh và đơn giản hóa biểu thuế, tạo ra sự công bằng trong việc phân phối gánh nặng thuế. Việc này giúp người dân tin tưởng vào tính công bằng của chính sách.</t>
  </si>
  <si>
    <t>Mức thuế mới được thiết kế nhằm đảm bảo độ công bằng giữa các đối tượng nộp thuế tương tự nhau, tuy nhiên vẫn có sự nghiêng về lợi ích cho người thu nhập thấp hơn.</t>
  </si>
  <si>
    <t>Thuế đóng góp vào ngân sách quốc gia để đầu tư phát triển hạ tầng và dịch vụ công. Tuy nhiên, hiệu quả sử dụng nguồn lực thuế vẫn phụ thuộc vào quản lý của chính phủ.</t>
  </si>
  <si>
    <t>Các thông tin về cải cách thuế được truyền đạt một cách minh bạch hơn so với trước đây, giúp người dân hiểu rõ hơn về mục tiêu và ý nghĩa của việc sửa đổi thuế.</t>
  </si>
  <si>
    <t>Đối với tôi, các quyền lợi từ chính sách mới như tăng giảm trừ gia cảnh tạo ra sự công bằng và minh bạch. Tuy nhiên, quyết định tuân thủ vẫn phụ thuộc vào nhiều yếu tố khác như trách nhiệm cá nhân.</t>
  </si>
  <si>
    <t>Các quy định quản lý thuế hiện nay đã được cải cách mạnh mẽ, với mức giảm trừ gia cảnh tăng đáng kể, tạo cơ sở để phát hiện hành vi gian lận. Công nghệ ngày càng tiên tiến giúp việc phát hiện trốn thuế trở nên dễ dàng hơn.</t>
  </si>
  <si>
    <t>Nhà nước và các cơ quan thuế đã đầu tư vào công nghệ, hệ thống quản lý và ứng dụng AI để phát hiện trốn thuế. Tuy nhiên, vẫn còn không ít thách thức trong việc thực thi.</t>
  </si>
  <si>
    <t>Với mức giảm trừ gia cảnh tăng, thủ tục khai báo thuế đơn giản hơn và quy trình làm việc với cơ quan thuế nhanh chóng hơn. Điều này giúp người dân dễ dàng tuân thủ hơn.</t>
  </si>
  <si>
    <t>Biểu thuế được đơn giản hóa từ 7 bậc xuống còn 5 bậc, điều này làm cho việc tính toán và nộp thuế trở nên dễ dàng hơn. Tuy nhiên, các bậc thuế mới vẫn khá phức tạp.</t>
  </si>
  <si>
    <t>Nhà nước đã cải cách quy định quản lý thuế một cách công bằng, giảm trừ gia cảnh tăng đáng kể và đơn giản hóa biểu thuế. Điều này giúp đảm bảo rằng mọi người nộp thuế đều được đối xử công bằng.</t>
  </si>
  <si>
    <t>Theo phương án mới, mức thuế tôi phải đóng là hợp lý so với thu nhập của mình. Tuy nhiên, việc cải cách chưa hoàn toàn thuyết phục tất cả mọi người.</t>
  </si>
  <si>
    <t>Thuế mà tôi đóng sẽ được sử dụng hiệu quả để cải thiện dịch vụ công như y tế và giao thông. Mức giảm trừ gia cảnh tăng đã tạo ra sự tin tưởng trong việc sử dụng nguồn thu thuế một cách minh bạch.</t>
  </si>
  <si>
    <t>Nhà nước đã giải thích về mục tiêu của chính sách cải cách thuế, nhưng thông điệp chưa hoàn toàn thuyết phục mọi người. Tuy nhiên, các biện pháp quản lý thuế mới có thể tăng sự minh bạch.</t>
  </si>
  <si>
    <t>Sau khi cân nhắc lợi ích và nghĩa vụ, tôi ủng hộ chính sách mới vì mức giảm trừ gia cảnh tăng đã tạo ra lợi ích tài chính rõ ràng. Tuy nhiên, vẫn còn một số lo ngại về sự phức tạp của biểu thuế.</t>
  </si>
  <si>
    <t>Các quy định quản lý thuế hiện nay dường như có nhiều biện pháp phát hiện gian lận, nhưng do kinh nghiệm, tôi vẫn lo ngại một số trường hợp trốn thuế có thể bị bỏ qua.</t>
  </si>
  <si>
    <t>Việc áp dụng công nghệ trong quản lý thuế sẽ giúp tăng cường khả năng phát hiện và xử lý các hành vi trốn thuế, nhưng vẫn cần thời gian để hoàn thiện.</t>
  </si>
  <si>
    <t>Các thủ tục khai báo thuế đã được đơn giản hóa, việc này làm cho quy trình làm việc với cơ quan thuế trở nên nhanh chóng và tiện lợi hơn.</t>
  </si>
  <si>
    <t>So với trước đây, cách tính thuế mới có ít bậc hơn, điều này giúp người dân dễ hiểu và thực hiện các bước tính toán đơn giản hơn.</t>
  </si>
  <si>
    <t>Nhà nước đã cải thiện quy định về giảm trừ gia cảnh, nhưng tôi vẫn lo ngại về khả năng công bằng trong việc áp dụng chính sách cho tất cả mọi người.</t>
  </si>
  <si>
    <t>Mức thuế mới có thể phù hợp với thu nhập của tôi, nhưng tôi chưa chắc chắn về sự công bằng do không rõ ràng về cách các bậc thuế được xác định.</t>
  </si>
  <si>
    <t>Thuế đóng góp vào việc cải thiện dịch vụ công là điều quan trọng, tuy nhiên, hiệu quả sử dụng tiền thuế vẫn cần thời gian để chứng minh.</t>
  </si>
  <si>
    <t>Nhà nước đã cung cấp thông tin về chính sách mới, nhưng tôi nghĩ rằng việc giải thích rõ ràng và công khai hơn sẽ làm tăng sự tin tưởng của người dân.</t>
  </si>
  <si>
    <t>Tôi ủng hộ chính sách mới vì giảm trừ gia cảnh đã được cải thiện và quy trình thuế trở nên đơn giản, nhưng tôi vẫn cần thời gian để đánh giá hiệu quả thực tế.</t>
  </si>
  <si>
    <t>Hiện nay, các quy định quản lý thuế được công khai và minh bạch hơn. Tuy nhiên, việc phát hiện gian lận hay trốn thuế phụ thuộc nhiều vào nguồn lực và công nghệ của cơ quan thuế.</t>
  </si>
  <si>
    <t>Công nghệ hiện đại như AI, Big Data có thể giúp phát hiện hành vi trốn thuế nhanh chóng hơn. Tuy nhiên, vẫn cần nguồn lực con người để xử lý các trường hợp phức tạp.</t>
  </si>
  <si>
    <t>Mức giảm trừ gia cảnh và mức thu nhập chịu thuế đã được đơn giản hóa, tạo thuận lợi cho việc khai báo thuế. Các quy định cũng trở nên rõ ràng hơn.</t>
  </si>
  <si>
    <t>Biểu thuế mới với ít bậc hơn làm giảm sự phức tạp đối với người dân. Cách tính và các bậc thuế suất dễ hiểu hơn so với trước đây.</t>
  </si>
  <si>
    <t>Nhà nước đã thực hiện cải cách thuế một cách công khai, minh bạch. Các quy định mới tạo ra sự công bằng trong việc phân bổ gánh nặng thuế giữa người dân.</t>
  </si>
  <si>
    <t>Mức thu nhập chịu thuế mới phù hợp với mức sống trung bình của tôi. Tuy nhiên, vẫn cần xem xét thêm về hiệu quả sử dụng ngân sách từ thuế</t>
  </si>
  <si>
    <t>Thuế đóng góp vào các dịch vụ công như y tế và giao thông là điều hợp lý. Tuy nhiên, việc cải cách cần đi kèm với tăng cường quản trị hiệu quả.</t>
  </si>
  <si>
    <t>Nhà nước đã cung cấp thông tin chi tiết về mục tiêu cải cách thuế. Tuy vậy, tôi vẫn mong muốn có thêm giải thích rõ ràng về quy định cụ thể hơn</t>
  </si>
  <si>
    <t>Sau khi cân nhắc cả lợi ích và nghĩa vụ, tôi thấy chính sách mới tạo ra sự công bằng cho người dân. Tuy nhiên, vẫn cần thời gian để thích nghi.</t>
  </si>
  <si>
    <t>Mức giảm trừ gia cảnh tăng lên và quy định quản lý thuế được cải cách, tạo thêm rào cản cho hành vi trốn thuế.</t>
  </si>
  <si>
    <t>Công nghệ hiện đại có thể giúp phát hiện sớm các hành vi trốn thuế, song vẫn cần sự phối hợp hiệu quả từ cơ quan quản lý.</t>
  </si>
  <si>
    <t>Mức giảm trừ gia cảnh tăng và số bậc thuế giảm đều tạo điều kiện thuận lợi cho việc khai báo thuế.</t>
  </si>
  <si>
    <t>Biểu thuế được đơn giản hóa, dễ hiểu hơn so với trước đây, giúp người dân tính toán nhanh chóng.</t>
  </si>
  <si>
    <t>Niềm tin vào sự công bằng của chính sách tăng lên nhờ mức giảm trừ gia cảnh và bậc thuế được điều chỉnh phù hợp.</t>
  </si>
  <si>
    <t>Thuế suất mới có thể coi là công bằng đối với thu nhập hiện tại, song vẫn cần thêm thông tin để chắc chắn.</t>
  </si>
  <si>
    <t>Thuế sẽ được sử dụng hiệu quả cho các dịch vụ công, nhưng việc này phụ thuộc vào thực thi chính sách.</t>
  </si>
  <si>
    <t>Phần giải thích về mục tiêu cải cách thuế chưa đủ thuyết phục và cần thêm thông tin chi tiết.</t>
  </si>
  <si>
    <t>Chỉ với mức giảm trừ gia cảnh tăng, các yếu tố khác như sự công bằng trong thuế suất vẫn còn để bàn thảo. Tuân thủ có điều kiện.</t>
  </si>
  <si>
    <t>Theo quy định mới, mức giảm trừ gia cảnh tăng lên, có thể làm giảm gánh nặng thuế cho nhiều người. Tuy nhiên, việc phát hiện và xử lý trốn thuế còn phụ thuộc vào hiệu quả của công nghệ quản lý.</t>
  </si>
  <si>
    <t>Nhà nước đã đầu tư vào công nghệ để cải thiện khả năng phát hiện trốn thuế, tuy nhiên, mức độ ứng dụng và hiệu quả vẫn chưa rõ ràng. Công nghệ có thể giúp nhưng không hoàn toàn ngăn chặn hành vi gian lận.</t>
  </si>
  <si>
    <t>Biểu thuế được đơn giản hóa từ 7 bậc xuống còn 5, làm giảm sự phức tạp và dễ dàng hơn trong việc khai báo. Tuy nhiên, quy trình làm việc với cơ quan thuế vẫn chưa thay đổi nhiều.</t>
  </si>
  <si>
    <t>Cách tính thuế mới đơn giản hơn, nhưng mức độ dễ hiểu còn phụ thuộc vào cách truyền đạt thông tin cho người dân. Việc minh bạch hóa quy trình có thể giúp cải thiện sự hiểu biết của công chúng.</t>
  </si>
  <si>
    <t>Nhà nước đã tăng mức giảm trừ gia cảnh và đơn giản hóa biểu thuế, làm giảm gánh nặng cho nhiều người thu nhập thấp. Tuy nhiên, việc thực thi chính sách còn phụ thuộc vào việc minh bạch thông tin.</t>
  </si>
  <si>
    <t>Mức thuế mới được thiết kế để công bằng đối với các mức thu nhập khác nhau, nhưng cần xem xét thêm về cách thức truyền đạt và thực thi chính sách để đảm bảo minh bạch.</t>
  </si>
  <si>
    <t>Tăng mức giảm trừ gia cảnh giúp cải thiện dịch vụ công như y tế và giáo dục. Tuy nhiên, hiệu quả sử dụng ngân sách còn phụ thuộc vào cách quản lý và giám sát.</t>
  </si>
  <si>
    <t>Các thông tin về việc sửa đổi thuế đã được truyền đạt một cách minh bạch, nhưng cần thêm thời gian để đánh giá hiệu quả của các biện pháp này. Sự minh bạch có thể tăng niềm tin.</t>
  </si>
  <si>
    <t>Sau khi xem xét các quyền lợi và nghĩa vụ, tôi thấy cải cách thuế mang lại nhiều lợi ích cho người dân. Tuy nhiên, quyết định cuối cùng vẫn phụ thuộc vào việc thực thi chính sách một cách công bằng.</t>
  </si>
  <si>
    <t>Biện pháp quản lý thuế mới đã tăng cường quy định về giảm trừ gia cảnh và đơn giản hóa biểu thuế, giúp giảm rủi ro trốn thuế. Công nghệ tiên tiến cũng hỗ trợ việc phát hiện gian lận.</t>
  </si>
  <si>
    <t>Công nghệ hiện đại như AI và hệ thống tự động hóa giúp nhà nước dễ dàng phát hiện và xử lý nhanh chóng các hành vi trốn thuế. Cơ quan thuế đã có nhiều cải tiến về khả năng quản lý.</t>
  </si>
  <si>
    <t>Biểu thuế mới đơn giản hơn, số bậc giảm từ 7 xuống 5, giúp người dân dễ dàng nắm bắt và thực hiện.</t>
  </si>
  <si>
    <t>Cách tính thuế mới và các bậc thuế được đơn giản hóa, dễ hiểu hơn so với trước đây, giúp người nộp thuế cảm thấy thuận tiện khi làm việc với cơ quan thuế.</t>
  </si>
  <si>
    <t>Chính sách mới đã tăng mức giảm trừ gia cảnh và đơn giản hóa biểu thuế, tạo sự công bằng hơn giữa các đối tượng nộp thuế. Tuy nhiên, vẫn còn nhiều người nghi ngờ về cách thực thi.</t>
  </si>
  <si>
    <t>Mức thuế mới đã được điều chỉnh dựa trên thu nhập, giúp giảm gánh nặng cho những người có thu nhập thấp và ổn định mức thuế cho người có thu nhập trung bình. Tuy nhiên, mức thuế cao hơn so với trước đây đối với những người có thu nhập cao.</t>
  </si>
  <si>
    <t>Dự kiến số tiền thuế sẽ được sử dụng hiệu quả để cải thiện dịch vụ công, nhưng vẫn cần thời gian để kiểm chứng hiệu quả thực tế của việc sử dụng nguồn tài chính này.</t>
  </si>
  <si>
    <t>Nhà nước đã thông qua các giải thích về mục tiêu và lý do của việc sửa đổi thuế, tuy nhiên, sự minh bạch vẫn còn hạn chế đối với một số người. Thông tin cần được cung cấp rõ ràng hơn.</t>
  </si>
  <si>
    <t>Tổng thể, chính sách mới mang lại nhiều lợi ích cho người dân nhưng cũng tạo ra sự nghi ngờ về cách thực thi. Tôi sẽ ủng hộ và tuân thủ chính sách với điều kiện nó được quản lý một cách công bằng.</t>
  </si>
  <si>
    <t>Các quy định quản lý thuế hiện nay có nhiều cải tiến, nhưng vẫn còn phụ thuộc vào độ tuân thủ của cá nhân. Công nghệ phát hiện trốn thuế là hữu ích nhưng chưa hoàn thiện.</t>
  </si>
  <si>
    <t>Nhà nước và cơ quan thuế đang đầu tư công nghệ để cải thiện khả năng phát hiện trốn thuế, tuy nhiên cần thời gian để áp dụng rộng rãi và hiệu quả.</t>
  </si>
  <si>
    <t>Mức giảm trừ gia cảnh được tăng đáng kể, đơn giản hóa quy trình khai báo thuế. Tuy nhiên, quy trình làm việc với cơ quan thuế vẫn còn phức tạp đôi khi.</t>
  </si>
  <si>
    <t>Biểu thuế mới đơn giản hơn, dễ hiểu và dễ thực hiện hơn so với trước đây. Các bậc thuế rõ ràng hơn giúp người nộp thuế dễ dàng tính toán.</t>
  </si>
  <si>
    <t>Nhà nước đã cố gắng cải thiện quy định về thuế để khách quan và công bằng, tuy nhiên vẫn có sự nghi ngờ về việc thực thi chính sách mới.</t>
  </si>
  <si>
    <t>Mức thuế mới được thiết kế nhằm đảm bảo công bằng cho người nộp thuế với thu nhập tương tự. Tuy nhiên, mức thuế cao hơn đôi khi gây cảm giác không công bằng.</t>
  </si>
  <si>
    <t>Thuế tôi đóng sẽ hỗ trợ cải thiện dịch vụ công như y tế và đường xá, nhưng cần thời gian để thấy hiệu quả thực sự của việc sử dụng nguồn lực thuế.</t>
  </si>
  <si>
    <t>Nhà nước đã giải thích rõ ràng về mục tiêu sửa đổi thuế qua các phương tiện truyền thông. Tuy nhiên, vẫn có phần nghi ngờ về mức độ minh bạch.</t>
  </si>
  <si>
    <t>Sau khi cân nhắc lợi ích và nghĩa vụ từ chính sách mới, tôi thấy ủng hộ nhưng cần thời gian để đánh giá thực tế. Tuân thủ vì mục đích cộng đồng là quan trọng.</t>
  </si>
  <si>
    <t>Tăng mức giảm trừ gia cảnh và đơn giản hóa biểu thuế có thể làm giảm động cơ trốn thuế, đồng thời các quy định quản lý thuế hiện nay cũng đang được cải thiện để phát hiện hành vi gian lận.</t>
  </si>
  <si>
    <t>Công nghệ hiện đại như AI và hệ thống thông tin thuế giúp tăng cường khả năng giám sát và phát hiện trốn thuế, tuy nhiên vẫn cần sự hợp tác của người dân để đạt hiệu quả tối ưu.</t>
  </si>
  <si>
    <t>Mức giảm trừ gia cảnh cao hơn và số bậc thuế đơn giản hóa có thể làm cho thủ tục khai báo thuế dễ dàng hơn, nhưng vẫn cần thời gian quen thuộc với người dân.</t>
  </si>
  <si>
    <t>Các mức thuế mới rõ ràng hơn và số bậc giảm đi giúp người dân hiểu và tính toán thuế của mình một cách dễ dàng hơn, đồng thời giảm sự phức tạp trong quy trình khai báo.</t>
  </si>
  <si>
    <t>Chính sách mới tăng mức giảm trừ gia cảnh cho bản thân và người phụ thuộc có thể làm cho việc thực thi chính sách công bằng hơn, nhưng vẫn cần thời gian để mọi người tin tưởng vào hệ thống.</t>
  </si>
  <si>
    <t>Mức thuế mới được thiết kế dựa trên thu nhập, nên tôi thấy mức thuế này là phù hợp với thu nhập của mình và công bằng hơn so với trước đây.</t>
  </si>
  <si>
    <t>Tăng mức giảm trừ gia cảnh cho bản thân và người phụ thuộc có thể làm cho việc thực hiện nghĩa vụ thuế trở nên hiệu quả hơn, đồng thời tăng niềm tin vào việc sử dụng số tiền thuế đã đóng.</t>
  </si>
  <si>
    <t>Đối với người trẻ tuổi như tôi, thông tin về chính sách mới được truyền đạt khá rõ ràng và minh bạch qua nhiều kênh thông tin.</t>
  </si>
  <si>
    <t>Chính sách mới giúp giảm gánh nặng thuế cho bản thân và gia đình, đồng thời có sự cải thiện trong quy trình khai báo thuế. Tôi sẽ ủng hộ và tuân thủ chính sách mới vì lợi ích của bản thân và cộng đồng.</t>
  </si>
  <si>
    <t>Tăng mức giảm trừ gia cảnh và đơn giản hóa biểu thuế có thể làm giảm gian lận, nhưng không bảo đảm 100% phát hiện trốn thuế.</t>
  </si>
  <si>
    <t>Công nghệ hiện đại giúp phát hiện trốn thuế hiệu quả hơn, đặc biệt là với hệ thống điện tử hóa hồ sơ.</t>
  </si>
  <si>
    <t>Đơn giản hóa biểu thuế và tăng mức giảm trừ gia cảnh tạo cảm giác thuận tiện hơn cho người nộp thuế.</t>
  </si>
  <si>
    <t>Cách tính thuế mới đơn giản, dễ hiểu hơn so với trước đây.</t>
  </si>
  <si>
    <t>Đơn giản hóa biểu thuế và tăng giảm trừ gia cảnh tạo cảm giác Nhà nước công bằng trong việc áp dụng chính sách.</t>
  </si>
  <si>
    <t>Các bậc thuế mới rõ ràng hơn, nhưng mức thuế vẫn cao so với thu nhập của tôi nên có chút nghi ngờ về tính công bằng.</t>
  </si>
  <si>
    <t>Thuế tôi đóng sẽ được sử dụng hiệu quả để cải thiện dịch vụ công, nhưng tôi cần thời gian để đánh giá.</t>
  </si>
  <si>
    <t>Các thông tin về mục tiêu của chính sách mới không rõ ràng như mong đợi, tạo cảm giác nghi ngờ.</t>
  </si>
  <si>
    <t>Thuế giảm và thuận tiện hơn nhưng tôi vẫn cần thời gian để đánh giá. Quyết định cuối cùng dựa trên việc cân nhắc lợi ích và nghĩa vụ.</t>
  </si>
  <si>
    <t>Các quy định quản lý thuế hiện nay có nhiều cải tiến, nhưng vẫn còn phức tạp. Việc tăng mức giảm trừ gia cảnh cho bản thân và người phụ thuộc giúp giảm gánh nặng thuế, đồng thời công nghệ phát triển cũng làm tăng khả năng phát hiện trốn thuế.</t>
  </si>
  <si>
    <t>Việc cải cách thuế thu nhập cá nhân có sử dụng nhiều công nghệ mới như AI trong xác minh thông tin, giúp phát hiện nhanh chóng các hành vi gian lận. Tuy nhiên, việc trừng phạt nghiêm khắc phụ thuộc vào hiệu quả thực thi.</t>
  </si>
  <si>
    <t>Các quy định về mức thuế và giảm trừ gia cảnh đơn giản hơn trước, nhưng quy trình khai báo thuế vẫn có độ phức tạp. Việc giảm bậc thuế từ 7 xuống còn 5 cũng giúp cải thiện sự tiện lợi cho người nộp thuế.</t>
  </si>
  <si>
    <t>Cách tính thuế và các bậc thuế mới đơn giản hơn so với trước đây, do số bậc thuế được rút gọn. Điều này làm giảm độ phức tạp và tăng khả năng hiểu rõ về thuế của người dân.</t>
  </si>
  <si>
    <t>Nhà nước đã cải cách để phát hiện trốn thuế một cách công bằng hơn, nhưng vẫn còn nhiều vấn đề liên quan đến việc xử lý. Sự công tâm trong thực thi chính sách mới đang được cải thiện.</t>
  </si>
  <si>
    <t>Mức thuế mới có sự thay đổi phù hợp với thu nhập cá nhân, tuy nhiên vẫn còn nhiều yếu tố phụ thuộc vào tình hình cụ thể của mỗi người. Sự công bằng trong mức thuế đang được cải thiện.</t>
  </si>
  <si>
    <t>Sử dụng số tiền thuế để cải thiện dịch vụ công là mục tiêu quan trọng, nhưng hiệu quả sử dụng nguồn lực vẫn cần thời gian để đánh giá. Niềm tin vào việc sử dụng nguồn lực một cách công bằng đang dần được xây dựng.</t>
  </si>
  <si>
    <t>Nhà nước đã giải thích rõ ràng về mục tiêu cải cách, nhưng sự minh bạch trong quá trình thực hiện và kết quả đạt được vẫn còn hạn chế. Sự minh bạch trong việc thực thi chính sách mới đang dần được cải thiện.</t>
  </si>
  <si>
    <t>Tăng mức giảm trừ gia cảnh cho bản thân và người phụ thuộc giúp tôi cảm thấy công bằng hơn về mức thuế phải đóng. Tuy nhiên, vẫn còn nhiều nghi ngại về thực thi chính sách mới. Tuân thủ sẽ dựa trên sự đánh giá tổng thể.</t>
  </si>
  <si>
    <t>Biện pháp quản lý thuế mới có thể phát hiện hành vi gian lận hoặc trốn thuế dễ dàng hơn, nhưng vẫn cần công nghệ và nguồn lực hỗ trợ.</t>
  </si>
  <si>
    <t>Nhà nước đã cải thiện khả năng phát hiện và xử lý trốn thuế thông qua quy định quản lý mới và sử dụng công nghệ, tuy nhiên, hiệu quả thực tế phụ thuộc vào các yếu tố khác.</t>
  </si>
  <si>
    <t>Đơn giản hóa biểu thuế và tăng mức giảm trừ gia cảnh tạo cảm giác thuận tiện hơn cho người nộp thuế, nhưng quy trình khai báo vẫn cần cải thiện.</t>
  </si>
  <si>
    <t>Biểu thuế đơn giản hóa giúp tính toán dễ dàng hơn, tuy nhiên, việc áp dụng các bậc thuế mới có thể gây hiểu lầm cho một số người.</t>
  </si>
  <si>
    <t>Nhà nước đã cải thiện quy định về giảm trừ gia cảnh và đơn giản hóa biểu thuế, tạo cảm giác công bằng hơn trong việc thực thi chính sách.</t>
  </si>
  <si>
    <t>Mức thuế mới được thiết kế dựa trên thu nhập cá nhân, nhưng người nộp thuế vẫn có thể lo ngại về sự công bằng khi áp dụng vào thực tế.</t>
  </si>
  <si>
    <t>Thuế đóng góp cho việc cải thiện dịch vụ công, tăng mức giảm trừ gia cảnh giúp tạo niềm tin về hiệu quả sử dụng nguồn thuế.</t>
  </si>
  <si>
    <t>Nhà nước đã cung cấp thông tin đầy đủ về mục tiêu và lý do của chính sách mới, nhưng vẫn có một số người chưa hoàn toàn thuyết phục.</t>
  </si>
  <si>
    <t>Tăng mức giảm trừ gia cảnh và đơn giản hóa biểu thuế tạo cảm giác thuận lợi hơn cho người nộp thuế, tuy nhiên, sự phức tạp trong việc áp dụng các bậc thuế mới có thể làm giảm độ tin cậy.</t>
  </si>
  <si>
    <t>Mức giảm trừ gia cảnh tăng, nhưng không rõ liệu công nghệ phát hiện trốn thuế có được cải thiện hay chưa. Tuy nhiên, các quy định quản lý thuế hiện tại vẫn đủ khả năng kiểm soát.</t>
  </si>
  <si>
    <t>Công nghệ ngày càng phát triển, nhưng việc thực thi vẫn phụ thuộc vào nguồn lực và quyết tâm của cơ quan thuế. Có thể cải thiện trong tương lai.</t>
  </si>
  <si>
    <t>Biểu thuế được đơn giản hóa từ 7 bậc xuống còn 5 bậc, giúp người nộp thuế dễ dàng hơn trong việc khai báo và tính toán thuế.</t>
  </si>
  <si>
    <t>Cách tính thuế mới đơn giản hơn so với trước đây. Các bậc thuế rõ ràng hơn, dễ hiểu và thực hiện thuận lợi hơn.</t>
  </si>
  <si>
    <t>Niềm tin vào công tác quản lý thuế có thể tăng nhờ mức giảm trừ gia cảnh cao hơn, nhưng vẫn còn nghi ngờ về sự khách quan của cơ quan thuế trong việc thực thi chính sách.</t>
  </si>
  <si>
    <t>Mức thuế mới được tính dựa trên thu nhập, nên công bằng đối với người có thu nhập tương tự. Tuy nhiên, vẫn cần thêm thông tin về cách sử dụng số tiền thuế này.</t>
  </si>
  <si>
    <t>Niềm tin vào việc sử dụng hiệu quả số tiền thuế đóng chưa cao do chưa rõ ràng về mục tiêu và kết quả của chính sách mới. Tuy nhiên, mức giảm trừ gia cảnh tăng có thể làm tăng niềm tin.</t>
  </si>
  <si>
    <t>Công bố về lý do và mục tiêu của việc sửa đổi thuế chưa đầy đủ, gây ra sự nghi ngờ từ phía người dân. Cần thêm thông tin minh bạch hơn để tăng niềm tin.</t>
  </si>
  <si>
    <t>Dù các quyền lợi mới có thể mang lại lợi ích cho người nộp thuế, nhưng với mức độ phức tạp và sự nghi ngờ hiện tại về việc quản lý thuế, quyết định cuối cùng là trung lập. Nếu thông tin minh bạch hơn, sẽ ủng hộ.</t>
  </si>
  <si>
    <t>Nâng cao mức giảm trừ gia cảnh và đơn giản hóa quy trình khai báo thuế có thể giúp phát hiện gian lận khó hơn, nhưng với công nghệ hiện đại, khả năng phát hiện trốn thuế vẫn tốt.</t>
  </si>
  <si>
    <t>Công nghệ ngày càng phát triển, cùng với sự cải cách quản lý thuế, việc xử lý nghiêm các hành vi trốn thuế sẽ được thực hiện hiệu quả hơn.</t>
  </si>
  <si>
    <t>Mức giảm trừ gia cảnh tăng và đơn giản hóa biểu thuế có thể làm cho quy trình khai báo thuế trở nên dễ dàng, nhưng vẫn cần cải thiện để đạt mức tối ưu.</t>
  </si>
  <si>
    <t>Biểu thuế mới với số bậc giảm từ 7 xuống 5 và các bậc thuế suất mới có thể giúp việc tính thuế trở nên đơn giản hơn so với trước đây.</t>
  </si>
  <si>
    <t>Nâng cao mức giảm trừ gia cảnh và cải thiện công bằng trong biểu thuế có thể làm tăng niềm tin vào sự khách quan, công tâm của cơ quan thuế.</t>
  </si>
  <si>
    <t>Các thay đổi về mức thuế mới không phải là quá lớn so với thu nhập trung bình nên vẫn được coi là hợp lý.</t>
  </si>
  <si>
    <t>Nâng cao mức giảm trừ gia cảnh và cải thiện công bằng trong biểu thuế có thể làm tăng niềm tin vào việc sử dụng hiệu quả số tiền thuế thu được.</t>
  </si>
  <si>
    <t>Cải cách thuế mới đã có giải thích rõ ràng về mục tiêu, nhưng vẫn cần nhiều thông tin minh bạch hơn để thuyết phục hoàn toàn.</t>
  </si>
  <si>
    <t>Tăng mức giảm trừ gia cảnh và cải thiện công bằng trong biểu thuế có thể làm tăng sự ủng hộ, nhưng việc tuân thủ vẫn phụ thuộc vào nhiều yếu tố khác như rủi ro và trách nhiệm pháp lý.</t>
  </si>
  <si>
    <t>Tăng mức giảm trừ gia cảnh và đơn giản hóa biểu thuế có thể làm giảm gian lận, nhưng vẫn cần công nghệ phát hiện để đảm bảo hiệu quả.</t>
  </si>
  <si>
    <t>Công nghệ ngày càng phát triển, khả năng phát hiện trốn thuế sẽ tốt hơn, tuy nhiên vẫn phụ thuộc vào nguồn lực và chính sách của Nhà nước.</t>
  </si>
  <si>
    <t>Số bậc thuế giảm từ 7 xuống còn 5 có thể làm quá trình khai báo thuế trở nên đơn giản hơn, nhưng vẫn cần tuân thủ quy định.</t>
  </si>
  <si>
    <t>Cách tính thuế và các bậc thuế mới rõ ràng hơn so với trước đây, giúp việc tính toán dễ dàng và chính xác hơn.</t>
  </si>
  <si>
    <t>Nhà nước đã cải cách để tăng giảm trừ gia cảnh, thể hiện sự công bằng đối với người dân có thu nhập thấp.</t>
  </si>
  <si>
    <t>Mức thuế mới được thiết kế để phù hợp với thu nhập trung bình của người dân, nhưng vẫn cần đánh giá thực tế về tính công bằng.</t>
  </si>
  <si>
    <t>Giảm trừ gia cảnh và đơn giản hóa biểu thuế có thể góp phần cải thiện dịch vụ công thông qua việc tăng nguồn thu từ thuế.</t>
  </si>
  <si>
    <t>Thông tin về các thay đổi thuế đã được truyền đạt rõ ràng, nhưng vẫn cần xem xét phản hồi của người dân để hoàn thiện</t>
  </si>
  <si>
    <t>Nguyên tắc tuân thủ chính sách mới đã được cải thiện và có lợi cho người nộp thuế, tuy nhiên quyết định cuối cùng phụ thuộc vào việc đánh giá tổng thể.</t>
  </si>
  <si>
    <t>Tăng mức giảm trừ gia cảnh và đơn giản hóa biểu thuế có thể làm giảm rủi ro trốn thuế, nhưng chưa chắc chắn về khả năng phát hiện gian lận.</t>
  </si>
  <si>
    <t>Công nghệ hiện đại giúp tăng cường khả năng phát hiện trốn thuế, nhưng vẫn phụ thuộc vào hiệu quả quản lý của nhà nước.</t>
  </si>
  <si>
    <t>Đơn giản hóa biểu thuế và tăng giảm trừ gia cảnh làm quy trình khai báo trở nên dễ dàng hơn so với trước đây.</t>
  </si>
  <si>
    <t>Biểu thuế đơn giản hơn, nhưng mức thuế mới có thể không phù hợp với thu nhập của tôi.</t>
  </si>
  <si>
    <t>Nhà nước tăng giảm trừ gia cảnh và đơn giản hóa biểu thuế, tạo cảm giác công bằng trong việc áp dụng chính sách.</t>
  </si>
  <si>
    <t>Mức thuế mới có thể không phù hợp với thu nhập của tôi, nhưng tổng thể vẫn thấy là công bằng hơn so với trước đây.</t>
  </si>
  <si>
    <t>Giảm trừ gia cảnh tăng lên và biểu thuế đơn giản giúp cải thiện dịch vụ công, tạo niềm tin vào việc sử dụng hiệu quả nguồn thu</t>
  </si>
  <si>
    <t>Nhà nước đã giải thích về các thay đổi này thông qua báo chí, nhưng vẫn chưa cảm thấy thuyết phục hoàn toàn.</t>
  </si>
  <si>
    <t>Thu nhập của tôi giảm nhẹ với mức thuế mới, và quy trình khai thuế trở nên dễ dàng hơn. Tuy nhiên, vẫn còn nghi ngờ về khả năng thực thi chính sách.</t>
  </si>
  <si>
    <t>Nguyên tắc quản lý thuế mới có nhiều biện pháp mạnh mẽ để phát hiện gian lận và trốn thuế, bao gồm giảm trừ gia cảnh lớn hơn. Tuy nhiên, khả năng thực thi vẫn phụ thuộc vào công nghệ và nguồn lực của cơ quan thuế.</t>
  </si>
  <si>
    <t>Công nghệ hiện đại ngày càng phát triển giúp tăng cường khả năng giám sát và xử lý gian lận thuế. Tuy nhiên, hiệu quả phụ thuộc vào đầu tư công nghệ và nguồn lực của cơ quan thuế.</t>
  </si>
  <si>
    <t>Biểu thuế được đơn giản hóa từ 7 bậc xuống còn 5 bậc, làm giảm rủi ro sai sót và tăng tính đơn giản. Việc này giúp các doanh nghiệp và cá nhân dễ dàng hơn trong việc khai báo.</t>
  </si>
  <si>
    <t>Cách tính thuế mới được đơn giản hóa, từ 7 bậc xuống 5 bậc, tạo ra sự rõ ràng và dễ hiểu. Điều này giúp người dân có thể tự tính toán và nộp thuế một cách thuận tiện hơn.</t>
  </si>
  <si>
    <t>Mức giảm trừ gia cảnh tăng lên làm giảm gánh nặng thuế cho nhiều người, tạo cảm giác công bằng. Tuy nhiên, mức độ công tâm còn phụ thuộc vào cách thực thi và quy định cụ thể của cơ quan thuế.</t>
  </si>
  <si>
    <t>Mức thu thuế mới được thiết kế dựa trên thu nhập cá nhân, tạo ra sự công bằng. Tuy nhiên, mức độ cảm thấy công bằng còn phụ thuộc vào việc người dân có đồng ý với cách chia sẻ gánh nặng thuế hay không.</t>
  </si>
  <si>
    <t>Giảm trừ gia cảnh tăng lên giúp giảm gánh nặng tài chính cho nhiều hộ gia đình, tạo cảm giác số tiền đóng thuế sẽ được sử dụng hiệu quả. Tuy nhiên, hiệu quả thực tế phụ thuộc vào việc số tiền thu được liệu có được sử dụng đúng mục đích hay không.</t>
  </si>
  <si>
    <t>Thông tin về cải cách thuế được cung cấp ở mức độ cơ bản và dễ hiểu. Tuy nhiên, sự minh bạch còn phụ thuộc vào việc người dân có thể tiếp cận thông tin đầy đủ hay không.</t>
  </si>
  <si>
    <t>Dựa trên các lợi ích từ chính sách thuế mới như giảm trừ gia cảnh tăng lên và đơn giản hóa biểu thuế, tôi sẽ ủng hộ và tuân thủ. Tuy nhiên, quyết định cuối cùng vẫn phụ thuộc vào việc thực thi và hiệu quả của chính sách.</t>
  </si>
  <si>
    <t>Các quy định quản lý thuế hiện nay khá chặt chẽ, nhưng vẫn có khả năng trốn thuế bằng cách sử dụng các phương pháp tinh vi. Tuy nhiên, với sự phát triển của công nghệ, khả năng phát hiện gian lận đã được cải thiện đáng kể.</t>
  </si>
  <si>
    <t>Công nghệ ngày càng tiên tiến giúp Nhà nước và cơ quan thuế có khả năng theo dõi và xử lý nghiêm các hành vi trốn thuế. Tuy nhiên, vẫn cần sự cải thiện liên tục về hệ thống quản lý.</t>
  </si>
  <si>
    <t>Các thủ tục khai báo thuế đã đơn giản hơn so với trước đây nhờ việc rút gọn biểu thuế và nâng cao giảm trừ gia cảnh. Điều này giúp quá trình làm việc với cơ quan thuế trở nên nhanh chóng và tiện lợi hơn.</t>
  </si>
  <si>
    <t>Cách tính thuế mới đơn giản hóa các bậc thuế, tạo cảm giác dễ hiểu và dễ thực hiện hơn. Điều này giúp người dân dễ dàng nắm bắt và tuân thủ chính sách mới.</t>
  </si>
  <si>
    <t>Nhà nước đã cải thiện mức giảm trừ gia cảnh và đơn giản hóa biểu thuế, tạo cảm giác công bằng khi thực hiện các quy định. Tuy nhiên, vẫn cần sự minh bạch trong quá trình thực thi để tăng thêm niềm tin.</t>
  </si>
  <si>
    <t>Mức thuế mới được thiết kế dựa trên thu nhập, tạo cảm giác công bằng đối với người nộp thuế. Tuy nhiên, vẫn cần đánh giá lại định kỳ để đảm bảo tính công bằng.</t>
  </si>
  <si>
    <t>Nhà nước đã sử dụng số tiền thuế một cách hiệu quả, cải thiện các dịch vụ công như y tế và giao thông. Tuy nhiên, vẫn cần có sự minh bạch và giám sát chặt chẽ hơn.</t>
  </si>
  <si>
    <t>Nhà nước đã giải thích rõ ràng về lý do và mục tiêu của việc sửa đổi thuế nhưng vẫn cần cải thiện trong việc truyền thông đến người dân. Tuy nhiên, sự minh bạch đã tăng đáng kể.</t>
  </si>
  <si>
    <t>Sau khi xem xét các quyền lợi và nghĩa vụ, tôi ủng hộ chính sách mới vì mức thuế giảm và quy định đơn giản hóa giúp quá trình làm việc với cơ quan thuế dễ dàng hơn. Tuy nhiên, vẫn cần giám sát chặt chẽ để đảm bảo tính công bằng.</t>
  </si>
  <si>
    <t>Quy định quản lý thuế hiện nay được nâng cao, đặc biệt là mức giảm trừ gia cảnh tăng lên đáng kể. Điều này làm giảm khả năng trốn thuế qua việc khai báo sai thu nhập.</t>
  </si>
  <si>
    <t>Công nghệ hiện đại giúp nhà nước theo dõi và phát hiện hành vi trốn thuế nhanh chóng hơn, cùng với quy định quản lý mạnh mẽ từ trước đã được cải thiện.</t>
  </si>
  <si>
    <t>Mức giảm trừ gia cảnh tăng lên đáng kể, thủ tục khai báo thuế đơn giản hơn và có nhiều hướng dẫn trực tuyến. Điều này làm cho quy trình làm việc với cơ quan thuế dễ dàng hơn.</t>
  </si>
  <si>
    <t>Biểu thuế được rút gọn, các bậc thuế suất rõ ràng hơn. Điều này giúp cách tính thuế và các bậc thuế trong phương án mới đơn giản, dễ hiểu và dễ thực hiện hơn.</t>
  </si>
  <si>
    <t>Nhà nước đã nâng cao quy định quản lý thuế, tăng giảm trừ gia cảnh, điều này thể hiện sự công bằng trong việc đối xử với mọi người nộp thuế. Tuy nhiên, vẫn còn một số nghi ngờ về cách thực thi.</t>
  </si>
  <si>
    <t>Mức thuế mới được thiết kế nhằm đảm bảo tính công bằng cho thu nhập cá nhân. Bậc thuế suất rõ ràng và phù hợp với mức tăng trưởng thu nhập trong xã hội hiện nay.</t>
  </si>
  <si>
    <t>Thuế đóng góp vào sự phát triển hạ tầng, y tế và giáo dục. Tuy nhiên, vẫn có một số lo ngại về việc sử dụng hiệu quả nguồn thuế đã thu từ người dân.</t>
  </si>
  <si>
    <t>Nhà nước đã giải thích rõ ràng về mục tiêu của chính sách mới, tuy nhiên, vẫn còn một số nghi ngờ về minh bạch trong quá trình thực thi.</t>
  </si>
  <si>
    <t>Có ủng hộ và tuân thủ vì mức thuế giảm đáng kể, quy định quản lý thuế tốt hơn và quy trình khai báo đơn giản. Tuy nhiên, vẫn có một số lo ngại về cách thực thi chính sách.</t>
  </si>
  <si>
    <t>Chính phủ đã tăng cường quản lý thuế và công nghệ hiện đại nên khả năng phát hiện trốn thuế cao hơn.</t>
  </si>
  <si>
    <t>Công nghệ hiện đại giúp Nhà nước có thể theo dõi và xử lý nghiêm các hành vi trốn thuế hiệu quả hơn.</t>
  </si>
  <si>
    <t>Biểu thuế đơn giản hóa, giảm số bậc nên quy trình làm việc với cơ quan thuế trở nên nhanh chóng và tiện lợi hơn.</t>
  </si>
  <si>
    <t>Phương án mới có biểu thuế rõ ràng hơn so với trước đây, dễ hiểu và dễ thực hiện hơn.</t>
  </si>
  <si>
    <t>Niềm tin vào sự công bằng của Nhà nước được tăng cường do mức giảm trừ gia cảnh lớn hơn, tạo lợi ích cho nhiều người nộp thuế.</t>
  </si>
  <si>
    <t>Mức thuế mới dựa trên thu nhập nên thấy là hợp lý đối với người thu nhập như tôi.</t>
  </si>
  <si>
    <t>Niềm tin vào việc sử dụng hiệu quả số tiền thuế do tôi đóng được tăng lên khi mức giảm trừ gia cảnh giúp cải thiện điều kiện sống cho nhiều gia đình.</t>
  </si>
  <si>
    <t>Đã nhận được thông tin minh bạch về mục tiêu của việc sửa đổi thuế, nhưng vẫn có sự nghi ngờ nhẹ do chưa rõ ràng hoàn toàn.</t>
  </si>
  <si>
    <t>Sau cân nhắc lợi ích từ giảm trừ gia cảnh và mức thuế mới, quyết định ủng hộ và tuân thủ chính sách mới.</t>
  </si>
  <si>
    <t>Điều kiện quản lý thuế hiện tại chưa được cải thiện nhiều, do đó khả năng phát hiện trốn thuế không cao.</t>
  </si>
  <si>
    <t>Việc sử dụng công nghệ để phát hiện trốn thuế còn hạn chế, mặc dù chính phủ có thể đang đầu tư vào việc này.</t>
  </si>
  <si>
    <t>Biểu thuế được đơn giản hóa nhưng mức giảm trừ gia cảnh tăng lên, điều này làm cho thủ tục khai báo thuế dễ dàng hơn.</t>
  </si>
  <si>
    <t>Cách tính thuế mới rõ ràng hơn và số bậc thuế ít đi, do đó dễ hiểu và thực hiện nhanh chóng hơn.</t>
  </si>
  <si>
    <t>Nhà nước đã cải thiện quy định quản lý thuế nhưng vẫn còn nhiều nghi ngờ về cách thực thi công bằng giữa các đối tượng nộp thuế.</t>
  </si>
  <si>
    <t>Mức giảm trừ gia cảnh tăng, do đó tôi thấy mức thuế mới là hợp lý với thu nhập hiện tại của mình.</t>
  </si>
  <si>
    <t>Thu nhập tôi đóng thuế không đáng kể so với chi phí công cộng nên tin rằng số tiền này sẽ được sử dụng hiệu quả.</t>
  </si>
  <si>
    <t>Chính phủ đã giải thích một cách minh bạch về mục tiêu cải cách nhưng vẫn còn nghi ngờ về khả năng thực hiện.</t>
  </si>
  <si>
    <t>Điểm số này phản ánh sự cân nhắc giữa việc ủng hộ chính sách mới với mức độ tuân thủ theo các quy định quản lý thuế hiện tại.</t>
  </si>
  <si>
    <t>Cải cách thuế TNCN không chỉ tăng mức giảm trừ gia cảnh mà còn đơn giản hóa quy trình, giúp kiểm soát dễ dàng hơn. Công nghệ hiện đại cũng hỗ trợ phát hiện gian lận.</t>
  </si>
  <si>
    <t>Nhà nước đã đầu tư vào công nghệ và đào tạo đội ngũ cơ quan thuế để đảm bảo phát hiện và xử lý nghiêm các hành vi trốn thuế hiệu quả hơn trước đây.</t>
  </si>
  <si>
    <t>Bậc thuế được đơn giản hóa, giảm từ 7 bậc xuống còn 5, làm cho quy trình khai báo trở nên dễ dàng và nhanh chóng hơn. Tuy nhiên, việc áp dụng cần thời gian để người dân quen thuộc.</t>
  </si>
  <si>
    <t>Cách tính thuế mới rõ ràng hơn với ít bậc thuế, giúp người dân dễ hiểu và thực hiện theo các quy định.</t>
  </si>
  <si>
    <t>Nhà nước đã cải cách để tạo ra một hệ thống công bằng hơn thông qua việc tăng giảm trừ gia cảnh. Tuy nhiên, vẫn còn nhiều thắc mắc về cách thực thi.</t>
  </si>
  <si>
    <t>Mức thuế mới có thể coi là hợp lý đối với thu nhập hiện tại của tôi nhưng cần thêm thời gian để đánh giá</t>
  </si>
  <si>
    <t>Tăng mức giảm trừ gia cảnh giúp cải thiện dịch vụ công, tạo niềm tin rằng thuế đóng góp đã được sử dụng hiệu quả.</t>
  </si>
  <si>
    <t>Nhà nước đã cung cấp thông tin về cải cách một cách rõ ràng nhưng cần thêm minh bạch về chi tiêu cụ thể.</t>
  </si>
  <si>
    <t>Sau khi xem xét các quyền lợi và nghĩa vụ, tôi thấy chính sách mới có lợi cho người dân như tôi. Tuy nhiên, mức độ ủng hộ phụ thuộc vào việc thực thi.</t>
  </si>
  <si>
    <t>Mức giảm trừ gia cảnh và quy định quản lý thuế hiện tại không rõ ràng về khả năng phát hiện trốn thuế.</t>
  </si>
  <si>
    <t>Công nghệ hiện đại có thể giúp tăng cường khả năng phát hiện trốn thuế, nhưng chưa chắc chắn liệu cơ quan thuế có áp dụng hay không.</t>
  </si>
  <si>
    <t>Biểu thuế đơn giản hơn và mức giảm trừ gia cảnh cao hơn tạo cảm giác thuận tiện cho người nộp thuế.</t>
  </si>
  <si>
    <t>Cách tính thuế mới đơn giản hóa quá trình, nhưng vẫn cần thời gian để quen thuộc với các thay đổi.</t>
  </si>
  <si>
    <t>Giảm trừ gia cảnh tăng, mức thuế suất có thể công bằng hơn, tạo niềm tin đối với cơ quan thuế.</t>
  </si>
  <si>
    <t>Nhìn chung, mức thuế mới có vẻ hợp lý so với thu nhập hiện tại của tôi, nhưng vẫn cần thời gian để đánh giá toàn diện.</t>
  </si>
  <si>
    <t>Niềm tin vào việc sử dụng hiệu quả số tiền thuế đóng còn phụ thuộc vào các chính sách chi tiêu công khác.</t>
  </si>
  <si>
    <t>Giải thích về mục đích cải cách không rõ ràng, khiến tôi nghi ngờ khả năng minh bạch của cơ quan quản lý.</t>
  </si>
  <si>
    <t>Tổng thể, các thay đổi có lợi cho tôi và tạo thuận lợi hơn so với trước đây, nhưng vẫn cần thời gian để đánh giá toàn diện.</t>
  </si>
  <si>
    <t>Mức giảm trừ gia cảnh tăng và quy định quản lý thuế được cải cách, tuy nhiên chưa chắc chắn về công nghệ phát hiện trốn thuế.</t>
  </si>
  <si>
    <t>Công nghệ hiện đại có thể hỗ trợ phát hiện trốn thuế hiệu quả hơn nhưng vẫn cần sự cam kết từ phía cơ quan thuế.</t>
  </si>
  <si>
    <t>Mức giảm trừ gia cảnh tăng và quy định đơn giản hóa biểu thuế giúp thủ tục khai báo dễ dàng hơn, tuy nhiên người nộp thuế có thể vẫn gặp khó khăn trong quá trình làm việc với cơ quan thuế.</t>
  </si>
  <si>
    <t>Biểu thuế được đơn giản hóa từ 7 bậc xuống còn 5 bậc, giúp cách tính thuế và các bậc thuế dễ hiểu hơn, tuy nhiên việc áp dụng cụ thể vẫn cần thời gian để quen thuộc.</t>
  </si>
  <si>
    <t>Mức giảm trừ gia cảnh tăng có thể làm tăng niềm tin vào sự công bằng của hệ thống thuế mới, nhưng chưa đủ để đảm bảo thực thi một cách khách quan và công tâm.</t>
  </si>
  <si>
    <t>Những thay đổi về mức giảm trừ gia cảnh và biểu thuế có thể làm cho mức thuế tôi phải đóng trở nên hợp lý hơn, nhưng cần thời gian để đánh giá thực tế.</t>
  </si>
  <si>
    <t>Mức giảm trừ gia cảnh tăng có thể tạo niềm tin vào việc sử dụng hiệu quả số tiền thuế đóng góp, tuy nhiên vẫn chưa đủ đảm bảo về mặt thực thi.</t>
  </si>
  <si>
    <t>Thông tin giải thích về chính sách mới còn hạn chế, cần thêm thời gian để đánh giá và thông tin rõ ràng hơn từ phía cơ quan thuế.</t>
  </si>
  <si>
    <t>Mặc dù có nhiều thay đổi tích cực nhưng tôi vẫn cần thời gian để đánh giá thực tế và quyết định ủng hộ hay không, dựa trên lợi ích cá nhân.</t>
  </si>
  <si>
    <t>Nhà nước và cơ quan thuế có nhiều biện pháp quản lý, công nghệ tiên tiến giúp phát hiện hành vi trốn thuế. Tuy nhiên, mức độ thực thi vẫn phụ thuộc vào hiệu quả của hệ thống.</t>
  </si>
  <si>
    <t>Công nghệ và quy định quản lý thuế đã được cải thiện nhưng cần thêm thời gian để phát huy tối đa hiệu quả. Việc xử lý nghiêm các hành vi trốn thuế vẫn đang được thực hiện.</t>
  </si>
  <si>
    <t>Quy trình khai báo thuế và làm việc với cơ quan thuế đã đơn giản hơn so với trước đây, giảm bớt thủ tục rườm rà. Điều này giúp người nộp thuế tiết kiệm thời gian.</t>
  </si>
  <si>
    <t>Cách tính thuế mới có ít bậc thuế và rõ ràng hơn, dễ dàng hiểu và áp dụng. Việc đơn giản hóa quy trình làm việc với cơ quan thuế cũng giúp người nộp thuế cảm thấy thuận tiện hơn.</t>
  </si>
  <si>
    <t>Nhà nước đã cải thiện mức giảm trừ gia cảnh cho bản thân và người phụ thuộc, tạo ra sự công bằng hơn. Tuy nhiên, vẫn có nghi ngờ về việc thực thi chính sách một cách khách quan.</t>
  </si>
  <si>
    <t>Mức thuế mới dựa trên thu nhập được cải thiện, tuy nhiên vẫn cần thời gian để đánh giá hiệu quả thực tế. Tôi chưa hoàn toàn chắc chắn về sự công bằng của mức thuế này.</t>
  </si>
  <si>
    <t>Giảm trừ gia cảnh và quy định mới về thuế có thể cải thiện chất lượng dịch vụ công, nhưng cần thời gian để xem xét thực tế. Tôi chưa hoàn toàn tin tưởng vào việc sử dụng hiệu quả số tiền thuế.</t>
  </si>
  <si>
    <t>Các thông điệp truyền thông về chính sách mới đã được cải thiện, nhưng vẫn có cảm giác rằng cần thêm giải thích rõ ràng hơn để thuyết phục người dân. Tuy nhiên, mức độ minh bạch đã tăng lên.</t>
  </si>
  <si>
    <t>Chính sách mới giúp tôi giảm gánh nặng thuế và đơn giản hóa quy trình khai báo. Mặc dù vẫn có nghi ngờ về việc thực hiện chính sách một cách công bằng, nhưng tôi sẽ tuân thủ theo các quyền lợi của mình.</t>
  </si>
  <si>
    <t>Thuật toán phát hiện trốn thuế ngày càng tinh vi, cùng với sự tăng cường quản lý. Mức giảm trừ gia cảnh cao hơn có thể làm giảm cơ hội bị phát hiện.</t>
  </si>
  <si>
    <t>Công nghệ AI và dữ liệu lớn giúp Nhà nước dễ dàng truy vết các gian lận, cùng với sự tăng cường kiểm tra</t>
  </si>
  <si>
    <t>Bậc thuế giảm từ 7 xuống 5 bậc, quy trình khai báo đơn giản hơn và không còn việc cung cấp giấy tờ nhiều như trước đây.</t>
  </si>
  <si>
    <t>Biểu thuế đơn giản hóa, dễ hiểu hơn, các bậc thuế rõ ràng, giảm rủi ro cho người nộp thuế</t>
  </si>
  <si>
    <t>Nâng cao mức giảm trừ gia cảnh và đơn giản hóa biểu thuế có thể tạo niềm tin rằng Nhà nước công bằng trong việc thực thi</t>
  </si>
  <si>
    <t>Thuế suất mới rõ ràng, người nộp thuế nhận thấy mức thuế được tính theo phương án mới là hợp lý</t>
  </si>
  <si>
    <t>Nâng cao mức giảm trừ gia cảnh và đơn giản hóa biểu thuế có thể tạo niềm tin rằng số tiền đóng thuế sẽ được sử dụng hiệu quả cho dịch vụ công</t>
  </si>
  <si>
    <t>Thông tin về cải cách thuế đã được truyền thông rộng rãi, nhưng vẫn cần thêm minh bạch hơn để thuyết phục mọi người</t>
  </si>
  <si>
    <t>Thuật toán phát hiện trốn thuế ngày càng tinh vi, cùng với việc đơn giản hóa quy trình làm việc với cơ quan thuế tạo ra sự tin tưởng, sẵn sàng tuân thủ</t>
  </si>
  <si>
    <t>Các quy định quản lý thuế hiện nay có nhiều biện pháp phát hiện gian lận, nhưng vẫn có khả năng bị trốn tránh do sự phức tạp của hệ thống. Tuy nhiên, với mức giảm trừ gia cảnh tăng lên đáng kể, tôi tin rằng hệ thống sẽ hoạt động hiệu quả hơn.</t>
  </si>
  <si>
    <t>Công nghệ hiện đại đã phát triển mạnh mẽ và Nhà nước có nhiều nguồn lực để ứng dụng công nghệ vào quản lý thuế. Tuy nhiên, vẫn cần nâng cao khả năng phát hiện trốn thuế qua các hệ thống thông tin.</t>
  </si>
  <si>
    <t>Mức giảm trừ gia cảnh tăng và số bậc thuế giảm đã đơn giản hóa quy trình khai báo thuế. Tuy nhiên, tôi vẫn thấy một số thủ tục cần cải thiện để tối ưu hơn nữa.</t>
  </si>
  <si>
    <t>Cách tính thuế mới đã rõ ràng và dễ hiểu hơn so với trước đây, tuy nhiên việc áp dụng các bậc thuế mới có thể còn phức tạp đối với người dân chưa quen thuộc.</t>
  </si>
  <si>
    <t>Nhà nước đã cải thiện đáng kể về mức giảm trừ gia cảnh và đơn giản hóa biểu thuế. Tôi tin rằng sự công bằng sẽ được đảm bảo hơn cho mọi người nộp thuế.</t>
  </si>
  <si>
    <t>Mức thuế mới dựa trên thu nhập của tôi là hợp lý, nhưng cần thêm thời gian để quen thuộc và đánh giá hiệu quả thực tế sau khi áp dụng.</t>
  </si>
  <si>
    <t>Tôi tin rằng số tiền thuế đóng sẽ được sử dụng hiệu quả cho các dịch vụ công. Tuy nhiên, tôi cần thêm thông tin về cách sử dụng nguồn thu thuế mới để đánh giá hoàn toàn.</t>
  </si>
  <si>
    <t>Nhà nước đã giải thích rõ ràng về mục tiêu của việc sửa đổi thuế, nhưng tôi cần thêm thời gian để hiểu sâu hơn và đánh giá hiệu quả thông qua các kênh truyền thông chính thức.</t>
  </si>
  <si>
    <t>Sau khi xem xét các quyền lợi mới và nghĩa vụ tăng lên, tôi có sự ủng hộ đối với chính sách mới. Tuy nhiên, cần thêm thời gian để đánh giá hiệu quả thực tế của nó.</t>
  </si>
  <si>
    <t>Các quy định quản lý thuế hiện nay có nhiều cải tiến, nhưng vẫn cần công nghệ hỗ trợ để phát hiện trốn thuế hiệu quả.</t>
  </si>
  <si>
    <t>Nhà nước và cơ quan thuế đã đầu tư công nghệ, nâng cao năng lực, nên khả năng phát hiện trốn thuế tăng lên đáng kể.</t>
  </si>
  <si>
    <t>Các thủ tục khai báo thuế trở nên đơn giản hơn, nhưng vẫn còn một số rắc rối trong quá trình làm việc với cơ quan thuế.</t>
  </si>
  <si>
    <t>Cách tính thuế và các bậc thuế mới đơn giản hơn nhiều so với trước đây, dễ hiểu và dễ thực hiện.</t>
  </si>
  <si>
    <t>Niềm tin vào sự công bằng của cơ quan thuế tăng lên nhờ mức giảm trừ gia cảnh cao hơn, nhưng vẫn còn một số lo ngại về cách thực thi.</t>
  </si>
  <si>
    <t>Mức thuế mới có vẻ hợp lý cho thu nhập của tôi, tuy nhiên cần thêm thời gian để đánh giá hiệu quả lâu dài.</t>
  </si>
  <si>
    <t>Tôi tin rằng số tiền thuế đóng sẽ được sử dụng hiệu quả, nhưng vẫn còn lo ngại về việc thực hiện.</t>
  </si>
  <si>
    <t>Nhà nước đã giải thích rõ ràng lý do và mục tiêu của cải cách thuế, khiến tôi cảm thấy tin tưởng hơn.</t>
  </si>
  <si>
    <t>Sau khi cân nhắc lợi ích từ chính sách mới, tôi thấy ủng hộ việc tuân thủ, nhưng vẫn cần thêm thời gian để đánh giá hiệu quả tổng thể.</t>
  </si>
  <si>
    <t>Các quy định quản lý thuế hiện nay, với sự hỗ trợ của công nghệ tiên tiến, đã được cải thiện đáng kể. Điều này giúp giảm khả năng trốn thuế và tăng cường phát hiện các hành vi gian lận.</t>
  </si>
  <si>
    <t>Nhà nước và cơ quan thuế đã đầu tư vào công nghệ để phát hiện và xử lý nghiêm túc các hành vi trốn thuế, đồng thời có nhiều biện pháp quản lý hiệu quả hơn trước đây.</t>
  </si>
  <si>
    <t>Các thủ tục khai báo thuế đã được đơn giản hóa, giúp quá trình làm việc với cơ quan thuế trở nên nhanh chóng và tiện lợi hơn. Điều này góp phần tăng thuận tiện cho người nộp thuế.</t>
  </si>
  <si>
    <t>Biểu thuế mới có ít bậc hơn so với trước đây, giúp quá trình tính thuế trở nên đơn giản và dễ hiểu hơn. Điều này đồng nghĩa với việc giảm rủi ro cho người nộp thuế khi phải đối mặt với các quy định.</t>
  </si>
  <si>
    <t>Nhà nước đã tăng mức giảm trừ gia cảnh, tạo điều kiện thuận lợi và công bằng hơn cho người dân. Đây là một yếu tố quan trọng trong việc đảm bảo sự khách quan, công tâm khi thực thi chính sách.</t>
  </si>
  <si>
    <t>Nhìn chung, mức thuế mới có vẻ hợp lý so với thu nhập của tôi. Tuy nhiên, cần xem xét thêm các yếu tố như hiệu quả sử dụng tiền thuế để đánh giá hoàn toàn.</t>
  </si>
  <si>
    <t>Tôi tin rằng số tiền thuế đóng sẽ được sử dụng hiệu quả cho các dịch vụ công, mặc dù việc thực hiện điều này cần có sự giám sát chặt chẽ từ người dân.</t>
  </si>
  <si>
    <t>Nhà nước đã giải thích rõ ràng về việc sửa đổi thuế lần này, nhưng vẫn còn một số chi tiết chưa được làm rõ đầy đủ. Tuy nhiên, thông tin có sẵn đã giúp tôi hiểu hơn về mục tiêu của chính sách.</t>
  </si>
  <si>
    <t>Sau khi xem xét các quyền lợi và nghĩa vụ mới, tôi thấy việc ủng hộ và tuân thủ chính sách mới là hợp lý. Mức thuế giảm có thể khiến tôi cảm thấy tự tin hơn về việc thực hiện đúng pháp luật.</t>
  </si>
  <si>
    <t>Mức giảm trừ gia cảnh tăng đáng kể, có thể làm giảm khả năng trốn thuế. Công nghệ hiện đại cũng giúp phát hiện gian lận.</t>
  </si>
  <si>
    <t>Nâng cao mức giảm trừ gia cảnh và đơn giản hóa quy trình khai báo có thể làm tăng khả năng phát hiện trốn thuế, nhưng vẫn cần công nghệ hỗ trợ.</t>
  </si>
  <si>
    <t>Bậc thuế được đơn giản hóa từ 7 xuống còn 5, giảm rườm rà trong khai báo thuế. Quy trình làm việc với cơ quan thuế có thể thuận tiện hơn.</t>
  </si>
  <si>
    <t>Các bậc thuế mới đơn giản và rõ ràng hơn so với trước đây, giúp người dân dễ dàng tính toán và tuân thủ.</t>
  </si>
  <si>
    <t>Mức giảm trừ gia cảnh tăng đáng kể, thể hiện sự công bằng đối với mọi người nộp thuế. Tuy nhiên, vẫn có sự đa dạng về thu nhập nên niềm tin không quá cao.</t>
  </si>
  <si>
    <t>Thuế suất và ngưỡng chịu thuế được điều chỉnh hợp lý cho từng mức thu nhập, thể hiện tính công bằng trong việc phân bổ gánh nặng thuế</t>
  </si>
  <si>
    <t>Giảm trừ gia cảnh tăng đáng kể, giúp số tiền đóng thuế phù hợp với thu nhập. Tuy nhiên, hiệu quả sử dụng nguồn thu còn phụ thuộc vào quản lý của Nhà nước.</t>
  </si>
  <si>
    <t>Thông tin về việc sửa đổi thuế được cung cấp đầy đủ và rõ ràng, nhưng cần thời gian để người dân tiếp nhận và đánh giá</t>
  </si>
  <si>
    <t>Niềm tin và cảm giác công bằng tăng lên do mức giảm trừ gia cảnh tăng. Tuy nhiên, mức độ ủng hộ vẫn phụ thuộc vào quá trình thực thi chính sách.</t>
  </si>
  <si>
    <t>Việc tăng giảm trừ gia cảnh và đơn giản hóa biểu thuế có thể khiến cơ quan thuế dễ dàng theo dõi thu nhập cá nhân, từ đó phát hiện gian lận. Tuy nhiên, tôi vẫn giữ một thái độ thận trọng vì chưa rõ về công nghệ và hệ thống quản lý mới.</t>
  </si>
  <si>
    <t>Công nghệ ngày càng phát triển, cơ quan thuế có thể áp dụng nhiều biện pháp hiện đại để phát hiện trốn thuế. Tuy nhiên, tôi nghĩ cần thêm thông tin về công nghệ cụ thể và hiệu quả thực tế.</t>
  </si>
  <si>
    <t>So với trước đây, quy trình khai báo thuế trở nên đơn giản hơn, giảm số bậc thuế cũng giúp việc tính toán nhanh chóng. Tuy nhiên, tôi hy vọng quy trình sẽ tiếp tục được cải thiện.</t>
  </si>
  <si>
    <t>Biểu thuế mới rõ ràng và dễ hiểu hơn so với trước đây. Số bậc thuế giảm cũng giúp việc tính toán thuận tiện hơn. Tuy nhiên, tôi mong rằng các quy định chi tiết sẽ được minh bạch hơn.</t>
  </si>
  <si>
    <t>Nhà nước đã tăng giảm trừ gia cảnh và đơn giản hóa biểu thuế, tạo cơ hội cho nhiều người nộp thuế. Điều này tăng niềm tin rằng việc thực thi chính sách mới là công bằng và minh bạch.</t>
  </si>
  <si>
    <t>So với trước đây, mức thuế mới có thể được coi là công bằng hơn đối với thu nhập của tôi. Tuy nhiên, tôi hy vọng sự công bằng này sẽ tiếp tục duy trì trong thời gian tới.</t>
  </si>
  <si>
    <t>Tôi chưa thấy thông tin đầy đủ về lý do và mục tiêu của việc sửa đổi thuế lần này, nhưng tôi hy vọng những thay đổi này sẽ mang lại lợi ích cho người dân.</t>
  </si>
  <si>
    <t>Sau khi xem xét các quyền lợi và nghĩa vụ, tôi ủng hộ chính sách mới. Tuy nhiên, tôi vẫn cần thêm thông tin để đánh giá hiệu quả thực tế của nó.</t>
  </si>
  <si>
    <t>Biện pháp quản lý thuế mới có nhiều cải tiến, tăng cường khả năng phát hiện gian lận, nhưng vẫn phụ thuộc vào công nghệ và nguồn lực. Người nộp thuế thông minh vẫn có thể tìm cách trốn thuế.</t>
  </si>
  <si>
    <t>Công nghệ ngày càng phát triển giúp cơ quan thuế phát hiện nhanh chóng các hành vi trốn thuế, tuy nhiên vẫn cần nguồn lực và chính sách phù hợp để thực thi hiệu quả.</t>
  </si>
  <si>
    <t>Mức giảm trừ gia cảnh tăng đáng kể, thủ tục khai báo đơn giản hơn trước. Tuy nhiên, quy trình làm việc với cơ quan thuế vẫn có thể còn phức tạp đối với người không quen thuộc.</t>
  </si>
  <si>
    <t>Biểu thuế mới đơn giản hóa, bậc thuế ít đi giúp tính toán dễ dàng hơn. Người thu nhập thấp thấy lợi ích rõ rệt từ việc giảm mức thuế.</t>
  </si>
  <si>
    <t>Cơ quan thuế có nhiều biện pháp để đảm bảo công bằng nhưng vẫn cần nâng cao minh bạch trong quá trình thực thi. Người dân vẫn có thể nghi ngờ về cách thực hiện của nhà nước.</t>
  </si>
  <si>
    <t>Mức thuế mới được thiết kế dựa trên thu nhập cá nhân, người thu nhập trung bình thấy lợi ích rõ rệt từ việc giảm gánh nặng thuế. Tuy nhiên, mức thuế cho người cao thu vẫn còn gây nghi vấn.</t>
  </si>
  <si>
    <t>Thuế được sử dụng để cải thiện dịch vụ công nhưng hiệu quả cụ thể chưa rõ ràng. Người dân cần thêm thông tin về cách sử dụng nguồn thuế mới này.</t>
  </si>
  <si>
    <t>Nhà nước đã giải thích rõ nguyên nhân và mục đích của việc sửa đổi thuế, tuy nhiên có người vẫn nghi ngờ về sự minh bạch trong quá trình thực hiện.</t>
  </si>
  <si>
    <t>Chính sách mới mang lại lợi ích cho nhiều người thu nhập thấp nhưng cũng đặt ra thách thức cho những người cao thu. Quyết định tuân thủ phụ thuộc vào sự cân nhắc giữa quyền lợi và nghĩa vụ.</t>
  </si>
  <si>
    <t>Các quy định quản lý thuế hiện nay có nhiều cải tiến, tăng cường năng lực phát hiện và xử lý hành vi trốn thuế. Tuy nhiên, việc thực thi vẫn phụ thuộc vào hiệu quả của hệ thống công nghệ và nguồn lực.</t>
  </si>
  <si>
    <t>Việc ứng dụng công nghệ trong quản lý thuế giúp tăng cường khả năng phát hiện hành vi trốn thuế. Tuy nhiên, cần lưu ý rằng vẫn còn một số yếu tố ngoại vi như độ tin cậy của dữ liệu và hiệu suất nhân viên.</t>
  </si>
  <si>
    <t>Biểu thuế đơn giản hơn và mức giảm trừ gia cảnh tăng lên làm cho quá trình khai báo thuế dễ dàng hơn. Tuy nhiên, việc áp dụng quy định mới có thể gặp nhiều rào cản ban đầu.</t>
  </si>
  <si>
    <t>Cách tính thuế và các bậc thuế trong phương án mới được đơn giản hóa, tăng khả năng hiểu và thực hiện. Tuy nhiên, một số trường hợp vẫn có thể gặp khó khăn khi chuyển đổi từ hệ thống cũ.</t>
  </si>
  <si>
    <t>Nhà nước đã cải thiện quy định thuế để tạo ra một môi trường công bằng hơn. Tuy nhiên, sự công bằng còn phụ thuộc vào cách thực thi chính sách.</t>
  </si>
  <si>
    <t>Thuế mới được tính dựa trên mức thu nhập hiện tại của tôi, tạo cảm giác công bằng. Tuy nhiên, tôi vẫn có nghi ngờ về việc áp dụng đúng quy định cho các trường hợp cụ thể.</t>
  </si>
  <si>
    <t>Thuế đóng góp vào dịch vụ công được cải thiện, nhưng tôi còn lo ngại về hiệu quả sử dụng nguồn lực. Tuy nhiên, mức giảm trừ gia cảnh tăng lên tạo cảm giác hỗ trợ xã hội tốt hơn.</t>
  </si>
  <si>
    <t>Nhà nước đã giải thích công khai về lý do và mục tiêu của việc sửa đổi thuế. Tuy nhiên, một số thông tin vẫn chưa đầy đủ để tôi hoàn toàn thuyết phục.</t>
  </si>
  <si>
    <t>Sau khi cân nhắc các quyền lợi và nghĩa vụ, tôi thấy chính sách mới mang lại nhiều lợi ích. Tuy nhiên, tôi cần thêm thời gian để quen với quy định mới trước khi ủng hộ hoàn toàn.</t>
  </si>
  <si>
    <t>Các quy định quản lý thuế hiện tại được tăng cường, có mức giảm trừ gia cảnh cao hơn và phương án mới đơn giản hóa biểu thuế, nên việc phát hiện gian lận hay trốn thuế dễ dàng hơn.</t>
  </si>
  <si>
    <t>Việc cải cách thuế thu nhập cá nhân bao gồm tăng giảm trừ gia cảnh, đơn giản hóa biểu thuế và minh bạch hóa thông tin chính sách, làm cho việc phát hiện trốn thuế trở nên dễ dàng hơn.</t>
  </si>
  <si>
    <t>Biểu thuế được rút gọn từ 7 bậc thành 5 bậc, giảm tải cho người nộp thuế khi khai báo và làm việc với cơ quan thuế.</t>
  </si>
  <si>
    <t>Hệ thống biểu thuế mới đơn giản hơn so với trước đây, giúp người dân dễ dàng tính toán và tuân thủ.</t>
  </si>
  <si>
    <t>Nhà nước đã tăng cường giảm trừ gia cảnh cho bản thân và người phụ thuộc, điều này thể hiện sự công bằng trong việc áp dụng chính sách thuế cho mọi người.</t>
  </si>
  <si>
    <t>Biểu thuế mới có các mức thuế suất rõ ràng hơn, người nộp thuế dễ dàng nhận biết mức thuế mình phải đóng, tạo nên cảm giác công bằng.</t>
  </si>
  <si>
    <t>Mức thuế được điều chỉnh phù hợp với thu nhập của bản thân, đồng thời giảm trừ gia cảnh tăng lên giúp số tiền thuế đóng vào ngân sách là hợp lý.</t>
  </si>
  <si>
    <t>Nhà nước đã công bố thông tin về việc tăng mức giảm trừ gia cảnh và đơn giản hóa biểu thuế, tạo điều kiện cho người dân hiểu rõ hơn.</t>
  </si>
  <si>
    <t>Sau khi xem xét các quyền lợi từ chính sách mới như mức giảm trừ gia cảnh tăng lên, tôi có xu hướng ủng hộ và tuân thủ.</t>
  </si>
  <si>
    <t>Tăng mức giảm trừ gia cảnh và đơn giản hóa biểu thuế có thể giúp phát hiện hành vi trốn thuế khó khăn hơn, nhưng công nghệ phát hiện vẫn chưa được đề cập.</t>
  </si>
  <si>
    <t>Công nghệ ngày nay đã tiến bộ nhiều, tăng khả năng phát hiện và xử lý các hành vi trốn thuế. Cơ quan thuế cũng có thêm nguồn lực để giám sát chặt chẽ hơn.</t>
  </si>
  <si>
    <t>Mức giảm trừ gia cảnh cao hơn và biểu thuế đơn giản hơn giúp quá trình khai báo thuận tiện hơn, nhưng vẫn cần thời gian quen thuộc với hệ thống mới.</t>
  </si>
  <si>
    <t>Cách tính thuế mới đơn giản hóa các bậc thuế, giúp người nộp thuế dễ hiểu và thực hiện hơn so với trước đây.</t>
  </si>
  <si>
    <t>Tăng mức giảm trừ gia cảnh và công khai hóa biểu thuế có thể tạo niềm tin vào sự công bằng của hệ thống. Tuy nhiên, việc áp dụng vẫn cần thời gian để đánh giá.</t>
  </si>
  <si>
    <t>Mức thuế mới dựa trên thu nhập thực tế, được đơn giản hóa và minh bạch hơn, tạo cảm giác công bằng cho người nộp thuế.</t>
  </si>
  <si>
    <t>Tăng mức giảm trừ gia cảnh và đơn giản hóa biểu thuế có thể tạo niềm tin rằng số tiền thuế đóng sẽ được sử dụng hiệu quả. Tuy nhiên, cần thời gian để đánh giá thực tế.</t>
  </si>
  <si>
    <t>Giải thích về lý do sửa đổi thuế lần này khá rõ ràng và minh bạch, tạo cảm giác tin tưởng vào quyết định của nhà nước.</t>
  </si>
  <si>
    <t>Niềm tin và công bằng đã tăng lên sau các cải cách. Tuy nhiên, vẫn có sự đa nghi từ thời gian dài, nên cần thời gian để hoàn toàn ủng hộ chính sách mới.</t>
  </si>
  <si>
    <t>Nâng cao mức giảm trừ gia cảnh có thể hạn chế hành vi gian lận, nhưng việc phát hiện trốn thuế vẫn phụ thuộc nhiều vào công nghệ và quản lý của cơ quan thuế.</t>
  </si>
  <si>
    <t>Công nghệ hiện nay đã phát triển rất mạnh mẽ, tuy nhiên hiệu quả thực tế còn phụ thuộc vào nguồn lực và quyết tâm của cơ quan thuế trong việc phát hiện trốn thuế.</t>
  </si>
  <si>
    <t>Mức giảm trừ gia cảnh cao hơn có thể làm đơn giản hóa quy trình khai báo, nhưng điều này cũng phụ thuộc vào cách triển khai thực tế của cơ quan thuế.</t>
  </si>
  <si>
    <t>Biểu thuế được đơn giản hóa từ 7 bậc xuống còn 5 bậc, tạo cảm giác rằng quy trình tính thuế trở nên dễ hiểu hơn và nhanh chóng hơn.</t>
  </si>
  <si>
    <t>Nâng cao mức giảm trừ gia cảnh có thể làm tăng niềm tin vào sự công bằng của chính sách mới, nhưng việc thực thi vẫn phụ thuộc vào cách xử lý cụ thể của cơ quan thuế.</t>
  </si>
  <si>
    <t>Mức thuế mới được thiết kế để đảm bảo tính công bằng, tuy nhiên, mức độ cảm thấy công bằng còn tùy thuộc vào hoàn cảnh cụ thể của từng người.</t>
  </si>
  <si>
    <t>Nâng cao mức giảm trừ gia cảnh có thể tạo niềm tin rằng thuế sẽ được sử dụng hiệu quả hơn cho dịch vụ công, nhưng điều này vẫn phụ thuộc vào cách quản lý nguồn ngân sách của nhà nước.</t>
  </si>
  <si>
    <t>Nâng cao mức giảm trừ gia cảnh và đơn giản hóa biểu thuế có thể tạo niềm tin rằng việc sửa đổi thuế lần này được giải thích minh bạch hơn, nhưng thông điệp truyền đạt vẫn cần cải thiện.</t>
  </si>
  <si>
    <t>Nâng cao mức giảm trừ gia cảnh và đơn giản hóa biểu thuế tạo cảm giác rằng chính sách mới mang lại lợi ích cho người dân, tuy nhiên, quyết định cuối cùng phụ thuộc vào việc thực hiện cụ thể của cơ quan thuế.</t>
  </si>
  <si>
    <t>Quy định quản lý thuế hiện nay không rõ ràng và thiếu công nghệ phát hiện gian lận, do đó khả năng phát hiện trốn thuế thấp.</t>
  </si>
  <si>
    <t>Thị trường kỹ thuật số chưa phát triển nên khả năng phát hiện trốn thuế còn hạn chế. Công nghệ AI đang được đầu tư nhưng chưa đủ mạnh mẽ.</t>
  </si>
  <si>
    <t>Số bậc thuế giảm từ 7 xuống 5, đơn giản hóa quy trình khai báo và làm việc với cơ quan thuế.</t>
  </si>
  <si>
    <t>Cách tính thuế mới đơn giản hơn so với trước đây nhưng vẫn còn nhiều bậc thuế cần tính toán.</t>
  </si>
  <si>
    <t>Trách nhiệm của cơ quan thuế trong việc thực thi công bằng chưa rõ ràng, có thể dẫn đến sự bất công giữa các đối tượng nộp thuế.</t>
  </si>
  <si>
    <t>Mức giảm trừ gia cảnh tăng, người thu nhập thấp sẽ đóng ít hơn. Tuy nhiên, mức thuế cho người cao thu nhập vẫn còn khá cao so với kỳ vọng.</t>
  </si>
  <si>
    <t>Niềm tin vào việc sử dụng hiệu quả số tiền thuế là không đủ do quá trình thực thi chưa minh bạch.</t>
  </si>
  <si>
    <t>Thông tin giải thích về mục tiêu của chính sách mới còn hạn chế, dẫn đến sự hoài nghi từ phía người dân.</t>
  </si>
  <si>
    <t>Dù giảm trừ gia cảnh tăng nhưng mức thuế cho thu nhập cao vẫn còn cao. Thực tế thực thi chưa minh bạch gây mất lòng tin.</t>
  </si>
  <si>
    <t>Ngoài việc tăng mức giảm trừ gia cảnh, không có thông tin đáng kể về cải cách công nghệ phát hiện trốn thuế. Điều này làm giảm sự tin tưởng trong khả năng phát hiện trốn thuế.</t>
  </si>
  <si>
    <t>Nhà nước đã áp dụng công nghệ mới nhưng không cung cấp đủ thông tin về hiệu quả và độ chính xác của chúng, gây ra sự nghi ngờ.</t>
  </si>
  <si>
    <t>Biểu thuế đơn giản hơn nhưng vẫn cần khai báo chi tiết, tốn thời gian. Tuy nhiên, so với trước đây, quy trình làm việc đã được cải thiện đáng kể.</t>
  </si>
  <si>
    <t>Cách tính thuế mới đơn giản hóa và dễ hiểu hơn, phù hợp với nhiều người sử dụng.</t>
  </si>
  <si>
    <t>Mức giảm trừ gia cảnh tăng lên nhưng không rõ ràng về cách cơ quan thuế sẽ thực thi chính sách công bằng. Sự phức tạp trong quy định vẫn khiến tôi nghi ngờ.</t>
  </si>
  <si>
    <t>Thuế suất mới có vẻ hợp lý dựa trên thu nhập, tuy nhiên, không rõ ràng về cách áp dụng cho từng mức thu nhập cụ thể.</t>
  </si>
  <si>
    <t>Hiệu quả sử dụng thuế chưa được minh bạch. Đơn giản hóa quy định nhưng không chắc chắn về việc cải thiện dịch vụ công.</t>
  </si>
  <si>
    <t>Truyền thông về lý do và mục tiêu của chính sách mới có phần thiếu thuyết phục, gây ra sự nghi ngờ về độ minh bạch.</t>
  </si>
  <si>
    <t>Thu nhập tăng nhưng mức thuế không giảm nhiều. Quy định vẫn phức tạp và không rõ ràng, do đó quyết định tuân thủ chỉ ở mức độ trung bình.</t>
  </si>
  <si>
    <t>Công nghệ hiện đại giúp phát hiện gian lận, tuy nhiên mức giảm trừ gia cảnh tăng mạnh có thể làm giảm áp lực xử lý các hành vi trốn thuế.</t>
  </si>
  <si>
    <t>Nhà nước và cơ quan thuế có nhiều công cụ để phát hiện trốn thuế, nhưng hiệu quả vẫn phụ thuộc vào việc triển khai thực tế.</t>
  </si>
  <si>
    <t>Biểu thuế đơn giản hơn, giảm thiểu thời gian điền thông tin, thủ tục nộp thuế trở nên dễ dàng và nhanh chóng hơn.</t>
  </si>
  <si>
    <t>Phương án mới có ít bậc thuế hơn, giúp tính toán thuế thuận lợi, dễ hiểu và thực hiện đơn giản hơn so với trước đây.</t>
  </si>
  <si>
    <t>Nhà nước đã cải thiện quy định về giảm trừ gia cảnh, tạo ra một hệ thống công bằng hơn cho người nộp thuế.</t>
  </si>
  <si>
    <t>Mức thuế mới có thể coi là công bằng đối với thu nhập hiện tại của tôi, tuy nhiên vẫn cần đánh giá thêm về hiệu quả thực tế.</t>
  </si>
  <si>
    <t>Thuế được sử dụng để cải thiện dịch vụ công, nhưng hiệu quả cụ thể còn phụ thuộc vào quản lý chi tiêu của chính phủ.</t>
  </si>
  <si>
    <t>Nhà nước đã giải thích một cách rõ ràng về mục đích của việc sửa đổi thuế, mặc dù vẫn có sự hoài nghi về mức độ minh bạch trong thực hiện.</t>
  </si>
  <si>
    <t>Sau khi xem xét các quyền lợi và nghĩa vụ, tôi ủng hộ chính sách mới với mức độ cam kết cao hơn so với trước đây.</t>
  </si>
  <si>
    <t>Cải cách thuế TNCN mang tính chất quản lý và minh bạch, nhưng vẫn chưa hoàn toàn ngăn chặn được gian lận. Thuế suất mới có thể làm giảm rủi ro trốn thuế.</t>
  </si>
  <si>
    <t>Công nghệ phát triển giúp Nhà nước dễ dàng kiểm soát hơn, song vẫn cần sự phối hợp của người dân và các bên liên quan để phát hiện gian lận.</t>
  </si>
  <si>
    <t>Thủ tục khai báo thuế đơn giản hơn trước đây, nhưng việc làm việc với cơ quan thuế vẫn còn phức tạp. Điều này có thể do quy trình quản lý và thông tin chưa đủ minh bạch.</t>
  </si>
  <si>
    <t>Cách tính thuế đơn giản hơn so với trước đây, nhưng cần thêm thời gian để người dân quen thuộc và nắm bắt cách mới.</t>
  </si>
  <si>
    <t>Niềm tin vào sự công bằng trong việc áp dụng chính sách thuế mới còn hạn chế do chưa có nhiều thông tin rõ ràng về cách thực thi.</t>
  </si>
  <si>
    <t>Mức thuế mới có thể coi là công bằng, nhưng vẫn cần thời gian để đánh giá hiệu quả thực tế của chính sách này.</t>
  </si>
  <si>
    <t>Niềm tin vào việc sử dụng số tiền thuế đóng vào cải thiện dịch vụ công còn hạn chế do chưa có nhiều thông tin cụ thể về cách sử dụng nguồn thu mới.</t>
  </si>
  <si>
    <t>Sự minh bạch trong giải thích lý do và mục tiêu của chính sách mới cần được cải thiện hơn để tăng niềm tin từ người dân.</t>
  </si>
  <si>
    <t>Mặc dù thuế suất có thể giảm, nhưng sự phức tạp về quản lý thuế vẫn còn. Niềm tin và sự công bằng chưa đủ để thuyết phục hoàn toàn.</t>
  </si>
  <si>
    <t>Mức giảm trừ gia cảnh tăng, nhưng không có thông tin về công nghệ phát hiện trốn thuế.</t>
  </si>
  <si>
    <t>Công nghệ phát hiện trốn thuế chưa được đề cập cụ thể, khả năng của Nhà nước và cơ quan thuế cần thêm thông tin.</t>
  </si>
  <si>
    <t>Biểu thuế đơn giản hơn, nhưng không có thông tin về sự tiện lợi trong thủ tục khai báo thuế.</t>
  </si>
  <si>
    <t>Cách tính thuế đơn giản hơn, nhưng chưa rõ liệu cách thực hiện sẽ dễ dàng như thế nào cho người nộp thuế.</t>
  </si>
  <si>
    <t>Mức giảm trừ gia cảnh tăng, giảm gánh nặng thuế cho thu nhập thấp, tạo niềm tin về sự công bằng trong việc đánh thuế.</t>
  </si>
  <si>
    <t>Thuế suất và ngưỡng chịu thuế thay đổi, nhưng không rõ liệu mức thuế mới có phải là công bằng đối với thu nhập hiện tại của tôi hay không.</t>
  </si>
  <si>
    <t>Mức giảm trừ gia cảnh tăng, giảm gánh nặng thuế cho thu nhập thấp, tạo niềm tin về việc sử dụng hiệu quả số tiền đóng thuế vào các dịch vụ công.</t>
  </si>
  <si>
    <t>Biểu thuế đơn giản hơn và có thể giải thích rõ ràng hơn so với trước đây, nhưng cần thêm thông tin về mức độ minh bạch trong quá trình cải cách.</t>
  </si>
  <si>
    <t>Mức giảm trừ gia cảnh tăng và biểu thuế đơn giản, tạo niềm tin về việc tuân thủ chính sách mới. Tuy nhiên, sự phức tạp của thuế cũ vẫn còn khiến tôi cân nhắc kỹ trước khi ủng hộ.</t>
  </si>
  <si>
    <t>Theo cải cách, mức giảm trừ gia cảnh tăng lên đáng kể, giúp người dân giảm gánh nặng thuế. Tuy nhiên, việc phát hiện và xử lý trốn thuế vẫn phụ thuộc vào hiệu quả của công nghệ và quản lý. Công nghệ mới có thể giúp tăng cường khả năng phát hiện.</t>
  </si>
  <si>
    <t>Công nghệ mới được áp dụng trong ngành thuế sẽ làm giảm cơ hội trốn thuế, đồng thời cung cấp các hệ thống giám sát mạnh mẽ hơn. Đây là một yếu tố quan trọng để tăng niềm tin về thực thi.</t>
  </si>
  <si>
    <t>Cải cách đã đơn giản hóa quy trình khai báo và giảm số bậc thuế, giúp việc làm việc với cơ quan thuế trở nên dễ dàng hơn. Điều này góp phần nâng cao sự thuận tiện cho người dân.</t>
  </si>
  <si>
    <t>Biểu thuế mới đơn giản hóa các bậc thuế và cách tính thuế, tạo ra một hệ thống rõ ràng và dễ hiểu hơn so với trước đây. Điều này giúp người nộp thuế nắm bắt thông tin nhanh chóng.</t>
  </si>
  <si>
    <t>Mức giảm trừ gia cảnh tăng mạnh, giúp người dân cảm thấy công bằng hơn khi đóng thuế. Tuy nhiên, việc thực thi chính sách vẫn phụ thuộc vào hiệu quả quản lý của cơ quan thuế.</t>
  </si>
  <si>
    <t>Nguyên tắc tính thuế mới được đơn giản hóa và rõ ràng hơn, giúp người dân cảm thấy mức thuế đóng là công bằng. Tuy nhiên, do tôi thuộc nhóm tuổi trung niên, nên cần thời gian để đánh giá.</t>
  </si>
  <si>
    <t>Cải cách thuế đã được giải thích rõ ràng qua các kênh thông tin chính thức. Tuy nhiên, tôi là người có quan điểm đa nghi, do đó không thể đưa ra quyết định nhanh chóng.</t>
  </si>
  <si>
    <t>Tăng cường giảm trừ gia cảnh và đơn giản hóa quy trình khai báo thuế tạo ra lợi ích rõ ràng cho tôi. Tuy nhiên, việc thực thi chính sách vẫn phụ thuộc vào hiệu quả quản lý của cơ quan thuế.</t>
  </si>
  <si>
    <t>Nhà nước và cơ quan thuế đã tăng cường công nghệ để phát hiện trốn thuế, nhưng mức giảm trừ gia cảnh cao hơn có thể làm cho hành vi gian lận khó bị phát hiện. Tuy nhiên, với quy định rõ ràng, khả năng xử lý nghiêm vẫn còn.</t>
  </si>
  <si>
    <t>Công nghệ ngày càng tiên tiến giúp nhà nước phát hiện trốn thuế nhanh chóng và chính xác hơn. Việc tăng giảm trừ gia cảnh cũng làm cho việc trốn thuế khó khăn hơn.</t>
  </si>
  <si>
    <t>Biểu thuế đơn giản hóa, nhưng mức giảm trừ gia cảnh cao hơn có thể gây phức tạp trong quá trình khai báo. Tuy nhiên, quy trình làm việc với cơ quan thuế đã được cải thiện.</t>
  </si>
  <si>
    <t>Cách tính thuế và bậc thuế mới đơn giản hóa so với trước đây, giúp người dân dễ hiểu hơn.</t>
  </si>
  <si>
    <t>Nhà nước đã cải thiện quy định về giảm trừ gia cảnh và bậc thuế, tạo ra một hệ thống công bằng hơn. Tuy nhiên, vẫn còn nhiều nghi ngờ về cách thực thi chính sách.</t>
  </si>
  <si>
    <t>Mức thuế mới có thể được coi là công bằng so với trước đây. Tuy nhiên, mức độ công bằng này phụ thuộc vào thu nhập cá nhân.</t>
  </si>
  <si>
    <t>Nhà nước đã sử dụng số tiền thuế một cách hiệu quả để cải thiện dịch vụ công. Mức giảm trừ gia cảnh cao hơn cũng làm tăng niềm tin về việc sử dụng tiền thuế đúng mục đích.</t>
  </si>
  <si>
    <t>Công bố rõ ràng về lý do và mục tiêu của chính sách mới đã giúp cải thiện sự minh bạch. Tuy nhiên, vẫn còn nhiều nghi ngờ về thực thi</t>
  </si>
  <si>
    <t>Sau khi xem xét các quyền lợi và nghĩa vụ, tôi thấy chính sách mới có lợi cho người dân với mức giảm trừ gia cảnh cao hơn. Tuy nhiên, vẫn còn nhiều nghi ngờ về thực thi chính sách.</t>
  </si>
  <si>
    <t>Luật thuế mới tăng giảm trừ gia cảnh, nhưng không có thông tin rõ ràng về khả năng phát hiện trốn thuế.</t>
  </si>
  <si>
    <t>Công nghệ tiên tiến giúp phát hiện gian lận và xử lý nghiêm minh các hành vi trốn thuế.</t>
  </si>
  <si>
    <t>Bậc thuế giảm, quy trình khai báo đơn giản hơn, nhưng vẫn có thể phức tạp đối với người không am hiểu về thuế.</t>
  </si>
  <si>
    <t>Cách tính thuế và bậc thuế mới đơn giản hóa so với trước đây.</t>
  </si>
  <si>
    <t>Nhà nước đã tăng giảm trừ gia cảnh, tạo cảm giác công bằng hơn trong việc đóng thuế.</t>
  </si>
  <si>
    <t>Mức thuế mới phù hợp với thu nhập của tôi, cho thấy tính công bằng.</t>
  </si>
  <si>
    <t>Tăng giảm trừ gia cảnh và đơn giản hóa biểu thuế tạo niềm tin vào việc sử dụng hiệu quả số tiền đóng thuế.</t>
  </si>
  <si>
    <t>Thông tin về Luật thuế mới được giải thích rõ ràng, nhưng cần thời gian để đánh giá tác động thực tế.</t>
  </si>
  <si>
    <t>Niềm tin và cảm giác công bằng cao hơn do luật thuế mới, tuy nhiên vẫn có sự thận trọng trước các thay đổi.</t>
  </si>
  <si>
    <t>Biện pháp quản lý thuế mới có thể tăng cường khả năng phát hiện gian lận, nhưng vẫn cần công nghệ hỗ trợ. Tăng mức giảm trừ gia cảnh cũng giúp giảm áp lực về tài chính cho người dân.</t>
  </si>
  <si>
    <t>Công nghệ ngày càng phát triển và Nhà nước có thể đầu tư vào các giải pháp phát hiện trốn thuế hiệu quả hơn. Tuy nhiên, vẫn còn những rủi ro về việc xử lý dữ liệu cá nhân.</t>
  </si>
  <si>
    <t>Biểu thuế đơn giản hơn và giảm mức thuế cho nhiều người, nhưng quy trình khai báo vẫn cần cải thiện để thuận tiện hơn nữa. Người trẻ tuổi thường ít trải nghiệm với các thủ tục này.</t>
  </si>
  <si>
    <t>Cách tính thuế mới đơn giản hóa quá trình tính toán và giảm số bậc thuế, tạo cảm giác thuận tiện hơn cho người dân. Tuy nhiên, cần thời gian để quen với hệ thống mới.</t>
  </si>
  <si>
    <t>Nhà nước đã cải cách thuế một cách công bằng và minh bạch, nhưng vẫn còn sự đa dạng về mức giảm trừ gia cảnh. Tăng mức giảm trừ giúp người dân cảm thấy được đối xử công bằng.</t>
  </si>
  <si>
    <t>Mức thuế mới được thiết kế để phù hợp với thu nhập trung bình, nhưng vẫn cần thời gian để mọi người hiểu và tin tưởng vào hệ thống mới. Tăng mức giảm trừ gia cảnh giúp cân đối.</t>
  </si>
  <si>
    <t>Nhà nước đã sử dụng ngân sách một cách hiệu quả, nhưng cải cách thuế chưa hoàn toàn tạo ra sự công bằng trong việc phân chia gánh nặng thuế. Tăng mức giảm trừ gia cảnh giúp phần nào giải quyết vấn đề này.</t>
  </si>
  <si>
    <t>Nhà nước đã giải thích rõ ràng về cải cách, nhưng cần thời gian để mọi người hiểu và tin tưởng vào mục tiêu của chính sách. Tăng mức giảm trừ gia cảnh giúp tạo sự minh bạch.</t>
  </si>
  <si>
    <t>Chính sách mới tạo ra lợi ích tài chính cho nhiều người, nhưng vẫn còn rủi ro về việc không chắc chắn hoàn toàn về cách thực thi. Tăng mức giảm trừ gia cảnh giúp giảm áp lực về tài chính.</t>
  </si>
  <si>
    <t>Cải cách thuế TNCN đã tăng mức giảm trừ gia cảnh, giúp tôi tiết kiệm một số tiền đáng kể. Điều này làm tăng niềm tin rằng Nhà nước đang cố gắng công bằng hơn trong việc thu thuế.</t>
  </si>
  <si>
    <t>Công nghệ hiện đại ngày càng phát triển, việc phát hiện trốn thuế sẽ trở nên dễ dàng hơn. Tuy nhiên, tôi vẫn có một số lo ngại về khả năng thực thi.</t>
  </si>
  <si>
    <t>Biểu thuế được đơn giản hóa từ 7 bậc xuống còn 5 bậc, quy trình khai báo và làm việc với cơ quan thuế cũng trở nên dễ dàng hơn. Đây là cải tiến đáng kể so với trước đây.</t>
  </si>
  <si>
    <t>Cách tính thuế mới đơn giản hơn, không còn nhiều bậc thuế phức tạp như trước, giúp tôi dễ dàng nắm bắt và thực hiện.</t>
  </si>
  <si>
    <t>Nhà nước đã tăng mức giảm trừ gia cảnh, điều này thể hiện sự công bằng đối với người dân. Tôi tin rằng họ sẽ tiếp tục tuân thủ các quy định mới một cách khách quan và công tâm.</t>
  </si>
  <si>
    <t>Theo biểu thuế mới, mức thu thuế của tôi đã giảm đáng kể so với trước đây. Điều này thể hiện tính công bằng về mặt tài chính.</t>
  </si>
  <si>
    <t>Mặc dù chưa rõ ràng, nhưng cải cách thuế TNCN có thể giúp cải thiện dịch vụ công như y tế và giao thông. Tôi hy vọng những khoản thu sẽ được sử dụng hiệu quả.</t>
  </si>
  <si>
    <t>Công bố về việc tăng mức giảm trừ gia cảnh đã diễn ra khá rõ ràng, nhưng tôi vẫn chờ đợi thêm thông tin về mục tiêu và lý do cải cách thuế mới.</t>
  </si>
  <si>
    <t>Sau khi xem xét, tôi thấy các quyền lợi từ chính sách mới đáng kể hơn so với nghĩa vụ. Tuy nhiên, sự phức tạp trong việc thực hiện vẫn khiến tôi lo ngại một chút.</t>
  </si>
  <si>
    <t>Các quy định quản lý thuế hiện nay có nhiều cải tiến như tăng giảm trừ gia cảnh, đơn giản hóa biểu thuế nên việc phát hiện gian lận hoặc trốn thuế sẽ khó khăn hơn. Tuy nhiên, với sự phát triển của công nghệ và hệ thống thông tin quản lý thuế, khả năng phát hiện vi phạm vẫn được cải thiện.</t>
  </si>
  <si>
    <t>Nhà nước và cơ quan thuế đã có nhiều bước tiến trong việc ứng dụng công nghệ vào quản lý thuế. Tuy nhiên, hiệu quả thực tế phụ thuộc vào sự triển khai đồng bộ và khả năng của hệ thống hiện tại.</t>
  </si>
  <si>
    <t>Các quy định về giảm trừ gia cảnh và đơn giản hóa biểu thuế đã làm cho thủ tục khai báo thuế trở nên dễ dàng hơn. Tuy nhiên, quá trình làm việc với cơ quan thuế vẫn có thể gặp phải một số khó khăn.</t>
  </si>
  <si>
    <t>Các bậc thuế mới được đơn giản hóa và giảm số lượng, do đó cách tính thuế và các bậc thuế trở nên dễ hiểu hơn. Tuy nhiên, điều này không đồng nghĩa với việc nó đã tối ưu nhất.</t>
  </si>
  <si>
    <t>Nhà nước đã cải thiện quy định về giảm trừ gia cảnh và đơn giản hóa biểu thuế. Điều này làm tăng niềm tin rằng các cơ quan thuế sẽ thực thi chính sách một cách công bằng.</t>
  </si>
  <si>
    <t>Theo phương án mới, mức thuế tôi phải đóng là hợp lý so với thu nhập hiện tại của tôi. Tuy nhiên, việc đánh giá công bằng còn phụ thuộc vào nhiều yếu tố khác như hiệu quả sử dụng nguồn thu.</t>
  </si>
  <si>
    <t>Tôi tin rằng số tiền thuế tôi đóng sẽ được sử dụng hiệu quả để cải thiện dịch vụ công. Tuy nhiên, do chưa có thông tin cụ thể về việc này, tôi vẫn còn một chút hoài nghi.</t>
  </si>
  <si>
    <t>Nhà nước đã giải thích các thay đổi trong biểu thuế nhưng không phải mọi người đều cảm thấy thuyết phục. Điều này phụ thuộc vào cách truyền thông và hiểu biết của từng cá nhân.</t>
  </si>
  <si>
    <t>Tôi ủng hộ chính sách mới do giảm trừ gia cảnh và đơn giản hóa biểu thuế đã làm cho tôi ít bị gian lận hơn, đồng thời tăng niềm tin vào công bằng của hệ thống. Tuy nhiên, quyết định cuối cùng vẫn phải cân nhắc giữa lợi ích và nghĩa vụ.</t>
  </si>
  <si>
    <t>Các quy định quản lý thuế hiện nay đã được tăng cường, đặc biệt là mức giảm trừ gia cảnh cao hơn trước. Tuy nhiên, khả năng phát hiện trốn thuế vẫn phụ thuộc vào hiệu quả công nghệ và nguồn lực của cơ quan thuế.</t>
  </si>
  <si>
    <t>Công nghệ hiện đại như AI đã giúp cải thiện đáng kể trong việc phát hiện gian lận, nhưng hoàn toàn loại bỏ trốn thuế là điều không dễ dàng.</t>
  </si>
  <si>
    <t>Mức giảm trừ gia cảnh cao hơn và số bậc thuế ít đi làm thủ tục khai báo đơn giản hơn. Tuy nhiên, quy trình với cơ quan thuế vẫn còn phức tạp.</t>
  </si>
  <si>
    <t>Cách tính thuế và các bậc thuế mới đơn giản hóa so với trước đây, nhưng mức thuế cụ thể đối với người nộp thuế như tôi không thay đổi nhiều.</t>
  </si>
  <si>
    <t>Nhà nước đã tăng cường giảm trừ gia cảnh, nhưng mức thuế vẫn dựa trên thu nhập cá nhân nên cảm thấy công bằng. Cơ chế thực thi có thể chưa hoàn toàn khách quan đối với mọi người.</t>
  </si>
  <si>
    <t>Mức thuế mới vẫn tương tự so với trước đây, không thay đổi đáng kể về mặt công bằng. Tuy nhiên, việc giải thích rõ ràng về mục tiêu của chính sách mới giúp tăng niềm tin.</t>
  </si>
  <si>
    <t>Tăng cường giảm trừ gia cảnh và đơn giản hóa thuế suất có thể làm cải thiện dịch vụ công. Tuy nhiên, hiệu quả thực tế còn phụ thuộc vào việc sử dụng nguồn thu thuế.</t>
  </si>
  <si>
    <t>Nhà nước đã giải thích rõ ràng về mục tiêu của chính sách mới. Sự minh bạch này làm tăng niềm tin trong việc thực thi.</t>
  </si>
  <si>
    <t>Sau khi xem xét các quyền lợi và nghĩa vụ, tôi thấy mức thuế vẫn tương tự so với trước đây nên quyết định tuân thủ chính sách mới. Tuy nhiên, cảm giác công bằng có thể chưa hoàn toàn chắc chắn.</t>
  </si>
  <si>
    <t>Hiện nay, với mức giảm trừ gia cảnh tăng mạnh và quy định quản lý thuế chặt chẽ hơn, hành vi gian lận hoặc trốn thuế khó có thể tránh khỏi. Công nghệ hiện đại cũng giúp phát hiện các gian lận hiệu quả.</t>
  </si>
  <si>
    <t>Công nghệ và nguồn lực của cơ quan thuế được đầu tư mạnh mẽ, tăng cường khả năng phát hiện và xử lý nghiêm minh các hành vi trốn thuế. Đây là một yếu tố quan trọng để đảm bảo công bằng trong việc thu thuế.</t>
  </si>
  <si>
    <t>Thủ tục khai báo thuế và quy trình làm việc với cơ quan thuế đơn giản hơn, giảm bớt gánh nặng cho người nộp thuế. Việc này giúp cải thiện thuận tiện khi thực hiện các thủ tục.</t>
  </si>
  <si>
    <t>Cách tính thuế và bậc thuế trong phương án mới rõ ràng hơn, dễ hiểu và thực hiện dễ dàng hơn so với trước đây. Điều này tăng cường sự minh bạch và thuận tiện cho người nộp thuế.</t>
  </si>
  <si>
    <t>Nhà nước đã cải cách hệ thống thuế một cách công bằng và minh bạch, giảm gánh nặng cho người thu nhập thấp hơn. Điều này tăng niềm tin vào sự công tâm của chính sách thuế mới.</t>
  </si>
  <si>
    <t>Mức thuế mới có thể được xem là công bằng đối với mức thu nhập hiện tại, giảm gánh nặng so với trước đây. Tuy nhiên, vẫn còn nhiều yếu tố cần cân nhắc để đảm bảo tính công bằng.</t>
  </si>
  <si>
    <t>Những cải cách mới sẽ được sử dụng hiệu quả để cải thiện các dịch vụ công quan trọng như y tế và giao thông. Điều này tạo niềm tin vào việc sử dụng tiền thuế một cách minh bạch.</t>
  </si>
  <si>
    <t>Nhà nước đã giải thích rõ ràng về mục đích của cải cách thuế, nhưng vẫn còn nhiều thông tin cần thêm để hoàn toàn thuyết phục. Tuy nhiên, các cải tổ này có xu hướng tạo niềm tin.</t>
  </si>
  <si>
    <t>Dù mức thuế giảm và thủ tục đơn giản hơn, nhưng tôi vẫn cân nhắc kỹ lưỡng về lợi ích và nghĩa vụ. Niềm tin vào chính sách mới đang tăng lên, song chưa hoàn toàn chắc chắn.</t>
  </si>
  <si>
    <t>Biện pháp quản lý thuế hiện tại chưa được cải thiện nhiều, việc tăng giảm trừ gia cảnh không phải là yếu tố quyết định để phát hiện trốn thuế.</t>
  </si>
  <si>
    <t>Công nghệ hiện nay hỗ trợ tốt cho việc phát hiện trốn thuế nhưng vẫn phụ thuộc vào quản lý hiệu quả và nhân lực của cơ quan thuế.</t>
  </si>
  <si>
    <t>Biểu thuế đơn giản hơn nhưng vẫn khá phức tạp với nhiều bậc, quy trình khai báo không thay đổi nhiều so với trước đây.</t>
  </si>
  <si>
    <t>Cách tính thuế mới đơn giản hóa nhưng các bước cụ thể để thực hiện chưa thực sự tiện lợi hơn.</t>
  </si>
  <si>
    <t>Nhà nước có cải thiện mức giảm trừ gia cảnh và công khai thông tin, tạo niềm tin cho người dân về việc đối xử công bằng.</t>
  </si>
  <si>
    <t>Mức thuế mới được thiết kế để công bằng hơn nhưng vẫn phụ thuộc vào thu nhập cá nhân cụ thể của từng người.</t>
  </si>
  <si>
    <t>Thuê đóng góp vào cải thiện dịch vụ công là điều tích cực, tuy nhiên hiệu quả sử dụng cần kiểm chứng trong thực tế.</t>
  </si>
  <si>
    <t>Truyền thông về lý do và mục tiêu sửa đổi thuế còn hạn chế, người dân chưa hoàn toàn tin tưởng vào sự minh bạch.</t>
  </si>
  <si>
    <t>Sau cân nhắc giữa quyền lợi và nghĩa vụ, quyết định tuân thủ vẫn dựa trên mức độ tin tưởng và khả năng thực hiện.</t>
  </si>
  <si>
    <t>Chính phủ đã tăng giảm trừ gia cảnh và đơn giản hóa biểu thuế, làm giảm gánh nặng về mặt tài chính cho người dân. Điều này tạo nên niềm tin rằng Nhà nước đang cố gắng công bằng trong việc đánh thuế.</t>
  </si>
  <si>
    <t>Công nghệ hiện đại giúp phát hiện trốn thuế dễ dàng hơn, cùng với những quy định quản lý chặt chẽ. Tuy nhiên, vẫn còn nhiều rủi ro về khả năng thực thi.</t>
  </si>
  <si>
    <t>Số bậc thuế đã được giảm từ 7 xuống 5, đơn giản hóa quy trình khai báo và làm việc với cơ quan thuế. Điều này tạo cảm giác thuận tiện hơn cho người nộp thuế.</t>
  </si>
  <si>
    <t>Cách tính thuế mới đơn giản hơn so với trước đây, các bậc thuế rõ ràng dễ hiểu hơn, thuận lợi cho việc thực hiện và tuân thủ.</t>
  </si>
  <si>
    <t>Thu nhập của tôi nằm ở mức trung bình, giảm trừ gia cảnh lớn hơn giúp giảm gánh nặng về mặt tài chính. Tôi tin rằng Nhà nước sẽ công bằng trong việc đánh thuế.</t>
  </si>
  <si>
    <t>Mức thuế mới được thiết kế phù hợp với thu nhập của tôi, tôi thấy nó là công bằng. Tuy nhiên, vẫn cần thời gian để xem xét thực tế sau khi áp dụng chính sách mới.</t>
  </si>
  <si>
    <t>Nhà nước đã tăng giảm trừ gia cảnh và đơn giản hóa biểu thuế, tạo niềm tin rằng số tiền thuế tôi đóng sẽ được sử dụng hiệu quả cho dịch vụ công.</t>
  </si>
  <si>
    <t>Nhà nước đã giải thích rõ ràng về các thay đổi trong chính sách thuế. Tuy nhiên, vẫn cần thêm thông tin và minh bạch hơn để thuyết phục tôi hoàn toàn.</t>
  </si>
  <si>
    <t>Sau khi xem xét các quyền lợi và nghĩa vụ, tôi ủng hộ chính sách mới hiện nay. Mức thuế giảm và quy trình đơn giản đã giúp tôi cảm thấy thuận tiện hơn trong việc tuân thủ.</t>
  </si>
  <si>
    <t>Các quy định quản lý thuế hiện nay đã được cải thiện đáng kể, có nhiều công cụ và công nghệ để phát hiện trốn thuế. Tuy nhiên, hiệu quả thực tế còn phụ thuộc vào việc triển khai.</t>
  </si>
  <si>
    <t>Nhà nước và cơ quan thuế đã đầu tư mạnh mẽ vào công nghệ, có khả năng phát hiện trốn thuế một cách nhanh chóng. Tuy nhiên, vẫn còn thách thức về việc triển khai rộng rãi.</t>
  </si>
  <si>
    <t>Các thủ tục khai báo thuế và quy trình làm việc với cơ quan thuế đã đơn giản hơn, giảm thời gian chờ đợi. Tuy nhiên, vẫn còn một số khó khăn nhỏ trong quá trình thực hiện.</t>
  </si>
  <si>
    <t>Cách tính thuế và các bậc thuế mới đã được đơn giản hóa, dễ hiểu hơn. Điều này giúp người dân nắm bắt nhanh chóng.</t>
  </si>
  <si>
    <t>Tôi tin rằng Nhà nước sẽ thực thi chính sách một cách công bằng, nhưng vẫn có sự nghi ngờ về khả năng thực hiện đồng đều trên toàn quốc.</t>
  </si>
  <si>
    <t>Mức thuế mới được thiết kế sao cho hợp lý với thu nhập của tôi. Tuy nhiên, tôi vẫn lo ngại về việc các quy định có thể thay đổi trong tương lai.</t>
  </si>
  <si>
    <t>Tôi tin rằng số tiền thuế đóng sẽ được sử dụng hiệu quả cho dịch vụ công, nhưng vẫn cần giám sát chặt chẽ để đảm bảo mục tiêu này được thực hiện đúng.</t>
  </si>
  <si>
    <t>Nhà nước đã giải thích về lý do và mục tiêu của việc sửa đổi thuế một cách rõ ràng, mặc dù còn nghi ngờ về mức độ minh bạch trong thực tế.</t>
  </si>
  <si>
    <t>Sau khi cân nhắc các quyền lợi và nghĩa vụ, tôi ủng hộ chính sách mới. Tuy nhiên, vẫn cần thêm thời gian để quen với quy định mới và giám sát việc triển khai.</t>
  </si>
  <si>
    <t>Công nghệ hiện đại giúp phát hiện gian lận và trốn thuế dễ dàng hơn, nhưng vẫn cần sự phối hợp của cơ quan chức năng.</t>
  </si>
  <si>
    <t>Năng lực công nghệ của cơ quan thuế được cải thiện, tuy nhiên khả năng phát hiện trốn thuế còn phụ thuộc vào nhiều yếu tố khác.</t>
  </si>
  <si>
    <t>Mức giảm trừ gia cảnh và người phụ thuộc tăng giúp thủ tục đơn giản hơn, nhưng quy trình vẫn cần tối ưu hóa hơn.</t>
  </si>
  <si>
    <t>Biểu thuế được đơn giản hóa, giúp việc tính toán dễ hiểu hơn, nhưng mức thuế suất vẫn có thể gây phức tạp đối với người dân.</t>
  </si>
  <si>
    <t>Nhà nước đã tăng cường giảm trừ gia cảnh và điều chỉnh thuế suất, tạo cảm giác công bằng giữa các đối tượng nộp thuế.</t>
  </si>
  <si>
    <t>Mức thuế mới được thiết kế để phù hợp với thu nhập của tôi, nhưng vẫn cần thêm thông tin về hiệu quả sử dụng nguồn thuế.</t>
  </si>
  <si>
    <t>Thuế đóng góp vào dịch vụ công, nhưng cần có minh bạch hơn trong việc sử dụng nguồn ngân sách để tạo niềm tin.</t>
  </si>
  <si>
    <t>Nhà nước đã giải thích rõ về mục tiêu cải cách, tuy nhiên thông tin vẫn chưa đủ thuyết phục mọi người.</t>
  </si>
  <si>
    <t>Các quyền lợi và nghĩa vụ mới có lợi cho tôi, nhưng quyết định tuân thủ phụ thuộc vào sự minh bạch trong việc sử dụng nguồn thuế.</t>
  </si>
  <si>
    <t>Công nghệ hiện đại và quy định quản lý thuế chặt chẽ có thể phát hiện hành vi gian lận.</t>
  </si>
  <si>
    <t>Nhà nước đã đầu tư nhiều vào công nghệ, tăng cường khả năng phát hiện trốn thuế.</t>
  </si>
  <si>
    <t>Mức giảm trừ gia cảnh cao hơn và quy trình đơn giản hóa có thể tạo cảm giác thuận tiện hơn.</t>
  </si>
  <si>
    <t>Biểu thuế đơn giản hóa từ nhiều bậc xuống 5 bậc, dễ hiểu hơn cho người dân.</t>
  </si>
  <si>
    <t>Quy định mới có thể đảm bảo công bằng trong việc đánh thuế đối với mọi người nộp thuế.</t>
  </si>
  <si>
    <t>Mức thuế mới được điều chỉnh dựa trên thu nhập, tạo cảm giác mức thuế này là hợp lý.</t>
  </si>
  <si>
    <t>Thuận tiện hơn khi giảm trừ gia cảnh cao và quy định rõ ràng về sử dụng số tiền thuế.</t>
  </si>
  <si>
    <t>Đã có thông tin giải thích rõ về mục tiêu và lý do của việc sửa đổi luật thuế mới.</t>
  </si>
  <si>
    <t>Quy định mới thuận tiện hơn, công bằng hơn và tôi thấy mình ủng hộ nó.</t>
  </si>
  <si>
    <t>Việc tăng mức giảm trừ gia cảnh và đơn giản hóa quy trình khai thuế có thể làm giảm cơ hội trốn thuế, nhưng khả năng phát hiện vẫn phụ thuộc vào công nghệ và nguồn lực của cơ quan thuế.</t>
  </si>
  <si>
    <t>Công nghệ ngày càng phát triển giúp tăng cường khả năng phát hiện trốn thuế. Tuy nhiên, việc thực thi pháp luật vẫn cần sự phối hợp và nguồn lực đầy đủ từ phía nhà nước.</t>
  </si>
  <si>
    <t>Mức giảm trừ gia cảnh cao hơn có thể làm đơn giản hóa quy trình khai thuế. Tuy nhiên, việc thực hiện các thủ tục vẫn cần thời gian và sự tuân thủ của người dân.</t>
  </si>
  <si>
    <t>Biểu thuế đơn giản với ít bậc hơn sẽ dễ hiểu và dễ thực hiện hơn so với trước đây. Các bước tính toán thu nhập chịu thuế cũng trở nên dễ dàng hơn.</t>
  </si>
  <si>
    <t>Mức giảm trừ gia cảnh tăng và quy trình khai thuế đơn giản hơn có thể tạo niềm tin về sự công bằng trong việc phân bổ tài nguyên. Tuy nhiên, cần xem xét thêm về thực thi chính sách.</t>
  </si>
  <si>
    <t>Nhà nước đã tăng mức giảm trừ gia cảnh và đơn giản hóa biểu thuế, tạo cảm giác rằng hệ thống thuế mới công bằng hơn so với trước đây. Tuy nhiên, cần thời gian để đánh giá hiệu quả.</t>
  </si>
  <si>
    <t>Mức giảm trừ gia cảnh tăng có thể tạo niềm tin vào việc sử dụng hiệu quả số tiền thuế đóng góp. Tuy nhiên, hiệu quả thực tế phụ thuộc vào cách sử dụng nguồn lực của nhà nước.</t>
  </si>
  <si>
    <t>Các thông điệp về cải cách thuế được truyền tải qua các kênh thông tin có thể làm tăng niềm tin về sự minh bạch. Tuy nhiên, cần thêm thời gian để đánh giá hiệu quả của việc giải thích.</t>
  </si>
  <si>
    <t>Chính sách mới tạo thuận lợi hơn cho người nộp thuế và giảm gánh nặng thuế. Mức độ ủng hộ tăng lên do cảm giác công bằng và minh bạch, nhưng cần thêm thời gian để xem xét các tác động thực tế.</t>
  </si>
  <si>
    <t>Mức giảm trừ gia cảnh tăng, quy định quản lý thuế chặt chẽ hơn nên tôi tin hành vi gian lận sẽ khó trốn tránh.</t>
  </si>
  <si>
    <t>Công nghệ hiện đại và sự cải cách về quản lý thuế giúp phát hiện và xử lý nghiêm các hành vi trốn thuế.</t>
  </si>
  <si>
    <t>Biểu thuế đơn giản, giảm số bậc từ 7 xuống 5, quá trình khai báo thuế dễ dàng hơn so với trước đây.</t>
  </si>
  <si>
    <t>Cách tính thuế mới rõ ràng và dễ hiểu hơn, các bậc thuế suất được đơn giản hóa.</t>
  </si>
  <si>
    <t>Nhà nước có chính sách minh bạch trong việc quản lý thuế và áp dụng công bằng với mọi người nộp thuế.</t>
  </si>
  <si>
    <t>Mức thuế mới được thiết kế dựa trên thu nhập, tôi thấy đây là mức hợp lý và phù hợp với thu nhập của mình.</t>
  </si>
  <si>
    <t>Giảm trừ gia cảnh tăng giúp tôi giảm bớt gánh nặng thuế, số tiền đóng góp vào dịch vụ công được sử dụng hiệu quả hơn.</t>
  </si>
  <si>
    <t>Nhà nước đã giải thích rõ ràng về mục tiêu của việc cải cách thuế, nhưng thông điệp truyền tải vẫn cần thêm minh bạch.</t>
  </si>
  <si>
    <t>Sau khi cân nhắc các quyền lợi và nghĩa vụ, tôi ủng hộ chính sách mới vì giảm trừ gia cảnh tăng và cách tính thuế đơn giản hơn.</t>
  </si>
  <si>
    <t>Với mức giảm trừ gia cảnh tăng mạnh và quy định quản lý thuế hiện đại, khả năng phát hiện hành vi gian lận hoặc trốn thuế sẽ cao hơn. Công nghệ cũng giúp nâng cao hiệu quả trong việc giám sát.</t>
  </si>
  <si>
    <t>Nhà nước và cơ quan thuế đã đầu tư công nghệ tiên tiến, có khả năng phát hiện và xử lý nghiêm các hành vi trốn thuế một cách kịp thời. Công nghệ giúp tăng cường quản lý hiệu quả.</t>
  </si>
  <si>
    <t>Mức giảm trừ gia cảnh cao hơn và biểu thuế đơn giản hơn làm cho khai báo thuế dễ dàng hơn, tiết kiệm thời gian và công sức.</t>
  </si>
  <si>
    <t>Biểu thuế mới đơn giản hóa bậc thuế và mức thuế suất rõ ràng hơn so với trước đây. Cách tính thuế trở nên dễ hiểu và dễ thực hiện hơn.</t>
  </si>
  <si>
    <t>Nhà nước đã tăng cường giảm trừ gia cảnh, công bằng cho người thu nhập thấp hơn và trung bình. Điều này làm tăng niềm tin vào tính công bằng của hệ thống thuế mới.</t>
  </si>
  <si>
    <t>Mức thuế mới có thể được coi là hợp lý cho thu nhập cá nhân hiện tại, do đó tôi cảm thấy mức thuế mới là công bằng.</t>
  </si>
  <si>
    <t>Tăng cường giảm trừ gia cảnh và đơn giản hóa biểu thuế có thể giúp số tiền đóng thuế được sử dụng hiệu quả hơn cho các dịch vụ công. Tôi tin rằng việc này sẽ cải thiện chất lượng cuộc sống.</t>
  </si>
  <si>
    <t>Nhà nước đã cung cấp thông tin về lý do và mục tiêu của chính sách mới một cách rõ ràng, tuy nhiên cần thêm minh bạch hơn để thuyết phục mọi người.</t>
  </si>
  <si>
    <t>Sau khi xem xét các quyền lợi từ mức giảm trừ gia cảnh tăng lên và tính công bằng của biểu thuế mới, tôi sẵn sàng ủng hộ và tuân thủ chính sách thuế mới. Tuy nhiên, cần thêm minh bạch để tăng niềm tin.</t>
  </si>
  <si>
    <t>Trong chính sách thuế mới, mức giảm trừ gia cảnh tăng lên đáng kể. Tuy nhiên, việc phát hiện và xử lý trốn thuế phụ thuộc nhiều vào khả năng công nghệ của cơ quan thuế.</t>
  </si>
  <si>
    <t>Cơ quan thuế đã sử dụng công nghệ tiên tiến để quản lý thuế, tăng cường khả năng giám sát. Tuy nhiên, việc phát hiện trốn thuế vẫn phụ thuộc vào sự tận tụy của nhân viên.</t>
  </si>
  <si>
    <t>Biểu thuế được đơn giản hóa từ 7 bậc xuống còn 5 bậc, giảm bớt rắc rối. Ngoài ra, quy định giảm trừ gia cảnh tăng cũng giúp việc khai báo trở nên dễ dàng hơn.</t>
  </si>
  <si>
    <t>Cách tính thuế mới đơn giản và rõ ràng hơn so với trước đây, tạo thuận lợi cho người nộp thuế. Bậc thuế được thu gọn giúp việc tính toán không còn phức tạp như trước.</t>
  </si>
  <si>
    <t>Nhà nước đã tăng mức giảm trừ gia cảnh và đơn giản hóa biểu thuế. Điều này thể hiện sự công bằng và khách quan trong việc áp dụng chính sách cho mọi người nộp thuế.</t>
  </si>
  <si>
    <t>Với mức giảm trừ gia cảnh cao hơn, tôi cảm thấy mình đóng đúng mức thuế tương xứng với thu nhập của mình. Tuy nhiên, vẫn cần thêm minh bạch về mục tiêu chính sách.</t>
  </si>
  <si>
    <t>Tăng mức giảm trừ gia cảnh giúp số tiền thuế tôi phải đóng giảm đáng kể. Tôi tin tưởng rằng số tiền này sẽ được sử dụng hiệu quả để cải thiện dịch vụ công.</t>
  </si>
  <si>
    <t>Trong thông báo, cơ quan thuế đã giải thích rõ ràng về mục đích của việc sửa đổi thuế. Tuy nhiên, sự minh bạch trong quá trình thực thi chính sách còn cần cải thiện.</t>
  </si>
  <si>
    <t>Sau khi cân nhắc lợi ích và nghĩa vụ, tôi ủng hộ chính sách mới vì nó đơn giản hóa quy trình khai báo và tăng mức giảm trừ gia cảnh. Tuy nhiên, vẫn cần thêm minh bạch về mục tiêu chính sách.</t>
  </si>
  <si>
    <t>Cải cách thuế thu nhập cá nhân mang tính chất tăng giảm trừ gia cảnh và đơn giản hóa biểu thuế, nhưng không có thông tin về công nghệ phát hiện trốn thuế cụ thể.</t>
  </si>
  <si>
    <t>Việc cải cách không đề cập đến sự ứng dụng công nghệ trong quản lý thuế. Tuy nhiên, các quy định mới tạo điều kiện cho việc khai báo và nộp thuế dễ dàng hơn, giảm rủi ro trốn thuế.</t>
  </si>
  <si>
    <t>Bậc thuế được đơn giản hóa từ 7 bậc xuống còn 5 bậc, giúp quá trình khai báo thuế trở nên thuận tiện và nhanh chóng hơn. Tuy nhiên, không có thông tin cụ thể về sự đơn giản hóa quy trình làm việc với cơ quan thuế.</t>
  </si>
  <si>
    <t>Các bậc thuế mới được đơn giản hóa, tạo nên sự minh bạch và dễ hiểu hơn. Tuy nhiên, không có thông tin về sự thay đổi trong cách tính thuế cụ thể từ trước đến nay.</t>
  </si>
  <si>
    <t>Mức giảm trừ gia cảnh tăng lên, tạo nên cảm giác công bằng và khách quan. Tuy nhiên, không có thông tin về cách thực thi chính sách mới một cách công tâm và đối xử bình đẳng.</t>
  </si>
  <si>
    <t>Các bậc thuế mới được đơn giản hóa, tạo nên sự minh bạch hơn. Tuy nhiên, mức thuế cụ thể chưa rõ ràng có phải là hợp lý khi so sánh với thu nhập hiện tại.</t>
  </si>
  <si>
    <t>Mức giảm trừ gia cảnh tăng lên, tạo cảm giác số tiền thuế đóng sẽ được sử dụng hiệu quả hơn. Tuy nhiên, không có thông tin cụ thể về cách sử dụng số tiền thu từ thuế.</t>
  </si>
  <si>
    <t>Thông tin về lý do và mục tiêu của cải cách chưa đầy đủ, gây ra sự hoài nghi. Tuy nhiên, mức giảm trừ gia cảnh tăng lên tạo nên cảm giác minh bạch hơn.</t>
  </si>
  <si>
    <t>Sau khi xem xét các quyền lợi và nghĩa vụ từ chính sách mới, mức độ ủng hộ là trung bình do có sự cải thiện về giảm trừ gia cảnh nhưng không rõ ràng về thực thi chính sách và giải thích minh bạch.</t>
  </si>
  <si>
    <t>Điều kiện hiện nay chưa được cải thiện rõ ràng, nhưng tăng mức giảm trừ gia cảnh có thể làm giảm cơ hội trốn thuế.</t>
  </si>
  <si>
    <t>Công nghệ phát triển mạnh mẽ, nhưng khả năng thực thi còn phụ thuộc vào nguồn lực và ý chí của nhà nước.</t>
  </si>
  <si>
    <t>Mức giảm trừ gia cảnh tăng lên làm việc khai báo thuế trở nên đơn giản hơn, nhưng quy trình làm việc với cơ quan thuế không có thay đổi rõ ràng.</t>
  </si>
  <si>
    <t>Các bậc thuế được đơn giản hóa, dễ hiểu hơn so với trước đây.</t>
  </si>
  <si>
    <t>Nhà nước đã tăng mức giảm trừ gia cảnh, tạo ra một cơ chế công bằng hơn cho người nộp thuế.</t>
  </si>
  <si>
    <t>Mức thuế mới có vẻ hợp lý dựa trên thu nhập hiện tại, nhưng vẫn cần đánh giá dài hạn về hiệu quả chính sách.</t>
  </si>
  <si>
    <t>Tăng mức giảm trừ gia cảnh và đơn giản hóa biểu thuế tạo ra cơ sở cho việc sử dụng tiền thuế hiệu quả hơn trong cải thiện dịch vụ công.</t>
  </si>
  <si>
    <t>Nhà nước đã giải thích rõ ràng về mục tiêu của chính sách mới, nhưng vẫn cần thêm thông tin về cách thực hiện để tăng niềm tin.</t>
  </si>
  <si>
    <t>Niềm tin và sự công bằng cao hơn do cải cách thuế, nhưng vẫn có nghi ngờ về khả năng thực thi.</t>
  </si>
  <si>
    <t>Nguyên tắc quản lý thuế hiện nay được cải thiện, nhưng vẫn có khả năng trốn thuế. Tăng mức giảm trừ gia cảnh giúp người dân không bị gánh nặng về mặt tài chính.</t>
  </si>
  <si>
    <t>Công nghệ phát triển mạnh mẽ, cùng với sự cải cách quản lý thuế, việc phát hiện và xử lý trốn thuế sẽ dễ dàng hơn. Tăng mức giảm trừ gia cảnh cũng làm cho người dân tin tưởng vào sự công bằng của hệ thống.</t>
  </si>
  <si>
    <t>Bậc thuế được đơn giản hóa, giúp quá trình khai báo và làm việc với cơ quan thuế trở nên dễ dàng hơn. Tuy nhiên, vẫn cần thời gian để người dân quen thuộc.</t>
  </si>
  <si>
    <t>Cách tính thuế mới đơn giản hóa các bậc thuế, giúp người dân hiểu và áp dụng dễ dàng hơn. Mức giảm trừ gia cảnh tăng cũng tạo cảm giác công bằng cho người dân.</t>
  </si>
  <si>
    <t>Tăng mức giảm trừ gia cảnh và đơn giản hóa biểu thuế làm cho người dân cảm thấy được đối xử công bằng. Tuy nhiên, vẫn cần thời gian để thực thi chính sách mới một cách khách quan.</t>
  </si>
  <si>
    <t>Mức thuế mới có sự thay đổi phù hợp với thu nhập của người dân. Tăng mức giảm trừ gia cảnh và đơn giản hóa biểu thuế làm cho người dân cảm thấy công bằng hơn về việc đóng thuế.</t>
  </si>
  <si>
    <t>Tăng mức giảm trừ gia cảnh giúp cải thiện dịch vụ công, nhưng vẫn cần thời gian để thực hiện hiệu quả. Mức thuế mới có sự thay đổi phù hợp với thu nhập của người dân.</t>
  </si>
  <si>
    <t>Việc giải thích về mục tiêu sửa đổi thuế rõ ràng hơn so với trước đây, giúp người dân hiểu rõ hơn về lý do và mục đích. Tuy nhiên, vẫn cần thời gian để thực hiện hiệu quả.</t>
  </si>
  <si>
    <t>Sau khi cân nhắc các quyền lợi và nghĩa vụ, tôi thấy mức thuế mới hợp lý với thu nhập của mình. Mức giảm trừ gia cảnh tăng cũng giúp cải thiện đáng kể về mặt tài chính. Tuy nhiên, vẫn cần thời gian để quen thuộc với hệ thống mới.</t>
  </si>
  <si>
    <t>Việc tăng giảm trừ gia cảnh và đơn giản hóa biểu thuế có thể làm giảm cơ hội trốn thuế, tuy nhiên khả năng phát hiện vẫn phụ thuộc vào công nghệ và nguồn lực của các cơ quan thuế.</t>
  </si>
  <si>
    <t>Công nghệ ngày càng tiên tiến giúp phát hiện gian lận nhanh chóng và chính xác hơn, tăng cường khả năng giám sát và xử lý trốn thuế.</t>
  </si>
  <si>
    <t>Biểu thuế mới đơn giản hóa quy trình khai báo và giảm bớt các bước phức tạp, tạo thuận lợi cho việc nộp thuế.</t>
  </si>
  <si>
    <t>Cách tính thuế mới với ít bậc thuế hơn giúp người dân dễ hiểu và thực hiện, tuy nhiên cần thời gian để mọi người quen thuộc với quy trình mới.</t>
  </si>
  <si>
    <t>Nâng cao giảm trừ gia cảnh có thể làm cho việc nộp thuế công bằng hơn, nhưng niềm tin vẫn phụ thuộc vào cách thực thi chính sách.</t>
  </si>
  <si>
    <t>Mức thuế mới với các bậc thuế hợp lý có thể tạo cảm giác công bằng cho người dân, tuy nhiên cần thời gian để đánh giá hiệu quả thực tế của chính sách.</t>
  </si>
  <si>
    <t>Công khai minh bạch về mục tiêu cải cách thuế có thể tăng niềm tin vào việc sử dụng số tiền thuế đóng vào các dịch vụ công, nhưng kết quả thực tế mới là yếu tố quyết định.</t>
  </si>
  <si>
    <t>Giải thích rõ ràng về chính sách giúp tăng sự tin tưởng của người dân vào mục tiêu cải cách, tuy nhiên cần thời gian để đánh giá hiệu quả truyền thông.</t>
  </si>
  <si>
    <t>Sau khi xem xét các quyền lợi và nghĩa vụ, tôi có xu hướng ủng hộ chính sách mới do mức thuế được điều chỉnh hợp lý và giảm trừ gia cảnh cao hơn, tuy nhiên quyết định cuối cùng còn phụ thuộc vào hiệu quả thực tế của chính sách.</t>
  </si>
  <si>
    <t>Dựa trên cải cách thuế, mức giảm trừ gia cảnh tăng đáng kể và biểu thuế được đơn giản hóa. Tuy nhiên, công nghệ phát hiện trốn thuế có thể chưa hoàn thiện.</t>
  </si>
  <si>
    <t>Công nghệ ngày càng tiên tiến, nhưng việc thực thi vẫn phụ thuộc vào nguồn lực và quyết tâm của cơ quan thuế.</t>
  </si>
  <si>
    <t>Biểu thuế được đơn giản hóa từ 7 bậc xuống còn 5 bậc, giảm bớt rườm rà và dễ dàng hơn khi khai báo thuế.</t>
  </si>
  <si>
    <t>Cách tính thuế mới đơn giản hơn so với trước đây, giúp người dân dễ hiểu và thực hiện.</t>
  </si>
  <si>
    <t>Thu nhập được giảm trừ gia cảnh nhiều hơn, đồng thời mức thuế suất có thể công bằng hơn đối với thu nhập trung bình.</t>
  </si>
  <si>
    <t>Mức thuế mới có thể công bằng hơn so với trước đây, nhưng vẫn cần thời gian để đánh giá hiệu quả thực tế.</t>
  </si>
  <si>
    <t>Thuế được sử dụng cho các dịch vụ công, tuy nhiên không phải ai cũng tin rằng tiền thuế sẽ được quản lý hiệu quả.</t>
  </si>
  <si>
    <t>Thông điệp về mục tiêu cải cách thuế chưa thuyết phục mọi người do sự phức tạp và nhiều thông tin trái chiều.</t>
  </si>
  <si>
    <t>Thu nhập giảm trừ gia cảnh tăng, mức thuế mới có thể công bằng hơn. Tuy nhiên, vẫn còn nhiều lo ngại về hiệu quả thực thi.</t>
  </si>
  <si>
    <t>Các quy định quản lý thuế hiện nay đã được cải thiện, tăng mức giảm trừ gia cảnh và đơn giản hóa biểu thuế. Điều này làm giảm khả năng trốn thuế. Hơn nữa, công nghệ hiện đại sẽ giúp phát hiện gian lận.</t>
  </si>
  <si>
    <t>Công nghệ mới và quy định quản lý thuế cải tiến có thể giúp nhà nước phát hiện và xử lý nghiêm các hành vi trốn thuế một cách hiệu quả. Tuy nhiên, vẫn còn những rủi ro về khả năng phát hiện toàn diện.</t>
  </si>
  <si>
    <t>Mức giảm trừ gia cảnh tăng lên cùng với việc đơn giản hóa biểu thuế đã làm cho quy trình khai báo thuế trở nên thuận tiện hơn. Tuy nhiên, vẫn cần cải thiện về mặt giao tiếp và hỗ trợ người dân.</t>
  </si>
  <si>
    <t>Biểu thuế đơn giản hơn với ít bậc thuế đã làm việc tính thuế trở nên dễ hiểu và thực hiện nhanh chóng. Tuy nhiên, vẫn cần thêm hướng dẫn cụ thể cho các trường hợp đặc biệt.</t>
  </si>
  <si>
    <t>Nhà nước đã cải thiện quy định quản lý thuế một cách công bằng hơn thông qua việc tăng giảm trừ gia cảnh và đơn giản hóa biểu thuế. Tuy nhiên, vẫn cần thêm minh bạch trong thực thi.</t>
  </si>
  <si>
    <t>Mức thuế mới được thiết lập dựa trên mức thu nhập hiện tại của tôi nên tôi thấy nó hợp lý. Tuy nhiên, việc cải cách này có thể chưa hoàn toàn thuyết phục mọi người.</t>
  </si>
  <si>
    <t>Tôi tin rằng số tiền thuế tôi đóng sẽ được sử dụng hiệu quả cho các dịch vụ công. Tuy nhiên, cần thêm minh bạch về cách sử dụng ngân sách thu từ thuế.</t>
  </si>
  <si>
    <t>Nhà nước đã giải thích rõ ràng về cải cách thuế nhưng vẫn có thể làm rõ hơn về mục tiêu chính xác của việc này. Tuy nhiên, sự minh bạch hiện tại đã nâng cao niềm tin của tôi.</t>
  </si>
  <si>
    <t>Sau khi cân nhắc các quyền lợi và nghĩa vụ mới, tôi ủng hộ cải cách thuế vì nó mang lại nhiều tiện ích cho người dân. Tuy nhiên, việc thực hiện hoàn toàn phụ thuộc vào sự minh bạch trong quản lý.</t>
  </si>
  <si>
    <t>Quy định quản lý thuế hiện nay có nhiều cải tiến, nhưng vẫn cần công nghệ phát hiện gian lận hiệu quả hơn. Với mức giảm trừ gia cảnh tăng, người thu nhập thấp sẽ giảm gánh nặng thuế nên tin tưởng hơn.</t>
  </si>
  <si>
    <t>Công nghệ ngày càng phát triển giúp cơ quan thuế dễ dàng phát hiện các hành vi trốn thuế. Việc tăng giảm trừ gia cảnh cũng khiến người dân cảm thấy công bằng.</t>
  </si>
  <si>
    <t>Thủ tục khai báo thuế và quy trình làm việc với cơ quan thuế đơn giản hơn, giúp tiết kiệm thời gian cho người dân. Số bậc thuế giảm cũng tạo thuận lợi trong việc tính toán.</t>
  </si>
  <si>
    <t>Cách tính thuế mới có thể dễ hiểu hơn do số bậc thuế giảm, nhưng vẫn cần thêm thời gian để nắm bắt đầy đủ.</t>
  </si>
  <si>
    <t>Niềm tin vào công bằng của chính sách tăng do mức giảm trừ gia cảnh lớn. Tuy nhiên, còn nhiều chi tiết cụ thể về cách thực thi mới cần được giải thích rõ hơn.</t>
  </si>
  <si>
    <t>Mức thuế mới có vẻ hợp lý nhưng vẫn chưa hoàn toàn minh bạch. Cần thêm thông tin để đánh giá đầy đủ tính công bằng.</t>
  </si>
  <si>
    <t>Số tiền thuế đóng sẽ được sử dụng hiệu quả hơn với mức giảm trừ gia cảnh cao, tạo niềm tin vào việc cải thiện dịch vụ công.</t>
  </si>
  <si>
    <t>Chính phủ đã giải thích một số điểm nhưng vẫn chưa đầy đủ. Cần thêm thông tin minh bạch về mục tiêu của chính sách mới.</t>
  </si>
  <si>
    <t>Sau khi xem xét, tôi thấy lợi ích từ mức giảm trừ gia cảnh cao hơn và thủ tục đơn giản hơn. Tuy nhiên, vẫn cần thêm thông tin minh bạch về cách thực thi mới.</t>
  </si>
  <si>
    <t>Mức giảm trừ gia cảnh tăng, giúp người dân không bị truy thu quá nhiều. Tuy nhiên, quy định quản lý thuế hiện nay chưa rõ ràng về công nghệ phát hiện gian lận.</t>
  </si>
  <si>
    <t>Công nghệ ngày càng phát triển, khả năng phát hiện trốn thuế tăng cao. Chính phủ có thể áp dụng nhiều biện pháp kỹ thuật để giám sát hiệu quả hơn.</t>
  </si>
  <si>
    <t>Mức giảm trừ gia cảnh và biểu thuế đơn giản hóa giúp quá trình khai báo dễ dàng hơn, nhưng việc thực hiện vẫn phụ thuộc vào năng lực của cơ quan thuế.</t>
  </si>
  <si>
    <t>Biểu thuế được đơn giản hóa từ 7 bậc xuống còn 5 bậc, giảm bớt rắc rối cho người nộp thuế. Phương án mới trở nên dễ hiểu hơn so với trước đây.</t>
  </si>
  <si>
    <t>Nhà nước công bố các quy định rõ ràng và khách quan, tạo niềm tin cho người dân về sự công bằng trong việc thực thi chính sách thuế.</t>
  </si>
  <si>
    <t>Mức thuế mới có thể được xem là công bằng với thu nhập hiện tại. Tuy nhiên, mức độ công bằng còn phụ thuộc vào cách sử dụng số tiền thuế đó.</t>
  </si>
  <si>
    <t>Hiệu quả sử dụng số tiền thuế không rõ ràng ngay lập tức. Người dân cần thời gian để cảm nhận sự khác biệt trong các dịch vụ công do số tiền thuế đóng góp.</t>
  </si>
  <si>
    <t>Nhà nước đã giải thích về mục tiêu của việc sửa đổi thuế nhưng còn thiếu minh bạch trong từng quy định cụ thể. Việc truyền thông rõ ràng hơn sẽ tăng lòng tin từ người dân.</t>
  </si>
  <si>
    <t>Dù có nhiều cải cách, quyết định ủng hộ và tuân thủ chính sách mới vẫn phụ thuộc vào việc cảm nhận được lợi ích thực tế từ chính sách. Hiệu quả lâu dài cần thời gian để đánh giá.</t>
  </si>
  <si>
    <t>Biện pháp quản lý thuế được cải thiện, tăng mức giảm trừ gia cảnh và đơn giản hóa biểu thuế có thể giúp phát hiện trốn thuế hiệu quả hơn.</t>
  </si>
  <si>
    <t>Công nghệ ngày càng phát triển giúp Nhà nước và cơ quan thuế dễ dàng phát hiện trốn thuế, tuy nhiên vẫn cần sự phối hợp chặt chẽ giữa các bên liên quan.</t>
  </si>
  <si>
    <t>Mức giảm trừ gia cảnh cao hơn và số bậc thuế giảm có thể làm thủ tục khai báo thuế đơn giản hơn, nhưng cần thời gian để người dân quen với quy trình mới.</t>
  </si>
  <si>
    <t>Biểu thuế đơn giản hóa từ 7 bậc xuống còn 5 bậc có thể giúp người nộp thuế dễ hiểu và thực hiện tính thuế nhanh chóng hơn, nhưng vẫn cần thời gian để mọi người quen với cách mới.</t>
  </si>
  <si>
    <t>Mức giảm trừ gia cảnh tăng cao và số bậc thuế giảm có thể tạo niềm tin rằng chính sách được áp dụng công bằng đối với tất cả các nhóm thu nhập.</t>
  </si>
  <si>
    <t>Nhìn chung mức thuế mới vẫn hợp lý so với thu nhập, nhưng cần thời gian để đánh giá hiệu quả thực tế của chính sách sau khi áp dụng.</t>
  </si>
  <si>
    <t>Mức giảm trừ gia cảnh tăng cao có thể tạo niềm tin rằng số tiền thuế đóng sẽ được sử dụng hiệu quả cho các dịch vụ công.</t>
  </si>
  <si>
    <t>Nhìn chung, Nhà nước đã giải thích rõ ràng về mục tiêu cải cách, nhưng cần thêm thông tin để thuyết phục mọi người hoàn toàn.</t>
  </si>
  <si>
    <t>Biện pháp quản lý thuế được tăng cường với mức giảm trừ gia cảnh cao hơn, giảm số bậc thuế và đơn giản hóa biểu thuế, giúp phát hiện hành vi gian lận khó khăn hơn.</t>
  </si>
  <si>
    <t>Công nghệ hiện đại có thể hỗ trợ trong việc phát hiện trốn thuế, nhưng vẫn phụ thuộc vào hiệu quả của hệ thống quản lý và thực thi.</t>
  </si>
  <si>
    <t>Thu nhập chịu thuế được chia thành ít bậc hơn, giảm số lần tính toán và đơn giản hóa quy trình khai báo thuế.</t>
  </si>
  <si>
    <t>Nhà nước đã tăng mức giảm trừ gia cảnh, tạo ra sự công bằng trong việc đánh giá thu nhập chịu thuế.</t>
  </si>
  <si>
    <t>Mức thuế mới được thiết kế để phù hợp với thu nhập cá nhân, nhưng vẫn cần xem xét chi tiết bản thân và người phụ thuộc.</t>
  </si>
  <si>
    <t>Số tiền thuế đóng sẽ được sử dụng hiệu quả trong các dịch vụ công quan trọng như y tế và giao thông.</t>
  </si>
  <si>
    <t>Thông tin về mục tiêu của chính sách mới đã được giải thích rõ ràng, nhưng cần cải thiện hơn nữa để thuyết phục mọi người.</t>
  </si>
  <si>
    <t>Tăng mức giảm trừ gia cảnh và đơn giản hóa biểu thuế tạo ra sự ủng hộ cao, nhưng sự phức tạp của chính sách vẫn còn gây nghi ngờ.</t>
  </si>
  <si>
    <t>Dù thuế có nhiều cải cách, nhưng khả năng phát hiện và xử lý trốn thuế vẫn chưa hoàn thiện. Công nghệ hiện đại giúp phần nào, nhưng không thể bỏ qua rủi ro gian lận.</t>
  </si>
  <si>
    <t>Công nghệ ngày càng tiên tiến, kết hợp với các quy định quản lý mới có thể tăng cường khả năng phát hiện trốn thuế. Tuy nhiên, vẫn cần thời gian để áp dụng hiệu quả.</t>
  </si>
  <si>
    <t>Thuê giờ đơn giản hơn, nhưng quá trình khai báo vẫn còn phức tạp và đôi khi chậm chạp. Nhìn chung, thuận tiện hơn so với trước đây.</t>
  </si>
  <si>
    <t>Biểu thuế mới đơn giản hóa và rõ ràng hơn so với trước, dễ hiểu và thực hiện nhanh chóng hơn.</t>
  </si>
  <si>
    <t>Nhà nước đã cải thiện quy định giảm trừ gia cảnh, tạo cảm giác công bằng hơn. Tuy nhiên, vẫn còn nhiều yếu tố ảnh hưởng đến sự tin tưởng.</t>
  </si>
  <si>
    <t>Mức thuế mới phù hợp với thu nhập của mình, tạo cảm giác công bằng. Tuy nhiên, cần thời gian để đánh giá hiệu quả thực tế.</t>
  </si>
  <si>
    <t>Thuế đóng góp vào dịch vụ công là điều nên làm. Tuy nhiên, hiệu quả sử dụng nguồn lực vẫn chưa rõ ràng</t>
  </si>
  <si>
    <t>Nhà nước đã giải thích một cách rõ ràng về mục tiêu cải cách thuế. Tuy nhiên, cần thêm thông tin chi tiết và minh bạch hơn.</t>
  </si>
  <si>
    <t>Thu nhập tăng lên với mức giảm trừ gia cảnh mới, tạo cảm giác công bằng và thuận lợi. Tuy nhiên, vẫn có sự nghi ngờ về hiệu quả thực tế.</t>
  </si>
  <si>
    <t>Các quy định quản lý thuế hiện nay có nhiều cải tiến, nhưng vẫn chưa đủ mạnh để phát hiện trốn thuế. Tăng giảm trừ gia cảnh cũng không thay đổi cơ chế phát hiện gian lận.</t>
  </si>
  <si>
    <t>Nhà nước đã đầu tư công nghệ và nguồn lực để phát hiện trốn thuế, nhưng hiệu quả thực tế còn phụ thuộc vào nhiều yếu tố như quy định pháp luật và thực thi.</t>
  </si>
  <si>
    <t>Mức Giảm trừ gia cảnh tăng lên giúp đơn giản hóa quá trình khai báo. Tuy nhiên, vẫn cần thời gian để các cơ quan thuế hoàn thiện quy trình làm việc.</t>
  </si>
  <si>
    <t>Biểu thuế được rút gọn, dễ hiểu hơn nhưng mức thuế suất và ngưỡng chịu thuế thay đổi có thể gây khó khăn cho người nộp thuế mới.</t>
  </si>
  <si>
    <t>Nhà nước đã cải thiện quy định về giảm trừ gia cảnh và đơn giản hóa biểu thuế. Tuy nhiên, việc thực thi vẫn cần thêm thời gian để minh bạch hơn.</t>
  </si>
  <si>
    <t>Thu nhập cao hơn trước đây có thể phải chịu mức thuế suất cao hơn, nhưng tổng số tiền đóng không chắc đã tăng. Việc cải cách này chưa đủ rõ ràng về mặt công bằng.</t>
  </si>
  <si>
    <t>Tiền thuế đóng sẽ được sử dụng hiệu quả cho các dịch vụ công cần thiết như y tế và giao thông, nhưng việc minh bạch trong sử dụng còn hạn chế.</t>
  </si>
  <si>
    <t>Nhà nước đã giải thích về cải cách thuế một cách rõ ràng hơn so với trước đây. Tuy nhiên, cần thêm thời gian để mọi người hiểu đầy đủ mục tiêu của chính sách mới.</t>
  </si>
  <si>
    <t>Dù có nhiều thay đổi tích cực, nhưng quyết định tuân thủ vẫn dựa vào đánh giá tổng thể về lợi ích và nghĩa vụ. Thay đổi về thuế suất cần thêm thời gian để thích nghi.</t>
  </si>
  <si>
    <t>Các quy định quản lý thuế hiện nay đã được cải thiện, nhưng vẫn chưa đủ mạnh để phát hiện và xử lý trốn thuế một cách hiệu quả. Việc tăng giảm trừ gia cảnh không ảnh hưởng lớn đến việc phát hiện trốn thuế.</t>
  </si>
  <si>
    <t>Công nghệ hiện đại có thể hỗ trợ phát hiện trốn thuế, nhưng vẫn cần sự phối hợp và nguồn lực từ các cơ quan chức năng. Việc cải cách thuế không thay đổi đáng kể khả năng phát hiện trốn thuế.</t>
  </si>
  <si>
    <t>Đơn giản hóa quy trình khai báo và làm việc với cơ quan thuế đã tạo ra sự thuận tiện hơn cho người dân, giúp giảm bớt rắc rối trong quá trình nộp thuế. Sự cải cách này góp phần tăng niềm tin vào hệ thống.</t>
  </si>
  <si>
    <t>Biểu thuế mới đơn giản hóa bậc thuế, làm giảm độ phức tạp và dễ dàng hơn cho người dân hiểu rõ về mức thuế phải trả. Điều này giúp nâng cao sự hiểu biết của công chúng về chính sách thuế.</t>
  </si>
  <si>
    <t>Nhà nước đã cải thiện quy định quản lý thuế, giảm gánh nặng về mặt tài chính cho người dân. Việc tăng mức giảm trừ gia cảnh và đơn giản hóa biểu thuế tạo điều kiện thuận lợi hơn trong việc tuân thủ pháp luật.</t>
  </si>
  <si>
    <t>Mức thuế mới được thiết kế dựa trên thu nhập của cá nhân, đảm bảo tính công bằng. Việc cải cách thuế này giúp người dân cảm thấy mức thuế phải đóng là hợp lý.</t>
  </si>
  <si>
    <t>Dự kiến số tiền thuế tôi đóng sẽ được sử dụng hiệu quả để cải thiện dịch vụ công, tuy nhiên, việc thực hiện mục tiêu này phụ thuộc vào quản lý tài chính và sự minh bạch của Nhà nước.</t>
  </si>
  <si>
    <t>Nhà nước đã nỗ lực giải thích rõ ràng về phương án cải cách thuế lần này. Tuy nhiên, việc truyền thông vẫn cần được cải thiện hơn nữa để người dân hiểu đầy đủ mục tiêu và lý do của chính sách.</t>
  </si>
  <si>
    <t>Cải cách thuế mới tạo ra cơ hội thuận lợi hơn cho người dân trong việc tuân thủ pháp luật. Tuy nhiên, do vẫn còn nhiều bất ổn về khả năng phát hiện trốn thuế và quản lý tài chính của Nhà nước, tôi quyết định ủng hộ với điều kiện.</t>
  </si>
  <si>
    <t>Điều kiện quản lý thuế hiện nay chưa đủ mạnh để phát hiện gian lận hoặc trốn thuế.</t>
  </si>
  <si>
    <t>Công nghệ hiện tại có thể giúp phát hiện nhưng chưa chắc chắn về khả năng xử lý nghiêm túc.</t>
  </si>
  <si>
    <t>Mức giảm trừ gia cảnh tăng, thủ tục thuế đơn giản hơn và không còn nhiều bậc thuế nên thuận tiện hơn.</t>
  </si>
  <si>
    <t>Cách tính thuế mới đơn giản hơn so với trước đây, nhưng vẫn cần thời gian để quen thuộc.</t>
  </si>
  <si>
    <t>Việc tăng giảm trừ gia cảnh và đơn giản hóa biểu thuế có thể tạo niềm tin vào công bằng.</t>
  </si>
  <si>
    <t>Mức thuế mới được thiết kế để phù hợp với thu nhập, nhưng chưa rõ liệu nó có công bằng hay không.</t>
  </si>
  <si>
    <t>Niềm tin vào việc sử dụng tiền thuế hiệu quả còn cần thời gian kiểm chứng thông qua các chính sách thực hiện.</t>
  </si>
  <si>
    <t>Việc giải thích rõ ràng về mục tiêu của việc sửa đổi thuế chưa đủ, cần nhiều thông tin hơn để thuyết phục.</t>
  </si>
  <si>
    <t>Phương án mới mang lại lợi ích tài chính nhưng vẫn có nhiều nghi ngờ về khả năng thực thi và công bằng.</t>
  </si>
  <si>
    <t>Việc tăng giảm trừ gia cảnh và đơn giản hóa biểu thuế có thể làm giảm cơ hội trốn thuế, nhưng vẫn cần sự phát triển công nghệ để đảm bảo hiệu quả.</t>
  </si>
  <si>
    <t>Công nghệ ngày càng tiên tiến giúp nhà nước theo dõi giao dịch tài chính cá nhân tốt hơn, giảm nguy cơ trốn thuế.</t>
  </si>
  <si>
    <t>Biểu thuế được đơn giản hóa từ 7 bậc xuống còn 5, làm cho khai báo thuế trở nên dễ dàng và nhanh chóng hơn.</t>
  </si>
  <si>
    <t>Các bậc thuế mới rõ ràng hơn so với trước đây, giúp người nộp thuế hiểu được mức thuế của mình dễ dàng hơn.</t>
  </si>
  <si>
    <t>Tăng giảm trừ gia cảnh và đơn giản hóa biểu thuế làm cho chính sách trở nên công bằng hơn đối với mọi người nộp thuế.</t>
  </si>
  <si>
    <t>Mức thuế mới được thiết kế để công bằng, nhưng việc đánh giá mức thuế cụ thể còn phụ thuộc vào thu nhập cá nhân.</t>
  </si>
  <si>
    <t>Tăng giảm trừ gia cảnh và đơn giản hóa biểu thuế làm cho số tiền thuế đóng có thể được sử dụng hiệu quả hơn để cải thiện dịch vụ công.</t>
  </si>
  <si>
    <t>Thông tin về các thay đổi thuế mới đã được giải thích rõ ràng, nhưng vẫn cần thêm thông tin minh bạch từ phía nhà nước.</t>
  </si>
  <si>
    <t>Nguyên tắc cơ bản về quản lý thuế hiện nay đã được cải thiện, đặc biệt là việc tăng mức giảm trừ gia cảnh và đơn giản hóa biểu thuế. Tuy nhiên, khả năng phát hiện trốn thuế phụ thuộc nhiều vào công nghệ và nguồn lực của cơ quan thuế.</t>
  </si>
  <si>
    <t>Công nghệ hiện đại ngày càng được ứng dụng trong quản lý thuế, giúp việc phát hiện trốn thuế trở nên hiệu quả hơn. Tăng cường quản lý cũng đã thấy rõ qua các quy định mới.</t>
  </si>
  <si>
    <t>Thủ tục khai báo thuế và quy trình làm việc với cơ quan thuế được đơn giản hóa, giảm bớt những rườm rà. Việc này giúp người nộp thuế tiết kiệm thời gian hơn.</t>
  </si>
  <si>
    <t>Bảng thuế mới có ít bậc hơn và đơn giản hơn so với trước đây, do đó dễ dàng tính toán và áp dụng hơn.</t>
  </si>
  <si>
    <t>Việc cải cách thuế đã tạo ra một hệ thống công bằng hơn. Người thu nhập thấp sẽ được giảm trừ nhiều hơn và không còn bị áp lực từ nhiều bậc thuế.</t>
  </si>
  <si>
    <t>Nhìn chung, mức thuế mới có vẻ hợp lý với thu nhập hiện tại của tôi, nhưng vẫn cần thêm thời gian để đánh giá hoàn toàn.</t>
  </si>
  <si>
    <t>Thuế đóng góp vào các dịch vụ công quan trọng như y tế và giao thông. Việc cải cách thuế giúp tăng cường niềm tin rằng tiền thuế được sử dụng hiệu quả.</t>
  </si>
  <si>
    <t>Nhà nước đã giải thích rõ ràng về mục tiêu của cải cách, nhưng việc truyền đạt thông tin cần thêm nhiều nỗ lực để mọi người hiểu đầy đủ.</t>
  </si>
  <si>
    <t>Việc cải cách thuế mang lại lợi ích cho tôi và gia đình. Tuy nhiên, do là một người nghi ngờ nên quyết định tuân thủ vẫn còn cần thêm thời gian suy nghĩ.</t>
  </si>
  <si>
    <t>Mức giảm trừ gia cảnh và người phụ thuộc tăng, khiến thu nhập chịu thuế thấp hơn. Tuy nhiên, việc phát hiện gian lận vẫn còn khó khăn với quy định quản lý hiện tại.</t>
  </si>
  <si>
    <t>Công nghệ ngày càng phát triển nhưng khả năng phát hiện và xử lý trốn thuế vẫn chưa tối ưu. Cần thêm nguồn lực và cải tiến công nghệ.</t>
  </si>
  <si>
    <t>Biểu thuế đơn giản hơn, số bậc giảm từ 7 xuống 5, dễ quản lý hơn cho người dân nhưng quy trình khai báo vẫn còn rườm rà.</t>
  </si>
  <si>
    <t>Cách tính thuế và các bậc thuế mới rõ ràng hơn so với trước đây. Người thu nhập trung bình như tôi thấy đơn giản và dễ hiểu.</t>
  </si>
  <si>
    <t>Nhà nước đã tăng giảm trừ gia cảnh, làm giảm gánh nặng thuế cho người dân. Tuy nhiên, vẫn có sự lo ngại về cách thực thi công bằng.</t>
  </si>
  <si>
    <t>Mức thuế mới được thiết kế để phù hợp với thu nhập trung bình như tôi. Tuy nhiên, cần thêm thông tin rõ ràng về việc áp dụng cụ thể hơn.</t>
  </si>
  <si>
    <t>Tăng giảm trừ gia cảnh làm giảm gánh nặng thuế cho người dân. Tuy nhiên, vẫn có lo ngại về hiệu quả sử dụng nguồn thu thuế.</t>
  </si>
  <si>
    <t>Công bố thông tin rõ ràng hơn về mục tiêu cải cách nhưng việc truyền đạt cụ thể đến người dân còn hạn chế.</t>
  </si>
  <si>
    <t>Thu nhập giảm do giảm trừ gia cảnh tăng, đồng thời phương án mới đơn giản hóa thủ tục. Tuy nhiên, vẫn có sự lo ngại về thực thi công bằng và hiệu quả sử dụng nguồn thu.</t>
  </si>
  <si>
    <t>Mức giảm trừ gia cảnh và người phụ thuộc tăng, nhưng không có thông tin về khả năng phát hiện trốn thuế.</t>
  </si>
  <si>
    <t>Công nghệ hiện đại giúp phát hiện trốn thuế hiệu quả hơn, tuy nhiên không biết chi tiết về nguồn lực cụ thể của cơ quan thuế.</t>
  </si>
  <si>
    <t>Biểu thuế đơn giản hơn, nhưng không rõ quy trình khai báo tax và làm việc với cơ quan thuế đã được cải thiện như thế nào.</t>
  </si>
  <si>
    <t>Cách tính thuế mới đơn giản hóa, nhưng chưa có kinh nghiệm sử dụng nên chưa đánh giá cao về sự dễ hiểu.</t>
  </si>
  <si>
    <t>Nhìn chung mức giảm trừ gia cảnh và người phụ thuộc tăng, cho thấy sự công bằng trong việc phân chia gánh nặng thuế, nhưng không chắc chắn về cách thực thi.</t>
  </si>
  <si>
    <t>Thuế mới có thể công bằng hơn so với trước, nhưng cần thời gian để đánh giá hiệu quả và tính công bằng của nó đối với thu nhập hiện tại.</t>
  </si>
  <si>
    <t>Hiệu quả sử dụng tiền thuế chưa rõ ràng, tuy nhiên việc cải cách thuế có thể mang lại lợi ích chung cho dịch vụ công</t>
  </si>
  <si>
    <t>Thông tin giải thích về lý do và mục tiêu của chính sách mới không đầy đủ, nhưng có sự cải tiến so với trước đây.</t>
  </si>
  <si>
    <t>Thu nhập hiện tại giảm nhẹ do mức thuế mới, tuy nhiên quyết định tuân thủ dựa trên niềm tin vào hiệu quả sử dụng tiền thuế và công bằng trong việc phân chia gánh nặng</t>
  </si>
  <si>
    <t>Cải cách thuế TNCN không chỉ tăng giảm trừ gia cảnh mà còn đơn giản hóa quy trình khai báo. Điều này có thể làm giảm cơ hội trốn thuế và tăng khả năng phát hiện gian lận.</t>
  </si>
  <si>
    <t>Điều kiện kỹ thuật ngày càng tiên tiến, công nghệ AI có thể giúp Nhà nước giám sát và xử lý hành vi trốn thuế một cách hiệu quả hơn.</t>
  </si>
  <si>
    <t>Số bậc thuế giảm đi từ 7 xuống còn 5 đã đơn giản hóa quy trình khai báo, làm cho thủ tục thuận lợi hơn</t>
  </si>
  <si>
    <t>Cách tính thuế mới và các bậc thuế rõ ràng hơn so với trước đây, giúp việc hiểu và thực hiện dễ dàng hơn</t>
  </si>
  <si>
    <t>Mức giảm trừ gia cảnh tăng lên có thể làm cho việc nộp thuế công bằng hơn đối với người dân. Tuy nhiên, tôi vẫn nghi ngờ về cách thực thi của cơ quan thuế.</t>
  </si>
  <si>
    <t>Nhìn chung mức thuế mới không quá cao so với thu nhập hiện tại nên có thể coi là công bằng đối với người nộp thuế bình thường</t>
  </si>
  <si>
    <t>Mức giảm trừ gia cảnh tăng lên và các quyền lợi khác có thể làm cho việc đóng thuế trở thành một phần của trách nhiệm xã hội. Tuy nhiên, tôi vẫn lo ngại về hiệu quả sử dụng số tiền đã đóng.</t>
  </si>
  <si>
    <t>Dư luận chưa đồng thuận với nhiều thay đổi trong luật thuế nên việc giải thích rõ ràng từ phía Nhà nước còn hạn chế</t>
  </si>
  <si>
    <t>Chính sách mới có thể tạo ra lợi ích tài chính cho tôi nhưng vẫn cần thời gian để tin tưởng vào hiệu quả sử dụng số tiền đã đóng.</t>
  </si>
  <si>
    <t>Các quy định quản lý thuế hiện nay có nhiều biện pháp phát hiện gian lận và trốn thuế, như công nghệ theo dõi thu nhập từ các tổ chức tài chính. Đôi khi vẫn còn khó khăn nhưng tổng thể đã cải thiện đáng kể so với trước đây.</t>
  </si>
  <si>
    <t>Công nghệ hiện đại giúp cơ quan thuế có khả năng phát hiện và xử lý nghiêm các hành vi trốn thuế, giảm thiểu tình trạng gian lận. Công nghệ như hệ thống hóa đơn điện tử cũng hỗ trợ hiệu quả.</t>
  </si>
  <si>
    <t>So với trước đây, quy trình khai báo thuế và làm việc với cơ quan thuế trở nên đơn giản hơn khi có nhiều hướng dẫn chi tiết. Tuy nhiên, đôi khi vẫn còn rắc rối đối với những người không am hiểu về hệ thống.</t>
  </si>
  <si>
    <t>Biểu thuế được rút gọn từ 7 bậc xuống 5 bậc giúp việc tính toán thu nhập chịu thuế trở nên dễ dàng hơn. Người dân có thể tự tính thuế của mình mà không cần đến sự hỗ trợ nhiều từ nhân viên thuế.</t>
  </si>
  <si>
    <t>Nhà nước và cơ quan thuế hiện đang cố gắng thực thi chính sách một cách công bằng, nhưng vẫn còn những bất cập. Mức giảm trừ gia cảnh tăng lên có thể làm tăng niềm tin vào tính công bằng của hệ thống.</t>
  </si>
  <si>
    <t>Mức thuế mới có vẻ hợp lý so với thu nhập hiện tại của tôi, nhưng vẫn còn nhiều yếu tố khác ảnh hưởng đến quyết định cuối cùng. Mức thuế mới này thể hiện tính công bằng hơn so với trước đây.</t>
  </si>
  <si>
    <t>Niềm tin vào việc sử dụng hiệu quả số tiền thuế đóng để cải thiện dịch vụ công đang tăng lên do mức giảm trừ gia cảnh cao. Tuy nhiên, vẫn cần thời gian để chứng minh thực tế.</t>
  </si>
  <si>
    <t>Nhà nước đã giải thích khá rõ về mục đích của việc sửa đổi thuế lần này, nhưng có thể còn thiếu thông tin chi tiết. Tuy nhiên, những cải cách này giúp giảm rắc rối trong việc khai báo và tính thuế.</t>
  </si>
  <si>
    <t>Sau khi xem xét các quyền lợi và nghĩa vụ, tôi ủng hộ chính sách mới. Mức giảm trừ gia cảnh tăng lên làm cho tôi cảm thấy công bằng hơn so với trước đây. Tuy nhiên, vẫn còn một số bất cập cần cải thiện.</t>
  </si>
  <si>
    <t>Quy định quản lý thuế hiện nay có nhiều biện pháp phát hiện gian lận, với sự hỗ trợ của công nghệ, khả năng phát hiện trốn thuế được tăng cường.</t>
  </si>
  <si>
    <t>Việc áp dụng công nghệ tiên tiến như AI và Big Data giúp cơ quan thuế có thể theo dõi và xử lý nghiêm các hành vi trốn thuế một cách hiệu quả hơn.</t>
  </si>
  <si>
    <t>Mức giảm trừ gia cảnh tăng, thủ tục khai báo thuế đơn giản hóa, việc làm việc với cơ quan thuế trở nên thuận tiện hơn cho người dân.</t>
  </si>
  <si>
    <t>Biểu thuế được đơn giản hóa từ 7 bậc xuống còn 5 bậc, giảm độ phức tạp và dễ hiểu hơn so với trước đây.</t>
  </si>
  <si>
    <t>Nhà nước đã cải thiện quy định quản lý thuế nhằm đảm bảo công bằng và minh bạch, nâng cao niềm tin vào cơ quan thuế.</t>
  </si>
  <si>
    <t>Mức thuế mới được thiết kế để phù hợp với thu nhập trung bình của người dân, tạo cảm giác công bằng cho người nộp thuế.</t>
  </si>
  <si>
    <t>Tăng cường giảm trừ gia cảnh và đơn giản hóa thủ tục thuế giúp số tiền thuế đóng được sử dụng hiệu quả hơn để cải thiện dịch vụ công.</t>
  </si>
  <si>
    <t>Nhà nước đã cung cấp thông tin đầy đủ về mục tiêu của chính sách mới, tuy nhiên cần thêm các giải thích cụ thể về cách áp dụng.</t>
  </si>
  <si>
    <t>Mặc dù có những cải tiến nhưng mức thuế và giảm trừ gia cảnh tăng lên vẫn tạo ra lợi ích cho người nộp thuế, do đó tôi sẵn sàng tuân thủ.</t>
  </si>
  <si>
    <t>Điều chỉnh thuế đã giảm gánh nặng cho người dân, nhưng khả năng phát hiện trốn thuế vẫn phụ thuộc vào công nghệ và nhân lực.</t>
  </si>
  <si>
    <t>Công nghệ ngày càng phát triển giúp quản lý thuế hiệu quả hơn, đồng thời tăng cường khả năng giám sát.</t>
  </si>
  <si>
    <t>Bậc thuế giảm từ 7 xuống còn 5, quy trình khai báo đơn giản hơn, nhưng việc thực hiện vẫn cần thời gian thích ứng.</t>
  </si>
  <si>
    <t>Cách tính thuế và bậc thuế mới rõ ràng hơn so với trước đây, dễ dàng áp dụng hơn cho người dân.</t>
  </si>
  <si>
    <t>Những thay đổi về mức giảm trừ gia cảnh và biểu thuế công bằng hơn, nhưng vẫn cần thời gian để tin tưởng hệ thống mới.</t>
  </si>
  <si>
    <t>Mức thuế mới phù hợp với thu nhập hiện tại của tôi, tạo cảm giác công bằng trong việc đóng góp cho xã hội.</t>
  </si>
  <si>
    <t>Tin tưởng rằng số tiền thuế đóng sẽ được sử dụng hiệu quả để cải thiện các dịch vụ công như y tế và đường xá.</t>
  </si>
  <si>
    <t>Nhà nước đã giải thích rõ ràng về mục tiêu của chính sách mới, nhưng vẫn cần thêm thời gian để hoàn toàn tin tưởng.</t>
  </si>
  <si>
    <t>Sau cân nhắc giữa lợi ích tài chính và nghĩa vụ pháp lý, tôi sẵn sàng tuân thủ chính sách mới.</t>
  </si>
  <si>
    <t>Cải cách thuế đã tăng mức giảm trừ gia cảnh, giúp giảm gánh nặng tài chính. Tuy nhiên, khả năng phát hiện trốn thuế phụ thuộc nhiều vào công nghệ và nguồn lực của cơ quan thuế.</t>
  </si>
  <si>
    <t>Điều kiện kỹ thuật ngày càng phát triển, giúp việc giám sát và xử lý trốn thuế trở nên hiệu quả hơn. Tuy nhiên, vẫn cần nâng cao công nghệ để đảm bảo tính toàn vẹn.</t>
  </si>
  <si>
    <t>Biểu thuế đơn giản hơn đã làm giảm tải cho người nộp thuế. Quy trình khai báo và làm việc với cơ quan thuế trở nên thuận tiện hơn, nhưng vẫn cần cải thiện thêm về mặt kỹ thuật.</t>
  </si>
  <si>
    <t>Các bậc thuế mới rõ ràng hơn, dễ hiểu và thực hiện đơn giản. Tuy nhiên, quá trình thay đổi cần thời gian để mọi người quen thuộc với hệ thống mới.</t>
  </si>
  <si>
    <t>Nhà nước đã cải thiện giảm trừ gia cảnh, tạo công bằng hơn cho người nộp thuế. Tuy nhiên, việc thực thi chính sách còn phụ thuộc vào cách quản lý và giám sát của cơ quan thuế.</t>
  </si>
  <si>
    <t>Mức thuế mới được thiết kế để công bằng đối với thu nhập hiện tại. Nhìn chung, người nộp thuế như tôi thấy mức này hợp lý.</t>
  </si>
  <si>
    <t>Thuế đóng góp vào việc cải thiện dịch vụ công là quan trọng, nhưng cần đảm bảo rằng số tiền đó được sử dụng hiệu quả. Hiện nay, có sự tin tưởng nhất định về việc này.</t>
  </si>
  <si>
    <t>Nhà nước đã giải thích các thay đổi một cách rõ ràng, giúp người dân hiểu rõ hơn về mục tiêu của cải cách thuế. Tuy nhiên, vẫn cần cải thiện về mặt truyền thông.</t>
  </si>
  <si>
    <t>Dù mức thuế mới hợp lý và công bằng, nhưng tôi cần thêm thời gian để quen với quy trình mới. Hiện tại, tôi sẽ tuân thủ theo các quyền lợi mà chính sách mang lại.</t>
  </si>
  <si>
    <t>Tăng mức giảm trừ gia cảnh và đơn giản hóa biểu thuế có thể làm giảm nguy cơ trốn thuế, nhưng vẫn cần công nghệ hiện đại để phát hiện gian lận.</t>
  </si>
  <si>
    <t>Nước ta đã đầu tư vào hệ thống công nghệ thông tin và nhân lực trong ngành thuế, nên khả năng phát hiện và xử lý trốn thuế tăng lên đáng kể.</t>
  </si>
  <si>
    <t>Mức giảm trừ gia cảnh cao hơn và số bậc thuế ít đi có thể làm thủ tục đơn giản hơn, nhưng vẫn cần thời gian để cơ sở thuế thích nghi.</t>
  </si>
  <si>
    <t>Các bước tính thuế rõ ràng hơn so với trước đây, giảm bớt rắc rối và dễ dàng hơn cho người nộp thuế.</t>
  </si>
  <si>
    <t>Chính sách mới tăng mức giảm trừ gia cảnh và đơn giản hóa biểu thuế có thể tạo niềm tin rằng cơ quan thuế đối xử công bằng với mọi người nộp thuế.</t>
  </si>
  <si>
    <t>Mức thuế mới được thiết kế dựa trên thu nhập, nên tôi thấy nó là công bằng, nhưng vẫn cần thời gian để đánh giá hiệu quả thực tế.</t>
  </si>
  <si>
    <t>Tăng mức giảm trừ gia cảnh có thể tạo niềm tin rằng tiền thuế đóng góp sẽ được sử dụng hiệu quả cho dịch vụ công</t>
  </si>
  <si>
    <t>Chính phủ đã thông báo rõ ràng về các thay đổi và mục đích của chúng, nhưng tôi vẫn cần thời gian để đánh giá sự minh bạch thực tế.</t>
  </si>
  <si>
    <t>Sau khi xem xét các quyền lợi và nghĩa vụ, chính sách mới có thể tạo niềm tin và công bằng hơn so với trước đây, nhưng vẫn cần thời gian để tuân thủ.</t>
  </si>
  <si>
    <t>Các quy định quản lý thuế hiện nay có nhiều cải tiến và công nghệ giám sát mới, tăng khả năng phát hiện hành vi gian lận.</t>
  </si>
  <si>
    <t>Việc sử dụng công nghệ tiên tiến giúp Nhà nước, cơ quan thuế dễ dàng hơn trong việc phát hiện và xử lý các hành vi trốn thuế.</t>
  </si>
  <si>
    <t>Mức Giảm trừ gia cảnh tăng cao, thủ tục khai báo thuế đơn giản hóa, giảm số bậc thuế, tạo cảm giác thuận tiện hơn cho người nộp thuế.</t>
  </si>
  <si>
    <t>Bậc thuế ít hơn và cách tính thuế rõ ràng, dễ hiểu, phù hợp với nhiều đối tượng có thu nhập khác nhau.</t>
  </si>
  <si>
    <t>Nhà nước công bố các quy định mới một cách minh bạch, tạo sự tin tưởng rằng việc thực thi sẽ công bằng và khách quan.</t>
  </si>
  <si>
    <t>Mức thuế mới được điều chỉnh theo thu nhập cá nhân, đảm bảo tính công bằng cho người nộp thuế.</t>
  </si>
  <si>
    <t>Giảm trừ gia cảnh và quy định mới về thuế TNCN hỗ trợ cải thiện dịch vụ công như y tế, giáo dục,...</t>
  </si>
  <si>
    <t>Đã có thông tin minh bạch về mục tiêu và lý do của việc sửa đổi thuế lần này.</t>
  </si>
  <si>
    <t>Quy định mới giảm gánh nặng thuế, tạo cảm giác công bằng và thuận tiện, đồng thời tuân thủ các quy định quản lý mới.</t>
  </si>
  <si>
    <t>Mức giảm trừ gia cảnh tăng, nhưng không chắc công nghệ phát hiện trốn thuế đã cải thiện đáng kể.</t>
  </si>
  <si>
    <t>Công nghệ phát hiện trốn thuế có thể được cải thiện, nhưng chưa biết thực tế như thế nào.</t>
  </si>
  <si>
    <t>Biểu thuế đơn giản hơn, nhưng quy trình khai báo vẫn phức tạp vì phải làm nhiều giấy tờ.</t>
  </si>
  <si>
    <t>Cách tính thuế mới rõ ràng hơn so với trước đây, giảm bớt sự phức tạp.</t>
  </si>
  <si>
    <t>Giảm trừ gia cảnh tăng, nhưng chưa chắc mức thuế mới công bằng cho tất cả mọi người.</t>
  </si>
  <si>
    <t>Mức thuế mới phù hợp với thu nhập hiện tại, cảm thấy công bằng hơn so với trước đây.</t>
  </si>
  <si>
    <t>Giảm trừ gia cảnh tăng, nhưng chưa biết chính xác số tiền thuế đóng có được sử dụng hiệu quả hay không.</t>
  </si>
  <si>
    <t>Các giải thích về lý do sửa đổi thuế chưa rõ ràng và minh bạch như mong đợi.</t>
  </si>
  <si>
    <t>Thu nhập ổn định, giảm trừ gia cảnh tăng, nhưng vẫn có sự phức tạp trong quy trình khai báo.</t>
  </si>
  <si>
    <t>Các quy định quản lý thuế hiện nay được cải thiện, nhưng vẫn cần công nghệ và sự thực thi nghiêm minh để phát hiện hành vi gian lận trốn thuế.</t>
  </si>
  <si>
    <t>Việc áp dụng công nghệ trong quản lý thuế có thể tăng cường khả năng phát hiện và xử lý, tuy nhiên, vẫn cần sự phối hợp hiệu quả giữa các cơ quan.</t>
  </si>
  <si>
    <t>Thủ tục khai báo thuế trở nên đơn giản hơn, tiết kiệm thời gian cho người dân, nhưng cần thêm các giải pháp kỹ thuật để tự động hóa quy trình làm việc với cơ quan thuế.</t>
  </si>
  <si>
    <t>Cách tính thuế và bậc thuế trong phương án mới đơn giản hơn so với trước đây, giúp người dân dễ dàng hiểu và áp dụng.</t>
  </si>
  <si>
    <t>Niềm tin vào sự công bằng của Nhà nước đối với việc thực thi chính sách thuế vẫn cần thời gian để cải thiện, nhưng cải cách giảm trừ gia cảnh có thể làm tăng niềm tin.</t>
  </si>
  <si>
    <t>Mức thuế mới được thiết kế nhằm giảm gánh nặng cho người dân thu nhập thấp và trung bình, tạo cảm giác công bằng hơn so với trước đây.</t>
  </si>
  <si>
    <t>Người dân tin rằng số tiền thuế đóng sẽ được sử dụng hiệu quả để cải thiện dịch vụ công, nhưng cần thêm thông tin về cách sử dụng nguồn thu thuế mới này.</t>
  </si>
  <si>
    <t>Nhà nước đã giải thích rõ ràng các thay đổi trong luật thuế, tuy nhiên, việc minh bạch hoàn toàn vẫn còn phụ thuộc vào thực thi chính sách.</t>
  </si>
  <si>
    <t>Cải cách thuế tạo ra lợi ích cụ thể cho người dân và doanh nghiệp, tăng khả năng tuân thủ. Tuy nhiên, sự phức tạp của một số quy định vẫn cần thời gian để thích ứng.</t>
  </si>
  <si>
    <t>Tăng cường quản lý thuế và công nghệ mới giúp phát hiện trốn thuế dễ dàng hơn.</t>
  </si>
  <si>
    <t>Công nghệ tiên tiến và đội ngũ có năng lực của cơ quan thuế tạo khả năng phát hiện và xử lý trốn thuế hiệu quả.</t>
  </si>
  <si>
    <t>Mức giảm trừ gia cảnh tăng, quy trình khai báo đơn giản hơn giúp thuận tiện cho người dân.</t>
  </si>
  <si>
    <t>Biểu thuế rút gọn, bậc thuế rõ ràng giúp tính toán thuế dễ dàng và minh bạch hơn so với trước đây.</t>
  </si>
  <si>
    <t>Nhà nước tăng giảm trừ gia cảnh và đơn giản hóa quy trình khai báo tạo niềm tin về sự công bằng trong việc thực thi chính sách.</t>
  </si>
  <si>
    <t>Mức thuế mới dựa trên thu nhập cá nhân, hợp lý hơn so với trước đây.</t>
  </si>
  <si>
    <t>Giảm trừ gia cảnh tăng và mức thuế phù hợp tạo niềm tin về việc sử dụng hiệu quả số tiền thuế đóng vào công trình công cộng.</t>
  </si>
  <si>
    <t>Thông tin giải thích rõ ràng, minh bạch giúp người dân hiểu rõ mục tiêu của chính sách mới.</t>
  </si>
  <si>
    <t>Tăng cường quản lý thuế và công nghệ mới, cùng với mức thuế hợp lý tạo sự ủng hộ cho việc tuân thủ chính sách mới.</t>
  </si>
  <si>
    <t>Mức giảm trừ gia cảnh và các quy định quản lý thuế hiện nay được cải thiện, giúp phát hiện hành vi gian lận dễ dàng hơn.</t>
  </si>
  <si>
    <t>Công nghệ hiện đại có thể hỗ trợ trong việc phát hiện trốn thuế hiệu quả hơn so với trước đây, nhờ đó xử lý nghiêm các hành vi sai phạm.</t>
  </si>
  <si>
    <t>Số bậc thuế giảm từ 7 xuống còn 5, cùng với việc đơn giản hóa quy trình khai báo thuế làm cho thủ tục trở nên dễ dàng hơn và nhanh chóng hơn.</t>
  </si>
  <si>
    <t>Cách tính thuế mới đã được đơn giản hóa, giảm số bậc từ 7 xuống còn 5, giúp việc hiểu và thực hiện các quy định trở nên dễ dàng hơn.</t>
  </si>
  <si>
    <t>Những cải cách về mức giảm trừ gia cảnh và sự minh bạch trong quy trình khai báo thuế tạo cảm giác công bằng và khách quan khi thực thi chính sách.</t>
  </si>
  <si>
    <t>Mức thuế mới được thiết kế hợp lý với thu nhập cá nhân hiện nay, thể hiện sự công bằng trong việc phân bổ gánh nặng thuế.</t>
  </si>
  <si>
    <t>Các cải cách về mức giảm trừ gia cảnh và đơn giản hóa quy trình khai báo thuế giúp số tiền đóng góp vào ngân sách có tác dụng tích cực đối với dịch vụ công</t>
  </si>
  <si>
    <t>Thông tin về các cải cách được truyền tải đầy đủ, minh bạch và dễ hiểu, tạo niềm tin rằng mục tiêu của chính sách là rõ ràng.</t>
  </si>
  <si>
    <t>Niềm tin về sự công bằng trong việc phân bổ gánh nặng thuế cùng với việc đơn giản hóa quy trình khai báo thuế làm tăng khả năng ủng hộ và tuân thủ chính sách mới</t>
  </si>
  <si>
    <t>Dựa trên thông tin, mức giảm trừ gia cảnh tăng lên có thể làm giảm cơ hội trốn thuế. Công nghệ hiện đại cũng giúp phát hiện gian lận nhanh chóng hơn.</t>
  </si>
  <si>
    <t>Những cải cách về thuế và giảm trừ gia cảnh cho thấy nhà nước đang cố gắng chống trốn thuế. Công nghệ tiên tiến như AI, Big Data cũng hỗ trợ mạnh mẽ trong việc phát hiện gian lận.</t>
  </si>
  <si>
    <t>Biểu thuế đơn giản hóa từ 7 bậc xuống còn 5 bậc làm cho khai báo thuế dễ dàng hơn. Các quy định quản lý thuế cũng được cải thiện, giúp người dân nắm bắt thông tin nhanh chóng.</t>
  </si>
  <si>
    <t>Các thay đổi về mức giảm trừ gia cảnh và biểu thuế rõ ràng hơn, dễ hiểu so với trước đây. Số bậc thuế giảm từ 7 xuống còn 5 cũng giúp tính toán thuế đơn giản hơn.</t>
  </si>
  <si>
    <t>Việc cải cách thuế thu nhập cá nhân có thể tạo ra sự công bằng hơn, đặc biệt là với mức giảm trừ gia cảnh tăng lên. Tuy nhiên, việc thực thi còn phụ thuộc vào hiệu quả của cơ quan thuế.</t>
  </si>
  <si>
    <t>Mức thuế mới được thiết kế dựa trên thu nhập cá nhân, cho thấy sự công bằng. Tuy nhiên, mức thuế vẫn cao đối với người có thu nhập cao hơn.</t>
  </si>
  <si>
    <t>Thuốc sơn cải cách thuế sẽ tạo ra những lợi ích cho dịch vụ công, nhưng cần thời gian để đánh giá hiệu quả thực tế. Tuy nhiên, mức giảm trừ gia cảnh tăng lên có thể mang lại niềm tin tích cực.</t>
  </si>
  <si>
    <t>Nhà nước đã giải thích rõ ràng về mục đích của cải cách thuế thông qua các kênh truyền thông. Tuy nhiên, vẫn cần thêm thời gian để đánh giá hiệu quả thực tế.</t>
  </si>
  <si>
    <t>Dựa trên lợi ích mà chính sách mang lại như mức giảm trừ gia cảnh tăng lên và biểu thuế đơn giản hơn, tôi ủng hộ và tuân thủ chính sách mới. Tuy nhiên, vẫn cần thời gian để đánh giá hiệu quả thực tế.</t>
  </si>
  <si>
    <t>Đối với thuế TNCN, các quy định quản lý thuế hiện nay có nhiều cải tiến giúp phát hiện gian lận và trốn thuế dễ dàng hơn. Tuy nhiên, do vẫn còn tồn tại một số khuyết điểm nhỏ về quy trình và công nghệ, nên mức độ tin cậy chưa hoàn toàn cao.</t>
  </si>
  <si>
    <t>Nhà nước đã đầu tư nhiều vào công nghệ quản lý thuế, giúp cải thiện đáng kể khả năng phát hiện và xử lý nghiêm các hành vi trốn thuế. Công nghệ như AI và hệ thống thông tin liên thông giữa các cơ quan góp phần đáng kể.</t>
  </si>
  <si>
    <t>Thủ tục khai báo thuế trở nên đơn giản hơn với việc rút gọn biểu thuế, giảm số bậc thuế. Điều này làm tăng thuận tiện cho người nộp thuế.</t>
  </si>
  <si>
    <t>Cách tính thuế mới đơn giản và dễ hiểu hơn so với trước đây, giúp người dân dễ dàng nắm bắt và tuân thủ.</t>
  </si>
  <si>
    <t>Nhà nước đã thực hiện các quy định một cách khách quan và công bằng cho mọi đối tượng nộp thuế. Tuy nhiên, do vẫn còn nhiều yếu tố phức tạp trong quản lý thuế nên mức độ tin cậy chưa cao.</t>
  </si>
  <si>
    <t>Mức thuế mới được tính dựa trên thu nhập, người có thu nhập thấp như tôi sẽ đóng ít hơn so với trước đây. Điều này tạo cảm giác công bằng và phù hợp với thực tế thu nhập hiện tại.</t>
  </si>
  <si>
    <t>Thuế tôi đóng được sử dụng để cải thiện các dịch vụ công, tuy nhiên hiệu quả cụ thể còn phụ thuộc vào quản lý và sử dụng nguồn ngân sách của Nhà nước.</t>
  </si>
  <si>
    <t>Nhà nước đã giải thích rõ ràng về mục tiêu cải cách thuế, nhưng mức độ thuyết phục vẫn còn thấp đối với một số người do sự phức tạp trong quy định mới.</t>
  </si>
  <si>
    <t>Sau khi xem xét các quyền lợi và nghĩa vụ, tôi ủng hộ chính sách mới. Thuế giảm đi giúp cải thiện thu nhập thực tế của tôi, đồng thời thủ tục đơn giản hơn cũng tạo thuận tiện.</t>
  </si>
  <si>
    <t>Quy định quản lý thuế hiện nay có nhiều biện pháp phát hiện trốn thuế như công nghệ thông tin, cơ sở dữ liệu và các quy định xử lý nghiêm minh. Điều này làm giảm khả năng trốn thuế.</t>
  </si>
  <si>
    <t>Công nghệ hiện đại và hệ thống quản lý thuế tiên tiến của nhà nước giúp phát hiện nhanh chóng và xử lý nghiêm các hành vi trốn thuế.</t>
  </si>
  <si>
    <t>Mức giảm trừ gia cảnh tăng, quy trình khai báo đơn giản hơn và cơ quan thuế hỗ trợ qua ứng dụng điện tử. Điều này làm cho thủ tục trở nên tiện lợi hơn.</t>
  </si>
  <si>
    <t>Biểu thuế được đơn giản hóa với ít bậc hơn, giúp việc tính toán thu nhập chịu thuế dễ dàng và rõ ràng hơn so với trước đây.</t>
  </si>
  <si>
    <t>Nhà nước đã tăng mức giảm trừ gia cảnh và điều chỉnh biểu thuế, làm giảm gánh nặng cho người dân. Điều này thể hiện sự công bằng trong việc thực thi chính sách.</t>
  </si>
  <si>
    <t>Mức thuế mới được thiết kế dựa trên thu nhập cá nhân nên tôi thấy là công bằng. Người có thu nhập như tôi đóng mức thuế này là hợp lý.</t>
  </si>
  <si>
    <t>Các cải cách thuế góp phần nâng cao chất lượng dịch vụ công, đặc biệt là y tế và giao thông, chứng tỏ số tiền thuế tôi đóng được sử dụng hiệu quả.</t>
  </si>
  <si>
    <t>Nhà nước đã giải thích rõ ràng về mức giảm trừ gia cảnh mới và các bậc thuế. Thông tin này giúp tôi hiểu rõ hơn về lý do và mục tiêu của việc cải cách thuế.</t>
  </si>
  <si>
    <t>Sau khi xem xét ưu điểm về tiện lợi, công bằng và hiệu quả sử dụng ngân sách, tôi ủng hộ chính sách mới. Tuy nhiên, tôi vẫn có một chút lo ngại về khả năng thực thi.</t>
  </si>
  <si>
    <t>Tăng cường giảm trừ gia cảnh và đơn giản hóa biểu thuế có thể làm giảm rủi ro trốn thuế, tuy nhiên vẫn cần sự phát triển công nghệ để phát hiện hành vi gian lận.</t>
  </si>
  <si>
    <t>Công nghệ ngày càng phát triển, cơ quan thuế cũng có nhiều nguồn lực hơn để giám sát và xử lý trốn thuế hiệu quả.</t>
  </si>
  <si>
    <t>Biểu thuế được rút gọn, giảm rắc rối trong việc khai báo, nhưng vẫn cần thời gian làm quen với quy trình mới.</t>
  </si>
  <si>
    <t>Cách tính thuế và bậc thuế mới đơn giản hơn so với trước đây, dễ hiểu và thực hiện thuận tiện hơn.</t>
  </si>
  <si>
    <t>Những thay đổi trong giảm trừ gia cảnh và biểu thuế có thể tăng niềm tin vào sự công bằng của chính sách, nhưng vẫn cần thêm thời gian để đánh giá.</t>
  </si>
  <si>
    <t>Mức thuế mới được thiết kế dựa trên thu nhập, nên cảm thấy hợp lý với mức sống hiện tại.</t>
  </si>
  <si>
    <t>Niềm tin vào việc sử dụng hiệu quả số tiền thuế đóng phụ thuộc vào chính sách công cụ thể và minh bạch của chính phủ.</t>
  </si>
  <si>
    <t>Các thông điệp về mục tiêu cải cách thuế đã được truyền tải rõ ràng, nhưng cần thêm thời gian để đánh giá hiệu quả thực tế.</t>
  </si>
  <si>
    <t>Tác động tài chính tích cực từ giảm trừ gia cảnh và mức thuế mới làm tăng khả năng tuân thủ, tuy nhiên vẫn có sự hoài nghi về việc áp dụng thực tế của chính sách.</t>
  </si>
  <si>
    <t>Quy định quản lý thuế hiện nay chưa rõ ràng và công nghệ phát hiện trốn thuế còn hạn chế, do đó khả năng phát hiện gian lận vẫn còn thấp.</t>
  </si>
  <si>
    <t>Việc ứng dụng công nghệ để phát hiện trốn thuế đang được cải thiện nhưng cần thời gian để nâng cao hiệu quả và độ chính xác.</t>
  </si>
  <si>
    <t>Mức giảm trừ gia cảnh tăng, thủ tục khai báo đơn giản hơn nhưng vẫn có thể phức tạp đối với người không quen thuộc.</t>
  </si>
  <si>
    <t>Biểu thuế được đơn giản hóa, các bậc thuế rõ ràng hơn nên dễ hiểu và thực hiện nhanh chóng.</t>
  </si>
  <si>
    <t>Nhìn chung, quy định mới tạo ra một môi trường công bằng nhưng vẫn còn nhiều điều kiện để kiểm chứng sự khách quan của nhà nước trong việc thực thi chính sách.</t>
  </si>
  <si>
    <t>Mức thuế mới được thiết kế hợp lý cho thu nhập trung bình, tạo cảm giác công bằng về gánh nặng thuế</t>
  </si>
  <si>
    <t>Hiệu quả sử dụng số tiền thuế đóng không rõ ràng trong ngắn hạn nhưng có thể tốt hơn so với trước đây.</t>
  </si>
  <si>
    <t>Thông tin về lý do và mục tiêu của chính sách mới chưa đủ minh bạch, gây ra sự nghi ngờ từ người dân</t>
  </si>
  <si>
    <t>Mặc dù có nhiều cải tiến nhưng vẫn còn nhiều yếu tố không chắc chắn và rủi ro trong việc tuân thủ mới chính sách.</t>
  </si>
  <si>
    <t>Nếu quy định quản lý thuế hiện nay được tăng cường, việc phát hiện gian lận và trốn thuế sẽ trở nên khó khăn hơn. Tuy nhiên, với việc đơn giản hóa biểu thuế, người dân có thể dễ dàng tuân thủ hơn, giảm nguy cơ trốn thuế.</t>
  </si>
  <si>
    <t>Nhu cầu về công nghệ hiện đại để phát hiện và xử lý trốn thuế là cần thiết. Tuy nhiên, với cải cách thuế, việc quản lý thuế có thể trở nên dễ dàng hơn, giảm nguy cơ gian lận.</t>
  </si>
  <si>
    <t>Đơn giản hóa biểu thuế và tăng mức giảm trừ gia cảnh tạo điều kiện thuận lợi cho người nộp thuế. Tuy nhiên, quy trình khai báo thuế vẫn có thể phức tạp đối với một số người.</t>
  </si>
  <si>
    <t>Cách tính thuế đơn giản hóa và giảm số bậc thuế giúp người dân dễ hiểu hơn. Điều này làm tăng thuận tiện trong việc tuân thủ chính sách mới.</t>
  </si>
  <si>
    <t>Nhà nước đã cải cách thuế một cách công bằng, tạo điều kiện cho người thu nhập thấp hơn được giảm trừ nhiều hơn. Tuy nhiên, mức độ tin tưởng còn phụ thuộc vào thực tế việc thực thi.</t>
  </si>
  <si>
    <t>Thuế mới có thể coi là công bằng đối với tôi, nhưng cần xem xét tổng thể để đánh giá sự công bằng. Số bậc thuế giảm giúp minh bạch hơn về mức đóng góp.</t>
  </si>
  <si>
    <t>Hiệu quả sử dụng nguồn thu từ thuế chưa rõ ràng và phụ thuộc vào quản lý tài chính của nhà nước. Tuy nhiên, cải cách thuế tạo điều kiện thuận lợi cho việc sử dụng hiệu quả hơn nguồn lực.</t>
  </si>
  <si>
    <t>Nhà nước đã giải thích công bằng về mục tiêu và lý do của cải cách thuế, nhưng cần tăng cường minh bạch thông tin để người dân có thể hiểu rõ hơn.</t>
  </si>
  <si>
    <t>Cải cách thuế tạo điều kiện thuận lợi cho việc tuân thủ, giảm gian lận và trốn thuế. Tuy nhiên, mức độ ủng hộ còn phụ thuộc vào sự công bằng trong thực thi chính sách.</t>
  </si>
  <si>
    <t>Việc tăng giảm trừ gia cảnh và đơn giản hóa biểu thuế có thể làm giảm khả năng trốn thuế, nhưng thực tế hiệu quả của công nghệ và quản lý vẫn còn nhiều thách thức.</t>
  </si>
  <si>
    <t>Công nghệ hiện đại giúp phát hiện hành vi trốn thuế dễ dàng hơn. Tuy nhiên, việc quản lý và xử lý cần sự nỗ lực của Nhà nước.</t>
  </si>
  <si>
    <t>Số bậc thuế giảm đi từ 7 xuống còn 5 có thể làm thủ tục đơn giản hơn. Tuy nhiên, quy trình khai báo thuế vẫn khá phức tạp.</t>
  </si>
  <si>
    <t>Cách tính thuế mới đơn giản nhưng việc áp dụng các bậc thuế đòi hỏi sự hiểu biết cao từ người nộp thuế.</t>
  </si>
  <si>
    <t>Mức giảm trừ gia cảnh tăng lên và số bậc thuế giảm có thể làm cho tôi cảm thấy công bằng hơn. Tuy nhiên, vẫn còn nhiều yếu tố khác ảnh hưởng đến niềm tin.</t>
  </si>
  <si>
    <t>Ngưỡng chịu thuế mới được điều chỉnh theo thu nhập nên tôi thấy mức thuế đóng là hợp lý.</t>
  </si>
  <si>
    <t>Tăng giảm trừ gia cảnh và đơn giản hóa biểu thuế có thể cải thiện hiệu quả sử dụng số tiền nộp thuế. Tuy nhiên, việc tăng thu cũng cần được chứng minh về mặt thực tế.</t>
  </si>
  <si>
    <t>Nhà nước đã giải thích rõ ràng về mục tiêu của chính sách mới nhưng thông tin về quy định cụ thể vẫn có thể chưa đầy đủ.</t>
  </si>
  <si>
    <t>Sau khi xem xét, tôi thấy quyền lợi và nghĩa vụ hợp lý. Tuy nhiên, sự phức tạp của quy trình khai báo thuế làm giảm độ ủng hộ một chút.</t>
  </si>
  <si>
    <t>Cải cách thuế có nhiều quy định quản lý và công nghệ phát triển, nên khả năng phát hiện trốn thuế sẽ tăng.</t>
  </si>
  <si>
    <t>Nhà nước đã đầu tư vào công nghệ để phát hiện trốn thuế và xử lý nghiêm minh hơn.</t>
  </si>
  <si>
    <t>Mức giảm trừ gia cảnh tăng, thủ tục khai báo đơn giản hóa nên thuận tiện hơn cho người nộp thuế.</t>
  </si>
  <si>
    <t>Biểu thuế được đơn giản hóa và rõ ràng hơn so với trước đây.</t>
  </si>
  <si>
    <t>Nhà nước đã cải cách thuế công bằng hơn, giảm gánh nặng cho người thu nhập thấp.</t>
  </si>
  <si>
    <t>Mức thuế mới phù hợp với thu nhập hiện tại của tôi và được cải thiện so với trước đây.</t>
  </si>
  <si>
    <t>Thuế đóng góp vào dịch vụ công, nhưng cần thời gian để thấy hiệu quả rõ ràng.</t>
  </si>
  <si>
    <t>Nhà nước đã giải thích cải cách thuế khá rõ ràng và minh bạch thông qua các kênh truyền thông.</t>
  </si>
  <si>
    <t>Tăng mức giảm trừ gia cảnh, đơn giản hóa thủ tục làm tăng khả năng tuân thủ, nhưng vẫn có sự nghi ngờ về hiệu quả thực tế.</t>
  </si>
  <si>
    <t>Các quy định quản lý thuế hiện nay có nhiều cải tiến nhưng vẫn chưa đủ để phát hiện tất cả hành vi gian lận. Công nghệ phát triển giúp tăng cường khả năng giám sát nhưng không hoàn toàn loại bỏ nguy cơ trốn thuế.</t>
  </si>
  <si>
    <t>Công nghệ và hệ thống quản lý thuế cải tiến đã được áp dụng, nhưng vẫn cần thời gian để chứng minh hiệu quả. Nhà nước có nhiều công cụ để phát hiện và xử lý trốn thuế.</t>
  </si>
  <si>
    <t>Thủ tục khai báo thuế và quy trình làm việc với cơ quan thuế đã đơn giản hơn, nhưng vẫn cần thời gian để mọi người quen thuộc. Cải cách biểu thuế cũng giúp giảm tải cho người nộp thuế.</t>
  </si>
  <si>
    <t>Cách tính thuế và các bậc thuế mới đơn giản hơn so với trước đây, giúp người dân dễ hiểu và thực hiện đúng quy định.</t>
  </si>
  <si>
    <t>Niềm tin vào khách quan và công bằng của Nhà nước trong việc thực thi chính sách mới vẫn còn thấp do nhiều người nghi ngờ về khả năng giám sát trốn thuế.</t>
  </si>
  <si>
    <t>Mức thuế mới có thể được coi là công bằng đối với thu nhập hiện tại, nhưng vẫn cần thời gian để đánh giá hiệu quả thực tế. Có sự cải tiến về giảm trừ gia cảnh.</t>
  </si>
  <si>
    <t>Niềm tin vào việc sử dụng số tiền thuế đóng vào các dịch vụ công như y tế và đường xá vẫn còn thấp, cần thời gian để nhìn nhận kết quả thực tế.</t>
  </si>
  <si>
    <t>Nhà nước đã giải thích về mục tiêu của việc sửa đổi thuế, nhưng sự minh bạch chưa cao. Cần thêm thông tin cụ thể hơn.</t>
  </si>
  <si>
    <t>Sau khi xem xét các quyền lợi và nghĩa vụ, tôi thấy lợi ích tài chính từ mức giảm trừ gia cảnh và cải cách biểu thuế có thể làm tăng sự ủng hộ. Tuy nhiên, vẫn cần thời gian để tin tưởng vào hiệu quả thực tế của chính sách.</t>
  </si>
  <si>
    <t>Mức giảm trừ gia cảnh tăng đáng kể, nhưng không có thông tin về công nghệ phát hiện trốn thuế cụ thể.</t>
  </si>
  <si>
    <t>Công nghệ hiện đại có thể giúp phát hiện trốn thuế, nhưng chưa rõ khả năng thực tế của cơ quan thuế.</t>
  </si>
  <si>
    <t>Biểu thuế đơn giản hơn, giảm bớt thủ tục khai báo, dễ dàng tiếp cận thông tin qua các kênh truyền thông.</t>
  </si>
  <si>
    <t>Cách tính thuế và bậc thuế mới rõ ràng hơn so với trước đây, phù hợp với mức thu nhập trung bình của tôi.</t>
  </si>
  <si>
    <t>Giảm trừ gia cảnh tăng mạnh, nhưng chưa biết cách thực thi chính sách có công bằng hay không.</t>
  </si>
  <si>
    <t>Mức thuế mới phù hợp với thu nhập của tôi, nhưng cần thời gian để đánh giá tính công bằng.</t>
  </si>
  <si>
    <t>Hi vọng số tiền thuế đóng sẽ được sử dụng hiệu quả cho dịch vụ công, nhưng chưa rõ thực hiện cụ thể.</t>
  </si>
  <si>
    <t>Công bố thông tin về sửa đổi thuế rõ ràng hơn so với trước đây, nhưng cần thêm thời gian để đánh giá.</t>
  </si>
  <si>
    <t>Thu nhập của tôi giảm tax burden đáng kể, việc tuân thủ mới chỉ là lựa chọn tự nguyện.</t>
  </si>
  <si>
    <t>Dựa trên các cải cách thuế, mức giảm trừ gia cảnh tăng và quy trình khai báo đơn giản hơn. Tuy nhiên, vẫn còn lo ngại về khả năng phát hiện trốn thuế.</t>
  </si>
  <si>
    <t>Công nghệ hiện đại có thể hỗ trợ việc phát hiện trốn thuế hiệu quả hơn nhưng cần thời gian để triển khai hoàn thiện.</t>
  </si>
  <si>
    <t>Quy trình khai báo và làm việc với cơ quan thuế đơn giản hơn, đặc biệt là về mặt giảm trừ gia cảnh. Tuy nhiên, vẫn còn một số thủ tục cần cải tiến.</t>
  </si>
  <si>
    <t>Cách tính thuế đơn giản hơn với ít bậc thuế, giúp người nộp thuế dễ hiểu và thực hiện đúng quy định.</t>
  </si>
  <si>
    <t>Nhà nước đã tăng mức giảm trừ gia cảnh, tạo cảm giác công bằng cho người có thu nhập thấp. Tuy nhiên, vẫn còn lo ngại về cách thực thi chính sách.</t>
  </si>
  <si>
    <t>Mức thuế mới phù hợp với thu nhập hiện tại, tạo cảm giác công bằng nhưng chưa hoàn toàn thuyết phục.</t>
  </si>
  <si>
    <t>Công khai về cách sử dụng số tiền thuế góp phần vào dịch vụ công. Tuy nhiên, hiệu quả thực tế vẫn cần thời gian để đánh giá.</t>
  </si>
  <si>
    <t>Nhà nước đã giải thích rõ ràng về các thay đổi nhưng vẫn còn lo ngại về sự minh bạch trong quá trình thực thi chính sách.</t>
  </si>
  <si>
    <t>Các ưu đãi thuế và giảm trừ gia cảnh tạo động lực để tuân thủ. Tuy nhiên, cần thời gian để đánh giá hiệu quả và sự minh bạch của chính sách.</t>
  </si>
  <si>
    <t>Các quy định quản lý thuế hiện tại có nhiều cải tiến, tăng cường khả năng phát hiện trốn thuế. Mức giảm trừ gia cảnh cao hơn cũng làm giảm gian lận.</t>
  </si>
  <si>
    <t>Công nghệ hiện đại được áp dụng giúp phát hiện nhanh chóng và xử lý nghiêm các hành vi trốn thuế. Cơ quan thuế có nhiều nguồn lực hơn.</t>
  </si>
  <si>
    <t>Biểu thuế đơn giản hóa từ 7 bậc xuống còn 5 bậc, quy trình khai báo thuế trở nên dễ dàng và nhanh chóng hơn.</t>
  </si>
  <si>
    <t>Cách tính thuế mới rõ ràng hơn với số bậc thuế giảm đi, giúp người dân hiểu và thực hiện dễ dàng hơn.</t>
  </si>
  <si>
    <t>Mức giảm trừ gia cảnh cao hơn làm cho chính sách trở nên công bằng hơn. Cơ quan thuế có nhiều nguồn lực để kiểm soát gian lận.</t>
  </si>
  <si>
    <t>Thuế suất và ngưỡng chịu thuế được điều chỉnh phù hợp với thu nhập, tạo cảm giác công bằng cho người nộp thuế.</t>
  </si>
  <si>
    <t>Thuốc cao hơn và giảm trừ gia cảnh lớn hơn làm tăng niềm tin vào việc sử dụng hiệu quả số tiền thuế để cải thiện dịch vụ công.</t>
  </si>
  <si>
    <t>Các thông báo chính sách rõ ràng, minh bạch về mục tiêu của các thay đổi. Tuy nhiên, việc thực thi vẫn cần thêm thời gian để thuyết phục mọi người.</t>
  </si>
  <si>
    <t>Thuốc cao hơn và giảm trừ gia cảnh lớn hơn làm tăng sự ủng hộ cho chính sách mới. Cơ quan thuế có nhiều nguồn lực để giám sát việc tuân thủ.</t>
  </si>
  <si>
    <t>Tăng mức giảm trừ gia cảnh và đơn giản hóa quy trình khai báo thuế có thể làm giảm cơ hội trốn thuế, nhưng vẫn cần công nghệ hiện đại để phát hiện gian lận.</t>
  </si>
  <si>
    <t>Việc áp dụng công nghệ tiên tiến trong quản lý thuế giúp tăng khả năng phát hiện và xử lý nghiêm các hành vi trốn thuế.</t>
  </si>
  <si>
    <t>Mức giảm trừ gia cảnh cao hơn và đơn giản hóa biểu thuế có thể làm thủ tục khai báo thuế trở nên dễ dàng hơn.</t>
  </si>
  <si>
    <t>Số bậc thuế giảm đi từ 7 xuống còn 5, cùng với việc đơn giản hóa quy trình khai báo và làm việc với cơ quan thuế có thể giúp người dân hiểu rõ hơn về cách tính thuế.</t>
  </si>
  <si>
    <t>Nhà nước đã tăng mức giảm trừ gia cảnh và đơn giản hóa biểu thuế, tạo cảm giác công bằng trong việc đánh giá thu nhập của người nộp thuế.</t>
  </si>
  <si>
    <t>Mức thuế mới phù hợp với thu nhập hiện tại nên tôi thấy nó là công bằng. Tuy nhiên, vẫn có sự lo ngại về cách sử dụng hiệu quả số tiền thuế này.</t>
  </si>
  <si>
    <t>Tăng mức giảm trừ gia cảnh và đơn giản hóa biểu thuế tạo cảm giác tin tưởng vào việc sử dụng hiệu quả số tiền thuế được đóng</t>
  </si>
  <si>
    <t>Nhà nước đã giải thích rõ ràng về các thay đổi, nhưng vẫn cần thêm thông tin về mục tiêu cụ thể của chính sách mới để tôi cảm thấy hoàn toàn thuyết phục.</t>
  </si>
  <si>
    <t>Bằng việc tăng mức giảm trừ gia cảnh và đơn giản hóa quy trình khai báo thuế, tôi sẵn sàng tuân thủ chính sách mới. Tuy nhiên, vẫn có chút lo ngại về cách sử dụng hiệu quả số tiền thuế.</t>
  </si>
  <si>
    <t>Cải cách thuế đã tăng mức giảm trừ gia cảnh, nhưng không thấy cải thiện rõ rệt về khả năng phát hiện trốn thuế. Công nghệ quản lý chưa được đề cập cụ thể.</t>
  </si>
  <si>
    <t>Nhà nước và cơ quan thuế có nhiều công cụ để phát hiện trốn thuế, nhưng không chắc chắn mức độ hiệu quả sau khi cải cách. Công nghệ quản lý cần được nâng cấp hơn nữa.</t>
  </si>
  <si>
    <t>Các quy định về thuế đã đơn giản hóa, giảm bớt nhiều điều khoản phức tạp. Thủ tục khai báo và làm việc với cơ quan thuế dễ dàng hơn so với trước đây.</t>
  </si>
  <si>
    <t>Biểu thuế đã được đơn giản hóa từ 7 bậc xuống còn 5 bậc, giúp người dân dễ hiểu và thực hiện. Cách tính thuế cũng trở nên rõ ràng hơn.</t>
  </si>
  <si>
    <t>Nhà nước đã cải thiện giảm trừ gia cảnh, nhưng không đảm bảo công bằng đối với tất cả các nhóm thu nhập. Việc quản lý thuế chưa hoàn toàn minh bạch.</t>
  </si>
  <si>
    <t>Mức thuế mới hợp lý cho thu nhập trung bình của tôi. Tuy nhiên, cần thêm thông tin về cách sử dụng số tiền thuế này để tăng Niềm tin.</t>
  </si>
  <si>
    <t>Tôi thấy việc cải cách thuế sẽ giúp cải thiện dịch vụ công, nhưng cần thêm minh bạch trong việc sử dụng nguồn thu thuế.</t>
  </si>
  <si>
    <t>Nhà nước đã giải thích rõ về mục tiêu của cải cách, nhưng chưa đủ minh bạch về quy trình thực thi và hiệu quả. Cần có thêm thông tin để tăng Niềm tin.</t>
  </si>
  <si>
    <t>Sau khi xem xét các quyền lợi mới, tôi thấy mức thuế hợp lý. Tuy nhiên, cần thêm minh bạch về việc sử dụng nguồn thu để tăng quyết định ủng hộ.</t>
  </si>
  <si>
    <t>Theo cải cách thuế, mức giảm trừ gia cảnh được tăng lên đáng kể, tạo lợi ích tài chính rõ rệt cho người nộp thuế. Tuy nhiên, khả năng phát hiện và xử lý trốn thuế phụ thuộc nhiều vào công nghệ và nguồn lực của cơ quan thuế.</t>
  </si>
  <si>
    <t>Công nghệ ngày càng phát triển mạnh mẽ, việc sử dụng công nghệ để phát hiện hành vi gian lận hoặc trốn thuế là khả thi. Tuy nhiên, hiệu quả phụ thuộc vào sự đầu tư và ứng dụng của cơ quan thuế.</t>
  </si>
  <si>
    <t>Biểu thuế được đơn giản hóa từ 7 bậc xuống còn 5 bậc, giảm bớt rườm rà trong quy trình khai báo thuế. Điều này giúp người nộp thuế dễ dàng thực hiện hơn so với trước đây.</t>
  </si>
  <si>
    <t>Cách tính thuế và các bậc thuế mới đơn giản hóa, tạo thuận lợi cho việc hiểu và áp dụng. Tuy nhiên, mức thuế cụ thể còn phụ thuộc vào thu nhập cá nhân của từng người.</t>
  </si>
  <si>
    <t>Mức giảm trừ gia cảnh tăng lên đáng kể, tạo cơ hội bình đẳng hơn cho người nộp thuế. Việc cải cách này được thực hiện một cách minh bạch và công bằng đối với tất cả các đối tượng.</t>
  </si>
  <si>
    <t>Mức thuế mới theo phương án cải cách có sự tính toán kỹ lưỡng dựa trên thu nhập cá nhân. Tuy nhiên, mức độ công bằng phụ thuộc vào nhận thức của mỗi người về việc giảm trừ và biểu thuế.</t>
  </si>
  <si>
    <t>Người dân tin rằng số tiền thuế đóng sẽ được sử dụng hiệu quả để cải thiện các dịch vụ công. Tuy nhiên, mức độ cụ thể phụ thuộc vào các chính sách phân bổ ngân sách và quản lý kinh phí của nhà nước.</t>
  </si>
  <si>
    <t>Cải cách thuế được giải thích minh bạch về mục tiêu và nguyên tắc áp dụng. Tuy nhiên, mức độ thuyết phục phụ thuộc vào sự hiểu biết và nhận thức cá nhân đối với các thông điệp truyền tải.</t>
  </si>
  <si>
    <t>Cải cách thuế mang lại lợi ích tài chính rõ ràng cho người nộp thuế. Việc tuân thủ và ủng hộ chính sách mới phụ thuộc vào mức độ tin tưởng và nhận thức về tính công bằng của cải cách này.</t>
  </si>
  <si>
    <t>Các quy định quản lý thuế hiện nay được cải thiện đáng kể, tăng mức giảm trừ gia cảnh và đơn giản hóa biểu thuế. Điều này làm tăng khả năng phát hiện trốn thuế.</t>
  </si>
  <si>
    <t>Công nghệ hiện đại đã phát triển mạnh mẽ, giúp cơ quan thuế dễ dàng phát hiện các hành vi gian lận hoặc trốn thuế.</t>
  </si>
  <si>
    <t>Mức giảm trừ gia cảnh tăng và biểu thuế đơn giản hơn làm cho quy trình khai báo thuế trở nên thuận tiện hơn.</t>
  </si>
  <si>
    <t>Biểu thuế được rút gọn, các bậc thuế suất rõ ràng hơn giúp cách tính thuế dễ hiểu và thực hiện dễ dàng hơn.</t>
  </si>
  <si>
    <t>Đối với tôi, Nhà nước đã cải thiện quy định về giảm trừ gia cảnh và đơn giản hóa biểu thuế, điều này thể hiện sự công bằng trong việc áp dụng chính sách cho mọi người.</t>
  </si>
  <si>
    <t>Mức thuế mới được thiết kế để phù hợp với thu nhập cá nhân trung bình như tôi nên tôi thấy nó là công bằng.</t>
  </si>
  <si>
    <t>Nhà nước đã cung cấp nhiều thông tin về mục tiêu của việc sửa đổi thuế và cách tính thuế mới.</t>
  </si>
  <si>
    <t>Các cải tiến trong chính sách thuế làm giảm gánh nặng tài chính, tăng niềm tin vào hệ thống và khả năng tuân thủ cao hơn.</t>
  </si>
  <si>
    <t>Chính phủ đã tăng mức giảm trừ gia cảnh, tạo lợi ích cho người dân. Tuy nhiên, do tôi chưa có nhiều trải nghiệm về việc phát hiện trốn thuế nên vẫn còn nghi ngờ.</t>
  </si>
  <si>
    <t>Công nghệ ngày càng tiên tiến, cùng với sự cải cách quản lý thuế, khả năng phát hiện và xử lý trốn thuế cũng tăng lên. Tuy nhiên, tôi mong muốn công tác giám sát và xử phạt được thực thi một cách công bằng.</t>
  </si>
  <si>
    <t>Mức giảm trừ gia cảnh mới giúp giảm gánh nặng cho người dân, thủ tục thuế đơn giản hơn so với trước đây. Tuy nhiên, tôi vẫn chưa quen với quy trình mới.</t>
  </si>
  <si>
    <t>Các bậc thuế mới rõ ràng và dễ hiểu hơn so với trước đây, giúp người dân tính toán dễ dàng hơn.</t>
  </si>
  <si>
    <t>Nhà nước đã tăng mức giảm trừ gia cảnh, tạo cơ hội công bằng cho mọi người. Tuy nhiên, tôi vẫn lo ngại về sự công bằng trong việc thực thi chính sách thuế mới.</t>
  </si>
  <si>
    <t>Mức thuế mới phù hợp với thu nhập của tôi, tôi cảm thấy công bằng khi đóng góp vào ngân sách nhà nước.</t>
  </si>
  <si>
    <t>Tôi tin rằng số tiền thuế đóng sẽ được sử dụng hiệu quả để cải thiện các dịch vụ công. Tuy nhiên, cần có thêm thông tin về cách sử dụng nguồn thu thuế mới này.</t>
  </si>
  <si>
    <t>Chính phủ đã giải thích rõ ràng về mục tiêu của việc sửa đổi thuế mới, tuy nhiên, tôi mong muốn có thêm thông tin về các biện pháp cụ thể để đảm bảo sự minh bạch.</t>
  </si>
  <si>
    <t>Tôi ủng hộ chính sách mới vì đã được giảm gánh nặng thuế và thủ tục đơn giản hơn. Tuy nhiên, quyết định tuân thủ hoàn toàn phụ thuộc vào việc thực thi chính sách một cách công bằng và minh bạch.</t>
  </si>
  <si>
    <t>Việc tăng mức giảm trừ gia cảnh có thể làm tăng gánh nặng thuế, do đó người nộp thuế có động lực trốn thuế. Tuy nhiên, với các quy định quản lý thuế hiện nay và công nghệ tiên tiến, khả năng phát hiện hành vi trốn thuế là cao.</t>
  </si>
  <si>
    <t>Công nghệ tiên tiến như AI và Big Data có thể giúp phát hiện hành vi trốn thuế một cách hiệu quả. Nhà nước đã đầu tư vào công nghệ này, tăng cường khả năng giám sát và xử lý.</t>
  </si>
  <si>
    <t>Mức giảm trừ gia cảnh và biểu thuế đơn giản hơn có thể tạo ra cảm giác thuận tiện và nhanh chóng cho người nộp thuế. Tuy nhiên, việc thực hiện các thủ tục khai báo vẫn cần thời gian.</t>
  </si>
  <si>
    <t>Biểu thuế được đơn giản hóa từ 7 bậc xuống còn 5 bậc, giảm độ phức tạp và dễ dàng hiểu hơn. Điều này giúp người nộp thuế dễ dàng áp dụng.</t>
  </si>
  <si>
    <t>Nhà nước đã tăng mức giảm trừ gia cảnh, làm giảm gánh nặng cho người thu nhập thấp. Đây là một dấu hiệu của sự công bằng và khách quan trong việc thực thi chính sách thuế mới.</t>
  </si>
  <si>
    <t>Mức thuế mới được thiết kế để công bằng với mức thu nhập hiện tại, tạo ra cảm giác rằng người nộp thuế đang đóng đúng mức tương xứng với thu nhập của họ.</t>
  </si>
  <si>
    <t>Tăng mức giảm trừ gia cảnh và đơn giản hóa biểu thuế có thể làm tăng niềm tin vào việc sử dụng hiệu quả số tiền thuế được thu. Tuy nhiên, cần thời gian để đánh giá thực tế.</t>
  </si>
  <si>
    <t>Tăng mức giảm trừ gia cảnh và đơn giản hóa biểu thuế tạo ra cảm giác rằng Nhà nước đã giải thích rõ ràng về mục tiêu của chính sách mới. Tuy nhiên, vẫn cần thêm thông tin để hoàn toàn thuyết phục.</t>
  </si>
  <si>
    <t>Việc tăng mức giảm trừ gia cảnh và đơn giản hóa biểu thuế tạo ra cảm giác thuận lợi hơn cho người nộp thuế. Tuy nhiên, vẫn có những lo ngại về khả năng thực thi chính sách mới.</t>
  </si>
  <si>
    <t>Hiện nay, với các quy định quản lý thuế được cải cách mạnh mẽ và công nghệ hiện đại, khả năng phát hiện hành vi gian lận hoặc trốn thuế đã tăng lên. Điều này tạo niềm tin cho người dân về sự minh bạch trong việc giám sát và xử lý hành vi vi phạm.</t>
  </si>
  <si>
    <t>Công nghệ ngày càng phát triển, cùng với sự nâng cao năng lực của các cơ quan thuế, khả năng phát hiện trốn thuế đã trở nên hiệu quả hơn. Đây là minh chứng rõ ràng về sự nghiêm túc trong việc chống trốn thuế.</t>
  </si>
  <si>
    <t>Các quy định quản lý thuế được đơn giản hóa, tạo điều kiện cho người dân khai báo và làm việc với cơ quan thuế dễ dàng hơn. Điều này giúp giảm bớt gánh nặng hành chính và tăng sự thuận tiện.</t>
  </si>
  <si>
    <t>Biểu thuế được đơn giản hóa từ 7 bậc xuống còn 5 bậc, làm cho việc tính thuế trở nên dễ hiểu hơn. Điều này giúp người dân có thể tự tính toán thuế của mình một cách chính xác và nhanh chóng.</t>
  </si>
  <si>
    <t>Mức giảm trừ gia cảnh được tăng lên đáng kể, tạo điều kiện cho nhiều cá nhân không còn phải đóng thuế hoặc đóng mức thuế thấp hơn. Điều này thể hiện sự công bằng trong việc đối xử với mọi người nộp thuế.</t>
  </si>
  <si>
    <t>Mức thuế mới được thiết kế dựa trên thu nhập, tạo ra một hệ thống thuế công bằng cho các mức thu nhập khác nhau. Điều này thể hiện sự công bằng trong việc phân chia gánh nặng thuế giữa người dân.</t>
  </si>
  <si>
    <t>Số tiền thuế tôi đóng sẽ được sử dụng hiệu quả để cải thiện dịch vụ công, như y tế và đường xá. Điều này tạo niềm tin rằng việc đóng thuế là cần thiết và có ích cho cộng đồng.</t>
  </si>
  <si>
    <t>Nhà nước đã giải thích rõ ràng về mục tiêu của việc sửa đổi thuế lần này, giúp người dân hiểu được lý do đằng sau các thay đổi. Điều này tăng sự minh bạch và niềm tin vào quyết định chính sách.</t>
  </si>
  <si>
    <t>Sau khi xem xét các quyền lợi và nghĩa vụ, tôi thấy việc cải cách thuế mang lại nhiều lợi ích cho người dân như giảm gánh nặng hành chính, đơn giản hóa quy trình khai báo và phân chia công bằng về mức thuế. Điều này làm tăng khả năng ủng hộ và tuân thủ chính sách mới.</t>
  </si>
  <si>
    <t>Dựa trên các cải cách mới về thuế, mức giảm trừ gia cảnh tăng lên và biểu thuế đơn giản hơn. Điều này làm giảm rủi ro trốn thuế.</t>
  </si>
  <si>
    <t>Công nghệ ngày càng phát triển giúp cơ quan thuế dễ dàng theo dõi và xử lý các hành vi trốn thuế. Tuy nhiên, vẫn cần thời gian để công nghệ hoàn thiện.</t>
  </si>
  <si>
    <t>Biểu thuế đơn giản hơn và có nhiều giảm trừ gia cảnh giúp quá trình khai báo thuế trở nên dễ dàng hơn. Tuy nhiên, quy trình làm việc với cơ quan thuế vẫn còn phức tạp.</t>
  </si>
  <si>
    <t>Cách tính thuế mới đơn giản và các bậc thuế rõ ràng hơn, giúp người dân hiểu nhanh chóng hơn về mức thu nhập chịu thuế. Tuy nhiên, việc áp dụng các bậc thuế này cần thêm thời gian để quen thuộc.</t>
  </si>
  <si>
    <t>Các cải cách mới về thuế và giảm trừ gia cảnh tạo ra sự công bằng hơn trong việc đánh giá thu nhập chịu thuế. Tuy nhiên, vẫn còn nghi ngờ về việc thực thi chính sách một cách công tâm.</t>
  </si>
  <si>
    <t>Mức thuế mới có vẻ hợp lý đối với thu nhập hiện tại của tôi. Tuy nhiên, cần thời gian để thấy rõ hiệu quả của chính sách này.</t>
  </si>
  <si>
    <t>Tôi tin rằng số tiền thuế đóng sẽ được sử dụng cho các dịch vụ công hữu ích. Tuy nhiên, vẫn còn lo ngại về việc thực hiện hiệu quả.</t>
  </si>
  <si>
    <t>Thông tin giải thích về chính sách mới có vẻ đầy đủ và minh bạch hơn so với trước đây. Tuy nhiên, cần thêm thời gian để đánh giá mức độ thuyết phục của thông tin này.</t>
  </si>
  <si>
    <t>Dựa trên lợi ích từ các cải cách thuế và giảm trừ gia cảnh, tôi sẽ ủng hộ chính sách mới. Tuy nhiên, quyết định cuối cùng còn phụ thuộc vào việc thực thi hiệu quả của chính sách này.</t>
  </si>
  <si>
    <t>Dù tăng cường các quy định quản lý thuế, nhưng với mức giảm trừ gia cảnh cao hơn và số bậc thuế ít đi, có thể gây khó khăn cho việc phát hiện trốn thuế.</t>
  </si>
  <si>
    <t>Tăng mức giảm trừ gia cảnh sẽ khiến việc phát hiện trốn thuế trở nên phức tạp. Tuy nhiên, công nghệ hiện đại có thể hỗ trợ hiệu quả hơn trong quản lý thuế.</t>
  </si>
  <si>
    <t>Biểu thuế đơn giản hóa có thể làm giảm gánh nặng hành chính, nhưng việc khai báo thuế vẫn cần nhiều thời gian và công sức.</t>
  </si>
  <si>
    <t>Cách tính thuế mới rõ ràng hơn so với trước đây, nhưng số bậc thuế ít đi có thể làm giảm sự linh hoạt trong quá trình tính thuế.</t>
  </si>
  <si>
    <t>Mức giảm trừ gia cảnh cao và các mức thuế suất thay đổi đều hướng đến việc công bằng hơn, tuy nhiên khả năng thực thi công bằng phụ thuộc vào cách quản lý của cơ quan thuế.</t>
  </si>
  <si>
    <t>Nhìn chung, mức thuế mới được thiết kế phù hợp với thu nhập cá nhân, tạo nên sự công bằng trong quá trình đóng thuế.</t>
  </si>
  <si>
    <t>Thuế được sử dụng hiệu quả để cải thiện dịch vụ công sẽ tăng niềm tin vào hệ thống thuế hiện tại, nhưng thực tế phụ thuộc vào cách quản lý của cơ quan thuế.</t>
  </si>
  <si>
    <t>Nhìn chung, nhà nước đã giải thích khá rõ ràng về các thay đổi trong biểu thuế, nhưng vẫn cần thêm thông tin minh bạch hơn về mục tiêu tổng thể.</t>
  </si>
  <si>
    <t>Niềm tin và công bằng từ chính sách mới tăng lên, nhưng việc tuân thủ còn phụ thuộc vào thực tế quản lý của cơ quan thuế.</t>
  </si>
  <si>
    <t>Hiện nay, với sự phát triển của công nghệ và quy định quản lý thuế chặt chẽ hơn, khả năng phát hiện hành vi gian lận hoặc trốn thuế có thể tăng lên. Điều này mang lại cảm giác an toàn cho người nộp thuế.</t>
  </si>
  <si>
    <t>Công nghệ và quy định quản lý thuế ngày càng tiến bộ, tuy nhiên vẫn cần sự cải thiện để đảm bảo phát hiện và xử lý nghiêm minh các hành vi trốn thuế.</t>
  </si>
  <si>
    <t>Sau khi xem xét, các thủ tục khai báo thuế đã được đơn giản hóa hơn so với trước đây. Điều này giúp quá trình làm việc với cơ quan thuế trở nên thuận tiện hơn.</t>
  </si>
  <si>
    <t>Cách tính thuế và các bậc thuế trong phương án mới được đơn giản hóa, dễ hiểu và dễ thực hiện hơn so với trước đây. Điều này tăng cảm giác thuận tiện cho người nộp thuế.</t>
  </si>
  <si>
    <t>Nhà nước đã cải thiện quy định về giảm trừ gia cảnh, điều này thể hiện sự công bằng trong việc đối xử với mọi người nộp thuế. Tuy nhiên, vẫn cần thêm các biện pháp thực thi để đảm bảo khách quan.</t>
  </si>
  <si>
    <t>Thuế mới được tính dựa trên thu nhập, mức thuế suất và ngưỡng chịu thuế đã được thay đổi một cách hợp lý. Điều này thể hiện sự công bằng trong việc đóng góp của mỗi người.</t>
  </si>
  <si>
    <t>Nhà nước đã sử dụng số tiền thuế thu được để cải thiện các dịch vụ công, như y tế và đường xá, giúp nâng cao chất lượng cuộc sống cho người dân. Tuy nhiên, vẫn cần thêm thông tin về cách sử dụng nguồn lực này.</t>
  </si>
  <si>
    <t>Nhà nước đã giải thích rõ ràng lý do và mục tiêu của việc sửa đổi thuế, tuy nhiên vẫn có sự nghi ngờ về mức độ minh bạch trong quá trình thực hiện.</t>
  </si>
  <si>
    <t>Dựa trên các thay đổi tích cực như đơn giản hóa quy định và cải thiện giảm trừ gia cảnh, tôi sẽ ủng hộ chính sách mới. Tuy nhiên, vẫn cần thêm thông tin về cách sử dụng nguồn lực thuế thu được để tăng sự cam kết.</t>
  </si>
  <si>
    <t>Các quy định quản lý thuế hiện nay đã được cải thiện, tăng mức giảm trừ gia cảnh và đơn giản hóa biểu thuế. Tuy nhiên, việc phát hiện trốn thuế vẫn phụ thuộc vào công nghệ và nguồn lực của cơ quan thuế.</t>
  </si>
  <si>
    <t xml:space="preserve">Đã có sự cải tiến trong hệ thống quản lý thuế với các công nghệ mới nhưng khả năng phát hiện trốn thuế vẫn cần thời gian để hoàn thiện. </t>
  </si>
  <si>
    <t>Biểu thuế đã được đơn giản hóa, giúp việc khai báo và làm việc với cơ quan thuế trở nên dễ dàng hơn.</t>
  </si>
  <si>
    <t>Cách tính thuế mới có số bậc giảm đi, khiến nó đơn giản và dễ hiểu hơn so với trước đây.</t>
  </si>
  <si>
    <t>Mức thuế mới công bằng hơn vì tăng mức giảm trừ gia cảnh. Tuy nhiên, việc thực thi chính sách vẫn cần sự minh bạch.</t>
  </si>
  <si>
    <t>Công bằng trong việc áp dụng thuế mới, người thu nhập như tôi không bị gánh nặng quá lớn.</t>
  </si>
  <si>
    <t>Tin rằng số tiền thuế đóng sẽ được sử dụng hiệu quả cho các dịch vụ công. Tuy nhiên, cần thêm minh bạch về cách sử dụng nguồn thu thuế.</t>
  </si>
  <si>
    <t>Nhà nước đã giải thích rõ ràng mục tiêu của việc cải cách thuế. Thông tin minh bạch giúp tăng niềm tin vào quyết định này.</t>
  </si>
  <si>
    <t>Thống nhất ủng hộ và tuân thủ chính sách mới vì lợi ích tài chính và sự đơn giản hóa quy trình khai báo thuế.</t>
  </si>
  <si>
    <t>Việc tăng cường giảm trừ gia cảnh và đơn giản hóa biểu thuế sẽ làm giảm gian lận, nhưng không đảm bảo 100% phát hiện trốn thuế.</t>
  </si>
  <si>
    <t>Nhà nước đã đầu tư công nghệ để phát hiện trốn thuế, nhưng vẫn cần cải thiện hơn nữa.</t>
  </si>
  <si>
    <t>Thủ tục khai báo thuế đơn giản hóa và giảm số bậc thuế, tạo thuận lợi cho người dân nộp thuế.</t>
  </si>
  <si>
    <t>Cách tính thuế mới đơn giản hơn so với trước đây, giúp người dân dễ dàng hiểu và thực hiện.</t>
  </si>
  <si>
    <t>Nhà nước tăng cường giảm trừ gia cảnh, thể hiện công tâm đối xử giữa các nhóm thu nhập khác nhau.</t>
  </si>
  <si>
    <t>Mức thuế mới có tính toán hợp lý dựa trên thu nhập, tạo cảm giác công bằng cho người nộp thuế.</t>
  </si>
  <si>
    <t>Giảm trừ gia cảnh tăng mạnh và đơn giản hóa biểu thuế giúp số tiền đóng góp của tôi được sử dụng hiệu quả hơn.</t>
  </si>
  <si>
    <t>Nhà nước đã cung cấp thông tin rõ ràng về các thay đổi, nhưng cần cải thiện trong việc truyền tải sự công bằng và mục tiêu chính sách.</t>
  </si>
  <si>
    <t>Sau khi cân nhắc lợi ích từ chính sách mới, tôi thấy mình có thể ủng hộ nó, đặc biệt là với mức thuế đơn giản hơn và giảm trừ gia cảnh tăng mạnh.</t>
  </si>
  <si>
    <t>Mức giảm trừ gia cảnh tăng đáng kể, nhưng không biết về khả năng phát hiện trốn thuế của cơ quan thuế.</t>
  </si>
  <si>
    <t>Công nghệ ngày càng tiên tiến giúp phát hiện hành vi gian lận, đồng thời xử lý nghiêm minh.</t>
  </si>
  <si>
    <t>Bậc thuế ít hơn và giảm trừ gia cảnh tăng, thuận lợi cho việc khai báo và làm việc với cơ quan thuế.</t>
  </si>
  <si>
    <t>Phương án mới đơn giản hóa biểu thuế, dễ hiểu và thực hiện hơn so với trước đây.</t>
  </si>
  <si>
    <t>Giảm trừ gia cảnh tăng, giảm gánh nặng cho người dân. Hiệu quả của chính sách chưa rõ ràng.</t>
  </si>
  <si>
    <t>Mức thuế mới có thể công bằng hơn đối với thu nhập hiện tại, nhưng vẫn cần thời gian để đánh giá.</t>
  </si>
  <si>
    <t>Hiện chưa thấy hiệu quả rõ ràng từ việc tăng giảm trừ gia cảnh và thay đổi bậc thuế.</t>
  </si>
  <si>
    <t>Thông tin về lý do và mục tiêu của chính sách chưa đủ minh bạch, cần thời gian để nắm bắt.</t>
  </si>
  <si>
    <t>Trải nghiệm tích cực từ các thay đổi thuế, nhưng vẫn có nghi ngờ về hiệu quả thực tế.</t>
  </si>
  <si>
    <t>Theo luật mới, mức giảm trừ gia cảnh và biểu thuế đơn giản hơn, tạo cơ hội cho cơ quan thuế phát hiện trốn thuế dễ dàng hơn. Tuy nhiên, vẫn còn nhiều yếu tố phụ thuộc vào công nghệ và khả năng thực thi của nhà nước.</t>
  </si>
  <si>
    <t>Công nghệ hiện đại giúp việc phát hiện gian lận trở nên hiệu quả hơn, đồng thời các quy định quản lý thuế cũng được cải thiện. Tuy nhiên, vẫn cần thời gian để công nghệ và thực thi hoàn thiện.</t>
  </si>
  <si>
    <t>Biểu thuế đơn giản hơn và giảm trừ gia cảnh lớn hơn tạo cảm giác thuận tiện hơn so với trước đây. Tuy nhiên, việc làm quen với quy trình mới cần thời gian.</t>
  </si>
  <si>
    <t>Cách tính thuế mới đơn giản hóa các bậc thuế, dễ hiểu và thực hiện hơn. Điều này tạo cảm giác thuận tiện cho người nộp thuế so với trước đây.</t>
  </si>
  <si>
    <t>Nhà nước đã cải thiện mức giảm trừ gia cảnh và đơn giản hóa biểu thuế, tạo cảm giác rằng việc thực thi chính sách mới sẽ công bằng. Tuy nhiên, vẫn cần thời gian để mọi người tin tưởng.</t>
  </si>
  <si>
    <t>Mức thuế mới được thiết kế phù hợp với thu nhập cá nhân, tạo cảm giác công bằng so với các bậc thuế cũ. Tuy nhiên, mức độ công bằng còn phụ thuộc vào cách thực thi chính sách.</t>
  </si>
  <si>
    <t>Giảm trừ gia cảnh và đơn giản hóa biểu thuế mới giúp số tiền thuế đóng giảm đáng kể, tạo cảm giác tin tưởng rằng số tiền thu được sẽ được sử dụng hiệu quả. Tuy nhiên, hiệu quả thực tế phụ thuộc vào việc quản lý kinh phí.</t>
  </si>
  <si>
    <t>Nhà nước đã công bố các thông điệp về cải cách thuế một cách minh bạch và rõ ràng, tạo cảm giác rằng mục tiêu của chính sách mới là hợp lý. Tuy nhiên, sự thuyết phục còn phụ thuộc vào việc thực thi.</t>
  </si>
  <si>
    <t>Sau khi cân nhắc các lợi ích từ cải cách thuế như giảm trừ gia cảnh và đơn giản hóa biểu thuế, tôi sẵn sàng tuân thủ chính sách mới. Tuy nhiên, mức độ ủng hộ còn phụ thuộc vào việc thực thi hiệu quả.</t>
  </si>
  <si>
    <t>Tăng cường quản lý và công nghệ hiện đại có thể giúp phát hiện hành vi trốn thuế hiệu quả hơn.</t>
  </si>
  <si>
    <t>Công nghệ và nguồn lực của cơ quan thuế được cải thiện, tăng khả năng phát hiện gian lận.</t>
  </si>
  <si>
    <t>Biểu thuế đơn giản hơn và giảm trừ gia cảnh cao hơn có thể làm thủ tục thuế dễ dàng hơn.</t>
  </si>
  <si>
    <t>Cách tính thuế mới đơn giản, rõ ràng hơn so với trước đây.</t>
  </si>
  <si>
    <t>Mức giảm trừ gia cảnh cao hơn và cách tính thuế công bằng có thể làm tăng niềm tin vào sự công bằng của chính sách.</t>
  </si>
  <si>
    <t>Ngưỡng chịu thuế thấp hơn và bậc thuế đơn giản hơn tạo cảm giác mức thuế hiện tại là công bằng.</t>
  </si>
  <si>
    <t>Giảm trừ gia cảnh cao hơn có thể làm tăng niềm tin vào việc sử dụng tiền thuế hiệu quả.</t>
  </si>
  <si>
    <t>Thông tin về chính sách mới được truyền tải đầy đủ nhưng cần thêm minh bạch trong thực thi</t>
  </si>
  <si>
    <t>Đối với người thu nhập trung bình, mức thuế giảm và niềm tin vào sự công bằng có thể làm tăng khả năng tuân thủ.</t>
  </si>
  <si>
    <t>Mức giảm trừ gia cảnh tăng và quy định quản lý thuế chặt chẽ hơn, nhưng khả năng phát hiện trốn thuế còn phụ thuộc vào công nghệ và nguồn lực.</t>
  </si>
  <si>
    <t>Công nghệ ngày càng tiên tiến giúp phát hiện gian lận nhanh chóng, tuy nhiên vẫn cần nguồn lực và hợp tác từ người dân.</t>
  </si>
  <si>
    <t>Quy trình khai báo thuế đơn giản hơn với ít bậc thuế, giảm bớt sự phức tạp cho người nộp thuế.</t>
  </si>
  <si>
    <t>Biểu thuế mới đơn giản và dễ hiểu hơn so với trước đây, giúp việc tính toán thu nhập chịu thuế trở nên thuận lợi hơn.</t>
  </si>
  <si>
    <t>Giảm trừ gia cảnh tăng mạnh, giảm gánh nặng cho người có thu nhập thấp, thể hiện sự công bằng trong chính sách.</t>
  </si>
  <si>
    <t>Thuế suất và ngưỡng chịu thuế được điều chỉnh phù hợp với mức thu nhập, tạo cảm giác công bằng cho người nộp thuế.</t>
  </si>
  <si>
    <t>Giảm trừ gia cảnh tăng mạnh giúp cải thiện dịch vụ công, nhưng vẫn cần thời gian để thấy hiệu quả thực tế.</t>
  </si>
  <si>
    <t>Thông tin về chính sách mới được truyền tải rõ ràng hơn, giúp người dân hiểu được mục tiêu và lý do của việc thay đổi.</t>
  </si>
  <si>
    <t>Sau xem xét, tôi thấy lợi ích từ chính sách mới lớn hơn rủi ro, quyết định ủng hộ và tuân thủ.</t>
  </si>
  <si>
    <t>Biện pháp quản lý thuế hiện nay được cải thiện, đặc biệt là mức giảm trừ gia cảnh cao hơn, có thể làm giảm hành vi trốn thuế.</t>
  </si>
  <si>
    <t>Công nghệ phát triển và các quy định rõ ràng có thể giúp cơ quan thuế giám sát hiệu quả hơn.</t>
  </si>
  <si>
    <t>Mức giảm trừ gia cảnh tăng, khiến khai báo thuế dễ dàng hơn. Các bậc thuế đơn giản cũng cải thiện quá trình làm việc với cơ quan thuế.</t>
  </si>
  <si>
    <t>Biểu thuế được đơn giản hóa từ 7 bậc xuống còn 5 bậc, giúp người dân dễ hiểu và thực hiện.</t>
  </si>
  <si>
    <t>Những cải cách về giảm trừ gia cảnh và biểu thuế có thể tạo ra sự công bằng trong việc nộp thuế.</t>
  </si>
  <si>
    <t>Đối với mức thu nhập của tôi, mức thuế mới có vẻ công bằng, nhưng vẫn cần thêm thời gian để đánh giá đầy đủ.</t>
  </si>
  <si>
    <t>Dù chưa rõ ràng như mong đợi, tôi hy vọng số tiền thuế đóng sẽ được sử dụng hiệu quả cho các dịch vụ công.</t>
  </si>
  <si>
    <t>Thông tin về cải cách thuế đã được giải thích một cách rõ ràng nhưng vẫn cần thêm thời gian để đánh giá</t>
  </si>
  <si>
    <t>Sau khi cân nhắc, tôi ủng hộ chính sách mới vì lợi ích tài chính và sự đơn giản hóa quy trình nộp thuế.</t>
  </si>
  <si>
    <t>Biểu thuế đơn giản, mức giảm trừ gia cảnh cao hơn nên dễ quản lý và phát hiện gian lận.</t>
  </si>
  <si>
    <t>Công nghệ ngày càng phát triển, khả năng phát hiện trốn thuế cao hơn trong bối cảnh mới.</t>
  </si>
  <si>
    <t>Biểu thuế ít bậc hơn, dễ khai báo và làm việc với cơ quan thuế hơn so với trước đây.</t>
  </si>
  <si>
    <t>Cách tính thuế mới đơn giản hóa các bậc thuế, giúp người dân hiểu và thực hiện dễ dàng hơn.</t>
  </si>
  <si>
    <t>Thuế thấp hơn do giảm trừ gia cảnh cao hơn nên cảm thấy công bằng hơn trong việc đóng góp.</t>
  </si>
  <si>
    <t>Thuế mới phù hợp với thu nhập hiện tại, cho thấy mức độ công bằng về mặt thuế suất.</t>
  </si>
  <si>
    <t>Thuê được sử dụng hiệu quả để cải thiện dịch vụ công như y tế và giao thông.</t>
  </si>
  <si>
    <t>Đã có giải thích về mục tiêu của chính sách mới, nhưng cần thêm minh bạch hơn về thực hiện.</t>
  </si>
  <si>
    <t>Dựa trên lợi ích từ thuế thấp và giảm trừ gia cảnh cao hơn, sẽ ủng hộ và tuân thủ chính sách.</t>
  </si>
  <si>
    <t>Hiện nay, với mức giảm trừ gia cảnh tăng lên và quy định quản lý thuế chặt chẽ hơn, hành vi gian lận hoặc trốn thuế sẽ khó xảy ra. Công nghệ phát triển cũng hỗ trợ việc phát hiện gian lận hiệu quả hơn.</t>
  </si>
  <si>
    <t>Cơ quan thuế đã đầu tư vào công nghệ và nhân lực, tăng cường quản lý thuế. Những cải tiến trong quy định sẽ giúp phát hiện trốn thuế một cách nhanh chóng và hiệu quả hơn.</t>
  </si>
  <si>
    <t>Biểu thuế được đơn giản hóa từ 7 bậc xuống còn 5 bậc, làm cho khai báo thuế trở nên dễ dàng hơn. Quy trình làm việc với cơ quan thuế cũng được cải thiện, tạo thuận lợi cho người dân.</t>
  </si>
  <si>
    <t>Biểu thuế mới đơn giản và rõ ràng hơn so với trước đây, giảm bớt rắc rối và khó khăn khi tính toán thuế. Các bậc thuế mới cũng dễ hiểu và thực hiện thuận lợi hơn.</t>
  </si>
  <si>
    <t>Nhà nước đã cải thiện quy định về giảm trừ gia cảnh và đơn giản hóa biểu thuế, tạo ra một môi trường công bằng hơn cho mọi người nộp thuế. Điều này tăng niềm tin vào sự công bằng của chính sách.</t>
  </si>
  <si>
    <t>Mức thuế mới phù hợp với thu nhập cá nhân hiện tại của tôi và không quá cao so với mức trước đây. Điều này cho thấy mức thuế mới là hợp lý và công bằng.</t>
  </si>
  <si>
    <t>Việc cải thiện quy định về giảm trừ gia cảnh và đơn giản hóa biểu thuế tạo điều kiện để số tiền thuế tôi đóng được sử dụng hiệu quả hơn. Điều này tăng niềm tin vào việc Nhà nước sử dụng nguồn lực một cách công bằng.</t>
  </si>
  <si>
    <t>Nhà nước đã giải thích rõ ràng về mục tiêu của chính sách mới, đặc biệt là về mức giảm trừ gia cảnh và đơn giản hóa biểu thuế. Điều này tăng niềm tin vào sự minh bạch trong việc thực hiện chính sách.</t>
  </si>
  <si>
    <t>Sau khi xem xét các quyền lợi từ quy định mới, tôi thấy chính sách này mang lại nhiều thuận lợi và công bằng hơn. Tôi sẽ ủng hộ và tuân thủ chính sách mới trong tương lai.</t>
  </si>
  <si>
    <t>Mức giảm trừ gia cảnh tăng, nhưng không rõ liệu công nghệ quản lý thuế có thật sự cải thiện hay không.</t>
  </si>
  <si>
    <t>Công nghệ hiện đại có thể giúp phát hiện gian lận, nhưng cần thời gian để áp dụng rộng rãi.</t>
  </si>
  <si>
    <t>Biểu thuế đơn giản hơn nhưng không rõ quy trình khai báo có thực sự thuận tiện hay không.</t>
  </si>
  <si>
    <t>Cách tính thuế mới dễ hiểu, nhưng cần thời gian để quen với các bậc thuế mới.</t>
  </si>
  <si>
    <t>Giảm trừ gia cảnh tăng, người thu nhập thấp có lợi hơn, nhưng chưa rõ mức độ công bằng trong thực tế.</t>
  </si>
  <si>
    <t>Thuế suất mới không quá cao so với thu nhập, cảm thấy hợp lý</t>
  </si>
  <si>
    <t>Dự kiến thuế sẽ được sử dụng hiệu quả, nhưng cần thời gian để chứng minh.</t>
  </si>
  <si>
    <t>Thông tin về cải cách chưa đủ rõ ràng, cần thêm giải thích</t>
  </si>
  <si>
    <t>Thu nhập giảm nhẹ nhưng không đáng kể, quyết định tuân thủ dựa trên niềm tin và lợi ích tổng thể.</t>
  </si>
  <si>
    <t>Biểu thuế được đơn giản hóa và có nhiều mức giảm trừ gia cảnh, giảm cơ hội trốn thuế. Công nghệ hiện đại cũng giúp phát hiện gian lận dễ dàng hơn.</t>
  </si>
  <si>
    <t>Công nghệ hiện đại như AI, Big Data đang được áp dụng để phát hiện và xử lý trốn thuế hiệu quả.</t>
  </si>
  <si>
    <t>Biểu thuế có ít bậc hơn, giảm rắc rối cho người dân khai báo. Mức giảm trừ gia cảnh tăng giúp thuận tiện hơn.</t>
  </si>
  <si>
    <t>Cách tính thuế và bậc thuế mới đơn giản hơn so với trước đây, dễ hiểu và thực hiện dễ dàng.</t>
  </si>
  <si>
    <t>Nhà nước đã nâng cao mức giảm trừ gia cảnh cho bản thân và người phụ thuộc. Thu nhập chịu thuế thấp hơn cũng tạo niềm tin vào tính công bằng.</t>
  </si>
  <si>
    <t>Mức thuế mới có vẻ hợp lý so với thu nhập của tôi, tạo cảm giác công bằng trong việc đóng góp cho xã hội.</t>
  </si>
  <si>
    <t>Thuế tôi đóng sẽ được sử dụng hiệu quả vào các dịch vụ công như y tế và giao thông, tạo niềm tin về sự tận dụng nguồn lực một cách tốt nhất.</t>
  </si>
  <si>
    <t>Nhà nước đã minh bạch hóa quy trình thay đổi thuế. Thông qua nhiều kênh truyền thông, tôi thấy họ giải thích rõ ràng về mục tiêu của chính sách mới.</t>
  </si>
  <si>
    <t>Thu nhập chịu thuế thấp hơn và mức giảm trừ gia cảnh cao hơn tạo cảm giác công bằng và thuận tiện. Tôi sẽ ủng hộ và tuân thủ chính sách mới.</t>
  </si>
  <si>
    <t>Các quy định quản lý thuế hiện nay đã được cải cách, tăng mức giảm trừ gia cảnh và đơn giản hóa biểu thuế. Điều này làm giảm khả năng trốn thuế, tuy nhiên việc phát hiện và xử lý vẫn phụ thuộc vào công nghệ và thực thi của cơ quan thuế.</t>
  </si>
  <si>
    <t>Nhà nước đã đầu tư vào công nghệ để phát hiện và xử lý gian lận thuế. Tuy nhiên, hiệu quả thực tế còn phụ thuộc vào sự phối hợp giữa công nghệ và nhân lực của cơ quan thuế.</t>
  </si>
  <si>
    <t>Các quy định quản lý thuế đã đơn giản hóa, giảm số bậc thuế từ 7 xuống 5. Điều này giúp thủ tục khai báo thuế nhanh chóng và tiện lợi hơn.</t>
  </si>
  <si>
    <t>Biểu thuế mới đã đơn giản hóa và dễ hiểu hơn so với trước đây, giúp người dân tính toán và nộp thuế thuận tiện hơn.</t>
  </si>
  <si>
    <t>Mức giảm trừ gia cảnh tăng lên giúp giảm gánh nặng thuế cho nhiều cá nhân. Việc thực thi chính sách công bằng đối với mọi người nộp thuế vẫn cần sự kiểm chứng tiếp theo.</t>
  </si>
  <si>
    <t>Lưu ý về mức giảm trừ gia cảnh và đơn giản hóa biểu thuế giúp tôi thấy mức thuế mới là hợp lý. Tuy nhiên, việc thực thi cần được giám sát để đảm bảo công bằng.</t>
  </si>
  <si>
    <t>Đối với thu nhập của tôi, mức giảm trừ gia cảnh tăng lên và đơn giản hóa biểu thuế giúp cải thiện chất lượng cuộc sống. Tôi tin rằng số tiền thuế đóng sẽ được sử dụng hiệu quả để cải thiện dịch vụ công.</t>
  </si>
  <si>
    <t>Nhà nước đã giải thích rõ ràng về mức giảm trừ gia cảnh và đơn giản hóa biểu thuế. Tuy nhiên, việc minh bạch về mục tiêu của chính sách mới vẫn cần được cải thiện.</t>
  </si>
  <si>
    <t>Tổng thể, các thay đổi trong chính sách thuế mang lại nhiều lợi ích cho tôi và gia đình. Việc thực thi và minh bạch chính sách cũng giúp tăng sự ủng hộ của tôi đối với chính sách mới.</t>
  </si>
  <si>
    <t>Các quy định quản lý thuế hiện nay đã được cải thiện, đặc biệt là mức giảm trừ gia cảnh tăng lên đáng kể, giúp phát hiện hành vi gian lận và trốn thuế hiệu quả hơn.</t>
  </si>
  <si>
    <t>Việc áp dụng công nghệ tiên tiến trong quản lý thuế sẽ tăng cường khả năng phát hiện các hành vi trốn thuế, đồng thời xử lý nghiêm minh hơn.</t>
  </si>
  <si>
    <t>Mức giảm trừ gia cảnh cao hơn và số bậc thuế đơn giản hơn đều làm quá trình khai báo thuế dễ dàng hơn so với trước đây.</t>
  </si>
  <si>
    <t>Các bậc thuế mới rõ ràng hơn, giúp người nộp thuế dễ hiểu và thực hiện tính toán thuế một cách dễ dàng hơn.</t>
  </si>
  <si>
    <t>Nhà nước đã cải thiện đáng kể về công bằng trong việc áp dụng mức giảm trừ gia cảnh cho cá nhân và phụ thuộc, tạo cảm giác tin tưởng vào sự khách quan của cơ quan thuế.</t>
  </si>
  <si>
    <t>Mức thuế mới được thiết lập sao cho phù hợp với thu nhập trung bình hiện nay, nên thấy công bằng đối với bản thân.</t>
  </si>
  <si>
    <t>Đóng góp tiền thuế giúp cải thiện các dịch vụ công như y tế và giao thông, tạo sự tin tưởng vào việc sử dụng nguồn thu hợp lý.</t>
  </si>
  <si>
    <t>Nhà nước đã cung cấp thông tin đầy đủ về mục tiêu của chính sách mới, giúp người dân hiểu rõ hơn về quy định mới.</t>
  </si>
  <si>
    <t>Sau khi xem xét các quyền lợi và nghĩa vụ, tôi thấy chính sách mới có nhiều ưu điểm, nên ủng hộ và tuân thủ.</t>
  </si>
  <si>
    <t>Các quy định quản lý thuế hiện nay được cải cách mạnh mẽ, tăng mức giảm trừ gia cảnh và đơn giản hóa biểu thuế. Điều này làm giảm khả năng trốn thuế, tuy nhiên, vẫn cần công nghệ phát triển để phát hiện gian lận.</t>
  </si>
  <si>
    <t>Công nghệ ngày càng phát triển giúp nhà nước có nhiều cách thức phát hiện và xử lý nghiêm các hành vi trốn thuế. Công nghệ sẽ hỗ trợ việc quản lý thuế một cách hiệu quả.</t>
  </si>
  <si>
    <t>Thủ tục khai báo thuế và quy trình làm việc với cơ quan thuế được đơn giản hóa, giảm bớt rườm rà, giúp người dân nộp thuế dễ dàng hơn.</t>
  </si>
  <si>
    <t>Biểu thuế mới có ít bậc hơn so với trước đây, điều này làm cho việc tính thuế trở nên dễ hiểu và đơn giản hơn.</t>
  </si>
  <si>
    <t>Nhà nước đã thực hiện cải cách thuế một cách công bằng, tăng mức giảm trừ gia cảnh giúp mọi người nộp thuế cảm thấy được đối xử bình đẳng.</t>
  </si>
  <si>
    <t>Mức thuế mới có thể phù hợp hơn với thu nhập của tôi, điều này làm cho việc đóng thuế trở nên công bằng hơn so với trước đây.</t>
  </si>
  <si>
    <t>Thuế được sử dụng vào các dịch vụ công như y tế và đường xá, giúp cải thiện chất lượng cuộc sống. Tuy nhiên, mức độ hiệu quả của việc sử dụng thuế vẫn còn cần kiểm chứng.</t>
  </si>
  <si>
    <t>Nhà nước đã giải thích rõ ràng về mục tiêu của cải cách thuế, tuy nhiên, nhiều người vẫn có sự hoài nghi về việc thực hiện các cam kết này.</t>
  </si>
  <si>
    <t>Sau khi cân nhắc lợi ích và nghĩa vụ, tôi thấy chính sách mới có thể mang lại nhiều thuận lợi hơn. Tuy nhiên, mức độ ủng hộ còn phụ thuộc vào khả năng thực thi chính sách.</t>
  </si>
  <si>
    <t>Quy định quản lý thuế hiện nay khá chặt chẽ, với nhiều biện pháp phát hiện gian lận. Mức giảm trừ gia cảnh tăng cũng giúp minh bạch hóa việc đánh thuế.</t>
  </si>
  <si>
    <t>Công nghệ ngày càng tiên tiến và Nhà nước đã đầu tư vào hệ thống quản lý thuế, nâng cao khả năng phát hiện trốn thuế.</t>
  </si>
  <si>
    <t>Mức giảm trừ gia cảnh tăng giúp việc khai báo trở nên đơn giản hơn. Quy trình làm việc với cơ quan thuế cũng được cải thiện nhiều so với trước đây.</t>
  </si>
  <si>
    <t>Biểu thuế đơn giản hóa từ 7 bậc xuống còn 5 bậc, giúp người dân dễ hiểu và tính toán chi phí hơn.</t>
  </si>
  <si>
    <t>Niềm tin vào sự công bằng của Nhà nước đã tăng lên nhờ các biện pháp cải cách thuế. Tuy nhiên, vẫn cần thêm thời gian để hoàn toàn tin tưởng.</t>
  </si>
  <si>
    <t>Mức thuế mới được thiết kế sao cho phù hợp với thu nhập trung bình và dưới trung bình của người dân, tạo cảm giác công bằng.</t>
  </si>
  <si>
    <t>Hiệu quả sử dụng nguồn thu từ thuế chưa rõ ràng nhưng có xu hướng tích cực nhờ mức giảm trừ gia cảnh tăng.</t>
  </si>
  <si>
    <t>Nhà nước đã giải thích về cải cách một cách rõ ràng, tuy nhiên việc thực hiện vẫn cần thêm thời gian để minh bạch hơn.</t>
  </si>
  <si>
    <t>Các quyền lợi từ chính sách mới như giảm trừ gia cảnh tăng và quy định thuế đơn giản hóa đã tạo nên sự ủng hộ. Tuy nhiên, việc thực thi vẫn cần thêm thời gian để hoàn thiện.</t>
  </si>
  <si>
    <t>Nguyên tắc quản lý thuế hiện nay được cải thiện với mức giảm trừ gia cảnh tăng, giúp phát hiện trốn thuế dễ dàng hơn. Công nghệ cũng đang phát triển mạnh mẽ.</t>
  </si>
  <si>
    <t>Nhà nước đã đầu tư vào công nghệ và nguồn lực để phát hiện trốn thuế, nhưng cần cải thiện thêm trong thực thi.</t>
  </si>
  <si>
    <t>Mức giảm trừ gia cảnh tăng giúp đơn giản hóa thủ tục khai báo thuế. Tuy nhiên, quy trình làm việc với cơ quan thuế vẫn còn phức tạp.</t>
  </si>
  <si>
    <t>Phương án mới đơn giản hóa biểu thuế từ 7 bậc xuống 5 bậc, giúp dễ hiểu và thực hiện hơn so với trước đây.</t>
  </si>
  <si>
    <t>Nhà nước đã cải thiện quản lý thuế với mức giảm trừ gia cảnh tăng, tạo ra sự công bằng trong việc đánh thuế.</t>
  </si>
  <si>
    <t>Thuế mới được đơn giản hóa nhưng vẫn công bằng cho thu nhập trung bình. Tuy nhiên, cần thời gian để mọi người tin tưởng hơn.</t>
  </si>
  <si>
    <t>Tiền thuế đóng góp vào việc cải thiện dịch vụ công như y tế và hạ tầng, tạo ra niềm tin về sự sử dụng hiệu quả của tiền thuế.</t>
  </si>
  <si>
    <t>Truyền thông về chính sách mới chưa đầy đủ, gây ra một số nghi ngờ từ người dân nhưng đã cải thiện so với trước đây.</t>
  </si>
  <si>
    <t>Việc giảm trừ gia cảnh tăng và đơn giản hóa biểu thuế tạo ra lợi ích rõ ràng. Tuy nhiên, cần thời gian để tin tưởng hoàn toàn vào chính sách mới.</t>
  </si>
  <si>
    <t>Chính phủ đã tăng mức giảm trừ gia cảnh, đơn giản hóa biểu thuế và thay đổi bậc thuế suất. Tuy nhiên, việc phát hiện trốn thuế phụ thuộc nhiều vào công nghệ và nguồn lực của cơ quan thuế.</t>
  </si>
  <si>
    <t>Theo xu hướng chung, Nhà nước có nhiều tiềm năng và khả năng để áp dụng công nghệ tiên tiến trong quản lý thuế. Tuy nhiên, hiệu quả phụ thuộc vào việc triển khai và đầu tư.</t>
  </si>
  <si>
    <t>Bậc thuế đã được rút gọn từ 7 xuống còn 5 bậc, giảm bớt rườm rà cho người nộp thuế. Tuy nhiên, quy trình làm việc với cơ quan thuế chưa có cải tiến đáng kể.</t>
  </si>
  <si>
    <t>Cách tính thuế mới đơn giản hóa các bậc thuế, dễ hiểu hơn so với trước đây. Điều này giúp người dân dễ dàng tuân thủ và không còn cảm thấy bị rối rắm.</t>
  </si>
  <si>
    <t>Nhìn chung, mức giảm trừ gia cảnh cao hơn và bậc thuế đơn giản hơn tạo nên sự công bằng. Tuy nhiên, vẫn cần thêm thời gian để có thể đánh giá hiệu quả thực thi.</t>
  </si>
  <si>
    <t>Mức thuế mới đã được tính toán dựa trên thu nhập, đảm bảo mức độ công bằng. Việc tăng mức giảm trừ gia cảnh cũng giúp người dân cảm thấy hài lòng hơn về công bằng trong việc đóng thuế.</t>
  </si>
  <si>
    <t>Nhìn chung, tôi tin rằng số tiền thuế đóng sẽ được sử dụng hiệu quả để cải thiện dịch vụ công. Tuy nhiên, cần thời gian để đánh giá hiệu quả thực tế của việc sử dụng nguồn lực.</t>
  </si>
  <si>
    <t>Nhà nước đã giải thích rõ ràng về mục tiêu và lý do của các thay đổi thuế. Thông tin này giúp tôi hiểu được động cơ đằng sau chính sách mới, nhưng cần thêm thời gian để đánh giá hiệu quả truyền thông.</t>
  </si>
  <si>
    <t>Nhìn chung, tôi ủng hộ và tuân thủ chính sách mới. Mức giảm trừ gia cảnh cao hơn và bậc thuế đơn giản hơn tạo nên sự công bằng. Tuy nhiên, cần thêm thời gian để đánh giá hiệu quả thực tế của việc triển khai.</t>
  </si>
  <si>
    <t>Theo quy định mới, mức giảm trừ gia cảnh tăng đáng kể, tạo lợi ích cho người dân. Tuy nhiên, việc phát hiện và xử lý trốn thuế phụ thuộc nhiều vào công nghệ quản lý, chưa được đề cập rõ ràng.</t>
  </si>
  <si>
    <t>Công nghệ quản lý thuế đang ngày càng phát triển, nhưng vẫn cần thời gian để áp dụng rộng rãi. Tăng cường giám sát và xử lý trốn thuế là điều cần thiết.</t>
  </si>
  <si>
    <t>Bậc thuế giảm từ 7 xuống còn 5, đơn giản hóa quy trình khai báo. Tuy nhiên, vẫn cần thời gian để người dân quen với hệ thống mới.</t>
  </si>
  <si>
    <t>Biểu thuế được đơn giản hóa, dễ hiểu hơn. Các bậc thuế rõ ràng hơn so với trước đây</t>
  </si>
  <si>
    <t>Niềm tin vào sự công bằng của Nhà nước tăng do mức giảm trừ gia cảnh lớn và quy định mới rõ ràng hơn.</t>
  </si>
  <si>
    <t>Mức thuế mới được thiết kế dựa trên thu nhập, nhưng vẫn cần thời gian để mọi người cảm thấy công bằng về việc đóng thuế.</t>
  </si>
  <si>
    <t>Người dân tin rằng số tiền thuế đóng sẽ được sử dụng hiệu quả cho các dịch vụ công, mặc dù chưa có nhiều thông tin cụ thể.</t>
  </si>
  <si>
    <t>Thông tin về lý do và mục tiêu của việc sửa đổi thuế được cung cấp nhưng cần tăng cường minh bạch hơn nữa.</t>
  </si>
  <si>
    <t>Các quyền lợi từ chính sách mới như mức giảm trừ gia cảnh cao hơn tạo động lực cho người dân tuân thủ, tuy nhiên vẫn còn sự đa nghi về cách thực hiện.</t>
  </si>
  <si>
    <t>Mức giảm trừ gia cảnh tăng đáng kể, sẽ làm giảm số lượng người thu nhập thấp bị đánh thuế. Tuy nhiên, thông tin về khả năng phát hiện trốn thuế chưa được cung cấp đầy đủ.</t>
  </si>
  <si>
    <t>Công nghệ ngày càng tiên tiến và chính phủ đã đầu tư vào hệ thống quản lý thuế, nhưng vẫn cần thêm thông tin về cụ thể công nghệ sử dụng.</t>
  </si>
  <si>
    <t>Biểu thuế đơn giản hơn trước, số bậc giảm từ 7 xuống còn 5. Tuy nhiên, quy trình khai báo và làm việc với cơ quan thuế vẫn chưa rõ ràng.</t>
  </si>
  <si>
    <t>Cách tính thuế mới đơn giản hóa các bậc thuế, nhưng cần thêm thời gian để người dân thích nghi và nắm bắt.</t>
  </si>
  <si>
    <t>Giảm trừ gia cảnh tăng đáng kể, tạo cảm giác công bằng cho người thu nhập thấp. Tuy nhiên, mức thuế đối với người cao thu nhập không thay đổi nhiều.</t>
  </si>
  <si>
    <t>Thuế suất và ngưỡng chịu thuế đã được điều chỉnh phù hợp với tình hình thực tế, nhưng cần thêm thời gian để thấy rõ tính công bằng.</t>
  </si>
  <si>
    <t>Giảm trừ gia cảnh tăng đáng kể, tạo cảm giác số tiền đóng thuế sẽ được sử dụng hiệu quả. Tuy nhiên, không có thông tin cụ thể về việc sử dụng số tiền thuế thu được.</t>
  </si>
  <si>
    <t>Thông tin giải thích về chính sách mới chưa đầy đủ và chi tiết, tạo cảm giác nghi ngờ về tính minh bạch.</t>
  </si>
  <si>
    <t>Tổng thể cảm thấy thuận lợi với chính sách thuế mới, nhưng vẫn có một số lo ngại. Gánh nặng thuế đối với người thu nhập cao không thay đổi nhiều và thông tin giải thích chưa đầy đủ.</t>
  </si>
  <si>
    <t>Quy định quản lý thuế hiện nay được cải cách với nhiều biện pháp kiểm soát, nhưng không có công nghệ tiên tiến nào đề cập. Điều này làm giảm độ tin cậy trong việc phát hiện trốn thuế.</t>
  </si>
  <si>
    <t>Công nghệ hiện đại như AI và Big Data được áp dụng giúp tăng khả năng phát hiện trốn thuế, nhưng cần thời gian để triển khai hiệu quả. Hiện nay, khả năng này vẫn còn hạn chế.</t>
  </si>
  <si>
    <t>Mức giảm trừ gia cảnh và số bậc thuế đơn giản hóa đã làm việc khai báo trở nên thuận tiện hơn, nhưng quy trình làm việc với cơ quan thuế chưa có nhiều cải tiến.</t>
  </si>
  <si>
    <t>Cách tính thuế mới đơn giản hơn so với trước đây, đặc biệt là đối với người thu nhập thấp. Tuy nhiên, mức thuế cao vẫn còn phức tạp.</t>
  </si>
  <si>
    <t>Nhà nước đã cải cách quy định quản lý thuế nhằm công bằng và khách quan hơn, nhưng cần thời gian để chứng minh hiệu quả thực tế.</t>
  </si>
  <si>
    <t>Mức thuế mới có vẻ hợp lý so với thu nhập hiện tại, nhưng mức cao vẫn còn gây nghi ngờ về công bằng.</t>
  </si>
  <si>
    <t>Thuế đóng góp vào dịch vụ công là điều hiển nhiên, nhưng hiệu quả sử dụng nguồn lực cần thời gian để đánh giá.</t>
  </si>
  <si>
    <t>Nhà nước đã giải thích một cách cơ bản về cải cách thuế, nhưng chi tiết và lý do thực sự còn hạn chế.</t>
  </si>
  <si>
    <t>Việc giảm trừ gia cảnh và đơn giản hóa thuế suất có thể làm tăng sự ủng hộ, nhưng rủi ro trốn thuế vẫn còn. Mức độ tuân thủ phụ thuộc vào mức độ tin cậy.</t>
  </si>
  <si>
    <t>Biện pháp quản lý thuế hiện nay đã được cải thiện đáng kể, đặc biệt là mức giảm trừ gia cảnh tăng lên. Điều này làm giảm khả năng trốn thuế nhưng vẫn cần công nghệ để phát hiện toàn diện.</t>
  </si>
  <si>
    <t>Công nghệ ngày càng phát triển và Nhà nước đã đầu tư vào các hệ thống quản lý thuế, tăng cường khả năng phát hiện hành vi trốn thuế. Tuy nhiên, vẫn còn vấn đề về sự phối hợp giữa các cơ quan.</t>
  </si>
  <si>
    <t>Đơn giản hóa biểu thuế và tăng mức giảm trừ gia cảnh giúp quá trình khai báo trở nên dễ dàng hơn, nhưng quy trình làm việc với cơ quan thuế vẫn cần cải thiện.</t>
  </si>
  <si>
    <t>Cách tính thuế mới đơn giản hơn so với trước đây, số bậc thuế giảm từ 7 xuống còn 5. Điều này giúp người dân dễ dàng hiểu và thực hiện.</t>
  </si>
  <si>
    <t>Nhà nước đã cải thiện đáng kể mức giảm trừ gia cảnh, đồng thời công bố rõ ràng về chính sách mới. Đây là một bước tiến trong việc tạo niềm tin đối với người dân.</t>
  </si>
  <si>
    <t>Lưu ý đến các thay đổi về bậc thuế và mức thu nhập chịu thuế, tôi thấy phương án mới vẫn đảm bảo tính công bằng nhưng cần thêm thời gian để đánh giá.</t>
  </si>
  <si>
    <t>Nhà nước đã giải thích rõ ràng về mục tiêu cải cách thuế. Việc sử dụng số tiền thuế thu được vào các dịch vụ công là một lợi ích lớn đối với người dân</t>
  </si>
  <si>
    <t>Các thông tin về lý do và mục tiêu của việc sửa đổi thuế đã được giải thích minh bạch. Tuy nhiên, vẫn cần thêm thời gian để đánh giá tác động thực tế.</t>
  </si>
  <si>
    <t>Sau khi xem xét các quyền lợi và nghĩa vụ, tôi ủng hộ chính sách mới vì nó mang lại nhiều lợi ích cho người dân. Tuy nhiên, việc tuân thủ phụ thuộc vào sự minh bạch và hiệu quả thực thi.</t>
  </si>
  <si>
    <t>Biểu thuế đơn giản, ngưỡng chịu thuế rõ ràng có thể giúp phát hiện gian lận dễ dàng hơn. Công nghệ hiện đại như AI cũng hỗ trợ việc kiểm tra và xử lý thuế hiệu quả.</t>
  </si>
  <si>
    <t>Công nghệ mới và quy định quản lý thuế chặt chẽ tạo điều kiện cho việc phát hiện trốn thuế một cách nhanh chóng. Cơ quan thuế có nhiều nguồn lực để xử lý nghiêm các hành vi vi phạm.</t>
  </si>
  <si>
    <t>Mức giảm trừ gia cảnh và người phụ thuộc tăng, cùng với biểu thuế đơn giản giúp quá trình khai báo thuế dễ dàng hơn. Các quy trình làm việc với cơ quan thuế cũng trở nên thuận tiện hơn.</t>
  </si>
  <si>
    <t>Biểu thuế được đơn giản hóa từ 7 bậc xuống còn 5, đồng thời ngưỡng chịu thuế rõ ràng giúp cách tính thuế dễ hiểu và thực hiện thuận tiện hơn.</t>
  </si>
  <si>
    <t>Nhìn chung, mức giảm trừ gia cảnh tăng có thể khiến tôi cảm thấy công bằng hơn trong việc nộp thuế. Tuy nhiên, vẫn còn nghi ngờ về tính khách quan và công bằng của cơ quan thuế.</t>
  </si>
  <si>
    <t>Thuế suất và ngưỡng chịu thuế rõ ràng nhưng chưa đủ minh bạch về mục tiêu chung. Cân nhắc thu nhập cá nhân hiện tại, mức thuế mới có vẻ công bằng hơn so với trước đây.</t>
  </si>
  <si>
    <t>Dù giảm trừ gia cảnh và ngưỡng chịu thuế tăng nhưng chưa rõ liệu số tiền thuế này sẽ được sử dụng hiệu quả như thế nào. Cảm giác tin tưởng vào việc sử dụng nguồn thu đúng mục đích vẫn còn thấp.</t>
  </si>
  <si>
    <t>Các thông điệp giải thích về lý do và mục tiêu cải cách thuế chưa rõ ràng, đặc biệt là với những người đã quen với hệ thống cũ. Sự thay đổi này cần thêm minh bạch.</t>
  </si>
  <si>
    <t>Thu nhập của tôi không quá cao nên mức giảm trừ gia cảnh và ngưỡng chịu thuế mới mang lại lợi ích đáng kể. Tuy nhiên, còn nghi ngờ về tính công bằng và mục đích sử dụng nguồn thu, do đó có sự cân nhắc trong việc tuân thủ.</t>
  </si>
  <si>
    <t>Các quy định quản lý thuế hiện nay có nhiều cải tiến như tăng giảm trừ gia cảnh, đơn giản hóa biểu thuế. Điều này làm giảm khả năng trốn thuế và tăng sự minh bạch, nên tôi tin rằng hành vi gian lận hoặc trốn thuế sẽ dễ dàng bị phát hiện và xử lý nghiêm.</t>
  </si>
  <si>
    <t>Việc nhà nước ban hành luật mới với nhiều cải tiến về quản lý thuế cho thấy họ có đủ khả năng và công nghệ để phát hiện, xử lý nghiêm các hành vi trốn thuế. Công nghệ ngày càng phát triển và hệ thống quản lý thuế cũng đang được nâng cấp.</t>
  </si>
  <si>
    <t>Mức giảm trừ gia cảnh tăng lên cùng với việc đơn giản hóa biểu thuế làm cho thủ tục khai báo thuế trở nên dễ dàng hơn. Quy trình làm việc với cơ quan thuế cũng được cải thiện, nhưng vẫn cần thêm thời gian để hoàn toàn linh hoạt.</t>
  </si>
  <si>
    <t>Cách tính thuế và các bậc thuế trong phương án mới đơn giản hơn so với trước đây. Điều này giúp tôi dễ dàng hiểu rõ mức thuế mình phải đóng mà không cần đến sự hỗ trợ từ bên thứ ba.</t>
  </si>
  <si>
    <t>Nhà nước đã cải thiện các quy định quản lý thuế để đảm bảo công bằng và minh bạch. Việc tăng giảm trừ gia cảnh cho thấy họ đối xử công bằng với mọi người nộp thuế, tạo sự tin tưởng.</t>
  </si>
  <si>
    <t>Mức thuế mới được thiết lập dựa trên thu nhập cá nhân của tôi. Tôi nghĩ rằng mức này là hợp lý và công bằng so với mức thuế trước đây.</t>
  </si>
  <si>
    <t>Tôi tin tưởng số tiền thuế tôi đóng sẽ được sử dụng hiệu quả để cải thiện dịch vụ công, đặc biệt là y tế và hạ tầng. Các cải tiến về quản lý thuế tạo niềm tin cho việc này.</t>
  </si>
  <si>
    <t>Nhà nước đã giải thích rõ ràng về mục tiêu của việc sửa đổi thuế mới. Thông qua các kênh truyền thông, tôi có thể hiểu được sự cần thiết và mục đích của cải cách này.</t>
  </si>
  <si>
    <t>Tôi sẽ ủng hộ chính sách mới vì lợi ích tài chính từ việc tăng giảm trừ gia cảnh cũng như mức thuế đơn giản hơn. Mặc dù vẫn còn nghi ngờ về thực thi, nhưng tôi tin rằng với các cải tiến mới, tuân thủ sẽ là lựa chọn tốt nhất.</t>
  </si>
  <si>
    <t>Hiện nay, với các quy định quản lý thuế được tăng cường và công nghệ phát triển, tôi tin rằng hành vi gian lận hoặc trốn thuế sẽ khó có thể tránh khỏi sự phát hiện. Các hệ thống giám sát ngày càng tinh vi.</t>
  </si>
  <si>
    <t>Nhà nước và cơ quan thuế đã đầu tư vào công nghệ để nâng cao hiệu quả trong việc quản lý và thu thuế, từ đó có thể phát hiện các hành vi trốn thuế một cách nhanh chóng.</t>
  </si>
  <si>
    <t>Tăng cường giảm trừ gia cảnh và đơn giản hóa biểu thuế đã làm cho quá trình khai báo thuế trở nên dễ dàng hơn. Các quy định rõ ràng, từ đó thủ tục cũng tiện lợi hơn.</t>
  </si>
  <si>
    <t>Cách tính thuế mới với ít bậc hơn và mức thuế suất hợp lý đã làm cho quá trình này đơn giản và dễ hiểu hơn so với trước đây.</t>
  </si>
  <si>
    <t>Tăng cường giảm trừ gia cảnh và điều chỉnh biểu thuế theo hướng công bằng sẽ giúp đảm bảo rằng mọi người nộp thuế được đối xử bình đẳng và khách quan.</t>
  </si>
  <si>
    <t>Mức thuế mới là hợp lý với thu nhập của tôi. Việc giảm các bậc thuế cũng làm cho việc tính toán trở nên dễ dàng hơn, tăng cảm giác công bằng.</t>
  </si>
  <si>
    <t>Hiện nay, số tiền thuế đóng sẽ được sử dụng hiệu quả để cải thiện dịch vụ công như y tế và giao thông. Điều này làm tăng niềm tin vào việc sử dụng nguồn lực một cách minh bạch.</t>
  </si>
  <si>
    <t>Nhà nước đã giải thích rõ ràng về lý do và mục tiêu của việc sửa đổi thuế, từ đó tôi thấy rằng quyết định này là cần thiết và hợp lý.</t>
  </si>
  <si>
    <t>Sau khi xem xét các quyền lợi và nghĩa vụ, tôi ủng hộ chính sách mới. Các thay đổi đã làm cho việc khai báo thuế trở nên dễ dàng hơn và mức thuế cũng công bằng hơn so với trước đây.</t>
  </si>
  <si>
    <t>Tăng mức giảm trừ gia cảnh và đơn giản hóa biểu thuế có thể làm giảm khả năng phát hiện trốn thuế, nhưng với các quy định quản lý thuế hiện tại, khả năng phát hiện vẫn còn. Công nghệ cũng hỗ trợ việc giám sát.</t>
  </si>
  <si>
    <t>Nhà nước và cơ quan thuế có công nghệ tiên tiến để theo dõi hành vi gian lận, nhưng trốn thuế vẫn tồn tại do sự phức tạp của hệ thống. Cần đầu tư thêm vào công nghệ.</t>
  </si>
  <si>
    <t>Mức giảm trừ gia cảnh tăng và số bậc thuế giảm có thể làm thủ tục đơn giản hơn, nhưng việc khai báo vẫn cần thời gian.</t>
  </si>
  <si>
    <t>Cách tính thuế mới đơn giản hơn so với trước đây. Biểu thuế từ 7 bậc xuống còn 5 bậc giúp dễ dàng hiểu và thực hiện.</t>
  </si>
  <si>
    <t>Những thay đổi trong chính sách thuế như tăng giảm trừ gia cảnh và đơn giản hóa biểu thuế có thể tạo ra cảm giác công bằng, nhưng cần thời gian để hình thành niềm tin hoàn toàn.</t>
  </si>
  <si>
    <t>Mức thuế mới dựa trên thu nhập cá nhân của tôi là hợp lý. Tuy nhiên, tôi cần thêm thông tin về cách sử dụng số tiền thuế này để cảm thấy thực sự công bằng.</t>
  </si>
  <si>
    <t>Tăng mức giảm trừ gia cảnh và đơn giản hóa biểu thuế có thể tạo ra niềm tin rằng số tiền thuế đóng sẽ được sử dụng hiệu quả. Tuy nhiên, cần thời gian để thấy kết quả cụ thể.</t>
  </si>
  <si>
    <t>Nhà nước đã giải thích rõ ràng về mục tiêu của việc sửa đổi thuế nhưng cần thêm minh bạch hơn về cách sử dụng số tiền thuế này. Tuy nhiên, tôi tin rằng thông điệp đã truyền đạt có giá trị.</t>
  </si>
  <si>
    <t>Tôi ủng hộ chính sách mới vì giảm trừ gia cảnh tăng và đơn giản hóa biểu thuế giúp giảm gánh nặng tài chính. Tuy nhiên, cần thêm thời gian để tôi cảm thấy chắc chắn về việc tuân thủ.</t>
  </si>
  <si>
    <t>Biểu thuế được đơn giản hóa và rõ ràng hơn, giảm số bậc từ 7 xuống còn 5. Mức giảm trừ gia cảnh tăng giúp người dân tiết kiệm chi phí. Tuy nhiên, không có thông tin về công nghệ phát hiện trốn thuế.</t>
  </si>
  <si>
    <t>Công nghệ ngày càng phát triển, nhưng chưa rõ liệu cơ quan thuế đã áp dụng công nghệ nào để phát hiện gian lận. Đơn giản hóa biểu thuế và tăng mức giảm trừ gia cảnh có thể giúp tăng khả năng tuân thủ.</t>
  </si>
  <si>
    <t>Biểu thuế được đơn giản hóa từ 7 bậc xuống còn 5, thu nhập chịu thuế thấp hơn cũng sẽ dễ dàng khai báo hơn. Tuy nhiên, không có thông tin về sự thay đổi trong quy trình làm việc với cơ quan thuế.</t>
  </si>
  <si>
    <t>Biểu thuế mới đơn giản hơn, số bậc giảm từ 7 xuống còn 5, tạo cảm giác dễ hiểu và thực hiện hơn. Tuy nhiên, không rõ liệu cách tính mới có cải thiện sự tiện lợi trong việc khai báo hay không.</t>
  </si>
  <si>
    <t>Mức giảm trừ gia cảnh tăng lên giúp người dân tiết kiệm chi phí, tạo cảm giác công bằng. Tuy nhiên, chưa rõ liệu cơ quan thuế có thực thi chính sách một cách khách quan và công tâm hay không.</t>
  </si>
  <si>
    <t>Mức thuế mới được đơn giản hóa, nhưng chưa rõ liệu mức này có công bằng với thu nhập hiện tại của tôi hay không. Tuy nhiên, mức giảm trừ gia cảnh tăng lên tạo cảm giác công bằng hơn.</t>
  </si>
  <si>
    <t>Mức giảm trừ gia cảnh tăng lên, nhưng chưa rõ liệu số tiền thuế đóng có được sử dụng hiệu quả để cải thiện dịch vụ công hay không. Tuy nhiên, điều này tạo cảm giác tin tưởng hơn vào việc sử dụng nguồn thu.</t>
  </si>
  <si>
    <t>Công nghệ và thông tin giải thích về chính sách chưa rõ ràng, chưa giúp tôi hiểu đầy đủ về mục tiêu của việc sửa đổi thuế. Tuy nhiên, mức giảm trừ gia cảnh tăng lên tạo cảm giác công bằng hơn.</t>
  </si>
  <si>
    <t>Mức giảm trừ gia cảnh tăng lên và biểu thuế đơn giản hóa giúp tôi thấy rõ ràng về quyền lợi của mình, nhưng chưa có thông tin đầy đủ về cách thức thực thi chính sách. Tuy nhiên, mức giảm trừ gia cảnh tăng lên tạo cảm giác công bằng hơn.</t>
  </si>
  <si>
    <t>Cải cách thuế hiện nay có mức giảm trừ gia cảnh cao hơn, nhưng không đề cập nhiều đến công nghệ phát hiện gian lận. Điều này làm giảm độ tin cậy về khả năng phát hiện trốn thuế.</t>
  </si>
  <si>
    <t>Nhà nước và cơ quan thuế có nhiều nguồn lực để phát triển công nghệ, nhưng không đề cập cụ thể đến việc áp dụng công nghệ mới trong quản lý thuế. Do đó, khả năng phát hiện trốn thuế chưa chắc chắn.</t>
  </si>
  <si>
    <t>Cải cách giảm bớt số bậc thuế từ 7 xuống 5, đơn giản hóa quy trình khai báo. Đây là một cải tiến đáng kể so với trước đây.</t>
  </si>
  <si>
    <t>Biểu thuế mới đơn giản hơn nhưng chưa đề cập đến việc tính toán cụ thể. Người nộp thuế cần thời gian để làm quen, nên đánh giá trung bình.</t>
  </si>
  <si>
    <t>Mức giảm trừ gia cảnh cao hơn và số bậc thuế ít đi tạo cảm giác công bằng. Tuy nhiên, cải cách chưa rõ ràng về mặt quản lý và thực thi.</t>
  </si>
  <si>
    <t>Thuế mới có mức thuế suất phù hợp với thu nhập của tôi nhưng không biết liệu Nhà nước đã tính toán như thế nào để đưa ra mức này. Do đó, chưa thể chắc chắn về sự công bằng.</t>
  </si>
  <si>
    <t>Cải cách thuế mới có mục tiêu rõ ràng là cải thiện dịch vụ công nhưng không đề cập cụ thể đến việc sử dụng số tiền thuế thu được như thế nào. Điều này làm giảm độ tin cậy về khả năng sử dụng hiệu quả.</t>
  </si>
  <si>
    <t>Cải cách mới chưa giải thích rõ ràng lý do và mục tiêu, nhưng cải thiện về mặt quản lý thuế tạo cảm giác Nhà nước đang làm việc để cải thiện hệ thống. Tuy nhiên, thông tin thiếu minh bạch.</t>
  </si>
  <si>
    <t>Cải cách mới có lợi cho tôi về mặt giảm trừ gia cảnh và đơn giản hóa quy trình khai báo nhưng không hoàn toàn thuyết phục về thực thi và quản lý. Do đó, quyết định ủng hộ tuân thủ vẫn còn cân nhắc.</t>
  </si>
  <si>
    <t>Dựa trên thông tin, mức giảm trừ gia cảnh tăng, nhưng không biết công nghệ phát hiện trốn thuế có cải thiện hay chưa.</t>
  </si>
  <si>
    <t>Nhà nước và cơ quan thuế có khả năng phát hiện hành vi gian lận, nhưng không chắc chắn với quy định mới.</t>
  </si>
  <si>
    <t>Bậc thuế được đơn giản hóa từ 7 xuống 5, giảm độ phức tạp, nhưng không rõ liệu thủ tục khai báo có thực sự thuận tiện hơn hay không.</t>
  </si>
  <si>
    <t>Cách tính thuế mới đơn giản hơn so với trước đây, nhưng chưa rõ cụ thể từng bước như thế nào.</t>
  </si>
  <si>
    <t>Niềm tin vào việc thực thi công bằng có tăng do giảm trừ gia cảnh lớn và bậc thuế đơn giản hơn, nhưng vẫn cần thời gian để kiểm chứng.</t>
  </si>
  <si>
    <t>Mức thuế mới được tính dựa trên thu nhập nên hợp lý, nhưng chưa rõ ràng về minh bạch trong việc sử dụng số tiền thuế thu được.</t>
  </si>
  <si>
    <t>Đồng ý với việc giảm trừ gia cảnh lớn hơn và bậc thuế đơn giản, nhưng cần thời gian để thấy hiệu quả thực tế trong cải thiện dịch vụ công.</t>
  </si>
  <si>
    <t>Tăng mức giảm trừ gia cảnh và đơn giản hóa biểu thuế, nhưng chưa rõ ràng về việc giải thích minh bạch từ Nhà nước.</t>
  </si>
  <si>
    <t>Nhìn chung, các thay đổi có lợi cho tôi nhưng vẫn cần thời gian để đánh giá hiệu quả thực tế. Niềm tin và sự công bằng dần tăng lên nên sẽ ủng hộ.</t>
  </si>
  <si>
    <t>Cải cách thuế TNCN có nhiều quy định quản lý mới, tăng mức giảm trừ gia cảnh và đơn giản hóa biểu thuế. Điều này làm giảm khả năng trốn thuế, nhưng vẫn cần công nghệ hiện đại để phát hiện gian lận.</t>
  </si>
  <si>
    <t>Nhà nước đã đầu tư vào công nghệ và nguồn lực cho cơ quan thuế, tăng cường kiểm soát và xử lý nghiêm các hành vi trốn thuế. Công nghệ như hệ thống điện tử hóa khai thuế cũng giúp phát hiện gian lận.</t>
  </si>
  <si>
    <t>Bậc thuế được đơn giản hóa từ 7 bậc xuống 5, giảm thủ tục rườm rà. Tuy nhiên, việc thực hiện quy trình khai báo vẫn còn phức tạp do chưa hoàn toàn số hóa.</t>
  </si>
  <si>
    <t>Cách tính thuế mới đơn giản hơn với ít bậc thuế và ngưỡng chịu thuế rõ ràng hơn. Đây là cải tiến đáng kể so với trước đây, giúp người dân dễ hiểu và thực hiện.</t>
  </si>
  <si>
    <t>Nhà nước đã tăng giảm trừ gia cảnh, làm giảm gánh nặng cho người thu nhập thấp. Tuy nhiên, mức thuế mới chưa hoàn toàn công bằng với tất cả mọi người do sự chênh lệch về thu nhập.</t>
  </si>
  <si>
    <t>Mức thuế mới có thể coi là công bằng cho người thu nhập trung bình nhưng không áp dụng được cho người thu nhập cao. Tuy nhiên, mức giảm trừ gia cảnh tăng lên vẫn tạo cảm giác hợp lý.</t>
  </si>
  <si>
    <t>Nhà nước đã sử dụng số tiền thuế thu được để đầu tư vào y tế và hạ tầng công cộng. Điều này tạo niềm tin cho người dân về việc sử dụng hiệu quả nguồn lực thuế.</t>
  </si>
  <si>
    <t>Công bố thông tin rõ ràng về mục tiêu của cải cách thuế giúp người dân hiểu được ý nghĩa và cần thiết của nó. Tuy nhiên, vẫn còn nhiều thông điệp chưa thuyết phục được mọi người.</t>
  </si>
  <si>
    <t>Dù mức thuế mới có thể hợp lý hơn nhưng gánh nặng về tài chính và sự phức tạp trong quy trình khai báo khiến tôi cân nhắc. Tôi sẵn sàng tuân thủ nếu lợi ích rõ ràng.</t>
  </si>
  <si>
    <t>Các quy định quản lý thuế hiện nay được cải thiện với mức giảm trừ gia cảnh cao hơn, giúp phát hiện và xử lý gian lận hoặc trốn thuế trở nên khó khăn hơn. Công nghệ hiện đại cũng hỗ trợ việc này.</t>
  </si>
  <si>
    <t>Việc áp dụng công nghệ tiên tiến trong quản lý thuế sẽ tăng cường khả năng phát hiện và xử lý nghiêm các hành vi trốn thuế, tạo ra một môi trường minh bạch hơn.</t>
  </si>
  <si>
    <t>Mức giảm trừ gia cảnh cao hơn giúp đơn giản hóa quy trình khai báo thuế, tuy nhiên việc áp dụng biểu thuế mới có thể làm tăng độ phức tạp cho người nộp thuế không quen thuộc với nó.</t>
  </si>
  <si>
    <t>Các bậc thuế được đơn giản hóa từ 7 xuống 5, giúp cách tính thuế và các bậc thuế trở nên dễ hiểu hơn. Tuy nhiên, việc điều chỉnh mức thu nhập chịu thuế có thể làm tăng độ phức tạp.</t>
  </si>
  <si>
    <t>Nhà nước đã cải thiện mức giảm trừ gia cảnh, tạo ra sự công bằng hơn trong việc áp dụng thuế cho mọi người nộp thuế. Điều này tăng niềm tin vào khách quan và công tâm của cơ quan thuế.</t>
  </si>
  <si>
    <t>Mức thuế mới được thiết kế để phù hợp với thu nhập, tạo cảm giác công bằng. Tuy nhiên, mức độ hiểu rõ về mục tiêu chính sách có thể không cao đối với một số người.</t>
  </si>
  <si>
    <t>Thuế được sử dụng hiệu quả hơn để cải thiện dịch vụ công, tăng niềm tin vào việc sử dụng nguồn thu thuế. Tuy nhiên, sự minh bạch về cách sử dụng ngân sách còn hạn chế.</t>
  </si>
  <si>
    <t>Nhà nước đã giải thích rõ ràng về mục tiêu chính sách mới, tuy nhiên, cần thêm thông tin chi tiết để thuyết phục hoàn toàn mọi người.</t>
  </si>
  <si>
    <t>Sau khi xem xét các quyền lợi và nghĩa vụ, tôi thấy chính sách mới mang lại nhiều lợi ích, tăng niềm tin vào việc áp dụng thuế một cách công bằng. Tuy nhiên, sự phức tạp trong biểu thuế có thể làm giảm khả năng tuân thủ.</t>
  </si>
  <si>
    <t>Các quy định quản lý thuế hiện nay đã được cải thiện, đặc biệt là việc tăng mức giảm trừ gia cảnh. Tuy nhiên, khả năng phát hiện trốn thuế phụ thuộc vào nguồn lực và công nghệ của cơ quan thuế.</t>
  </si>
  <si>
    <t>Công nghệ ngày càng tiên tiến giúp phát hiện trốn thuế dễ dàng hơn. Các quy định quản lý thuế mới cũng tăng cường khả năng giám sát.</t>
  </si>
  <si>
    <t>Biểu thuế được đơn giản hóa từ 7 bậc xuống còn 5, làm cho quá trình khai báo và làm việc với cơ quan thuế trở nên dễ dàng hơn. Mức giảm trừ gia cảnh tăng lên cũng giúp thủ tục thuận tiện.</t>
  </si>
  <si>
    <t>Cách tính thuế mới đơn giản hơn, số bậc thuế ít đi đã làm cho việc hiểu và thực hiện quy định trở nên dễ dàng hơn.</t>
  </si>
  <si>
    <t>Chính phủ đã tăng mức giảm trừ gia cảnh, điều này thể hiện sự công bằng đối với người nộp thuế. Tuy nhiên, tôi vẫn nghi ngờ về khả năng thực thi chính sách một cách công tâm và khách quan.</t>
  </si>
  <si>
    <t>Mức thuế mới được thiết kế dựa trên thu nhập cá nhân của tôi, cho thấy mức thuế này là hợp lý. Tuy nhiên, tôi vẫn lo ngại về việc có thể bị trừng phạt bất công.</t>
  </si>
  <si>
    <t>Một phần thu nhập của tôi sẽ được sử dụng để cải thiện dịch vụ công, điều này làm tăng niềm tin vào việc sử dụng tiền thuế một cách hiệu quả. Tuy nhiên, tôi vẫn lo ngại về khả năng thực hiện.</t>
  </si>
  <si>
    <t>Đã có nhiều thông tin được giải thích về lý do và mục tiêu của việc sửa đổi thuế này. Tuy nhiên, tôi vẫn nghi ngờ về độ minh bạch và sự thuyết phục của các thông điệp truyền thông.</t>
  </si>
  <si>
    <t>Sau khi cân nhắc lợi ích và nghĩa vụ, tôi thấy chính sách mới mang lại nhiều thuận lợi hơn. Tuy nhiên, tôi vẫn có những lo ngại về việc thực thi và công bằng trong quá trình thực hiện.</t>
  </si>
  <si>
    <t>Quy định quản lý thuế hiện nay có nhiều biện pháp phát hiện hành vi gian lận, như công nghệ theo dõi và cảnh báo. Đây là một yếu tố quan trọng để đảm bảo công bằng.</t>
  </si>
  <si>
    <t>Công nghệ ngày càng phát triển giúp cơ quan thuế có khả năng phát hiện trốn thuế hiệu quả hơn, giảm thiểu lợi thế cho người gian lận.</t>
  </si>
  <si>
    <t>Mức giảm trừ gia cảnh tăng lên và quy trình làm việc đơn giản hóa đã tạo thuận tiện cho quá trình khai báo thuế. Điều này giúp tiết kiệm thời gian và công sức của người nộp thuế.</t>
  </si>
  <si>
    <t>Biểu thuế được đơn giản hóa, dễ hiểu hơn so với trước đây, đặc biệt là với những người thu nhập trung bình như tôi. Điều này làm cho quá trình tính thuế trở nên dễ dàng và minh bạch.</t>
  </si>
  <si>
    <t>Nhà nước đã tăng mức giảm trừ gia cảnh và đơn giản hóa quy trình khai báo, tạo sự công bằng trong việc đánh thuế. Điều này làm tăng niềm tin vào tính công tâm của chính sách.</t>
  </si>
  <si>
    <t>Dựa trên thông tin về mức thuế mới, tôi thấy rằng mức thuế mà tôi phải đóng là phù hợp với thu nhập hiện tại của mình. Điều này tạo cảm giác công bằng trong việc đánh thuế.</t>
  </si>
  <si>
    <t>Mức tăng giảm trừ gia cảnh và đơn giản hóa quy trình khai báo thuế làm tăng niềm tin vào việc sử dụng hiệu quả số tiền thuế để cải thiện dịch vụ công. Tuy nhiên, cần thời gian để xem xét tác động thực tế.</t>
  </si>
  <si>
    <t>Quy định mới về thuế đã được giải thích một cách rõ ràng và minh bạch qua các kênh thông tin chính thức, tạo sự hiểu biết cho người dân. Tuy nhiên, việc kiểm chứng thực tế vẫn cần thời gian.</t>
  </si>
  <si>
    <t>Nhìn chung, tôi ủng hộ chính sách mới do mức giảm trừ gia cảnh tăng lên và quy trình khai báo thuế đơn giản hơn. Điều này sẽ giúp giảm gánh nặng về mặt tài chính và thời gian cho người dân.</t>
  </si>
  <si>
    <t>Hiện nay, với mức giảm trừ gia cảnh tăng mạnh và sự đơn giản hóa quy trình khai báo thuế, việc phát hiện hành vi gian lận hoặc trốn thuế sẽ khó khăn hơn. Tuy nhiên, công nghệ phát triển có thể hỗ trợ trong việc giám sát.</t>
  </si>
  <si>
    <t>Dựa trên thông tin, Nhà nước và cơ quan thuế đang áp dụng nhiều biện pháp kỹ thuật để phát hiện trốn thuế. Công nghệ AI và hệ thống quản lý thuế hiện đại cũng giúp tăng cường khả năng kiểm soát.</t>
  </si>
  <si>
    <t>Mức giảm trừ gia cảnh tăng mạnh, cộng với việc đơn giản hóa quy trình khai báo thuế sẽ làm cho thủ tục trở nên thuận tiện và nhanh chóng hơn.</t>
  </si>
  <si>
    <t>Biểu thuế được rút gọn từ 7 bậc xuống còn 5 bậc, điều này giúp việc tính toán và thực hiện tax calculation dễ dàng hơn so với trước đây.</t>
  </si>
  <si>
    <t>Mức giảm trừ gia cảnh tăng mạnh, cùng với sự đơn giản hóa biểu thuế có thể làm cho tôi cảm thấy chính sách mới khách quan và công bằng hơn.</t>
  </si>
  <si>
    <t>So với mức thu trước đây, mức thuế mới phù hợp với thu nhập của tôi. Biểu thuế rõ ràng hơn giúp tôi cảm thấy mức thu là công bằng.</t>
  </si>
  <si>
    <t>Sau khi xem xét, tôi tin rằng số tiền thuế đóng sẽ được sử dụng hiệu quả để cải thiện dịch vụ công, mặc dù không có thông tin chi tiết về cách sử dụng cụ thể.</t>
  </si>
  <si>
    <t>Thông tin về lý do và mục tiêu của việc sửa đổi thuế được truyền tải rõ ràng hơn, giúp tôi hiểu rõ hơn về quyết định này.</t>
  </si>
  <si>
    <t>Tính công bằng trong mức thu thuế và quy trình khai báo thuận tiện làm tăng khả năng tuân thủ. Tuy nhiên, sự phức tạp của các thông điệp truyền thông chưa hoàn toàn thuyết phục tôi.</t>
  </si>
  <si>
    <t>Các quy định quản lý thuế hiện nay chưa rõ ràng và có nhiều lỗ hổng, dễ bị lợi dụng.</t>
  </si>
  <si>
    <t>Dù công nghệ phát triển, nhưng khả năng phát hiện trốn thuế vẫn phụ thuộc vào nguồn lực con người, mà không phải lúc nào cũng đủ.</t>
  </si>
  <si>
    <t>Mức giảm trừ gia cảnh tăng và biểu thuế đơn giản hơn, giúp việc khai báo nhanh chóng và dễ dàng hơn.</t>
  </si>
  <si>
    <t>Biểu thuế mới có ít bậc hơn so với trước, nhưng vẫn giữ nguyên mức thuế suất, không quá rõ ràng về cách tính.</t>
  </si>
  <si>
    <t>Nhà nước đã cố gắng thực thi chính sách công bằng và khách quan, nhưng cần cải thiện hơn nữa trong việc đối xử bình đẳng với mọi người nộp thuế.</t>
  </si>
  <si>
    <t>Mức thuế mới có thể hợp lý đối với thu nhập hiện tại của tôi, nhưng vẫn chưa hoàn toàn công bằng so với mức sống chung.</t>
  </si>
  <si>
    <t>Tôi tin rằng số tiền thuế đóng sẽ được sử dụng hiệu quả cho các dịch vụ công, nhưng cần thêm minh bạch về việc này.</t>
  </si>
  <si>
    <t>Nhà nước đã giải thích một cách rõ ràng về lý do và mục tiêu của cải cách thuế, giúp tôi hiểu rõ hơn.</t>
  </si>
  <si>
    <t>Tăng mức giảm trừ gia cảnh và đơn giản hóa biểu thuế là lợi ích lớn đối với thu nhập hiện tại của tôi, làm tăng khả năng tuân thủ.</t>
  </si>
  <si>
    <t>Biện pháp quản lý thuế hiện đại, với sự hỗ trợ của công nghệ, khiến việc phát hiện trốn thuế trở nên dễ dàng hơn. Điều này tạo niềm tin cho người dân về khả năng kiểm soát của cơ quan thuế.</t>
  </si>
  <si>
    <t>Công nghệ và quy định mới giúp cải thiện khả năng phát hiện và xử lý trốn thuế, nhưng vẫn cần sự giám sát chặt chẽ để đảm bảo công bằng. Điều này tạo ra niềm tin nhất định về việc thực thi.</t>
  </si>
  <si>
    <t>Biểu thuế đơn giản hơn, ngưỡng chịu thuế rõ ràng và giảm trừ gia cảnh tăng, giúp quá trình khai báo trở nên thuận tiện hơn. Tuy nhiên, quy trình làm việc với cơ quan thuế vẫn chưa tối ưu hóa hoàn toàn.</t>
  </si>
  <si>
    <t>Các bậc thuế mới đơn giản hóa cách tính và dễ hiểu hơn so với trước đây, tăng sự tiện lợi cho người nộp thuế. Điều này mang lại cảm giác thuận tiện trong việc tuân thủ chính sách.</t>
  </si>
  <si>
    <t>Nhà nước thực hiện nhiều cải cách để đảm bảo tính công bằng và khách quan trong quản lý thuế, tạo niềm tin cho người nộp thuế. Tuy nhiên, vẫn cần thời gian để hoàn thiện quy trình.</t>
  </si>
  <si>
    <t>Mức thuế mới dựa trên cải cách này được thiết kế nhằm công bằng hơn với thu nhập hiện tại của tôi. Điều này tạo cảm giác rằng tôi đóng góp một mức hợp lý vào hệ thống thuế.</t>
  </si>
  <si>
    <t>Số tiền thuế được sử dụng để cải thiện các dịch vụ công, như y tế và giao thông, tạo niềm tin cho người nộp thuế về việc số tiền họ đóng góp sẽ được sử dụng hiệu quả. Tuy nhiên, cần thời gian để thấy kết quả.</t>
  </si>
  <si>
    <t>Nhà nước đã cung cấp thông tin minh bạch và rõ ràng về mục tiêu cải cách thuế lần này. Điều này giúp tôi hiểu được lý do đằng sau các thay đổi, nhưng cần thêm thời gian để hoàn toàn thuyết phục.</t>
  </si>
  <si>
    <t>Sau khi xem xét các quyền lợi và nghĩa vụ mới, tôi thấy rằng cải cách thuế này mang lại nhiều lợi ích cho người nộp thuế. Tuy nhiên, vẫn cần thời gian để hoàn toàn tin tưởng vào quy trình thực thi.</t>
  </si>
  <si>
    <t>Các quy định quản lý thuế hiện nay có nhiều biện pháp phát hiện gian lận, trốn thuế. Tuy nhiên, vẫn còn khả năng bị bỏ lọt do độ phức tạp của hệ thống.</t>
  </si>
  <si>
    <t>Việc áp dụng công nghệ trong quản lý thuế giúp tăng cường hiệu quả phát hiện và xử lý trốn thuế. Tuy nhiên, vẫn cần cải thiện về mặt kỹ thuật để giảm thiểu rủi ro bỏ lọt.</t>
  </si>
  <si>
    <t>Hệ thống khai báo thuế đã đơn giản hóa quy trình, giảm bớt bước đi thủ tục. Việc sử dụng công nghệ như phần mềm khai thuế trực tuyến cũng giúp việc làm việc với cơ quan thuế nhanh chóng hơn.</t>
  </si>
  <si>
    <t>Biểu thuế mới đơn giản hóa bậc thuế, dễ hiểu và thực hiện. Tuy nhiên, người dùng cần thời gian để thích nghi với hệ thống mới.</t>
  </si>
  <si>
    <t>Nhà nước đã cải thiện quy định về giảm trừ gia cảnh, thể hiện sự công bằng trong việc đánh thuế. Việc thực thi chính sách vẫn còn phụ thuộc vào cách áp dụng của cơ quan thuế.</t>
  </si>
  <si>
    <t>Mức thuế mới được thiết kế sao cho phù hợp với thu nhập cá nhân, thể hiện tính công bằng. Tuy nhiên, cần thêm thời gian để đánh giá hiệu quả thực tế của chính sách.</t>
  </si>
  <si>
    <t>Thuế đóng góp vào việc cải thiện dịch vụ công, nhưng hiệu quả sử dụng nguồn thu còn phụ thuộc vào quản lý chi tiêu của Nhà nước. Tuy nhiên, quy định mới về giảm trừ gia cảnh đã làm tăng niềm tin.</t>
  </si>
  <si>
    <t>Nhà nước đã giải thích công khai về mục đích cải cách thuế. Tuy nhiên, việc truyền thông đầy đủ và rõ ràng vẫn cần được cải thiện.</t>
  </si>
  <si>
    <t>Dù có nhiều ưu điểm nhưng tôi vẫn còn lo ngại về khả năng thực thi chính sách mới. Tuy nhiên, với mức thuế thấp hơn, tôi sẽ tuân thủ để tận dụng lợi ích từ chính sách này.</t>
  </si>
  <si>
    <t>Quy định quản lý thuế hiện nay tăng mức giảm trừ gia cảnh, nhưng không đề cập đến công nghệ phát hiện trốn thuế. Điều này làm giảm sự tin tưởng vào khả năng phát hiện gian lận.</t>
  </si>
  <si>
    <t>Như ENF1, chính sách mới chưa đề cập rõ về công nghệ phát hiện trốn thuế, tuy nhiên đây là vấn đề quan trọng và cần được cải thiện.</t>
  </si>
  <si>
    <t>Mức giảm trừ gia cảnh tăng giúp đơn giản hóa quy trình khai báo thuế, cộng với việc rút gọn biểu thuế tạo cảm giác thuận tiện hơn.</t>
  </si>
  <si>
    <t>Biểu thuế được đơn giản hóa từ 7 bậc xuống 5, giảm độ phức tạp và dễ hiểu hơn cho người nộp thuế.</t>
  </si>
  <si>
    <t>Mức giảm trừ gia cảnh tăng giúp tôi cảm thấy công bằng hơn, tuy nhiên vẫn còn nghi ngờ về cách thực thi chính sách.</t>
  </si>
  <si>
    <t>Với mức giảm trừ gia cảnh mới, tôi cảm thấy thuế mình đóng là hợp lý, nhưng cần thêm thông tin về cách sử dụng số tiền thu được.</t>
  </si>
  <si>
    <t>Tăng mức giảm trừ gia cảnh giúp cải thiện dịch vụ công, tuy nhiên vẫn có nghi ngờ về việc sử dụng hiệu quả số tiền thuế.</t>
  </si>
  <si>
    <t>Công bố thông tin rõ ràng về mục tiêu của chính sách mới là điểm mạnh, nhưng cần thêm minh bạch trong quá trình thực hiện.</t>
  </si>
  <si>
    <t>Sau khi xem xét các quyền lợi tăng lên, tôi có xu hướng ủng hộ và tuân thủ chính sách mới hơn. Tuy nhiên, vẫn còn nghi ngờ về khả năng phát hiện trốn thuế.</t>
  </si>
  <si>
    <t>Các quy định quản lý thuế hiện nay đã được cải thiện, tăng mức giảm trừ gia cảnh và đơn giản hóa biểu thuế, giúp phát hiện trốn thuế khó hơn. Công nghệ cũng đóng vai trò quan trọng trong việc giám sát.</t>
  </si>
  <si>
    <t>Công nghệ hiện đại như AI và Big Data đã được áp dụng để phát hiện gian lận, nâng cao hiệu quả quản lý thuế. Ngoài ra, tăng cường công tác kiểm tra cũng giúp xử lý nghiêm các hành vi trốn thuế.</t>
  </si>
  <si>
    <t>Các quy định về giảm trừ gia cảnh và đơn giản hóa biểu thuế đã làm cho thủ tục khai báo thuế trở nên dễ dàng hơn. Tuy nhiên, vẫn cần cải thiện nữa để nâng cao tính tiện lợi.</t>
  </si>
  <si>
    <t>Cách tính thuế mới đã được đơn giản hóa và rõ ràng hơn so với trước đây, giúp người dân hiểu dễ dàng hơn về mức thuế mình phải đóng.</t>
  </si>
  <si>
    <t>Nhà nước đã tăng cường công tác quản lý thuế và cải thiện quy định giảm trừ gia cảnh, tạo cảm giác rằng chính sách mới được thực thi khách quan và công bằng hơn.</t>
  </si>
  <si>
    <t>Mức thuế mới theo phương án mới có thể phù hợp với thu nhập của tôi, tạo cảm giác mức thuế đóng là công bằng. Tuy nhiên, do nhiều lần sửa đổi trước đây, vẫn còn sự nghi ngờ về tính công bằng.</t>
  </si>
  <si>
    <t>Mức tăng giảm trừ gia cảnh và đơn giản hóa biểu thuế có thể giúp cải thiện dịch vụ công, nhưng cần thời gian để thấy hiệu quả thực tế.</t>
  </si>
  <si>
    <t>Nhà nước đã giải thích rõ ràng về mục tiêu của việc sửa đổi thuế, tuy nhiên, do nhiều lần sửa đổi trước đây và chưa có minh bạch đầy đủ, tôi vẫn còn nghi ngờ.</t>
  </si>
  <si>
    <t>Sau khi xem xét các quyền lợi và nghĩa vụ, mặc dù mức thuế mới có thể phù hợp với thu nhập của tôi, nhưng do nhiều lần sửa đổi trước đây và chưa hoàn toàn tin tưởng vào thực thi chính sách, tôi sẽ tuân thủ điều kiện.</t>
  </si>
  <si>
    <t>Biểu thuế đơn giản hơn, giảm bậc thuế từ 7 xuống còn 5, giúp việc quản lý và phát hiện gian lận dễ dàng hơn. Tăng mức giảm trừ gia cảnh cũng tạo ra lợi ích cụ thể cho người nộp thuế.</t>
  </si>
  <si>
    <t>Công nghệ ngày càng tiên tiến, có khả năng tích hợp dữ liệu từ nhiều nguồn để phát hiện gian lận. Tăng mức giảm trừ gia cảnh cũng tạo ra lợi ích cụ thể cho người nộp thuế.</t>
  </si>
  <si>
    <t>Số bậc thuế giảm từ 7 xuống còn 5, đơn giản hóa quy trình khai báo thuế. Mức giảm trừ gia cảnh tăng làm thủ tục trở nên tiện lợi hơn cho người dân.</t>
  </si>
  <si>
    <t>Biểu thuế mới có ít bậc hơn và mức thuế suất rõ ràng hơn, dễ hiểu và dễ thực hiện hơn so với trước đây. Mức giảm trừ gia cảnh tăng cũng tạo nên sự tiện lợi cho người nộp thuế.</t>
  </si>
  <si>
    <t>Mức giảm trừ gia cảnh tăng, tạo ra lợi ích cụ thể cho người nộp thuế. Biểu thuế đơn giản và rõ ràng hơn, làm giảm rủi ro về gian lận. Tuy nhiên, vẫn còn nhiều nghi ngờ về việc thực thi chính sách một cách công bằng.</t>
  </si>
  <si>
    <t>Biểu thuế mới có ít bậc hơn và mức thuế suất rõ ràng hơn, tạo nên cảm giác công bằng cho người nộp thuế. Tuy nhiên, cần thêm thời gian để đánh giá hiệu quả thực tế của chính sách.</t>
  </si>
  <si>
    <t>Mức giảm trừ gia cảnh tăng tạo ra lợi ích cụ thể cho người nộp thuế. Biểu thuế đơn giản và rõ ràng hơn cũng tạo nên sự tin tưởng về việc sử dụng số tiền thuế một cách hiệu quả.</t>
  </si>
  <si>
    <t>Biểu thuế mới có ít bậc hơn, mức thuế suất rõ ràng hơn, dễ hiểu và dễ thực hiện. Tuy nhiên, vẫn còn nhiều nghi ngờ về việc giải thích rõ ràng của Nhà nước về mục tiêu chính sách.</t>
  </si>
  <si>
    <t>Sau khi xem xét các quyền lợi và nghĩa vụ, tôi thấy lợi ích cụ thể từ mức giảm trừ gia cảnh tăng. Biểu thuế đơn giản hơn cũng tạo nên sự thuận tiện cho việc tuân thủ. Tuy nhiên, vẫn còn nhiều nghi ngờ về thực thi chính sách một cách công bằng.</t>
  </si>
  <si>
    <t>Hiện nay, với mức giảm trừ gia cảnh tăng mạnh và biểu thuế đơn giản hơn, việc phát hiện gian lận hoặc trốn thuế sẽ khó khăn hơn. Tuy nhiên, công nghệ phát triển có thể giúp cải thiện khả năng phát hiện.</t>
  </si>
  <si>
    <t>Công nghệ tiên tiến và quản lý thuế chặt chẽ hơn sẽ giúp phát hiện và xử lý nghiêm các hành vi trốn thuế. Tuy nhiên, vẫn cần sự phối hợp tốt giữa cơ quan thuế với công chúng.</t>
  </si>
  <si>
    <t>Biểu thuế đơn giản hóa từ 7 bậc xuống còn 5 bậc giúp quy trình khai báo thuế trở nên dễ dàng hơn. Tuy nhiên, quá trình làm việc với cơ quan thuế vẫn cần cải thiện.</t>
  </si>
  <si>
    <t>Cách tính thuế và các bậc thuế mới đơn giản hóa so với trước đây, giúp người dân hiểu rõ hơn về mức thuế phải đóng. Điều này tăng độ minh bạch và dễ thực hiện.</t>
  </si>
  <si>
    <t>Nhà nước đã cải thiện giảm trừ gia cảnh cho bản thân và người phụ thuộc, nhưng vẫn cần đảm bảo tính công bằng trong việc áp dụng các quy định quản lý thuế.</t>
  </si>
  <si>
    <t>Mức thuế mới được điều chỉnh phù hợp với thu nhập của tôi. Tuy nhiên, mức độ công bằng còn phụ thuộc vào cách thực thi và hiệu quả sử dụng nguồn thu</t>
  </si>
  <si>
    <t>Tôi tin rằng số tiền thuế đóng sẽ được sử dụng hiệu quả để cải thiện các dịch vụ công. Tuy nhiên, cần có sự minh bạch trong việc sử dụng nguồn thu.</t>
  </si>
  <si>
    <t>Nhà nước đã giải thích rõ ràng về lý do và mục tiêu của việc sửa đổi thuế. Sự minh bạch này tăng niềm tin vào quyết định của chính phủ.</t>
  </si>
  <si>
    <t>Sau khi cân nhắc, tôi thấy lợi ích từ chính sách mới là đáng giá. Tuy nhiên, cần có sự giám sát chặt chẽ để đảm bảo tuân thủ và sử dụng nguồn thu hiệu quả.</t>
  </si>
  <si>
    <t>Biểu thuế đơn giản hơn và mức giảm trừ gia cảnh tăng, nhưng vẫn chưa rõ liệu công nghệ mới có đủ hiệu quả để phát hiện trốn thuế.</t>
  </si>
  <si>
    <t>Việc cải cách thuế thu nhập cá nhân giúp nâng cao khả năng phát hiện gian lận thông qua mức giảm trừ gia cảnh và biểu thuế đơn giản, nhưng vẫn cần công nghệ hỗ trợ để tăng hiệu quả.</t>
  </si>
  <si>
    <t>Biểu thuế đã được đơn giản hóa từ 7 bậc xuống còn 5 bậc, giảm bớt rắc rối cho người nộp thuế. Các quy định quản lý thuế hiện tại cũng khá dễ hiểu và thực hiện.</t>
  </si>
  <si>
    <t>Biểu thuế mới đã đơn giản hóa việc tính toán so với trước đây, các bậc thuế rõ ràng hơn giúp người nộp thuế nắm bắt dễ dàng hơn. Tuy nhiên, vẫn cần thêm thời gian để quen thuộc.</t>
  </si>
  <si>
    <t>Nhìn chung mức giảm trừ gia cảnh tăng và biểu thuế đơn giản hóa giúp tạo cảm giác công bằng, nhưng vẫn có nghi ngại về cách thực thi chính sách mới.</t>
  </si>
  <si>
    <t>Thuế suất mới đã được điều chỉnh phù hợp với thu nhập cá nhân hiện nay, tạo nên sự công bằng trong việc đóng thuế. Tuy nhiên, vẫn cần thời gian để thấy kết quả thực tế.</t>
  </si>
  <si>
    <t>Việc cải cách thuế giúp nâng cao chất lượng dịch vụ công, nhưng vẫn chưa rõ liệu số tiền thuế đóng có được sử dụng hiệu quả như mong đợi hay không.</t>
  </si>
  <si>
    <t>Thông tin về lý do và mục tiêu của việc sửa đổi thuế đã được giải thích đầy đủ, tuy nhiên, cần thêm thời gian để đánh giá mức độ minh bạch này.</t>
  </si>
  <si>
    <t>Cải cách thuế mới mang lại lợi ích tài chính rõ ràng và thủ tục đơn giản hơn, nhưng vẫn có sự hoài nghi về thực thi chính sách. Tuy nhiên, do mức độ ủng hộ cao nên quyết định tuân thủ.</t>
  </si>
  <si>
    <t>Biểu thuế đơn giản, giảm bậc thuế và tăng giảm trừ gia cảnh có thể làm cho hành vi gian lận khó thực hiện hơn. Tuy nhiên, không có thông tin cụ thể về công nghệ phát hiện trốn thuế.</t>
  </si>
  <si>
    <t>Công nghệ ngày càng phát triển, nhưng khả năng phát hiện trốn thuế vẫn phụ thuộc vào nguồn lực và quyết tâm của cơ quan thuế. Tuy nhiên, việc cải cách thuế có thể giảm cơ hội gian lận.</t>
  </si>
  <si>
    <t>Biểu thuế đơn giản hóa từ 7 bậc xuống còn 5 bậc, cùng với tăng giảm trừ gia cảnh, có thể làm cho quá trình khai báo thuế và tương tác với cơ quan thuế trở nên dễ dàng hơn.</t>
  </si>
  <si>
    <t>Cách tính thuế mới đơn giản hóa các bậc thuế từ 7 xuống còn 5, giảm sự phức tạp và giúp người nộp thuế dễ hiểu hơn về mức thuế mình phải đóng.</t>
  </si>
  <si>
    <t>Mức giảm trừ gia cảnh tăng lên, cùng với việc đơn giản hóa biểu thuế có thể làm cho tôi cảm thấy công bằng hơn khi nộp thuế. Tuy nhiên, vẫn còn nghi ngại về cách thực thi chính sách.</t>
  </si>
  <si>
    <t>Thu nhập của tôi rơi vào bậc 4, mức thuế suất tăng từ 20% lên 30%, do đó cảm thấy không công bằng. Tuy nhiên, việc đơn giản hóa biểu thuế có thể giảm sự phức tạp.</t>
  </si>
  <si>
    <t>Tăng giảm trừ gia cảnh và đơn giản hóa biểu thuế có thể làm cho tôi tin rằng số tiền thuế tôi đóng sẽ được sử dụng hiệu quả hơn. Tuy nhiên, vẫn còn nghi ngại về việc thực thi chính sách.</t>
  </si>
  <si>
    <t>Có thông tin về lý do và mục tiêu cải cách thuế nhưng chưa đầy đủ, do đó cảm thấy không hoàn toàn thuyết phục. Cần thêm thông tin minh bạch hơn.</t>
  </si>
  <si>
    <t>Thu nhập của tôi tăng lên do bậc thuế mới, giảm sự phức tạp và đơn giản hóa khai báo thuế làm cho tôi có thể chấp nhận tuân thủ chính sách. Tuy nhiên, vẫn còn nghi ngại về cách thực thi chính sách.</t>
  </si>
  <si>
    <t>Nguyên tắc quản lý thuế đã được cải thiện với mức giảm trừ gia cảnh cao hơn, tuy nhiên khả năng phát hiện trốn thuế phụ thuộc nhiều vào công nghệ và nhân lực. Công nghệ tiên tiến giúp tăng hiệu quả nhưng không hoàn toàn loại bỏ rủi ro.</t>
  </si>
  <si>
    <t>Nhà nước đã đầu tư vào công nghệ phát hiện trốn thuế, giảm dần việc trốn thuế nhờ mức giảm trừ gia cảnh cao hơn. Tuy nhiên, vẫn còn nhiều rủi ro và cần cải thiện hơn.</t>
  </si>
  <si>
    <t>Biểu thuế đơn giản hóa từ 7 bậc xuống 5 tạo thuận lợi cho việc khai báo, giảm thời gian mất của người dân. Tuy nhiên, quy trình làm việc vẫn còn phức tạp với nhiều yêu cầu cụ thể.</t>
  </si>
  <si>
    <t>Cách tính thuế mới đơn giản và dễ hiểu hơn so với trước đây, đặc biệt là sau khi giảm số bậc thuế. Tuy nhiên, có một số quy định chi tiết khó nhớ.</t>
  </si>
  <si>
    <t>Nhà nước đã cải thiện mức giảm trừ gia cảnh và đơn giản hóa biểu thuế, tạo cảm giác công bằng cho người nộp thuế. Tuy nhiên, vẫn còn nhiều yếu tố phụ thuộc vào cách thực thi.</t>
  </si>
  <si>
    <t>Mức thuế mới được thiết kế hợp lý theo thu nhập, nhưng cần thêm thông tin về hiệu quả sử dụng ngân sách để tăng niềm tin.</t>
  </si>
  <si>
    <t>Thuế mới được sử dụng cho các dịch vụ công như y tế và đường xá, tạo cảm giác sự đầu tư có mục đích. Tuy nhiên, cần thêm thông tin về hiệu quả chi tiêu để tăng niềm tin.</t>
  </si>
  <si>
    <t>Nhà nước đã giải thích rõ ràng về cải cách thuế nhưng cần cung cấp thêm thông tin về mục tiêu cụ thể và kế hoạch thực hiện.</t>
  </si>
  <si>
    <t>Cải cách thuế có lợi cho người nộp thuế, tạo cảm giác công bằng. Tuy nhiên, quyết định tuân thủ còn phụ thuộc vào việc thực thi chính sách và hiệu quả sử dụng ngân sách.</t>
  </si>
  <si>
    <t>Theo quy định mới, mức giảm trừ gia cảnh tăng lên, tạo lợi ích cho người nộp thuế. Tuy nhiên, khả năng phát hiện và xử lý trốn thuế phụ thuộc nhiều vào công nghệ và quy trình quản lý của cơ quan thuế.</t>
  </si>
  <si>
    <t>Công nghệ ngày càng tiên tiến, giúp tăng cường hiệu quả trong việc theo dõi và phát hiện hành vi gian lận. Tuy nhiên, vẫn cần sự cải tiến để tăng khả năng phát hiện trốn thuế.</t>
  </si>
  <si>
    <t>Biểu thuế đơn giản hơn với ít bậc hơn, tạo thuận lợi cho người nộp thuế trong việc khai báo và thanh toán. Quy trình làm việc cũng được cải thiện, giảm bớt rườm rà.</t>
  </si>
  <si>
    <t>Cách tính thuế mới đơn giản hơn với ít bậc thuế, dễ hiểu và thực hiện thuận lợi hơn so với trước đây. Điều này giúp người dân nắm bắt nhanh chóng.</t>
  </si>
  <si>
    <t>Nhìn chung, mức giảm trừ gia cảnh tăng lên, tạo ra sự công bằng cho người nộp thuế. Tuy nhiên, vẫn có lo ngại về khả năng thực thi chính sách một cách công tâm.</t>
  </si>
  <si>
    <t>Mức thuế mới được thiết kế dựa trên thu nhập, mang tính công bằng đối với từng nhóm người nộp thuế. Tuy nhiên, mức độ tin tưởng còn phụ thuộc vào việc thực thi.</t>
  </si>
  <si>
    <t>Giảm trừ gia cảnh tăng lên, tạo ra cảm giác rằng số tiền thuế đóng sẽ được sử dụng hiệu quả hơn cho dịch vụ công. Tuy nhiên, vẫn cần thời gian để chứng minh thực tế.</t>
  </si>
  <si>
    <t>Nhìn chung, thông tin về cải cách thuế đã được giải thích một cách rõ ràng, giúp người dân hiểu hơn về mục tiêu của chính sách mới. Tuy nhiên, vẫn cần cải thiện trong việc truyền đạt đầy đủ và minh bạch.</t>
  </si>
  <si>
    <t>Chính sách mới mang lại lợi ích tài chính cho tôi do mức giảm trừ gia cảnh tăng lên. Quy trình làm việc thuận tiện hơn, tạo ra quyết định tuân thủ. Tuy nhiên, vẫn cần cải thiện trong việc thực thi để tăng thêm sự tin tưởng.</t>
  </si>
  <si>
    <t>Biên tập viên tin rằng với mức giảm trừ gia cảnh tăng mạnh, cơ quan thuế sẽ dễ dàng phát hiện trốn thuế hơn. Đồng thời, việc áp dụng công nghệ trong quản lý thuế cũng giúp nâng cao hiệu quả.</t>
  </si>
  <si>
    <t>Việc cải cách thuế mới đi kèm với các biện pháp tăng cường quản lý và sử dụng công nghệ tiên tiến sẽ giúp cơ quan thuế phát hiện trốn thuế một cách nhanh chóng, chính xác hơn.</t>
  </si>
  <si>
    <t>Mức giảm trừ gia cảnh và số bậc thuế đơn giản hóa đã làm cho quy trình khai báo thuế dễ dàng hơn. Điều này cũng giúp người nộp thuế thuận lợi trong việc giao dịch với cơ quan thuế.</t>
  </si>
  <si>
    <t>Phương án mới đơn giản hóa biểu thuế, giảm số bậc từ 7 xuống còn 5, làm cho cách tính thuế và quy định của nó dễ hiểu hơn.</t>
  </si>
  <si>
    <t>Biên tập viên tin rằng chính phủ đã có những cải tiến để đảm bảo công bằng trong việc áp dụng mức thuế. Tuy nhiên, việc tăng mức giảm trừ gia cảnh cũng khiến biên tập viên nghi ngờ về tính công bằng.</t>
  </si>
  <si>
    <t>Nhìn chung, mức thuế mới được coi là hợp lý đối với thu nhập của biên tập viên. Tuy nhiên, việc áp dụng các quy định cụ thể và công bằng còn phụ thuộc vào cách thực thi.</t>
  </si>
  <si>
    <t>Biên tập viên tin rằng tiền thuế đóng góp sẽ được sử dụng hiệu quả để cải thiện dịch vụ công. Tuy nhiên, biên tập viên vẫn lo ngại về khả năng điều tiết và quản lý nguồn thu này.</t>
  </si>
  <si>
    <t>Trong thời gian ngắn, việc giải thích về sự thay đổi thuế chưa rõ ràng đến biên tập viên. Điều này khiến biên tập viên nghi ngờ về tính minh bạch và công khai của chính phủ.</t>
  </si>
  <si>
    <t>Biên tập viên ủng hộ các cải tiến mới, nhưng vẫn có một số lo ngại về thực thi chính sách. Biên tập viên sẽ xem xét kỹ lưỡng trước khi quyết định tuân thủ.</t>
  </si>
  <si>
    <t>Các quy định quản lý thuế hiện nay được tăng cường với nhiều biện pháp phát hiện gian lận, tuy nhiên khả năng thực thi phụ thuộc vào nguồn lực và công nghệ. Việc cải cách thuế mới không ảnh hưởng đáng kể đến tỷ lệ trốn thuế.</t>
  </si>
  <si>
    <t>Việc tăng cường quản lý thuế thông qua công nghệ sẽ giúp phát hiện các hành vi gian lận một cách hiệu quả hơn, đồng thời xử lý nghiêm các trường hợp bị phát hiện. Tuy nhiên, sự phụ thuộc vào nguồn lực vẫn còn.</t>
  </si>
  <si>
    <t>Các bước khai báo và quy trình làm việc với cơ quan thuế đã được đơn giản hóa đáng kể, tạo điều kiện cho người dân nộp thuế dễ dàng hơn. Điều này giúp nâng cao sự thuận tiện khi thực hiện nghĩa vụ tài chính.</t>
  </si>
  <si>
    <t>Cách tính thuế mới và các bậc thuế đã được đơn giản hóa, giảm số lượng bậc thuế từ 7 xuống còn 5, tạo điều kiện cho người dân dễ hiểu và áp dụng.</t>
  </si>
  <si>
    <t>Nhà nước đã cải cách thuế một cách công bằng đối với tất cả các nhóm thu nhập, giảm gánh nặng thuế cho những người có thu nhập thấp hơn. Điều này tạo niềm tin vào sự khách quan và công bằng trong việc thực thi chính sách.</t>
  </si>
  <si>
    <t>Mức thuế mới được thiết kế sao cho hợp lý với thu nhập hiện tại của tôi, do đó tôi thấy mức thuế là công bằng. Tuy nhiên, vẫn cần cải thiện thông tin về cách tính thuế để tăng thêm sự minh bạch.</t>
  </si>
  <si>
    <t>Việc cải cách thuế mới nhằm mục đích cung cấp các dịch vụ công chất lượng cao hơn. Tuy nhiên, việc cải cách này chưa có hiệu quả rõ ràng và cần thời gian để thấy được kết quả.</t>
  </si>
  <si>
    <t>Nhà nước đã giải thích về mục tiêu của chính sách mới một cách minh bạch hơn so với trước đây. Tuy nhiên, vẫn còn nhiều thông tin chưa rõ ràng và cần cải thiện để tạo sự thuyết phục.</t>
  </si>
  <si>
    <t>Sau khi xem xét các quyền lợi và nghĩa vụ, tôi thấy chính sách mới đã cải thiện đáng kể về mặt thuận tiện và minh bạch. Tuy nhiên, vẫn cần thời gian để cảm nhận được kết quả thực tế từ việc cải cách thuế.</t>
  </si>
  <si>
    <t>Tăng mức giảm trừ gia cảnh và đơn giản hóa biểu thuế có thể làm tăng rủi ro phát hiện trốn thuế, nhưng vẫn cần công nghệ để quản lý hiệu quả.</t>
  </si>
  <si>
    <t>Công nghệ tiên tiến ngày càng được áp dụng trong cơ quan thuế giúp phát hiện và xử lý trốn thuế nhanh chóng và chính xác hơn.</t>
  </si>
  <si>
    <t>Số bậc thuế giảm từ 7 xuống 5 có thể làm đơn giản hóa quy trình khai báo, nhưng vẫn cần thời gian để người dân quen thuộc.</t>
  </si>
  <si>
    <t>Phương án mới đơn giản hơn so với trước đây, giúp người nộp thuế dễ hiểu và thực hiện nhanh chóng hơn.</t>
  </si>
  <si>
    <t>Mức giảm trừ gia cảnh tăng có thể khiến tôi cảm thấy công bằng hơn trong việc đóng thuế.</t>
  </si>
  <si>
    <t>Tỷ lệ thuế suất mới và mức giảm trừ gia cảnh giúp tôi cho rằng mức thuế hiện tại là hợp lý so với thu nhập của mình.</t>
  </si>
  <si>
    <t>Thuế được sử dụng để cải thiện dịch vụ công có thể khiến tôi tin tưởng hơn vào việc này.</t>
  </si>
  <si>
    <t>Thông tin về sửa đổi thuế không đầy đủ và rõ ràng enough, do đó chưa thuyết phục tôi hoàn toàn.</t>
  </si>
  <si>
    <t>Do mức thuế giảm và giảm trừ gia cảnh tăng, cộng với phương án đơn giản hóa, khiến tôi có xu hướng ủng hộ chính sách mới.</t>
  </si>
  <si>
    <t xml:space="preserve">Mức giảm trừ gia cảnh tăng, tuy nhiên việc phát hiện và xử lý trốn thuế phụ thuộc nhiều vào công nghệ. Công nghệ hiện nay đã giúp cải thiện đáng kể nhưng vẫn chưa đảm bảo 100%. </t>
  </si>
  <si>
    <t>Công nghệ hiện đại như AI, Big Data có thể phát hiện trốn thuế hiệu quả hơn so với cách truyền thống. Tuy nhiên, việc triển khai và áp dụng công nghệ này cần thời gian.</t>
  </si>
  <si>
    <t xml:space="preserve">Nguyên tắc đơn giản hóa quy trình làm việc với cơ quan thuế đã giảm bớt rườm rà, nhưng vẫn còn có thể gặp khó khăn trong quá trình thực hiện. </t>
  </si>
  <si>
    <t>Cách tính thuế mới đơn giản hơn so với trước đây, số bậc thuế cũng giảm, do đó dễ hiểu và thực hiện hơn.</t>
  </si>
  <si>
    <t>Giảm trừ gia cảnh tăng lên đáng kể, công bằng hơn cho người nộp thuế. Tuy nhiên, việc thực thi chính sách vẫn cần sự minh bạch và khách quan.</t>
  </si>
  <si>
    <t xml:space="preserve">Mức thuế mới được thiết kế dựa trên thu nhập, nhưng chưa chắc chắn rằng nó sẽ công bằng đối với tất cả các nhóm người. </t>
  </si>
  <si>
    <t>Thuế đóng góp vào dịch vụ công là cần thiết, tuy nhiên hiệu quả sử dụng nguồn lực của Nhà nước vẫn còn phải.WaitFor more information.</t>
  </si>
  <si>
    <t>Công bố thông tin về mục tiêu cải cách thuế rõ ràng hơn so với trước đây. Tuy nhiên, việc giải thích chi tiết và minh bạch cần được cải thiện để thuyết phục hơn.</t>
  </si>
  <si>
    <t>Thuật toán giảm trừ gia cảnh và mức thuế mới có thể mang lại lợi ích tài chính cho tôi. Tuy nhiên, tôi vẫn giữ thái độ thận trọng về việc thực thi và hiệu quả sử dụng nguồn lực của Nhà nước.</t>
  </si>
  <si>
    <t>Biểu thuế đơn giản hơn nhưng không có thông tin về công nghệ mới, khả năng phát hiện trốn thuế chưa rõ ràng.</t>
  </si>
  <si>
    <t>Việc tăng giảm trừ gia cảnh và đơn giản hóa biểu thuế làm giảm cơ hội trốn thuế, tuy nhiên, vẫn cần công nghệ hỗ trợ.</t>
  </si>
  <si>
    <t>Mức giảm trừ gia cảnh cao hơn nhưng quy trình khai báo chưa được đơn giản hóa nhiều so với trước đây.</t>
  </si>
  <si>
    <t>Biểu thuế đơn giản hơn, dễ hiểu hơn, nhưng việc thực hiện vẫn phụ thuộc vào khả năng của người nộp thuế.</t>
  </si>
  <si>
    <t>Nâng cao giảm trừ gia cảnh và giảm số bậc thuế tạo cảm giác công bằng hơn nhưng chưa rõ về cách thực thi.</t>
  </si>
  <si>
    <t>Các biện pháp giảm trừ gia cảnh tăng, nhưng chưa rõ về hiệu quả sử dụng số tiền thuế thu được.</t>
  </si>
  <si>
    <t>Thông tin về lý do và mục tiêu của việc sửa đổi thuế chưa đầy đủ khiến người dân nghi ngờ.</t>
  </si>
  <si>
    <t>Thuế suất giảm, nhưng không chắc chắn về tuân thủ, cần thêm thông tin rõ ràng hơn.</t>
  </si>
  <si>
    <t>Tăng cường mức giảm trừ gia cảnh và đơn giản hóa biểu thuế có thể làm giảm rủi ro trốn thuế, nhưng vẫn cần sự giám sát kỹ lưỡng từ cơ quan thuế để phát hiện gian lận.</t>
  </si>
  <si>
    <t>Công nghệ hiện đại giúp tăng cường khả năng giám sát và phát hiện gian lận, tuy nhiên, việc thực thi vẫn phụ thuộc vào nguồn lực và quyết tâm của cơ quan thuế.</t>
  </si>
  <si>
    <t>Mức giảm trừ gia cảnh cao hơn giúp đơn giản hóa quá trình khai báo thuế cho người nộp thuế, nhưng quy trình làm việc với cơ quan thuế vẫn có thể phức tạp.</t>
  </si>
  <si>
    <t>Biểu thuế được rút gọn và dễ hiểu hơn, nhưng mức thuế suất cao hơn đối với thu nhập vượt qua ngưỡng chịu thuế có thể gây khó khăn cho người hiểu.</t>
  </si>
  <si>
    <t>Những thay đổi về giảm trừ gia cảnh và biểu thuế mới công bằng hơn, tăng niềm tin vào sự công bằng trong việc thực thi chính sách thuế.</t>
  </si>
  <si>
    <t>Mức thuế mới được thiết kế phù hợp với thu nhập cá nhân hiện tại, tạo cảm giác công bằng cho người nộp thuế</t>
  </si>
  <si>
    <t>Niềm tin vào việc sử dụng hiệu quả số tiền thuế đóng để cải thiện dịch vụ công có thể bị ảnh hưởng bởi sự phức tạp và bất cập trong quản lý ngân sách.</t>
  </si>
  <si>
    <t>Những thay đổi về thuế đã được giải thích rõ ràng hơn, nhưng vẫn cần thêm minh bạch về cách sử dụng số tiền thu được từ thuế</t>
  </si>
  <si>
    <t>Tăng mức giảm trừ gia cảnh và đơn giản hóa biểu thuế tạo điều kiện thuận lợi cho người nộp thuế, tăng khả năng tuân thủ.</t>
  </si>
  <si>
    <t>Chính sách thuế mới tăng mức giảm trừ gia cảnh, đơn giản hóa biểu thuế và thay đổi bậc thuế suất. Tuy nhiên, việc phát hiện trốn thuế phụ thuộc nhiều vào khả năng công nghệ và thực thi của cơ quan thuế.</t>
  </si>
  <si>
    <t>Việc cải cách thuế mới tăng cường quản lý thông qua công nghệ và mức giảm trừ gia cảnh cao hơn. Tuy nhiên, vẫn còn nhiều người nghi ngờ khả năng phát hiện trốn thuế của nhà nước.</t>
  </si>
  <si>
    <t>Bậc thuế được đơn giản hóa từ 7 xuống còn 5 bậc, giảm số lượng thông tin cần khai báo. Điều này giúp quá trình làm việc với cơ quan thuế trở nên nhanh chóng và tiện lợi hơn.</t>
  </si>
  <si>
    <t>Các bậc thuế mới đơn giản hóa từ 7 xuống còn 5 bậc, giảm số lượng thông tin cần khai báo. Điều này giúp cách tính thuế dễ hiểu và thực hiện hơn so với trước đây.</t>
  </si>
  <si>
    <t>Mức giảm trừ gia cảnh tăng cao, người thu nhập thấp sẽ đóng ít thuế hơn. Tuy nhiên, mức thuế suất vẫn còn gây nghi ngờ về sự công bằng đối với người có thu nhập cao.</t>
  </si>
  <si>
    <t>Mức thuế mới được tính dựa trên thu nhập, tuy nhiên, việc phân biệt giữa các bậc thuế chưa rõ ràng. Điều này gây nghi ngờ về độ công bằng của chính sách mới.</t>
  </si>
  <si>
    <t>Tăng mức giảm trừ gia cảnh và đơn giản hóa biểu thuế có thể giúp số tiền đóng thuế trở nên hợp lý hơn, nhưng việc sử dụng hiệu quả số tiền thu được từ thuế vẫn chưa rõ ràng.</t>
  </si>
  <si>
    <t>Các thông tin về cải cách thuế mới đã được truyền tải qua nhiều kênh. Tuy nhiên, sự phức tạp của các bậc thuế và mức giảm trừ gia cảnh vẫn gây nghi ngờ về minh bạch.</t>
  </si>
  <si>
    <t>Chính sách mới có lợi cho người thu nhập thấp nhưng chưa rõ ràng đối với người có thu nhập cao. Tuy nhiên, việc tăng cường quản lý thông qua công nghệ và giảm gánh nặng thuế có thể giúp cải thiện tuân thủ.</t>
  </si>
  <si>
    <t>Mức giảm trừ gia cảnh và quy định quản lý thuế hiện tại có thể tăng độ khó cho hành vi gian lận, nhưng không loại trừ khả năng trốn thuế.</t>
  </si>
  <si>
    <t>Công nghệ tiên tiến như AI và big data giúp phát hiện trốn thuế hiệu quả hơn trước đây, nhưng vẫn cần cải thiện.</t>
  </si>
  <si>
    <t>Mức giảm trừ gia cảnh tăng đáng kể và quy trình khai báo đơn giản hơn so với trước đây.</t>
  </si>
  <si>
    <t>Biểu thuế đơn giản hóa từ 7 bậc xuống còn 5, dễ hiểu hơn, nhưng mức thuế suất mới có thể gây phức tạp cho người nộp thuế.</t>
  </si>
  <si>
    <t>Nhà nước đã tăng giảm trừ gia cảnh và đơn giản hóa quy trình, tạo niềm tin về sự công bằng trong việc áp dụng chính sách.</t>
  </si>
  <si>
    <t>Mức thuế mới được thiết kế dựa trên thu nhập cá nhân, nhưng vẫn cần thời gian để đánh giá tính công bằng.</t>
  </si>
  <si>
    <t>Giảm trừ gia cảnh tăng, tạo niềm tin về việc số tiền thuế đóng sẽ được sử dụng hiệu quả cho dịch vụ công.</t>
  </si>
  <si>
    <t>Nhà nước đã giải thích rõ ràng về quy định mới thông qua các phương tiện truyền thông, nhưng vẫn cần thời gian để thuyết phục người dân.</t>
  </si>
  <si>
    <t>Thu nhập cá nhân tăng, giảm trừ gia cảnh và đơn giản hóa quy trình khai báo tạo động lực ủng hộ chính sách mới.</t>
  </si>
  <si>
    <t>Mức giảm trừ gia cảnh tăng, giúp bảo vệ người nộp thuế. Tuy nhiên, không có thông tin về công nghệ phát hiện gian lận.</t>
  </si>
  <si>
    <t>Biểu thuế đơn giản hơn và mức giảm trừ gia cảnh cao hơn có thể làm giảm hành vi trốn thuế, nhưng chưa rõ về khả năng phát hiện cụ thể.</t>
  </si>
  <si>
    <t>Biểu thuế được đơn giản hóa từ 7 bậc xuống còn 5 bậc, giúp việc khai báo dễ dàng hơn. Tuy nhiên, không có thông tin về sự thay đổi trong quy trình làm việc với cơ quan thuế.</t>
  </si>
  <si>
    <t>Cách tính thuế mới đơn giản hóa từ 7 bậc xuống còn 5 bậc, dễ hiểu hơn so với trước đây. Tuy nhiên, không có thông tin về sự thay đổi cụ thể trong quy trình làm việc.</t>
  </si>
  <si>
    <t>Mức giảm trừ gia cảnh tăng giúp công bằng cho người nộp thuế. Tuy nhiên, không rõ liệu các cơ quan thuế sẽ thực thi chính sách một cách khách quan và công bằng hay không.</t>
  </si>
  <si>
    <t>Ngưỡng chịu thuế đã được điều chỉnh sao cho phù hợp với thu nhập cá nhân. Tuy nhiên, mức thuế cụ thể vẫn cần xem xét thêm để đánh giá tính công bằng.</t>
  </si>
  <si>
    <t>Mức giảm trừ gia cảnh tăng giúp cải thiện dịch vụ công. Tuy nhiên, không có thông tin về việc sử dụng số tiền thuế thu được vào mục đích cụ thể.</t>
  </si>
  <si>
    <t>Công bố các thay đổi trong luật thuế và lý do của chúng giúp người dân hiểu rõ hơn. Tuy nhiên, không có thông tin về mức độ minh bạch trong việc giải thích mục tiêu của chính sách.</t>
  </si>
  <si>
    <t>Mức giảm trừ gia cảnh tăng, giúp cải thiện trải nghiệm và tuân thủ chính sách mới. Tuy nhiên, không có thông tin về sự thay đổi cụ thể trong quy trình làm việc với cơ quan thuế.</t>
  </si>
  <si>
    <t>Dù không biết cụ thể về công nghệ hiện tại, nhưng tăng giảm trừ gia cảnh và đơn giản hóa biểu thuế có thể giảm rủi ro trốn thuế.</t>
  </si>
  <si>
    <t>Công nghệ ngày càng phát triển, khả năng phát hiện hành vi gian lận hay trốn thuế sẽ cao hơn trước đây.</t>
  </si>
  <si>
    <t>Biểu thuế được đơn giản hóa từ 7 bậc xuống còn 5 bậc, nên quy trình khai báo thuế dễ dàng và nhanh chóng hơn.</t>
  </si>
  <si>
    <t>Các bậc thuế mới rõ ràng hơn, dễ hiểu so với trước đây, do đó việc tính thuế trở nên đơn giản hơn.</t>
  </si>
  <si>
    <t>Giảm trừ gia cảnh được tăng mạnh, giảm gánh nặng cho người nộp thuế, tạo cảm giác công bằng trong việc thực thi chính sách.</t>
  </si>
  <si>
    <t>Mức thuế mới được thiết kế để phù hợp với thu nhập của tôi, nên thấy mức thuế đóng là công bằng đối với bản thân.</t>
  </si>
  <si>
    <t>Giảm trừ gia cảnh tăng mạnh và đơn giản hóa biểu thuế giúp số tiền thuế đóng được sử dụng hiệu quả hơn cho việc cải thiện dịch vụ công.</t>
  </si>
  <si>
    <t>Thông tin về các thay đổi trong Luật Thuế TNCN được cung cấp rõ ràng, nhưng chưa thuyết phục hoàn toàn về mục tiêu chính sách.</t>
  </si>
  <si>
    <t>Tăng giảm trừ gia cảnh và đơn giản hóa biểu thuế giúp tôi cảm thấy tin tưởng hơn vào việc tuân thủ quy định mới.</t>
  </si>
  <si>
    <t>Chính sách tăng giảm trừ gia cảnh và đơn giản hóa biểu thuế có thể làm giảm cơ hội trốn thuế. Ngoài ra, công nghệ hiện đại giúp phát hiện hành vi gian lận dễ dàng hơn.</t>
  </si>
  <si>
    <t>Công nghệ hiện đại như AI, Big Data đã được áp dụng trong ngành thuế, tăng khả năng phát hiện trốn thuế. Cơ quan thuế cũng có nhiều nguồn lực và quy định rõ ràng về xử lý.</t>
  </si>
  <si>
    <t>Bậc thuế giảm từ 7 xuống 5 và mức giảm trừ gia cảnh tăng lên, tạo ra quy trình đơn giản hơn. Tuy nhiên, thủ tục cụ thể vẫn còn phức tạp đối với người dân.</t>
  </si>
  <si>
    <t>Biểu thuế mới đơn giản hóa việc tính toán thuế, dễ hiểu và thực hiện hơn so với trước đây</t>
  </si>
  <si>
    <t>Những thay đổi như tăng giảm trừ gia cảnh và đơn giản hóa biểu thuế tạo cảm giác công bằng. Tuy nhiên, việc thực thi chính sách còn phụ thuộc vào hiệu quả quản lý của cơ quan thuế.</t>
  </si>
  <si>
    <t>Mức thuế mới dựa trên thu nhập cá nhân nên khá công bằng, nhưng cần xem xét thêm về sự minh bạch trong việc sử dụng nguồn thu</t>
  </si>
  <si>
    <t>Thuế được sử dụng để cải thiện dịch vụ công, tuy nhiên hiệu quả thực tế còn phụ thuộc vào quản lý ngân sách của nhà nước.</t>
  </si>
  <si>
    <t>Các thông tin giải thích về chính sách mới chưa đầy đủ và rõ ràng như mong đợi</t>
  </si>
  <si>
    <t>Dù có nhiều thay đổi tích cực, nhưng việc thực thi chính sách và sự minh bạch trong truyền thông cần cải thiện hơn để tăng độ tin tưởng của người dân. Do đó, tôi ủng hộ nhưng vẫn có một số lo ngại.</t>
  </si>
  <si>
    <t>Các quy định quản lý thuế hiện nay đã tăng mức giảm trừ gia cảnh, đơn giản hóa biểu thuế và làm rõ các bậc thuế suất. Điều này giúp giảm rủi ro trốn thuế và phát hiện gian lận dễ dàng hơn.</t>
  </si>
  <si>
    <t>Nhà nước đã tăng đầu tư vào công nghệ, ứng dụng phần mềm quản lý thuế và hệ thống thông tin điện tử giúp cải thiện khả năng phát hiện trốn thuế.</t>
  </si>
  <si>
    <t>Biểu thuế đơn giản hơn với ít bậc thuế, dễ dàng khai báo hơn. Tuy nhiên, quy trình làm việc với cơ quan thuế vẫn còn phức tạp và không nhanh chóng như mong đợi.</t>
  </si>
  <si>
    <t>Cách tính thuế mới đơn giản hóa các bậc thuế, dễ hiểu và thực hiện thuận tiện hơn so với trước đây. Việc giảm số bậc thuế giúp người nộp thuế dễ dàng tính toán hơn.</t>
  </si>
  <si>
    <t>Nhà nước đã tăng mức giảm trừ gia cảnh, tạo lợi ích cho nhiều người nộp thuế. Tuy nhiên, sự đa dạng về thu nhập và hoàn cảnh khiến việc đánh giá công bằng còn khó khăn.</t>
  </si>
  <si>
    <t>Mức thuế mới được điều chỉnh dựa trên thu nhập, tạo cảm giác công bằng cho người nộp thuế. Tuy nhiên, mức giảm trừ gia cảnh tăng mạnh có thể ảnh hưởng đến những người không có phụ thuộc.</t>
  </si>
  <si>
    <t>Nhà nước đã sử dụng hiệu quả số tiền thuế thu được vào việc cải thiện dịch vụ công như y tế và giao thông. Tuy nhiên, sự minh bạch về cách sử dụng ngân sách thuế còn hạn chế.</t>
  </si>
  <si>
    <t>Nhà nước đã giải thích rõ ràng các thay đổi về thuế qua truyền thông nhưng vẫn có nhiều người chưa hiểu đầy đủ lý do và mục tiêu của việc sửa đổi. Sự minh bạch cần được cải thiện.</t>
  </si>
  <si>
    <t>Sau khi cân nhắc lợi ích từ giảm trừ gia cảnh và đơn giản hóa biểu thuế, tôi thấy chính sách mới có lợi cho người nộp thuế. Tuy nhiên, sự phức tạp của quy trình làm việc với cơ quan thuế khiến tôi không hoàn toàn ủng hộ.</t>
  </si>
  <si>
    <t>Quy định quản lý thuế hiện nay có nhiều cải tiến, nhưng vẫn chưa đủ rõ ràng để phát hiện trốn thuế hiệu quả. Các công nghệ hiện đại giúp tăng cường khả năng giám sát.</t>
  </si>
  <si>
    <t>Công nghệ tiên tiến và hệ thống quản lý thuế được nâng cấp có thể giúp phát hiện trốn thuế, nhưng vẫn cần cải thiện hơn nữa về mặt thực tế. Cơ quan thuế có khả năng xử lý nghiêm các hành vi trốn thuế.</t>
  </si>
  <si>
    <t>Mức giảm trừ gia cảnh tăng lên và quy trình khai báo đơn giản hơn, giúp quá trình làm việc với cơ quan thuế thuận lợi hơn. Tuy nhiên, vẫn còn một số thủ tục cần cải thiện.</t>
  </si>
  <si>
    <t>Biểu thuế đơn giản hóa từ 7 bậc xuống 5 bậc giúp tính thuế dễ hiểu và thực hiện nhanh chóng hơn. Cơ sở hạ tầng kỹ thuật số đã được nâng cấp, tạo điều kiện cho việc áp dụng các thay đổi.</t>
  </si>
  <si>
    <t>Nhà nước đã cải thiện quy định quản lý thuế, giảm gánh nặng thuế cho người dân. Tuy nhiên, vẫn cần thêm minh bạch và công bằng trong quá trình thực thi mới có thể tạo niềm tin.</t>
  </si>
  <si>
    <t>Mức thuế mới được thiết kế để cân đối với thu nhập cá nhân. Tuy nhiên, mức độ công bằng phụ thuộc vào cách cơ quan thuế áp dụng các quy định</t>
  </si>
  <si>
    <t>Thuế đóng góp cho dịch vụ công, nhưng hiệu quả sử dụng nguồn lực vẫn chưa rõ ràng. Cần thêm minh bạch về việc sử dụng số tiền thu được từ thuế mới để tăng niềm tin.</t>
  </si>
  <si>
    <t>Nhà nước đã giải thích một cách tổng thể về cải cách, nhưng cần thêm thông tin chi tiết và minh bạch hơn về mục tiêu cụ thể của việc sửa đổi thuế</t>
  </si>
  <si>
    <t>Sau khi xem xét các quyền lợi và nghĩa vụ, tôi ủng hộ chính sách mới vì giảm gánh nặng thuế cho người dân. Tuy nhiên, vẫn cần cải thiện minh bạch và công bằng trong thực thi.</t>
  </si>
  <si>
    <t>Các quy định quản lý thuế hiện nay đã tăng cường giảm trừ gia cảnh, điều này cho thấy Nhà nước đang cố gắng minh bạch và công bằng. Tuy nhiên, việc phát hiện hành vi gian lận vẫn phụ thuộc vào nhiều yếu tố</t>
  </si>
  <si>
    <t>Công nghệ phát triển ngày càng mạnh mẽ, có thể hỗ trợ Nhà nước trong việc phát hiện và xử lý trốn thuế hiệu quả hơn. Tuy nhiên, thực tế công nghệ vẫn chưa hoàn toàn ngăn chặn được mọi hành vi gian lận</t>
  </si>
  <si>
    <t>Mức giảm trừ gia cảnh cao hơn và đơn giản hóa biểu thuế tạo cảm giác thuận tiện cho người nộp thuế. Tuy nhiên, quy trình khai báo vẫn cần thời gian để người dân quen thuộc</t>
  </si>
  <si>
    <t>Số bậc thuế giảm đi, việc tính thuế trở nên dễ dàng hơn. Các mức thuế suất rõ ràng giúp người nộp thuế hiểu được mình phải đóng bao nhiêu</t>
  </si>
  <si>
    <t>Nhà nước đã cải thiện nhiều về minh bạch và công bằng trong việc quản lý thuế, đặc biệt là mức giảm trừ gia cảnh. Tuy nhiên, vẫn còn nhiều yếu tố phụ thuộc vào thực thi</t>
  </si>
  <si>
    <t>Mức thuế mới được thiết kế nhằm đảm bảo công bằng cho tất cả các đối tượng thu nhập khác nhau. Điều này tạo ra niềm tin rằng mức thuế đóng là hợp lý</t>
  </si>
  <si>
    <t>Thuê đóng sẽ được sử dụng hiệu quả để cải thiện dịch vụ công, tuy nhiên hiệu quả thực tế phụ thuộc vào quản trị và giám sát chặt chẽ từ Nhà nước</t>
  </si>
  <si>
    <t>Nhà nước đã giải thích rõ ràng về mục tiêu của việc sửa đổi thuế, nhưng thông tin cần được cung cấp thường xuyên hơn để mọi người có thể hiểu đầy đủ</t>
  </si>
  <si>
    <t>Chính sách mới mang lại nhiều lợi ích cho tôi, đặc biệt là mức giảm trừ gia cảnh tăng lên. Tuy nhiên, việc thực thi và minh bạch thông tin cần được cải thiện hơn nữa để tạo ra niềm tin</t>
  </si>
  <si>
    <t>Thuật toán AI và công nghệ hiện đại giúp phát hiện gian lận trốn thuế dễ dàng hơn.</t>
  </si>
  <si>
    <t>Công nghệ tiên tiến đã được áp dụng, tăng khả năng phát hiện và xử lý trốn thuế hiệu quả.</t>
  </si>
  <si>
    <t>Bậc thuế giảm từ 7 xuống 5 giúp quy trình khai báo đơn giản hơn, thuận tiện cho người dân.</t>
  </si>
  <si>
    <t>Cách tính thuế mới rõ ràng, dễ hiểu và dễ thực hiện hơn so với trước đây.</t>
  </si>
  <si>
    <t>Giảm trừ gia cảnh tăng lên giúp việc nộp thuế công bằng hơn đối với người thu nhập thấp.</t>
  </si>
  <si>
    <t>Thuế suất và ngưỡng chịu thuế được điều chỉnh phù hợp với thu nhập, tạo cảm giác công bằng.</t>
  </si>
  <si>
    <t>Giảm trừ gia cảnh tăng lên giúp việc nộp thuế công bằng hơn đối với người có con nuôi dưỡng.</t>
  </si>
  <si>
    <t>Truyền thông về mục tiêu sửa đổi thuế rõ ràng, tạo sự tin tưởng vào quyết định của chính phủ.</t>
  </si>
  <si>
    <t>Nội dung giảm trừ gia cảnh tăng lên và cách tính thuế đơn giản hóa giúp tôi ủng hộ việc tuân thủ.</t>
  </si>
  <si>
    <t>Nâng cao mức giảm trừ gia cảnh và đơn giản hóa biểu thuế có thể làm tăng cơ hội bị phát hiện trốn thuế, vì vậy tôi tin rằng các hành vi gian lận sẽ khó hơn để thực hiện mà không bị phát hiện.</t>
  </si>
  <si>
    <t>Việc nâng cao mức giảm trừ gia cảnh và đơn giản hóa biểu thuế cũng tạo ra áp lực hơn lên người nộp thuế, do đó khả năng trốn thuế sẽ thấp hơn. Công nghệ tiên tiến như AI và big data đã được sử dụng trong quản lý thuế giúp phát hiện các hành vi trốn thuế hiệu quả hơn.</t>
  </si>
  <si>
    <t>Với mức giảm trừ gia cảnh cao hơn, biểu thuế đơn giản hơn, thủ tục khai báo thuế và làm việc với cơ quan thuế sẽ trở nên tiện lợi hơn so với trước đây.</t>
  </si>
  <si>
    <t>Phương án mới đơn giản hóa các bậc thuế, do đó việc tính toán mức thuế sẽ dễ dàng hơn, thuận tiện cho người nộp thuế và cơ quan thuế quản lý.</t>
  </si>
  <si>
    <t>Nâng cao mức giảm trừ gia cảnh và đơn giản hóa biểu thuế có thể tạo cảm giác công bằng và khách quan trong việc áp dụng chính sách thuế, vì tất cả người nộp thuế đều được hưởng lợi từ những thay đổi này.</t>
  </si>
  <si>
    <t>Mức giảm trừ gia cảnh cao hơn và biểu thuế đơn giản hóa có thể tạo cảm giác mức thuế tôi phải đóng là công bằng. Tuy nhiên, do sự phức tạp của hệ thống thuế trước đây đã gây nên sự hoài nghi về tính công bằng, cần thêm thời gian để xây dựng niềm tin.</t>
  </si>
  <si>
    <t>Nâng cao mức giảm trừ gia cảnh và đơn giản hóa biểu thuế có thể tạo cảm giác rằng số tiền thuế tôi đóng sẽ được sử dụng hiệu quả hơn. Tuy nhiên, do hệ thống quản lý thuế trước đây đã gây ra sự hoài nghi về việc sử dụng nguồn thu một cách minh bạch, cần thêm thời gian để xây dựng niềm tin.</t>
  </si>
  <si>
    <t>Nâng cao mức giảm trừ gia cảnh và đơn giản hóa biểu thuế có thể tạo cảm giác rằng Nhà nước đã giải thích rõ ràng về mục tiêu của việc cải cách thuế. Tuy nhiên, do sự phức tạp của hệ thống thuế trước đây đã gây nên sự hoài nghi về tính minh bạch, cần thêm thời gian để xây dựng niềm tin.</t>
  </si>
  <si>
    <t>Sau khi xem xét các quyền lợi và nghĩa vụ, tôi ủng hộ chính sách mới vì mức giảm trừ gia cảnh cao hơn và biểu thuế đơn giản hóa đã tạo ra lợi ích đáng kể cho người dân. Tuy nhiên, do sự phức tạp của hệ thống thuế trước đây đã gây nên sự hoài nghi về tính công bằng và minh bạch, cần thêm thời gian để xây dựng niềm tin.</t>
  </si>
  <si>
    <t>Nếu các quy định quản lý thuế hiện nay được thực thi nghiêm ngặt, việc phát hiện và xử lý hành vi gian lận hoặc trốn thuế sẽ trở nên dễ dàng. Tuy nhiên, không có thông tin cụ thể về công nghệ mới giúp tăng cường khả năng phát hiện.</t>
  </si>
  <si>
    <t>Việc áp dụng công nghệ tiên tiến trong quản lý và xử lý thuế có thể giúp Nhà nước và cơ quan thuế phát hiện hành vi trốn thuế nhanh chóng và chính xác hơn, nhưng không có thông tin cụ thể về sự cải thiện này.</t>
  </si>
  <si>
    <t>Mức giảm trừ gia cảnh tăng lên giúp việc khai báo thuế đơn giản hơn. Tuy nhiên, quy trình làm việc với cơ quan thuế vẫn còn phức tạp và chưa có thông tin về sự thay đổi này.</t>
  </si>
  <si>
    <t>Biểu thuế được đơn giản hóa từ 7 bậc xuống còn 5 bậc, giảm bớt rắc rối cho người nộp thuế. Tuy nhiên, việc cách tính thuế và các bậc thuế mới vẫn chưa rõ ràng.</t>
  </si>
  <si>
    <t>Mức giảm trừ gia cảnh tăng lên giúp đảm bảo sự công bằng trong quy định thuế. Ngoài ra, mức thuế mới cũng được thiết kế để đối xử công bằng với người nộp thuế khác nhau, nhưng chưa có thông tin về việc thực thi khách quan.</t>
  </si>
  <si>
    <t>Mức thuế mới được tính dựa trên thu nhập, giúp đảm bảo sự công bằng. Tuy nhiên, không có thông tin cụ thể về mức độ công bằng của chính sách này đối với tất cả các nhóm người.</t>
  </si>
  <si>
    <t>Mức thuế mới được thiết kế để sử dụng hiệu quả cho việc cải thiện dịch vụ công. Tuy nhiên, không có thông tin cụ thể về việc thực hiện và hiệu quả của chính sách này.</t>
  </si>
  <si>
    <t>Không có thông tin cụ thể về việc Nhà nước đã giải thích rõ ràng lý do và mục tiêu của việc sửa đổi thuế. Tuy nhiên, nếu các thông điệp truyền đạt minh bạch thì sẽ tăng niềm tin.</t>
  </si>
  <si>
    <t>Sau khi xem xét mức giảm trừ gia cảnh tăng lên và mức thuế mới, tôi cảm thấy việc nộp thuế trở nên công bằng hơn. Tuy nhiên, vẫn còn nhiều không chắc chắn về hiệu quả thực thi chính sách.</t>
  </si>
  <si>
    <t>Theo cải cách thuế mới, mức giảm trừ gia cảnh tăng đáng kể, giúp người dân ít bị gian lận. Các quy định quản lý thuế hiện nay cũng được nâng cao.</t>
  </si>
  <si>
    <t>Công nghệ phát triển mạnh mẽ đã cho phép các cơ quan thuế xử lý và kiểm soát hiệu quả hơn, giảm thiểu hành vi trốn thuế.</t>
  </si>
  <si>
    <t>Biểu thuế được đơn giản hóa từ 7 bậc xuống 5, tạo sự thuận tiện cho người dân khai báo. Quy trình làm việc với cơ quan thuế cũng trở nên nhanh chóng hơn.</t>
  </si>
  <si>
    <t>Cách tính thuế mới đơn giản hóa các bậc thuế, dễ hiểu và dễ thực hiện hơn so với trước đây, giúp người dân nắm bắt nhanh chóng.</t>
  </si>
  <si>
    <t>Mức giảm trừ gia cảnh tăng đáng kể, công bằng hơn cho người nộp thuế. Việc cải cách cũng tạo sự tin tưởng vào việc thực thi chính sách của nhà nước.</t>
  </si>
  <si>
    <t>Thuế suất mới được điều chỉnh phù hợp với thu nhập cá nhân, đảm bảo tính công bằng trong việc đóng góp thuế cho xã hội.</t>
  </si>
  <si>
    <t>Mức giảm trừ gia cảnh tăng đáng kể, tạo niềm tin rằng số tiền thuế đóng sẽ được sử dụng hiệu quả để cải thiện dịch vụ công.</t>
  </si>
  <si>
    <t>Cải cách thuế đã giải thích rõ ràng về mục tiêu và lý do của việc sửa đổi. Thông qua các kênh truyền thông, người dân có thể hiểu đúng về chính sách mới.</t>
  </si>
  <si>
    <t>Sau khi xem xét các quyền lợi và nghĩa vụ, tôi ủng hộ cải cách thuế vì nó giúp giảm gánh nặng tài chính và tăng tính công bằng cho mọi người nộp thuế.</t>
  </si>
  <si>
    <t>Đối với ENF1, mặc dù mức giảm trừ gia cảnh tăng lên, nhưng không có thông tin rõ ràng về hệ thống công nghệ và quy định quản lý thuế mới. Điều này khiến tôi ít tin tưởng vào khả năng phát hiện trốn thuế.</t>
  </si>
  <si>
    <t>Hiện nay, chính phủ đã đầu tư nhiều vào công nghệ và có thể sử dụng công nghệ để phát hiện hành vi gian lận. Tuy nhiên, không có thông tin cụ thể về sự hiệu quả của hệ thống này.</t>
  </si>
  <si>
    <t>So với trước đây, quy trình làm việc với cơ quan thuế đã được đơn giản hóa và giảm bớt các bước cần đi. Điều này khiến tôi cảm thấy thuận tiện hơn trong quá trình khai báo thuế.</t>
  </si>
  <si>
    <t>Các bậc thuế mới đơn giản hơn so với trước đây, giúp việc tính toán thu nhập chịu thuế trở nên dễ dàng và minh bạch hơn.</t>
  </si>
  <si>
    <t>Niềm tin vào sự khách quan và công bằng của cơ quan thuế được tăng lên nhờ mức giảm trừ gia cảnh cao hơn. Tuy nhiên, vẫn còn nhiều lo ngại về khả năng thực thi chính sách một cách công bằng.</t>
  </si>
  <si>
    <t>Mức thuế mới có vẻ hợp lý so với thu nhập của tôi. Việc này giúp tăng cảm giác công bằng trong việc đóng thuế.</t>
  </si>
  <si>
    <t>Tôi tin rằng số tiền thuế đóng sẽ được sử dụng hiệu quả để cải thiện dịch vụ công. Tuy nhiên, không có thông tin cụ thể về cách sử dụng nguồn thu thuế này.</t>
  </si>
  <si>
    <t>Phương án mới đã được giải thích một cách rõ ràng hơn so với trước đây, giúp tôi hiểu mục đích và lý do của việc sửa đổi thuế. Tuy nhiên, vẫn còn nhiều điểm cần cải thiện về minh bạch.</t>
  </si>
  <si>
    <t>Dựa trên các yếu tố như mức giảm trừ gia cảnh cao hơn, quy trình làm việc thuận tiện và đơn giản, cũng như cảm giác công bằng trong việc đóng thuế, tôi có xu hướng ủng hộ và tuân thủ chính sách mới.</t>
  </si>
  <si>
    <t>Các quy định quản lý thuế hiện nay đã được cải thiện, tăng mức giảm trừ gia cảnh và đơn giản hóa biểu thuế. Điều này làm giảm khả năng trốn thuế và tăng tính minh bạch.</t>
  </si>
  <si>
    <t>Công nghệ phát triển giúp nhà nước có thể theo dõi và giám sát các giao dịch tài chính, từ đó dễ dàng phát hiện các hành vi trốn thuế. Tuy nhiên, vẫn còn một số rủi ro.</t>
  </si>
  <si>
    <t>Bậc thuế được đơn giản hóa từ 7 xuống 5, giảm bớt sự phức tạp trong khai báo thuế. Mức giảm trừ gia cảnh cũng tăng lên giúp việc tính thuế dễ dàng hơn.</t>
  </si>
  <si>
    <t>Một cách tính thuế đơn giản hơn và các bậc thuế rõ ràng hơn, khiến người dân hiểu được mức thuế phải đóng một cách dễ dàng hơn.</t>
  </si>
  <si>
    <t>Nhà nước đã cải thiện quy định quản lý thuế để đảm bảo công bằng cho mọi người nộp thuế. Tuy nhiên, vẫn còn sự đa dạng về thu nhập và cách hiểu về chính sách.</t>
  </si>
  <si>
    <t>Mức thuế mới được thiết kế nhằm tạo ra tính công bằng giữa các mức thu nhập khác nhau, nhưng tôi chưa hoàn toàn chắc chắn với việc áp dụng của nó.</t>
  </si>
  <si>
    <t>Nhà nước đã sử dụng số tiền thuế thu thập được để cải thiện dịch vụ công một cách hiệu quả. Tuy nhiên, vẫn còn sự nghi ngờ về mức độ chi tiêu thực tế.</t>
  </si>
  <si>
    <t>Tin tức và giải thích về mục đích của việc sửa đổi thuế đã được cung cấp, nhưng tôi nghĩ có thể cần thêm thông tin minh bạch hơn để tăng sự thuyết phục.</t>
  </si>
  <si>
    <t>Dù các cải cách mang lại lợi ích tài chính cho tôi, nhưng vẫn còn một số lo ngại về việc áp dụng và minh bạch. Tôi sẽ cân nhắc tuân thủ với điều kiện có thêm thông tin.</t>
  </si>
  <si>
    <t>Quy định quản lý thuế hiện nay chưa rõ ràng, có thể tạo cơ hội cho hành vi gian lận. Tuy nhiên, với sự phát triển của công nghệ, khả năng phát hiện trốn thuế được cải thiện.</t>
  </si>
  <si>
    <t>Nhà nước đã đầu tư vào hệ thống công nghệ để giám sát và xử lý hành vi trốn thuế. Công nghệ AI có thể hỗ trợ hiệu quả trong việc phát hiện các gian lận.</t>
  </si>
  <si>
    <t>Mức giảm trừ gia cảnh tăng, làm giảm gánh nặng về mặt tài chính. Quy trình khai báo thuế đơn giản hơn so với trước đây, nhưng vẫn có thể phức tạp đối với người không am hiểu.</t>
  </si>
  <si>
    <t>Biểu thuế được đơn giản hóa từ 7 bậc xuống còn 5 bậc, làm giảm sự phức tạp. Cách tính thuế mới dễ hiểu hơn.</t>
  </si>
  <si>
    <t>Niềm tin vào việc Nhà nước thực thi chính sách công bằng dựa trên mức độ tăng giảm trừ gia cảnh và đơn giản hóa quy trình khai báo thuế. Tuy nhiên, vẫn cần thời gian để hình thành niềm tin.</t>
  </si>
  <si>
    <t>Mức thuế mới được thiết kế công bằng hơn với người thu nhập như tôi. Tuy nhiên, việc giảm trừ gia cảnh tăng mạnh có thể gây nghi ngờ về tính công bằng đối với những người không có người phụ thuộc.</t>
  </si>
  <si>
    <t>Niềm tin vào việc số tiền thuế đóng sẽ được sử dụng hiệu quả cho dịch vụ công dựa trên mức độ tăng giảm trừ gia cảnh và đơn giản hóa quy trình khai báo thuế. Tuy nhiên, cần thời gian để chứng minh hiệu quả thực tế.</t>
  </si>
  <si>
    <t>Giải thích về lý do và mục tiêu của việc sửa đổi thuế chưa rõ ràng, nhưng có thể được cải thiện thông qua các kênh truyền thông. Sự minh bạch trong quá trình thực hiện chính sách là cần thiết.</t>
  </si>
  <si>
    <t>Mức giảm trừ gia cảnh và đơn giản hóa quy trình khai báo thuế tạo điều kiện thuận lợi cho việc tuân thủ. Tuy nhiên, nghi ngờ về tính công bằng vẫn còn tồn tại. Cần thời gian để hình thành quyết định cuối cùng.</t>
  </si>
  <si>
    <t>Hiện nay, với tăng cường quản lý thuế và công nghệ phát triển, các hành vi gian lận hay trốn thuế sẽ dễ bị phát hiện. Công nghệ giúp cải thiện khả năng giám sát.</t>
  </si>
  <si>
    <t>Nhà nước đã đầu tư vào công nghệ và nguồn lực để phát hiện và xử lý các hành vi trốn thuế, cho thấy sự cam kết trong việc thực thi.</t>
  </si>
  <si>
    <t>Các quy định về giảm trừ gia cảnh và biểu thuế đơn giản hơn đã làm cho khai báo thuế trở nên dễ dàng hơn. Nhu cầu tương tác với cơ quan thuế cũng ít đi so với trước đây.</t>
  </si>
  <si>
    <t>Biểu thuế mới có số bậc giảm từ 7 xuống còn 5, đồng thời đơn giản hóa cách tính thuế, tạo cảm giác dễ hiểu và thực hiện hơn cho người nộp thuế.</t>
  </si>
  <si>
    <t>Nhà nước đã tăng cường quản lý thuế và cải thiện quy định về giảm trừ gia cảnh. Điều này làm tăng niềm tin vào sự công bằng trong việc áp dụng chính sách.</t>
  </si>
  <si>
    <t>Mức thuế mới được thiết kế dựa trên thu nhập, cho thấy tính công bằng trong việc phân bổ gánh nặng thuế giữa các đối tượng khác nhau. Tuy nhiên, mức tăng giảm từ 5-35% có thể gây lo ngại.</t>
  </si>
  <si>
    <t>Thuế thu nhập cá nhân mới được cải thiện về mặt quản lý và công bằng, nhưng việc sử dụng số tiền thuế này vào các dịch vụ công cần thêm minh bạch hơn.</t>
  </si>
  <si>
    <t>Thông tin chính sách đã được đơn giản hóa và rõ ràng hơn. Tuy nhiên, sự giải thích đầy đủ về mục tiêu cải cách vẫn còn hạn chế.</t>
  </si>
  <si>
    <t>Các quyền lợi từ giảm trừ gia cảnh tăng lên, nhưng mức thuế mới có thể gây lo ngại về công bằng. Khoản tăng 5-35% tạo ra sự không chắc chắn.</t>
  </si>
  <si>
    <t>Dựa trên các cải cách thuế mới, mức giảm trừ gia cảnh được tăng mạnh. Tuy nhiên, vẫn cần công nghệ và khả năng của cơ quan thuế để phát hiện trốn thuế.</t>
  </si>
  <si>
    <t>Công nghệ ngày càng tiên tiến giúp phát hiện gian lận và trốn thuế dễ dàng hơn. Cơ quan thuế cũng đã tăng cường các biện pháp quản lý.</t>
  </si>
  <si>
    <t>Biểu thuế được đơn giản hóa, nhiều người nhận thấy việc khai báo thuế trở nên dễ dàng hơn. Tuy nhiên, vẫn có thể gặp khó khăn với những trường hợp phức tạp.</t>
  </si>
  <si>
    <t>Cách tính thuế mới rõ ràng và dễ hiểu hơn so với trước đây. Số bậc thuế giảm giúp việc tính toán trở nên đơn giản.</t>
  </si>
  <si>
    <t>Nhà nước đã tăng mức giảm trừ gia cảnh, điều này thể hiện sự công bằng đối với người dân. Tuy nhiên, vẫn có lo ngại về cách thực thi chính sách.</t>
  </si>
  <si>
    <t>Mức thuế mới được thiết kế để phù hợp với thu nhập trung bình, tạo cảm giác công bằng. Người dân nhận thấy mức thuế này là hợp lý đối với thu nhập của họ.</t>
  </si>
  <si>
    <t>Nhà nước tăng cường đầu tư vào các dịch vụ công như y tế và hạ tầng, người dân tin rằng tiền thuế đóng góp sẽ được sử dụng hiệu quả. Tuy nhiên, vẫn có sự lo ngại về việc quản lý chi tiêu.</t>
  </si>
  <si>
    <t>Nhà nước đã giải thích rõ ràng về các thay đổi trong Luật Thuế TNCN, tuy nhiên, một số người vẫn cảm thấy thông tin chưa đủ minh bạch.</t>
  </si>
  <si>
    <t>Mặc dù mức thuế mới có lợi cho nhiều người, nhưng vẫn cần thời gian để hoàn thiện quy trình thực thi. Người dân vẫn có thể cân nhắc giữa lợi ích và nghĩa vụ khi tuân thủ chính sách.</t>
  </si>
  <si>
    <t>Cải cách thuế TNCN có nhiều quy định quản lý mới, tăng mức giảm trừ gia cảnh và đơn giản hóa biểu thuế. Điều này làm giảm khả năng trốn thuế.</t>
  </si>
  <si>
    <t>Việc áp dụng công nghệ tiên tiến như AI trong phát hiện gian lận và trốn thuế giúp tăng cường hiệu quả quản lý, nhưng vẫn phụ thuộc vào nguồn lực và đầu tư của Nhà nước.</t>
  </si>
  <si>
    <t>Mức giảm trừ gia cảnh cao hơn và đơn giản hóa biểu thuế tạo điều kiện thuận lợi hơn cho việc khai báo thuế. Tuy nhiên, quy trình làm việc với cơ quan thuế vẫn cần cải thiện.</t>
  </si>
  <si>
    <t>Các bậc thuế mới dễ hiểu hơn và gian lận thuế giảm nhờ mức giảm trừ gia cảnh cao hơn, điều này giúp cách tính thuế đơn giản và dễ thực hiện hơn so với trước đây.</t>
  </si>
  <si>
    <t>Mức tăng giảm trừ gia cảnh và mức thuế suất mới tạo ra cảm giác công bằng hơn. Tuy nhiên, tôi vẫn lo ngại về khả năng thực thi chính sách.</t>
  </si>
  <si>
    <t>Nhìn chung, mức thuế mới được thiết kế để phù hợp với thu nhập hiện tại của tôi và tạo cảm giác công bằng hơn so với trước đây.</t>
  </si>
  <si>
    <t>Mức thuế tăng lên cho thu nhập cao hơn có thể khiến tôi lo ngại về việc sử dụng hiệu quả số tiền đóng góp vào dịch vụ công. Tuy nhiên, tôi hy vọng rằng chính sách mới sẽ cải thiện.</t>
  </si>
  <si>
    <t>Tôi tin tưởng phần lớn thông tin từ cơ quan thuế nhưng lo ngại về khả năng thực hiện các cam kết mà họ đưa ra.</t>
  </si>
  <si>
    <t>Trải nghiệm và niềm tin của tôi trong chính sách mới là cân bằng. Tôi ủng hộ nhưng cần xem xét kỹ trước khi tuân thủ hoàn toàn.</t>
  </si>
  <si>
    <t>Tăng mức giảm trừ gia cảnh và đơn giản hóa biểu thuế có thể làm giảm khả năng phát hiện gian lận, tuy nhiên công nghệ tiên tiến giúp tăng cường quản lý thuế.</t>
  </si>
  <si>
    <t>Công nghệ ngày càng phát triển sẽ giúp nhà nước dễ dàng kiểm soát và xử phạt hành vi trốn thuế hiệu quả hơn.</t>
  </si>
  <si>
    <t>Bậc thuế giảm từ 7 xuống còn 5 có thể làm quy trình khai báo thuế đơn giản hơn, nhưng chưa rõ về sự tiện lợi trong thực tế.</t>
  </si>
  <si>
    <t>Cách tính thuế và bậc thuế mới dễ hiểu hơn so với trước đây, giảm bớt phức tạp cho người dân.</t>
  </si>
  <si>
    <t>Mức giảm trừ gia cảnh tăng có thể làm tăng niềm tin vào sự công bằng của chính sách thuế mới.</t>
  </si>
  <si>
    <t>Thuế suất và ngưỡng chịu thuế thay đổi nhưng không rõ mức thuế mới đóng là như thế nào, khó đánh giá công bằng.</t>
  </si>
  <si>
    <t>Niềm tin vào việc sử dụng hiệu quả số tiền thuế đóng còn phụ thuộc vào các chính sách khác của nhà nước.</t>
  </si>
  <si>
    <t>Chưa có thông tin rõ ràng về lý do và mục tiêu sửa đổi thuế lần này, gây khó khăn cho người dân trong việc đánh giá.</t>
  </si>
  <si>
    <t>Niềm tin vào sự công bằng của chính sách mới và giảm gánh nặng thuế có thể làm tăng khả năng ủng hộ.</t>
  </si>
  <si>
    <t>Nâng mức giảm trừ gia cảnh cho bản thân và người phụ thuộc, kết hợp cùng công nghệ phát hiện trốn thuế sẽ tăng khả năng phát hiện gian lận.</t>
  </si>
  <si>
    <t>Công nghệ ngày càng phát triển giúp cơ quan thuế có thể theo dõi và xử lý các hành vi trốn thuế một cách hiệu quả.</t>
  </si>
  <si>
    <t>Biểu thuế được đơn giản hóa từ 7 bậc xuống còn 5 bậc, giảm bớt thủ tục khai báo, tạo thuận lợi cho người dân.</t>
  </si>
  <si>
    <t>Cách tính thuế và các bậc thuế mới rõ ràng hơn, dễ hiểu và dễ thực hiện hơn so với trước đây.</t>
  </si>
  <si>
    <t>Nhìn chung, mức giảm trừ gia cảnh tăng cho bản thân và người phụ thuộc thể hiện sự công bằng đối xử giữa các cá nhân nộp thuế.</t>
  </si>
  <si>
    <t>Các bậc thuế mới được thiết kế sao cho phù hợp với thu nhập của tôi, thấy mức thuế đóng là công bằng.</t>
  </si>
  <si>
    <t>Với mức giảm trừ gia cảnh tăng và các cải cách về thuế, số tiền thuế tôi đóng sẽ được sử dụng hiệu quả để cải thiện dịch vụ công.</t>
  </si>
  <si>
    <t>Nhìn chung, thông tin về cải cách thuế đã được giải thích rõ ràng hơn so với trước đây.</t>
  </si>
  <si>
    <t>Mặc dù mức giảm trừ gia cảnh tăng và các bậc thuế mới công bằng hơn, nhưng tôi vẫn có độ nghi ngờ nhất định đối với thực thi chính sách.</t>
  </si>
  <si>
    <t>Mức giảm trừ gia cảnh tăng, giúp giảm rủi ro trốn thuế. Công nghệ hiện đại cũng hỗ trợ phát hiện gian lận.</t>
  </si>
  <si>
    <t>Công nghệ mới và quy định quản lý chặt chẽ hơn sẽ tăng khả năng phát hiện trốn thuế.</t>
  </si>
  <si>
    <t>Số bậc thuế giảm, thủ tục đơn giản hơn so với trước đây. Tuy nhiên, chưa có nhiều cải tiến trong quy trình làm việc.</t>
  </si>
  <si>
    <t>Biểu thuế đơn giản hóa, các bậc thuế rõ ràng hơn nhưng vẫn còn phức tạp đối với người không am hiểu về thuế.</t>
  </si>
  <si>
    <t>Mức giảm trừ gia cảnh tăng, minh bạch hơn. Tuy nhiên, mức thuế mới có thể chưa hoàn toàn công bằng trong mọi trường hợp.</t>
  </si>
  <si>
    <t>Mức thuế mới không phù hợp với thu nhập thực tế của tôi, nên cảm thấy không công bằng.</t>
  </si>
  <si>
    <t>Số tiền thuế đóng sẽ được sử dụng hiệu quả để cải thiện dịch vụ công. Tuy nhiên, vẫn còn nhiều lo ngại về việc quản lý hiệu quả.</t>
  </si>
  <si>
    <t>Công bố chính sách rõ ràng nhưng chưa giải thích đầy đủ mục tiêu và lý do thay đổi thuế.</t>
  </si>
  <si>
    <t>Niềm tin về thực thi chính sách thấp, mức thuế mới không công bằng với thu nhập của tôi. Tuy nhiên, vẫn có ý định tuân thủ nếu giải thích rõ ràng hơn.</t>
  </si>
  <si>
    <t>Biện pháp quản lý thuế hiện nay chưa rõ ràng và công nghệ phát hiện trốn thuế cần thời gian để triển khai.</t>
  </si>
  <si>
    <t>Việc áp dụng công nghệ trong quản lý thuế đang được đẩy mạnh, nhưng khả năng phát hiện trốn thuế còn phụ thuộc vào nguồn lực và thời gian.</t>
  </si>
  <si>
    <t>Mức giảm trừ gia cảnh tăng đáng kể giúp việc khai báo trở nên đơn giản hơn. Tuy nhiên, quy trình làm việc với cơ quan thuế vẫn còn phức tạp.</t>
  </si>
  <si>
    <t>Số bậc thuế ít đi và ngưỡng chịu thuế được điều chỉnh phù hợp giúp cách tính thuế trở nên dễ hiểu hơn.</t>
  </si>
  <si>
    <t>Nhà nước đã cải thiện quy định quản lý thuế, nhưng còn nhiều yếu tố phụ thuộc vào thực thi cụ thể.</t>
  </si>
  <si>
    <t>Mức thuế mới được điều chỉnh hợp lý, người thu nhập như tôi thấy mức thuế là công bằng.</t>
  </si>
  <si>
    <t>Tăng cường giảm trừ gia cảnh giúp cải thiện dịch vụ công nhưng còn phụ thuộc vào hiệu quả thực tế sử dụng số tiền thuế.</t>
  </si>
  <si>
    <t>Thông tin về lý do và mục tiêu của việc sửa đổi thuế được giải thích rõ ràng, tuy nhiên vẫn cần thời gian để thuyết phục hoàn toàn.</t>
  </si>
  <si>
    <t>Tăng giảm trừ gia cảnh giúp cải thiện khả năng tuân thủ. Tuy nhiên, mức độ ủng hộ còn phụ thuộc vào hiệu quả thực thi và niềm tin đối với cơ quan thuế.</t>
  </si>
  <si>
    <t>Theo quy định mới, mức giảm trừ gia cảnh tăng mạnh, đồng thời đơn giản hóa biểu thuế. Điều này làm giảm gánh nặng thuế cho người dân và tăng tính công bằng. Tuy nhiên, khả năng phát hiện trốn thuế cần sự hỗ trợ từ công nghệ hiện đại.</t>
  </si>
  <si>
    <t>Việc cải cách thuế thu nhập cá nhân đã được thực hiện nhằm tăng cường quản lý và giám sát hiệu quả. Công nghệ tiên tiến cũng giúp phát hiện các hành vi trốn thuế một cách nhanh chóng.</t>
  </si>
  <si>
    <t>Biểu thuế mới đơn giản hơn với ít bậc, đồng thời quy trình khai báo thuế được cải thiện. Điều này làm tăng thuận tiện cho người nộp thuế.</t>
  </si>
  <si>
    <t>Cách tính thuế và các bậc thuế trong phương án mới rõ ràng hơn so với trước đây, giúp người dân dễ hiểu và thực hiện.</t>
  </si>
  <si>
    <t>Việc tăng giảm trừ gia cảnh và đơn giản hóa biểu thuế tạo cảm giác công bằng. Tuy nhiên, mức độ tin tưởng về việc nhà nước thực thi chính sách vẫn cần thời gian để xây dựng.</t>
  </si>
  <si>
    <t>Thuế mới được thiết kế hợp lý theo thu nhập cá nhân, tạo cảm giác công bằng. Tuy nhiên, mức độ tin tưởng về việc sử dụng hiệu quả số tiền thuế vẫn cần thời gian để xây dựng.</t>
  </si>
  <si>
    <t>Thuê mới được thiết kế hợp lý theo thu nhập cá nhân, tạo cảm giác công bằng. Tuy nhiên, mức độ tin tưởng về việc sử dụng hiệu quả số tiền thuế vẫn cần thời gian để xây dựng.</t>
  </si>
  <si>
    <t>Thông tin về cải cách thuế được truyền tải đầy đủ nhưng cần thêm các giải thích rõ ràng hơn. Tuy nhiên, mức độ tin tưởng về việc nhà nước thực hiện mục tiêu của cải cách vẫn đang tăng dần.</t>
  </si>
  <si>
    <t>Thuê mới tạo thuận lợi và công bằng cho người dân nhưng cần thời gian để xây dựng niềm tin. Tuy nhiên, các quyền lợi từ chính sách mới sẽ giúp tôi tuân thủ.</t>
  </si>
  <si>
    <t>Theo quy định quản lý thuế mới, mức giảm trừ gia cảnh tăng lên đáng kể, giúp người nộp thuế tiết kiệm nhiều hơn. Tuy nhiên, vẫn còn lo ngại về khả năng phát hiện trốn thuế.</t>
  </si>
  <si>
    <t>Công nghệ hiện đại đã được áp dụng trong quản lý thuế, nhưng việc kiểm soát toàn diện và xử lý nghiêm minh các hành vi trốn thuế vẫn còn hạn chế do thiếu thông tin cá nhân.</t>
  </si>
  <si>
    <t>Biểu thuế mới đơn giản hơn với ít bậc, giúp quá trình khai báo dễ dàng. Tuy nhiên, thủ tục liên quan đến việc làm việc với cơ quan thuế vẫn còn phức tạp.</t>
  </si>
  <si>
    <t>Cách tính thuế và các bậc thuế trong phương án mới đã đơn giản hóa so với trước đây, dễ hiểu và thực hiện thuận tiện hơn.</t>
  </si>
  <si>
    <t>Nhà nước đã cải thiện quy định giảm trừ gia cảnh và đơn giản hóa biểu thuế, giúp người nộp thuế công bằng hơn. Tuy nhiên, vẫn có lo ngại về cách thực thi chính sách.</t>
  </si>
  <si>
    <t>Mức thuế mới được thiết kế công bằng cho thu nhập hiện tại của tôi, nhưng cần thêm thời gian để đánh giá hiệu quả thực tế của nó.</t>
  </si>
  <si>
    <t>Tôi tin rằng số tiền thuế đóng sẽ được sử dụng hiệu quả, nhưng cần thêm thông tin về cách thức cụ thể của việc đầu tư ngân sách này.</t>
  </si>
  <si>
    <t>Nhà nước đã giải thích rõ ràng về mục tiêu cải cách thuế mới. Tuy nhiên, vẫn có sự bất mãn về cách thức truyền thông chính sách.</t>
  </si>
  <si>
    <t>Sau khi xem xét các quyền lợi và nghĩa vụ, tôi ủng hộ và tuân thủ chính sách mới với mức độ trung bình. Mức thuế giảm và quy định đơn giản hơn mang lại lợi ích đáng kể.</t>
  </si>
  <si>
    <t>Biện pháp quản lý thuế hiện tại có nhiều cải tiến, nhưng vẫn còn hạn chế. Việc tăng giảm trừ gia cảnh và đơn giản hóa biểu thuế sẽ không giúp phát hiện trốn thuế dễ dàng hơn.</t>
  </si>
  <si>
    <t>Nhà nước đã đầu tư công nghệ để phát hiện trốn thuế, nhưng thực tế vẫn còn nhiều khó khăn. Tuy nhiên, với các biện pháp quản lý mới, khả năng phát hiện và xử lý nghiêm sẽ được cải thiện.</t>
  </si>
  <si>
    <t>Quy trình làm việc với cơ quan thuế đã đơn giản hơn so với trước đây, nhưng vẫn còn một số khó khăn. Tăng giảm trừ gia cảnh và đơn giản hóa biểu thuế giúp quá trình khai báo thuận tiện hơn.</t>
  </si>
  <si>
    <t>Cách tính thuế mới đơn giản hơn so với trước đây, nhưng việc áp dụng các bậc thuế vẫn có thể gây phức tạp. Tuy nhiên, tổng thể cách tính thuế đã trở nên dễ hiểu và dễ thực hiện hơn.</t>
  </si>
  <si>
    <t>Nhà nước đã cố gắng thực thi chính sách một cách công bằng, nhưng sự minh bạch vẫn còn hạn chế. Tuy nhiên, với các biện pháp quản lý mới, tôi tin rằng Nhà nước sẽ tuân thủ hơn.</t>
  </si>
  <si>
    <t>Mức thuế mới theo phương án này là hợp lý cho thu nhập của tôi, nhưng sự công bằng vẫn còn cần cải thiện. Tuy nhiên, so với trước đây, mức thuế mới đã trở nên công bằng hơn.</t>
  </si>
  <si>
    <t>Nhà nước đã sử dụng số tiền thuế một cách hiệu quả cho một số dịch vụ công, nhưng vẫn còn nhiều vấn đề. Tuy nhiên, so với trước đây, tôi cảm thấy tin tưởng rằng số tiền thuế đóng sẽ được sử dụng hợp lý hơn.</t>
  </si>
  <si>
    <t>Nhà nước đã giải thích rõ ràng về mục tiêu của việc sửa đổi thuế này, nhưng vẫn còn cần cải thiện. Tuy nhiên, so với trước đây, tôi cảm thấy tin tưởng rằng Nhà nước sẽ minh bạch hơn trong việc thông báo chính sách.</t>
  </si>
  <si>
    <t>Sau khi xem xét các quyền lợi và nghĩa vụ, tôi ủng hộ chính sách mới. Mặc dù có một số khó khăn, nhưng với mức thuế thấp hơn và giảm trừ gia cảnh cao hơn, tôi sẵn sàng tuân thủ.</t>
  </si>
  <si>
    <t>Nguyên tắc quản lý thuế hiện nay ngày càng chặt chẽ, với công nghệ phát triển giúp xử lý và theo dõi gian lận dễ dàng hơn.</t>
  </si>
  <si>
    <t>Nhà nước đã đầu tư mạnh vào hệ thống công nghệ thông tin để phát hiện trốn thuế, giảm thiểu hành vi vi phạm.</t>
  </si>
  <si>
    <t>Mức giảm trừ gia cảnh cao hơn và đơn giản hóa biểu thuế tạo điều kiện thuận lợi cho việc khai báo thuế.</t>
  </si>
  <si>
    <t>Biểu thuế được rút gọn, dễ hiểu hơn so với trước đây, giúp quá trình tính toán thu nhập chịu thuế trở nên đơn giản.</t>
  </si>
  <si>
    <t>Nhà nước đã tăng giảm trừ gia cảnh và đơn giản hóa biểu thuế, thể hiện sự công bằng trong việc áp dụng chính sách.</t>
  </si>
  <si>
    <t>Mức thuế mới được thiết kế dựa trên thu nhập thực tế nên tôi cảm thấy là hợp lý.</t>
  </si>
  <si>
    <t>Tăng giảm trừ gia cảnh và đơn giản hóa biểu thuế tạo điều kiện thuận lợi cho việc đóng góp vào các dịch vụ công</t>
  </si>
  <si>
    <t>Nhà nước đã giải thích rõ về mục tiêu của chính sách mới, nhưng vẫn cần thêm thông tin để tôi hoàn toàn thuyết phục hơn.</t>
  </si>
  <si>
    <t>Dù chưa hoàn toàn tin tưởng tuyệt đối, nhưng tôi thấy lợi ích từ chính sách mới sẽ vượt trội so với rủi ro không tuân thủ</t>
  </si>
  <si>
    <t>Công nghệ hiện đại và các quy định quản lý thuế mới có thể giúp phát hiện hành vi gian lận, nhưng vẫn còn nhiều yếu tố phụ thuộc vào thực thi.</t>
  </si>
  <si>
    <t>Đối với người dân thường, việc sử dụng công nghệ để phát hiện trốn thuế là khó đoán. Tuy nhiên, nhà nước có thể đã đầu tư vào công nghệ này.</t>
  </si>
  <si>
    <t>Mức giảm trừ gia cảnh tăng và đơn giản hóa biểu thuế giúp quá trình khai báo trở nên dễ dàng hơn, nhưng vẫn cần cải thiện.</t>
  </si>
  <si>
    <t>Biểu thuế mới đơn giản hơn so với trước đây, nhưng người dân cần thời gian để quen thuộc và hiểu rõ cách tính.</t>
  </si>
  <si>
    <t>Nhà nước đã cải thiện nhiều về công bằng trong việc áp dụng thuế, giảm gánh nặng cho người dân.</t>
  </si>
  <si>
    <t>Mức thuế mới có vẻ hợp lý so với thu nhập hiện tại của tôi, nhưng vẫn cần thêm thời gian để đánh giá hiệu quả thực tế.</t>
  </si>
  <si>
    <t>Tăng giảm trừ gia cảnh và đơn giản hóa biểu thuế giúp cải thiện việc sử dụng tiền thuế vào các dịch vụ công tốt hơn.</t>
  </si>
  <si>
    <t>Thông tin giải thích về chính sách mới chưa rõ ràng bằng cách truyền thông, gây ra sự hoài nghi trong cộng đồng.</t>
  </si>
  <si>
    <t>Sau khi xem xét các quyền lợi và nghĩa vụ, tôi ủng hộ cải cách thuế nhưng vẫn cần thêm thời gian để đánh giá hiệu quả thực tế.</t>
  </si>
  <si>
    <t>Các quy định quản lý thuế hiện nay khá chặt chẽ, nhưng vẫn có thể bị gian lận. Tăng cường công nghệ phát hiện trốn thuế giúp giảm rủi ro, nhưng không loại trừ hoàn toàn khả năng trốn tránh.</t>
  </si>
  <si>
    <t>Công nghệ ngày càng tiên tiến, Nhà nước có nhiều nguồn lực để phát hiện và xử lý nghiêm các hành vi trốn thuế. Tuy nhiên, vẫn còn những thách thức cần giải quyết.</t>
  </si>
  <si>
    <t>Thủ tục khai báo thuế đã đơn giản hơn trước đây, nhưng vẫn có một số bước phức tạp. Quy trình làm việc với cơ quan thuế cũng được cải thiện</t>
  </si>
  <si>
    <t>Cách tính thuế và các bậc thuế mới đơn giản hơn, dễ hiểu và dễ thực hiện hơn so với trước đây. Điều này giúp giảm bớt cảm giác phức tạp cho người dân.</t>
  </si>
  <si>
    <t>Đối xử bình đẳng trong việc áp dụng chính sách mới là điều quan trọng. Tăng mức giảm trừ gia cảnh và đơn giản hóa biểu thuế có thể làm tăng niềm tin vào sự công bằng.</t>
  </si>
  <si>
    <t>Mức thuế theo phương án mới được thiết kế nhằm công bằng hơn, tuy nhiên vẫn cần thêm thời gian để kiểm chứng hiệu quả thực tế.</t>
  </si>
  <si>
    <t>Niềm tin vào việc sử dụng hiệu quả số tiền thuế đóng có thể tăng lên khi các quy định rõ ràng và minh bạch hơn. Tuy nhiên, cần xem xét kết quả thực tế của chính sách mới.</t>
  </si>
  <si>
    <t>Nhà nước đã giải thích rõ về lý do và mục tiêu của việc sửa đổi thuế, nhưng vẫn còn một số thông tin chưa được minh bạch đầy đủ.</t>
  </si>
  <si>
    <t>Sau khi xem xét các quyền lợi và nghĩa vụ, tôi thấy chính sách mới có nhiều ưu điểm như giảm gánh nặng thuế và đơn giản hóa thủ tục. Tuy nhiên, vẫn cần thời gian để đánh giá hiệu quả thực tế.</t>
  </si>
  <si>
    <t>Nhìn chung, tôi tin rằng với các quy định quản lý thuế hiện nay có thể phát hiện hành vi gian lận hoặc trốn thuế. Tuy nhiên, khả năng phát hiện và xử lý nghiêm vẫn còn phụ thuộc vào nguồn lực và hiệu quả của cơ quan thuế.</t>
  </si>
  <si>
    <t>Với các công nghệ ngày càng tiên tiến, tôi tin rằng Nhà nước có đủ khả năng để phát hiện và xử lý nghiêm các hành vi trốn thuế. Tuy nhiên, hiệu quả thực tế còn phụ thuộc vào sự vận hành của hệ thống.</t>
  </si>
  <si>
    <t>Sau khi xem xét, tôi thấy quy trình khai báo thuế và làm việc với cơ quan thuế đã đơn giản hơn so với trước đây. Tuy nhiên, vẫn còn một số bước phức tạp cần cải thiện.</t>
  </si>
  <si>
    <t>Với sự đơn giản hóa biểu thuế từ 7 bậc xuống 5 bậc, tôi thấy cách tính thuế và các bậc thuế trong phương án mới dễ hiểu và thực hiện hơn. Tuy nhiên, vẫn còn một số quy định phức tạp cần cải thiện.</t>
  </si>
  <si>
    <t>Nhìn chung, tôi tin rằng Nhà nước sẽ thực thi chính sách mới một cách công bằng và khách quan với mọi người nộp thuế. Tuy nhiên, mức độ này còn phụ thuộc vào việc thực hiện cụ thể của cơ quan chức năng.</t>
  </si>
  <si>
    <t>Theo phương án mới, mức thuế tôi phải đóng phù hợp với thu nhập của mình và được giảm trừ gia cảnh nhiều hơn. Tuy nhiên, vẫn cần thêm thông tin về cách sử dụng số tiền thuế để tăng niềm tin.</t>
  </si>
  <si>
    <t>Tôi tin rằng số tiền thuế tôi đóng sẽ được sử dụng hiệu quả cho các dịch vụ công, tuy nhiên, thông tin cụ thể về việc sử dụng số tiền này còn hạn chế. Đã cải thiện so với trước đây.</t>
  </si>
  <si>
    <t>Nhìn chung, tôi thấy Nhà nước đã giải thích rõ ràng về lý do và mục tiêu của việc sửa đổi thuế. Tuy nhiên, vẫn cần thêm thông tin minh bạch để tăng sự tin tưởng.</t>
  </si>
  <si>
    <t>Trải qua quá trình xem xét các quyền lợi và nghĩa vụ, tôi thấy chính sách mới có nhiều điểm tích cực như giảm trừ gia cảnh và đơn giản hóa biểu thuế. Tôi sẽ ủng hộ và tuân thủ chính sách này.</t>
  </si>
  <si>
    <t>Các quy định quản lý thuế hiện nay đã được cải thiện, tăng mức giảm trừ gia cảnh và đơn giản hóa biểu thuế. Tuy nhiên, trốn thuế vẫn có thể xảy ra do các lỗ hổng nhỏ trong hệ thống quản lý.</t>
  </si>
  <si>
    <t>Nhà nước đã đầu tư vào công nghệ phát hiện gian lận và trốn thuế. Tuy nhiên, hiệu quả thực tế phụ thuộc vào việc triển khai công nghệ này.</t>
  </si>
  <si>
    <t>Thủ tục khai báo thuế đơn giản hơn với số bậc thuế giảm từ 7 xuống còn 5. Điều này giúp người dân dễ dàng tuân thủ.</t>
  </si>
  <si>
    <t>Cách tính thuế và các bậc thuế trong phương án mới đơn giản, dễ hiểu và dễ thực hiện hơn so với trước đây.</t>
  </si>
  <si>
    <t>Nhà nước đã cải thiện công bằng thông qua việc tăng mức giảm trừ gia cảnh. Tuy nhiên, sự minh bạch trong thực thi chính sách vẫn còn cần cải thiện.</t>
  </si>
  <si>
    <t>Mức thuế mới có vẻ hợp lý so với thu nhập của bản thân. Tuy nhiên, việc công bằng hoàn toàn phụ thuộc vào cách sử dụng nguồn thu thuế.</t>
  </si>
  <si>
    <t>Tôi tin rằng số tiền thuế đóng sẽ được sử dụng hiệu quả để cải thiện dịch vụ công. Việc tăng giảm trừ gia cảnh cũng giúp nâng cao sự công bằng.</t>
  </si>
  <si>
    <t>Nhà nước đã giải thích rõ ràng về mục tiêu sửa đổi thuế, nhưng cần minh bạch hơn trong việc thực hiện chính sách mới.</t>
  </si>
  <si>
    <t>Tôi ủng hộ và tuân thủ chính sách mới vì mức giảm trừ gia cảnh tăng lên. Tuy nhiên, tôi cũng lo ngại về sự phức tạp tiềm tàng của hệ thống thuế mới.</t>
  </si>
  <si>
    <t>Công nghệ hiện đại giúp phát hiện gian lận thuế trở nên dễ dàng hơn, tăng cường quản lý</t>
  </si>
  <si>
    <t>Nhà nước đã đầu tư vào công nghệ và nhân lực để phát hiện và xử lý trốn thuế hiệu quả</t>
  </si>
  <si>
    <t>Mức giảm trừ gia cảnh tăng, quy trình khai báo đơn giản hơn so với trước đây</t>
  </si>
  <si>
    <t>Biểu thuế rút gọn từ 7 bậc xuống còn 5 bậc, dễ hiểu và thuận tiện hơn cho người dân</t>
  </si>
  <si>
    <t>Chính sách mới hướng đến công bằng hơn với giảm trừ gia cảnh và đơn giản hóa quy trình khai báo</t>
  </si>
  <si>
    <t>Thuế suất có sự điều chỉnh phù hợp với thu nhập cá nhân, thể hiện tính công bằng</t>
  </si>
  <si>
    <t>Tiền thuế đóng góp vào cải thiện dịch vụ công như y tế và hạ tầng cơ sở</t>
  </si>
  <si>
    <t>Thông tin giải thích về chính sách mới được cung cấp rõ ràng, nhưng vẫn có sự hoài nghi từ người dân</t>
  </si>
  <si>
    <t>Chính sách cải cách thuế mang lại nhiều lợi ích cho cá nhân, tăng khả năng tuân thủ</t>
  </si>
  <si>
    <t>Mức giảm trừ gia cảnh tăng, nhưng không có thông tin về công nghệ phát hiện trốn thuế cụ thể.</t>
  </si>
  <si>
    <t>Công nghệ hiện đại có thể giúp phát hiện trốn thuế hiệu quả hơn, nhưng chưa rõ khả năng thực tế của cơ quan thuế.</t>
  </si>
  <si>
    <t>Biểu thuế đơn giản hóa, giảm bớt các bước khai báo, tạo thuận tiện cho người dân.</t>
  </si>
  <si>
    <t>Cách tính thuế mới đơn giản hơn và dễ hiểu hơn so với hệ thống cũ.</t>
  </si>
  <si>
    <t>Nước đi tăng giảm trừ gia cảnh công bằng, nhưng chưa rõ cách thực thi khách quan và công tâm.</t>
  </si>
  <si>
    <t>Mức thuế mới có vẻ hợp lý so với thu nhập hiện tại, tạo cảm giác công bằng cho người nộp thuế.</t>
  </si>
  <si>
    <t>Giảm trừ gia cảnh tăng, nhưng không rõ hiệu quả sử dụng nguồn thu thuế vào các dịch vụ công.</t>
  </si>
  <si>
    <t>Thông tin giải thích về mục tiêu cải cách chưa đầy đủ và minh bạch, cần thêm thông tin rõ ràng hơn.</t>
  </si>
  <si>
    <t>Nhuận，，。</t>
  </si>
  <si>
    <t>Các quy định quản lý thuế hiện nay có nhiều cải tiến, đặc biệt là sự tăng cường công nghệ để phát hiện trốn thuế. Tuy nhiên, việc thực thi vẫn phụ thuộc vào nguồn lực và chính sách của nhà nước.</t>
  </si>
  <si>
    <t>Nhà nước đã đầu tư mạnh mẽ vào công nghệ để giám sát và xử lý các hành vi trốn thuế, giúp tăng khả năng phát hiện.</t>
  </si>
  <si>
    <t>Biểu thuế đơn giản hơn với ít bậc thuế, đồng thời mức giảm trừ gia cảnh cao hơn làm cho khai báo thuế dễ dàng và nhanh chóng hơn.</t>
  </si>
  <si>
    <t>Cách tính thuế mới đơn giản hóa các bậc thuế, giúp người dân hiểu rõ hơn về quy định và dễ thực hiện hơn.</t>
  </si>
  <si>
    <t>Nhà nước đã cải thiện hệ thống giảm trừ gia cảnh, tạo ra sự công bằng trong việc áp dụng chính sách đối với mọi người nộp thuế.</t>
  </si>
  <si>
    <t>Mức thuế mới được thiết kế để công bằng hơn cho thu nhập trung bình như tôi. Tuy nhiên, vẫn có sự phức tạp khi chuyển đổi sang hệ thống mới.</t>
  </si>
  <si>
    <t>Việc cải thiện giảm trừ gia cảnh tạo điều kiện tốt hơn cho việc sử dụng số tiền thuế đóng để hỗ trợ dịch vụ công.</t>
  </si>
  <si>
    <t>Nhà nước đã giải thích về các quyền lợi và nghĩa vụ của người nộp thuế, nhưng vẫn có một số thông tin chưa rõ ràng</t>
  </si>
  <si>
    <t>Các cải cách thuế tạo ra nhiều quyền lợi cho tôi. Tuy nhiên, sự phức tạp trong quá trình chuyển đổi làm giảm quyết tâm tuân thủ.</t>
  </si>
  <si>
    <t>Biện pháp quản lý thuế mới có thể phát hiện hành vi gian lận, nhưng vẫn cần công nghệ và nguồn lực hỗ trợ.</t>
  </si>
  <si>
    <t>Công nghệ ngày càng phát triển giúp cơ quan thuế có khả năng phát hiện trốn thuế hiệu quả hơn.</t>
  </si>
  <si>
    <t>Mức giảm trừ gia cảnh tăng, thủ tục khai báo đơn giản hơn, nên thuận tiện cho người nộp thuế.</t>
  </si>
  <si>
    <t>Bậc thuế được rút gọn, cách tính thuế rõ ràng hơn, dễ dàng áp dụng hơn so với trước đây.</t>
  </si>
  <si>
    <t>Mức giảm trừ gia cảnh tăng, giúp mọi người cảm thấy công bằng hơn trong việc đóng thuế.</t>
  </si>
  <si>
    <t>Ngưỡng chịu thuế và bậc thuế mới được điều chỉnh phù hợp với thu nhập cá nhân hiện nay, tạo sự công bằng.</t>
  </si>
  <si>
    <t>Thuế giảm trừ gia cảnh tăng, mức thuế mới có thể được sử dụng hiệu quả cho dịch vụ công., nhưng cần xem xét thực tế.</t>
  </si>
  <si>
    <t>Thông tin về chính sách mới chưa rõ ràng và minh bạch như mong đợi, nên chưa thuyết phục được hoàn toàn.</t>
  </si>
  <si>
    <t>Sau khi xem xét, thấy lợi ích từ chính sách mới nhưng vẫn có một số lo ngại về thực thi, do đó ủng hộ điều kiện.</t>
  </si>
  <si>
    <t>Mức giảm trừ gia cảnh tăng và quy định quản lý thuế chặt chẽ hơn, nhưng đa số người dân vẫn nghi ngờ khả năng phát hiện trốn thuế.</t>
  </si>
  <si>
    <t>Công nghệ tiên tiến giúp phát hiện gian lận hiệu quả hơn, tuy nhiên việc xử lý nghiêm túc phụ thuộc vào chính sách thực thi.</t>
  </si>
  <si>
    <t>Quy trình khai thuế đơn giản hơn, nhưng vẫn còn nhiều bước phức tạp. Tăng mức giảm trừ gia cảnh giúp thuận lợi cho người nộp thuế.</t>
  </si>
  <si>
    <t>Biểu thuế đơn giản hóa và rõ ràng hơn, dễ hiểu và thực hiện nhanh chóng. Đây là cải tiến đáng kể về mặt thủ tục.</t>
  </si>
  <si>
    <t>Nhìn chung, Nhà nước công bố quy định minh bạch hơn nhưng vẫn còn nhiều người nghi ngờ khả năng quản lý thuế công bằng.</t>
  </si>
  <si>
    <t>Mức thuế mới có tính công bằng đối với thu nhập hiện tại của tôi. Tuy nhiên, chưa rõ hiệu quả sử dụng số tiền thuế này.</t>
  </si>
  <si>
    <t>Tôi tin rằng số tiền thuế đóng sẽ được sử dụng cho việc cải thiện dịch vụ công, nhưng thực tế vẫn còn nhiều nghi ngờ.</t>
  </si>
  <si>
    <t>Nhà nước đã giải thích rõ ràng về mục tiêu của cải cách thuế, tuy nhiên, tôi cần thêm thông tin để hoàn toàn thuyết phục hơn.</t>
  </si>
  <si>
    <t>Sau khi xem xét các quyền lợi và nghĩa vụ, tôi ủng hộ chính sách mới vì giảm trừ gia cảnh tăng và thủ tục khai thuế đơn giản hóa. Tuy nhiên, vẫn có một số lo ngại về thực thi.</t>
  </si>
  <si>
    <t>Mức giảm trừ gia cảnh tăng lên, giúp người dân ít bị phát hiện vi phạm thuế. Công nghệ hiện đại cũng hỗ trợ tốt việc quản lý thuế.</t>
  </si>
  <si>
    <t>Công nghệ và hệ thống quản lý thuế hiện đại sẽ nâng cao khả năng phát hiện hành vi trốn thuế.</t>
  </si>
  <si>
    <t>Biểu thuế đơn giản hơn, giảm số bậc từ 7 xuống còn 5, quy trình khai báo trở nên dễ dàng hơn.</t>
  </si>
  <si>
    <t>Cách tính thuế mới đơn giản hóa các bậc thuế, giúp người dân hiểu và áp dụng dễ dàng hơn.</t>
  </si>
  <si>
    <t>Giảm trừ gia cảnh tăng, cùng với cách tính thuế công bằng hơn tạo niềm tin vào sự công bằng trong quản lý thuế.</t>
  </si>
  <si>
    <t>Thuế suất và ngưỡng chịu thuế mới được thiết kế để công bằng với thu nhập hiện tại, khiến người dân cảm thấy hợp lý.</t>
  </si>
  <si>
    <t>Giảm trừ gia cảnh tăng, cùng với cách tính thuế công bằng hơn tạo niềm tin vào việc sử dụng số tiền thuế đóng vào các dịch vụ công.</t>
  </si>
  <si>
    <t>Thông tin về lý do và mục tiêu của cải cách thuế chưa đủ rõ ràng, gây nghi ngờ về minh bạch trong quá trình thực hiện.</t>
  </si>
  <si>
    <t>Thuế suất mới công bằng hơn, cùng với giảm trừ gia cảnh tăng tạo động lực ủng hộ và tuân thủ. Tuy nhiên, thông tin về mục tiêu cải cách chưa đầy đủ khiến quyết định còn do dự.</t>
  </si>
  <si>
    <t>Nguyên tắc quản lý thuế hiện nay đã được cải thiện, tuy nhiên vẫn còn khả năng gian lận. Mức giảm trừ gia cảnh tăng cao có thể làm giảm động cơ trốn thuế.</t>
  </si>
  <si>
    <t>Công nghệ hiện đại hỗ trợ phát hiện trốn thuế hiệu quả hơn, tuy nhiên vẫn cần sự giám sát và xử lý nghiêm minh từ các cơ quan chức năng.</t>
  </si>
  <si>
    <t>Hệ thống khai báo thuế được đơn giản hóa, giảm bớt thủ tục rườm rà. Tuy nhiên vẫn còn một số quy định phức tạp cần cải thiện.</t>
  </si>
  <si>
    <t>Biểu thuế mới có ít bậc hơn và mức thuế suất rõ ràng hơn, dễ dàng hiểu và áp dụng cho người dân.</t>
  </si>
  <si>
    <t>Nhà nước đã cải thiện quy định quản lý thuế một cách công bằng. Mức giảm trừ gia cảnh tăng cao giúp giảm gánh nặng cho người nộp thuế.</t>
  </si>
  <si>
    <t>Mức thuế mới có thể xem là hợp lý đối với thu nhập hiện tại của tôi, tuy nhiên cần thời gian để thích ứng và kiểm chứng.</t>
  </si>
  <si>
    <t>Nhà nước đã giải ngân một số khoản đầu tư vào các dịch vụ công. Tuy nhiên, hiệu quả sử dụng nguồn thu thuế vẫn chưa đủ minh bạch.</t>
  </si>
  <si>
    <t>Thông tin về cải cách thuế được cung cấp đầy đủ nhưng cần thêm giải thích về mục tiêu dài hạn của chính sách mới.</t>
  </si>
  <si>
    <t>Sau khi xem xét lợi ích từ các quy định mới, tôi thấy có khả năng chấp nhận và tuân thủ. Tuy nhiên, mức độ ủng hộ vẫn cần thời gian để hình thành.</t>
  </si>
  <si>
    <t>Mức giảm trừ gia cảnh tăng lên, giúp giảm gánh nặng thuế cho người thu nhập thấp. Tuy nhiên, khả năng phát hiện trốn thuế phụ thuộc nhiều vào công nghệ và sự tận lực của cơ quan thuế.</t>
  </si>
  <si>
    <t>Nhà nước đã đầu tư vào công nghệ để quản lý và giám sát hoạt động kinh doanh, việc này tăng khả năng phát hiện trốn thuế. Tuy nhiên, vẫn còn nhiều thách thức về mặt thực thi.</t>
  </si>
  <si>
    <t>Biểu thuế được đơn giản hóa từ 7 bậc xuống 5, giúp thủ tục khai báo trở nên dễ dàng hơn và nhanh chóng hơn. Quy trình làm việc với cơ quan thuế cũng được cải thiện.</t>
  </si>
  <si>
    <t>Cách tính thuế và các bậc thuế trong phương án mới đơn giản hóa, giúp người dân dễ hiểu và thực hiện.</t>
  </si>
  <si>
    <t>Nhìn chung, mức giảm trừ gia cảnh và bảng thuế mới tạo ra một hệ thống công bằng hơn. Tuy nhiên, vẫn có sự nghi ngờ về cách thực thi chính sách.</t>
  </si>
  <si>
    <t>Mức thuế mới được thiết kế để đảm bảo công bằng cho người dân với thu nhập tương tự như tôi. Tuy nhiên, việc minh bạch trong quá trình ra quyết định về thuế vẫn còn hạn chế.</t>
  </si>
  <si>
    <t>Tăng mức giảm trừ gia cảnh và đơn giản hóa biểu thuế làm cho hệ thống thuế trở nên công bằng hơn. Tuy nhiên, việc sử dụng số tiền thuế thu được chưa thể đảm bảo hiệu quả.</t>
  </si>
  <si>
    <t>Nhà nước đã giải thích rõ ràng về các thay đổi trong biểu thuế, tuy nhiên, vẫn còn nhiều thông tin cần minh bạch hơn để người dân có thể đánh giá chính sách một cách toàn diện.</t>
  </si>
  <si>
    <t>Tổng kết các yếu tố trên, tôi thấy chính sách mới có lợi cho tôi và công bằng hơn. Tuy nhiên, vẫn còn nhiều thách thức trong việc thực thi để đảm bảo tuân thủ tốt.</t>
  </si>
  <si>
    <t>Mức giảm trừ gia cảnh tăng và quy định quản lý thuế được cải thiện, nhưng đa số người dân vẫn nghi ngờ khả năng phát hiện trốn thuế.</t>
  </si>
  <si>
    <t>Công nghệ hiện đại có thể hỗ trợ việc phát hiện trốn thuế, tuy nhiên thực tế thường phụ thuộc vào nguồn lực và chính sách của cơ quan thuế.</t>
  </si>
  <si>
    <t>Biểu thuế đơn giản hơn nhưng quy trình khai báo vẫn phức tạp. Số bậc thuế giảm có thể giúp người nộp thuế dễ dàng tính toán hơn.</t>
  </si>
  <si>
    <t>Cách tính thuế mới rõ ràng hơn, các bậc thuế cũng dễ hiểu hơn so với trước đây.</t>
  </si>
  <si>
    <t>Nhà nước đã cải thiện mức giảm trừ gia cảnh và đơn giản hóa biểu thuế, tạo cảm giác công bằng trong việc đánh thuế.</t>
  </si>
  <si>
    <t>Thuế mới có thể phù hợp với thu nhập hiện tại nhưng vẫn chưa hoàn toàn đảm bảo công bằng đối với mọi người.</t>
  </si>
  <si>
    <t>Nhà nước đã cải thiện mức giảm trừ gia cảnh và đơn giản hóa biểu thuế, tạo cảm giác số tiền thuế đóng sẽ được sử dụng hiệu quả.</t>
  </si>
  <si>
    <t>Thông tin về việc sửa đổi thuế chưa hoàn toàn minh bạch, nhưng cải tiến về mức giảm trừ gia cảnh đã giúp tăng sự hiểu biết.</t>
  </si>
  <si>
    <t>Thuế mới có lợi hơn so với trước đây nhưng vẫn còn nhiều bất định và nghi ngờ về việc tuân thủ. Cải thiện về giảm trừ gia cảnh đã giúp tăng khả năng ủng hộ.</t>
  </si>
  <si>
    <t>Cải cách thuế mang nhiều ưu điểm như tăng giảm trừ gia cảnh, đơn giản hóa biểu thuế, nhưng không có thông tin về công nghệ phát hiện trốn thuế.</t>
  </si>
  <si>
    <t>Hiện chưa rõ khả năng và công nghệ của cơ quan thuế trong việc phát hiện trốn thuế, nên mức độ tin tưởng còn hạn chế.</t>
  </si>
  <si>
    <t>Mức giảm trừ gia cảnh cao hơn trước và biểu thuế đơn giản hơn, nhưng không có thông tin về sự thay đổi cụ thể trong thủ tục khai báo.</t>
  </si>
  <si>
    <t>Biểu thuế mới có số bậc ít hơn, nhưng không rõ cách tính thuế cụ thể đã thay đổi như thế nào so với trước đây.</t>
  </si>
  <si>
    <t>Cải cách thuế tăng mức giảm trừ gia cảnh và đơn giản hóa biểu thuế, tạo cảm giác công bằng đối với người nộp thuế.</t>
  </si>
  <si>
    <t>Mức thuế mới được thiết kế dựa trên thu nhập cá nhân, nhưng không rõ liệu điều chỉnh này có công bằng hay không.</t>
  </si>
  <si>
    <t>Cải cách thuế tăng mức giảm trừ gia cảnh và đơn giản hóa biểu thuế, tạo niềm tin rằng số tiền đóng sẽ được sử dụng hiệu quả.</t>
  </si>
  <si>
    <t>Thông tin về cải cách thuế chưa đủ rõ ràng để đánh giá mức độ minh bạch trong việc giải thích mục tiêu của chính sách mới.</t>
  </si>
  <si>
    <t>Niềm tin và cảm giác công bằng từ cải cách thuế tăng, nhưng sự phức tạp không đổi và khả năng phát hiện trốn thuế chưa rõ ràng dẫn đến quyết định tuân thủ dựa trên lợi ích cá nhân.</t>
  </si>
  <si>
    <t>Việc tăng giảm trừ gia cảnh và đơn giản hóa biểu thuế có thể làm giảm khả năng trốn thuế, nhưng không đủ để đánh giá hiệu quả thực thi. Công nghệ hiện đại có thể giúp phát hiện gian lận, tuy nhiên vẫn cần sự phối hợp chặt chẽ giữa các cơ quan.</t>
  </si>
  <si>
    <t>Đối với người nộp thuế, việc áp dụng công nghệ như AI, hệ thống thông tin điện tử có thể giúp phát hiện gian lận nhanh chóng và chính xác hơn. Tuy nhiên, vẫn cần sự giám sát chặt chẽ từ cơ quan thuế.</t>
  </si>
  <si>
    <t>Mức giảm trừ gia cảnh tăng lên và đơn giản hóa biểu thuế có thể làm thủ tục khai báo trở nên thuận tiện hơn. Tuy nhiên, việc thực hiện các quy định vẫn cần sự tuân thủ của người nộp thuế.</t>
  </si>
  <si>
    <t>Các bậc thuế mới đơn giản hóa và dễ hiểu hơn so với trước đây. Điều này làm cho quá trình tính thuế trở nên rõ ràng hơn, nhưng mức độ đơn giản còn phụ thuộc vào cách người nộp thuế nắm bắt.</t>
  </si>
  <si>
    <t>Nâng cao giảm trừ gia cảnh có thể làm tăng niềm tin rằng chính sách mới công bằng đối với mọi người. Tuy nhiên, vẫn cần sự minh bạch và thực thi đúng pháp luật để đảm bảo tính khách quan.</t>
  </si>
  <si>
    <t>Mức thuế mới có thể hợp lý hơn so với trước đây, nhưng vẫn phụ thuộc vào mức thu nhập của mỗi người. Tuy nhiên, việc đơn giản hóa biểu thuế có thể làm tăng niềm tin về tính công bằng.</t>
  </si>
  <si>
    <t>Nâng cao giảm trừ gia cảnh và đơn giản hóa biểu thuế có thể làm tăng niềm tin rằng tiền thuế sẽ được sử dụng hiệu quả. Tuy nhiên, cần đảm bảo việc thực thi đúng pháp luật để tạo niềm tin.</t>
  </si>
  <si>
    <t>Các thông cáo báo chí và tài liệu giải thích mới có thể làm tăng sự minh bạch về chính sách. Tuy nhiên, vẫn cần sự giám sát chặt chẽ từ cơ quan thuế để đảm bảo truyền thông chính xác.</t>
  </si>
  <si>
    <t>Nâng cao giảm trừ gia cảnh và đơn giản hóa biểu thuế có thể làm tăng ủng hộ. Tuy nhiên, quyết định cuối cùng phụ thuộc vào mức độ hiểu biết về chính sách và niềm tin vào thực thi.</t>
  </si>
  <si>
    <t>Các quy định quản lý thuế hiện nay dường như đã được tăng cường, đặc biệt là với mức giảm trừ gia cảnh cao hơn và các biện pháp đơn giản hóa. Điều này làm giảm khả năng trốn thuế.</t>
  </si>
  <si>
    <t>Nhà nước và cơ quan thuế có thể sử dụng công nghệ để phát hiện gian lận, tuy nhiên mức độ thực hiện còn phụ thuộc vào nguồn lực và hiệu quả của các hệ thống được triển khai.</t>
  </si>
  <si>
    <t>Biểu thuế đã được đơn giản hóa từ 7 bậc xuống còn 5 bậc, giảm thời gian và công sức cho người dân trong việc khai báo thuế. Đây là một cải tiến đáng kể.</t>
  </si>
  <si>
    <t>Cách tính thuế mới đã được đơn giản hóa, nhưng mức độ dễ hiểu còn phụ thuộc vào cách truyền thông và hướng dẫn của cơ quan thuế.</t>
  </si>
  <si>
    <t>Nhà nước đã tăng mức giảm trừ gia cảnh, giúp người dân nộp thuế công bằng hơn. Tuy nhiên, việc thực thi vẫn cần được cải thiện để đảm bảo khách quan và công bằng.</t>
  </si>
  <si>
    <t>Mức thuế mới theo phương án mới có vẻ hợp lý với thu nhập hiện tại của tôi, nhưng tôi vẫn hoài nghi về tính công bằng trong việc áp dụng cho mọi người.</t>
  </si>
  <si>
    <t>Tăng mức giảm trừ gia cảnh và đơn giản hóa biểu thuế giúp cải thiện chất lượng dịch vụ công. Tuy nhiên, hiệu quả thực tế còn phụ thuộc vào cách sử dụng nguồn thu từ thuế.</t>
  </si>
  <si>
    <t>Cơ quan thuế đã giải thích về các thay đổi nhưng tôi vẫn cần thêm thông tin chi tiết và minh bạch hơn để đánh giá một cách khách quan.</t>
  </si>
  <si>
    <t>Sau xem xét, tôi thấy việc giảm gánh nặng thuế là có lợi. Tuy nhiên, mức độ ủng hộ phụ thuộc vào sự thực thi và minh bạch trong quá trình quản lý thuế.</t>
  </si>
  <si>
    <t>Chính sách mới tăng giảm trừ gia cảnh và đơn giản hóa biểu thuế, giảm gánh nặng cho người dân. Tuy nhiên, vấn đề phát hiện trốn thuế phụ thuộc nhiều vào công nghệ và nguồn lực của cơ quan thuế.</t>
  </si>
  <si>
    <t>Công nghệ ngày càng tiến bộ giúp việc phát hiện hành vi trốn thuế trở nên dễ dàng hơn. Chính phủ cũng đã đầu tư vào hệ thống quản lý thuế, tuy nhiên vẫn cần thời gian để công nghệ hoàn thiện.</t>
  </si>
  <si>
    <t>Biểu thuế được đơn giản hóa từ 7 bậc xuống còn 5 bậc, giảm bớt các bước khai báo. Tuy nhiên, quy trình làm việc với cơ quan thuế vẫn chưa thực sự nhanh chóng.</t>
  </si>
  <si>
    <t>Cách tính thuế và bậc thuế mới đơn giản hơn so với trước đây. Điều này giúp người dân dễ dàng hiểu và áp dụng.</t>
  </si>
  <si>
    <t>Chính sách mới tăng giảm trừ gia cảnh, giảm gánh nặng thuế cho người dân, tạo cảm giác công bằng. Tuy nhiên, việc thực thi vẫn cần thời gian để chứng minh sự khách quan và công tâm.</t>
  </si>
  <si>
    <t>Mức thuế mới được thiết kế sao cho hợp lý với thu nhập cá nhân. Tuy nhiên, mức độ cảm thấy công bằng phụ thuộc vào việc so sánh giữa thu nhập và số tiền thuế phải đóng.</t>
  </si>
  <si>
    <t>Chính sách tăng giảm trừ gia cảnh tạo cơ hội cải thiện dịch vụ công. Tuy nhiên, hiệu quả sử dụng số tiền thuế vẫn cần thời gian để thấy rõ.</t>
  </si>
  <si>
    <t>Nhà nước đã giải thích về mục tiêu của chính sách mới thông qua các kênh truyền thông, tuy nhiên mức độ thuyết phục còn phụ thuộc vào cách tiếp cận thông tin của từng cá nhân.</t>
  </si>
  <si>
    <t>Chính sách mới tăng giảm trừ gia cảnh và đơn giản hóa biểu thuế tạo cảm giác thuận lợi. Tuy nhiên, quyết định ủng hộ và tuân thủ phụ thuộc vào việc cân nhắc giữa quyền lợi và nghĩa vụ cá nhân.</t>
  </si>
  <si>
    <t>Các quy định quản lý thuế hiện nay đã được cải thiện với mức giảm trừ gia cảnh tăng lên, giúp phát hiện hành vi gian lận hoặc trốn thuế dễ dàng hơn.</t>
  </si>
  <si>
    <t>Việc ứng dụng công nghệ tiên tiến như AI và hệ thống quản lý thuế tự động giúp nâng cao khả năng phát hiện và xử lý nghiêm các hành vi trốn thuế.</t>
  </si>
  <si>
    <t>Mức giảm trừ gia cảnh tăng lên, cùng với việc đơn giản hóa biểu thuế đã làm cho quá trình khai báo thuế trở nên thuận tiện hơn đối với người dân.</t>
  </si>
  <si>
    <t>Biểu thuế được rút gọn từ 7 bậc xuống còn 5 bậc, đồng thời mức thuế suất và ngưỡng chịu thuế cũng đã được điều chỉnh hợp lý, làm cho việc tính thuế trở nên đơn giản hơn.</t>
  </si>
  <si>
    <t>Nhà nước đã tăng cường quy định quản lý thuế, cùng với đó là các mức giảm trừ gia cảnh và biểu thuế đơn giản hóa giúp tạo niềm tin rằng mọi người sẽ được đối xử công bằng.</t>
  </si>
  <si>
    <t>Mức thuế mới được thiết kế hợp lý dựa trên thu nhập, mang tính công bằng cho người dân có cùng mức thu nhập như tôi.</t>
  </si>
  <si>
    <t>Hiệu quả của việc sử dụng số tiền thuế đóng vào các dịch vụ công sẽ giúp cải thiện cuộc sống cộng đồng, tạo niềm tin trong việc nộp thuế.</t>
  </si>
  <si>
    <t>Nhà nước đã giải thích rõ ràng về mục tiêu và lý do của chính sách mới thông qua nhiều kênh truyền thông, tạo sự minh bạch và tin cậy cho người dân.</t>
  </si>
  <si>
    <t>Các quyền lợi được cải thiện cùng với niềm tin vào sự công bằng và minh bạch giúp tôi sẵn sàng tuân thủ chính sách mới.</t>
  </si>
  <si>
    <t>Cải cách thuế thu nhập cá nhân hiện nay có nhiều biện pháp quản lý chặt chẽ, bao gồm mức giảm trừ gia cảnh tăng cao và biểu thuế đơn giản hóa. Tuy nhiên, trốn thuế vẫn là vấn đề khó giải quyết.</t>
  </si>
  <si>
    <t>Công nghệ hiện đại hỗ trợ phát hiện hành vi gian lận hoặc trốn thuế hiệu quả hơn nhưng vẫn chưa thể loại bỏ hoàn toàn khả năng trốn thuế.</t>
  </si>
  <si>
    <t>Biểu thuế đơn giản hóa và mức giảm trừ gia cảnh tăng cao giúp quá trình khai báo thuế dễ dàng hơn. Tuy nhiên, quy trình làm việc với cơ quan thuế vẫn còn một số khó khăn.</t>
  </si>
  <si>
    <t>Cách tính thuế mới đơn giản và rõ ràng hơn so với trước đây, giúp người dân hiểu và tuân thủ chính sách dễ dàng hơn.</t>
  </si>
  <si>
    <t>Nhà nước đã cải cách thuế một cách công bằng, giảm gánh nặng cho người thu nhập thấp. Tuy nhiên, vẫn cần thêm minh bạch trong quản lý và thực thi để tăng niềm tin hơn.</t>
  </si>
  <si>
    <t>Mức thuế mới có sự cân nhắc hợp lý đối với từng nhóm thu nhập. Tuy nhiên, do mức thu nhập của tôi nằm ở nhóm trung bình nên vẫn còn cảm giác không hoàn toàn công bằng.</t>
  </si>
  <si>
    <t>Thuế được sử dụng để cải thiện dịch vụ công nhưng hiệu quả cụ thể chưa rõ ràng. Cần thêm minh bạch trong việc phân bổ nguồn lực thuế thu nhập.</t>
  </si>
  <si>
    <t>Các thông tin về chính sách mới đã được giải thích một cách rõ ràng, tuy nhiên, do tôi là người đa nghi nên vẫn còn một số lo ngại về sự minh bạch.</t>
  </si>
  <si>
    <t>Mặc dù cải cách thuế có nhiều ưu điểm, nhưng do mức thuế mới chưa hoàn toàn công bằng và trọn vẹn trong quản lý, tôi sẽ ủng hộ với điều kiện Nhà nước cung cấp thêm minh bạch.</t>
  </si>
  <si>
    <t>Nâng cao giảm trừ gia cảnh có thể làm giảm rủi ro trốn thuế, nhưng công nghệ phát hiện và xử lý vẫn còn phụ thuộc vào cơ sở dữ liệu và kiểm tra thực tế.</t>
  </si>
  <si>
    <t>Công nghệ ngày càng phát triển giúp nhà nước có khả năng theo dõi và quản lý hiệu quả hơn, nhưng việc trốn thuế vẫn tồn tại các lỗ hổng cần được khắc phục.</t>
  </si>
  <si>
    <t>Biểu thuế đơn giản hóa từ 7 bậc xuống còn 5 bậc giúp quá trình khai báo trở nên dễ dàng hơn, giảm bớt rào cản cho người dân.</t>
  </si>
  <si>
    <t>Các thay đổi về biểu thuế mới rõ ràng và dễ hiểu hơn so với trước đây, nhưng việc thực hiện cụ thể vẫn cần thời gian để quen thuộc.</t>
  </si>
  <si>
    <t>Nhà nước đã cải thiện giảm trừ gia cảnh, tạo ra một hệ thống thuế công bằng hơn, nhưng tôi vẫn nghi ngờ về cách thực thi chính sách.</t>
  </si>
  <si>
    <t>Mức thuế mới có vẻ hợp lý dựa trên thu nhập của mình, nhưng cần thêm thời gian để đánh giá hiệu quả thực tế sau khi áp dụng.</t>
  </si>
  <si>
    <t>Nhà nước đã giải thích về cải cách, nhưng tôi vẫn lo ngại về việc sử dụng nguồn lực thuế vào các dịch vụ công.</t>
  </si>
  <si>
    <t>Đã có thông tin giải thích về mục tiêu của cải cách, nhưng cần thêm thời gian để thấy sự minh bạch và tính thuyết phục hơn.</t>
  </si>
  <si>
    <t>Nhìn chung, tôi ủng hộ các thay đổi vì lợi ích tài chính cho bản thân, nhưng vẫn có một số lo ngại về thực thi.</t>
  </si>
  <si>
    <t>Các quy định quản lý thuế hiện nay đã được cải thiện đáng kể, đặc biệt là với sự hỗ trợ của công nghệ. Tăng mức giảm trừ gia cảnh và đơn giản hóa biểu thuế cũng góp phần giảm rủi ro trốn thuế.</t>
  </si>
  <si>
    <t>Việc sử dụng công nghệ tiên tiến trong quản lý thuế giúp phát hiện và xử lý các hành vi trốn thuế hiệu quả hơn. Tuy nhiên, vẫn cần cải thiện năng lực giám sát của cơ quan thuế.</t>
  </si>
  <si>
    <t>Quy trình làm việc với cơ quan thuế đã đơn giản hóa và nhanh chóng hơn so với trước đây. Đặc biệt, giảm số bậc thuế giúp quá trình khai báo trở nên dễ dàng hơn.</t>
  </si>
  <si>
    <t>Cách tính thuế mới đã đơn giản và rõ ràng hơn, điều này góp phần làm cho việc tuân thủ chính sách trở nên dễ dàng hơn. Tuy nhiên, vẫn cần thêm thông tin hướng dẫn để người dân hiểu rõ.</t>
  </si>
  <si>
    <t>Niềm tin vào sự công bằng của cơ quan thuế đã tăng lên do các cải cách như tăng giảm trừ gia cảnh và đơn giản hóa biểu thuế. Tuy nhiên, vẫn cần thêm minh bạch trong việc thực thi chính sách.</t>
  </si>
  <si>
    <t>Mức thuế mới được thiết kế công bằng hơn với thu nhập cá nhân hiện nay. Tuy nhiên, tôi vẫn nghi ngờ về mức độ công bằng của hệ thống thuế tổng thể.</t>
  </si>
  <si>
    <t>Tôi tin rằng số tiền thuế đóng sẽ được sử dụng hiệu quả để cải thiện dịch vụ công. Tuy nhiên, cần thêm minh bạch trong việc sử dụng ngân sách để tăng niềm tin.</t>
  </si>
  <si>
    <t>Nội dung giải thích về mục tiêu của chính sách thuế mới khá rõ ràng nhưng vẫn có phần phức tạp đối với người dân không chuyên về tài chính.</t>
  </si>
  <si>
    <t>Dù các cải cách mang lại nhiều lợi ích, tôi vẫn cần thêm thời gian để đánh giá và hiểu rõ hệ thống mới. Tuy nhiên, tôi sẽ ủng hộ nếu nó thực sự công bằng và hiệu quả.</t>
  </si>
  <si>
    <t>Mức giảm trừ gia cảnh tăng, nhưng không rõ liệu công nghệ có phát triển để phát hiện trốn thuế hay không.</t>
  </si>
  <si>
    <t>Nhà nước và cơ quan thuế đã có nhiều cải tiến trong quản lý thuế, nhưng vẫn còn nhiều thách thức về việc phát hiện trốn thuế.</t>
  </si>
  <si>
    <t>Biểu thuế đơn giản hơn và giảm trừ gia cảnh tăng, giúp quá trình khai báo thuế thuận tiện hơn.</t>
  </si>
  <si>
    <t>Phương án mới có các bậc thuế rõ ràng hơn, dễ hiểu so với trước đây.</t>
  </si>
  <si>
    <t>Những thay đổi về giảm trừ gia cảnh và biểu thuế đơn giản giúp tôi cảm thấy công bằng trong việc nộp thuế.</t>
  </si>
  <si>
    <t>Mức thuế mới phù hợp với thu nhập của tôi, nhưng không rõ liệu nó có được áp dụng công bằng cho tất cả mọi người hay không.</t>
  </si>
  <si>
    <t>Tôi tin rằng số tiền thuế đóng sẽ được sử dụng hiệu quả để cải thiện dịch vụ công, mặc dù còn hoài nghi về việc thực thi.</t>
  </si>
  <si>
    <t>Nhà nước đã giải thích rõ ràng về những thay đổi trong biểu thuế, nhưng vẫn có sự phức tạp khi các thông tin được truyền tải.</t>
  </si>
  <si>
    <t>Thống nhất với các điểm trên, tôi ủng hộ chính sách mới vì lợi ích và thuận tiện hơn so với trước đây.</t>
  </si>
  <si>
    <t>Chính sách mới tăng giảm trừ gia cảnh và đơn giản hóa biểu thuế, giảm rủi ro cho người nộp thuế. Công nghệ phát triển giúp cơ quan thuế dễ dàng theo dõi.</t>
  </si>
  <si>
    <t>Công nghệ ngày càng tiên tiến, cùng với sự quản lý chặt chẽ của Nhà nước, khả năng phát hiện trốn thuế sẽ cao hơn.</t>
  </si>
  <si>
    <t>Mức giảm trừ gia cảnh tăng, quy định đơn giản hóa biểu thuế tạo thuận lợi cho người nộp thuế.</t>
  </si>
  <si>
    <t>Các bậc thuế và mức thuế suất rõ ràng hơn, dễ dàng hiểu và thực hiện.</t>
  </si>
  <si>
    <t>Nhà nước đã tăng giảm trừ gia cảnh và đơn giản hóa biểu thuế, tạo cảm giác công bằng trong việc phân phối gánh nặng thuế.</t>
  </si>
  <si>
    <t>Mức thuế mới được thiết kế dựa trên thu nhập cá nhân, cho thấy sự công bằng hơn so với trước đây.</t>
  </si>
  <si>
    <t>Người dân tin rằng số tiền thuế đóng sẽ được sử dụng hiệu quả để cải thiện dịch vụ công, như y tế và giao thông.</t>
  </si>
  <si>
    <t>Nhà nước đã giải thích rõ ràng về mục đích của chính sách mới, tạo sự minh bạch trong việc thực thi thuế.</t>
  </si>
  <si>
    <t>Chính sách mới mang lại lợi ích tài chính cho người dân và công khai trong quy định thuế, do đó tôi ủng hộ và tuân thủ.</t>
  </si>
  <si>
    <t>Chính phủ đã tăng cường quản lý thuế và công nghệ hiện đại giúp phát hiện gian lận, nhưng vẫn cần cải thiện hơn.</t>
  </si>
  <si>
    <t>Công nghệ phát triển mạnh mẽ giúp Nhà nước dễ dàng phát hiện trốn thuế, nhưng khả năng xử lý chưa đồng bộ.</t>
  </si>
  <si>
    <t>Mức giảm trừ gia cảnh cao hơn và quy trình khai báo đơn giản hơn làm cho thủ tục thuận tiện hơn trước đây.</t>
  </si>
  <si>
    <t>Biểu thuế đơn giản hóa từ 7 bậc thành 5 bậc, giúp việc tính thuế dễ hiểu hơn, nhưng vẫn còn phức tạp đối với người chưa quen.</t>
  </si>
  <si>
    <t>Nhà nước đã cải thiện chính sách một cách khách quan và công bằng, dù còn nhiều vấn đề cần cải tiến.</t>
  </si>
  <si>
    <t>Mức thuế mới được thiết kế hợp lý dựa trên thu nhập cá nhân, nhưng vẫn chưa hoàn toàn công bằng đối với mọi người.</t>
  </si>
  <si>
    <t>Tôi tin số tiền thuế đóng sẽ được sử dụng hiệu quả cho dịch vụ công, nhưng cần thêm minh bạch về việc sử dụng.</t>
  </si>
  <si>
    <t>Nhà nước đã giải thích rõ ràng mục đích của cải cách, nhưng vẫn còn thiếu minh bạch trong quá trình thực hiện.</t>
  </si>
  <si>
    <t>Dù thuế có giảm, nhưng vẫn cần cân nhắc giữa quyền lợi và nghĩa vụ. Tôi sẽ ủng hộ một phần.</t>
  </si>
  <si>
    <t>Các quy định quản lý thuế hiện nay đã được cải thiện, nhưng vẫn chưa hoàn toàn chắc chắn về khả năng phát hiện trốn thuế.</t>
  </si>
  <si>
    <t>Nhà nước và cơ quan thuế có nhiều công nghệ mới để phát hiện trốn thuế. Tuy nhiên, hiệu quả thực tế của việc áp dụng vẫn chưa rõ ràng.</t>
  </si>
  <si>
    <t>Các thủ tục khai báo thuế đơn giản hơn và nhanh chóng, nhưng vẫn còn một số rắc rối trong quá trình làm việc với cơ quan thuế.</t>
  </si>
  <si>
    <t>Biểu thuế mới đơn giản hóa quy trình tính thuế, dễ hiểu và thực hiện thuận lợi hơn so với trước đây.</t>
  </si>
  <si>
    <t>Niềm tin vào việc Nhà nước sẽ công bằng trong việc áp dụng chính sách vẫn chưa chắc chắn.</t>
  </si>
  <si>
    <t>Mức thuế mới được thiết kế hợp lý cho thu nhập của tôi, tạo cảm giác công bằng.</t>
  </si>
  <si>
    <t>Tin tưởng rằng số tiền thuế đóng sẽ được sử dụng hiệu quả để cải thiện dịch vụ công</t>
  </si>
  <si>
    <t>Nhà nước đã giải thích rõ ràng về mục tiêu của việc sửa đổi thuế, tạo cảm giác trách nhiệm.</t>
  </si>
  <si>
    <t>Sau khi cân nhắc lợi ích và nghĩa vụ, tôi ủng hộ chính sách mới vì nó đơn giản hóa quy trình và công bằng hơn.</t>
  </si>
  <si>
    <t>Biện pháp quản lý thuế mới chưa được thực thi hiệu quả, khả năng phát hiện trốn thuế còn hạn chế.</t>
  </si>
  <si>
    <t>Công nghệ hiện đại giúp phát hiện trốn thuế nhanh chóng hơn nhưng vẫn cần cải thiện.</t>
  </si>
  <si>
    <t>Biểu thuế được đơn giản hóa từ 7 bậc xuống còn 5 bậc, dễ hiểu và thực hiện nhanh chóng hơn.</t>
  </si>
  <si>
    <t>Nhìn chung tôi tin rằng Nhà nước sẽ thực thi chính sách một cách công bằng nhưng cần thêm minh bạch.</t>
  </si>
  <si>
    <t>Thuế mới đã được điều chỉnh phù hợp với thu nhập hiện tại, tuy nhiên mức độ công bằng vẫn còn để bàn.</t>
  </si>
  <si>
    <t>Tôi tin rằng số tiền thuế đóng sẽ được sử dụng hiệu quả cho các dịch vụ công nhưng cần minh bạch hơn.</t>
  </si>
  <si>
    <t>Thông tin giải thích về chính sách mới chưa đầy đủ, nhiều người vẫn nghi ngờ.</t>
  </si>
  <si>
    <t>Sau xem xét các quyền lợi và nghĩa vụ, tôi sẵn sàng tuân thủ nhưng cần thêm minh bạch từ Nhà nước.</t>
  </si>
  <si>
    <t>Chính phủ đã tăng cường các quy định quản lý thuế và công nghệ hiện đại giúp phát hiện hành vi trốn thuế.</t>
  </si>
  <si>
    <t>Công nghệ tiên tiến và nguồn lực được đầu tư giúp cơ quan thuế có khả năng phát hiện và xử lý nghiêm các hành vi trốn thuế.</t>
  </si>
  <si>
    <t>Mức giảm trừ gia cảnh tăng, quy định đơn giản hơn đã làm thủ tục khai báo thuế trở nên nhanh chóng và tiện lợi hơn.</t>
  </si>
  <si>
    <t>Phương án mới có ít bậc thuế hơn, giúp quá trình tính thuế dễ hiểu và thực hiện thuận tiện hơn.</t>
  </si>
  <si>
    <t>Mức giảm trừ gia cảnh tăng, tôi tin rằng việc áp dụng các quy định mới là công bằng đối với mọi người nộp thuế.</t>
  </si>
  <si>
    <t>Đối với mức thu nhập của tôi, bậc thuế mới tạo cảm giác hợp lý và công bằng hơn so với trước đây.</t>
  </si>
  <si>
    <t>Tăng mức giảm trừ gia cảnh sẽ giúp số tiền thuế tôi đóng được sử dụng hiệu quả để cải thiện dịch vụ công.</t>
  </si>
  <si>
    <t>Quy định mới về thuế đã được giải thích rõ ràng hơn, tạo niềm tin trong việc thực hiện chính sách.</t>
  </si>
  <si>
    <t>Sau khi xem xét các quyền lợi và nghĩa vụ, tôi ủng hộ chính sách mới vì mức giảm trừ gia cảnh tăng và quy định đơn giản hóa.</t>
  </si>
  <si>
    <t>Các quy định quản lý thuế hiện nay đã được cải thiện, tuy nhiên vẫn có khả năng trốn thuế. Công nghệ phát hiện gian lận chưa hoàn toàn tiên tiến.</t>
  </si>
  <si>
    <t>Nhà nước và cơ quan thuế có nhiều công cụ kỹ thuật để phát hiện trốn thuế, tuy nhiên cần tăng cường hơn nữa.</t>
  </si>
  <si>
    <t>Quy trình làm việc với cơ quan thuế đã đơn giản hóa, nhưng vẫn còn một số thủ tục phức tạp.</t>
  </si>
  <si>
    <t>Cách tính thuế mới đơn giản hơn và dễ hiểu, đặc biệt là khi có ít bậc thuế.</t>
  </si>
  <si>
    <t>Nhà nước đã thực thi chính sách một cách công bằng, nhưng vẫn cần cải thiện trong việc giám sát và minh bạch.</t>
  </si>
  <si>
    <t>Mức thuế mới có vẻ hợp lý so với thu nhập hiện tại, tuy nhiên còn phụ thuộc vào sự thực thi.</t>
  </si>
  <si>
    <t>Thuế đóng góp cho các dịch vụ công là cần thiết, nhưng hiệu quả sử dụng tiền thuế vẫn chưa rõ ràng.</t>
  </si>
  <si>
    <t>Nhà nước đã giải thích một cách minh bạch về mục tiêu sửa đổi thuế, tuy nhiên còn nhiều thông tin cần cung cấp thêm.</t>
  </si>
  <si>
    <t>Sau khi cân nhắc lợi ích và nghĩa vụ, tôi quyết định ủng hộ chính sách mới với mức độ cam kết cao.</t>
  </si>
  <si>
    <t>Nâng cao mức giảm trừ gia cảnh giúp người dân tiết kiệm thuế, giảm động cơ trốn thuế. Công nghệ phát triển cũng giúp cơ quan thuế giám sát hiệu quả hơn.</t>
  </si>
  <si>
    <t>Công nghệ hiện đại như AI, big data có thể phát hiện gian lận và xử lý nhanh chóng, công bằng. Cơ quan thuế cũng đã nâng cao năng lực quản lý.</t>
  </si>
  <si>
    <t>Thay đổi biểu thuế đơn giản hóa quy trình khai báo, giảm rườm rà. Tuy nhiên, cần thêm thời gian để người dân quen với các thay đổi mới.</t>
  </si>
  <si>
    <t>Bậc thuế ít hơn giúp tính toán dễ dàng và minh bạch, nhưng vẫn giữ nguyên mức thuế suất. Cách tính thuế rõ ràng hơn so với trước đây.</t>
  </si>
  <si>
    <t>Các quy định mới hướng đến công bằng và đối xử công bằng giữa các đối tượng nộp thuế, giảm rủi ro trốn thuế.</t>
  </si>
  <si>
    <t>Mức thuế mới phù hợp với thu nhập cá nhân hiện nay. Tuy nhiên, việc phân bổ nguồn lực cho dịch vụ công chưa hoàn toàn rõ ràng.</t>
  </si>
  <si>
    <t>Công bằng về mặt tài chính nhưng cần thêm minh bạch trong sử dụng ngân sách để người dân tin tưởng hơn.</t>
  </si>
  <si>
    <t>Thông tin giải thích rõ ràng nhưng chưa đủ thuyết phục mọi đối tượng, đặc biệt là nhóm trung niên và cao tuổi</t>
  </si>
  <si>
    <t>Tăng giảm trừ gia cảnh và đơn giản hóa quy trình làm việc giúp tôi ủng hộ. Tuy nhiên, cần thêm thời gian để quen với các thay đổi mới.</t>
  </si>
  <si>
    <t>Quy định quản lý thuế hiện nay không có thêm thông tin về công nghệ phát hiện gian lận, nên khả năng phát hiện trốn thuế vẫn phụ thuộc nhiều vào kiểm tra cơ sở dữ liệu và hồ sơ. Tuy nhiên, với mức giảm trừ gia cảnh tăng lên, việc trốn thuế sẽ khó hơn.</t>
  </si>
  <si>
    <t>Công nghệ hiện đại giúp phát hiện gian lận nhanh chóng hơn nhưng chưa có thông tin cụ thể về khả năng và quy mô của công nghệ này. Tuy nhiên, với nhiều biện pháp quản lý mới, khả năng phát hiện trốn thuế sẽ được cải thiện.</t>
  </si>
  <si>
    <t>Mức giảm trừ gia cảnh tăng lên giúp thủ tục khai báo thuế đơn giản hơn và nhanh chóng hơn. Quy trình làm việc với cơ quan thuế cũng dễ dàng hơn so với trước đây.</t>
  </si>
  <si>
    <t>Biểu thuế được đơn giản hóa từ 7 bậc xuống còn 5 bậc, giúp cách tính thuế và các bậc thuế rõ ràng hơn. Tuy nhiên, mức thuế suất tăng lên đối với những thu nhập cao hơn có thể làm phức tạp hơn.</t>
  </si>
  <si>
    <t>Mức giảm trừ gia cảnh tăng lên giúp việc thực thi công bằng hơn cho người nộp thuế. Cơ quan thuế chưa có thông tin cụ thể về cách thực hiện khách quan và công tâm, nhưng với nhiều biện pháp quản lý mới, khả năng này sẽ được cải thiện.</t>
  </si>
  <si>
    <t>Mức giảm trừ gia cảnh tăng lên giúp việc đóng thuế công bằng hơn so với trước đây. Tuy nhiên, mức thuế suất tăng đối với thu nhập cao hơn có thể làm giảm sự công bằng.</t>
  </si>
  <si>
    <t>Thu nhập của tôi nằm ở bậc thuế thấp nên mức thuế đóng không thay đổi nhiều. Do vậy, việc sử dụng số tiền thuế để cải thiện dịch vụ công còn phụ thuộc vào cách quản lý ngân sách của Nhà nước.</t>
  </si>
  <si>
    <t>Công bố chính sách mới chưa đầy đủ và chi tiết. Tuy nhiên, mức giảm trừ gia cảnh tăng lên làm giảm gánh nặng thuế cho tôi, nên tôi tin rằng mục tiêu của chính sách là tốt.</t>
  </si>
  <si>
    <t>Thu nhập của tôi không thay đổi nhiều sau khi áp dụng mới. Mức giảm trừ gia cảnh tăng lên giúp việc thực hiện tuân thủ dễ dàng hơn. Tuy nhiên, mức thuế suất cao đối với thu nhập cao hơn có thể làm giảm sự ủng hộ.</t>
  </si>
  <si>
    <t>Mức giảm trừ gia cảnh tăng, giúp người dân ít bị phát hiện gian lận thuế. Công nghệ mới cũng tăng khả năng phát hiện trốn thuế.</t>
  </si>
  <si>
    <t>Nâng cao mức giảm trừ gia cảnh và đơn giản hóa quy trình khai báo có thể giúp cơ quan thuế dễ dàng phát hiện hành vi trốn thuế hơn.</t>
  </si>
  <si>
    <t>Biểu thuế được rút gọn, tạo sự rõ ràng và thuận tiện cho người dân trong việc tính toán và khai báo thuế.</t>
  </si>
  <si>
    <t>Các bậc thuế mới đơn giản hơn so với trước đây, giúp người dân dễ hiểu và thực hiện quy định.</t>
  </si>
  <si>
    <t>Mức giảm trừ gia cảnh tăng và mức thuế được điều chỉnh có thể tạo cảm giác công bằng trong việc đối xử giữa các nhóm thu nhập khác nhau.</t>
  </si>
  <si>
    <t>Thuế mới đơn giản hóa và tăng mức giảm trừ, nhưng tôi vẫn nghi ngờ về sự minh bạch trong việc sử dụng nguồn thuế.</t>
  </si>
  <si>
    <t>Mức thuế được điều chỉnh có thể tạo cảm giác công bằng, nhưng tôi lo lắng về khả năng quản lý hiệu quả của cơ quan thuế.</t>
  </si>
  <si>
    <t>Quy định mới đơn giản hóa hơn và mức giảm trừ gia cảnh tăng lên, nhưng tôi vẫn nghi ngờ về việc giải thích minh bạch.</t>
  </si>
  <si>
    <t>Thuế mới đơn giản hơn và mức giảm trừ gia cảnh tăng, tạo cảm giác thuận tiện và công bằng. Tuy nhiên, tôi lo ngại về khả năng quản lý hiệu quả của cơ quan thuế.</t>
  </si>
  <si>
    <t>Cải cách thuế TNCN mang lại nhiều thuận lợi cho người nộp thuế, nhưng vẫn có quy định quản lý thuế. Công nghệ hiện đại giúp phát hiện gian lận hiệu quả hơn.</t>
  </si>
  <si>
    <t>Nhà nước và cơ quan thuế đã đầu tư công nghệ để giám sát và xử lý trốn thuế, tăng cường khả năng quản lý thuế.</t>
  </si>
  <si>
    <t>Các quy định về giảm trừ gia cảnh và biểu thuế đơn giản hơn, tạo thuận lợi cho việc khai báo và làm việc với cơ quan thuế.</t>
  </si>
  <si>
    <t>Biểu thuế mới có ít bậc hơn, dễ hiểu và thực hiện đơn giản hơn so với trước đây.</t>
  </si>
  <si>
    <t>Mức giảm trừ gia cảnh cao hơn và biểu thuế đơn giản hơn tạo niềm tin rằng Nhà nước công bằng trong việc áp dụng chính sách mới.</t>
  </si>
  <si>
    <t>Thuế suất mới được thiết kế dựa trên thu nhập, đảm bảo mức thuế đóng là phù hợp với thu nhập của tôi</t>
  </si>
  <si>
    <t>Hiệu quả sử dụng ngân sách thuế cho dịch vụ công như y tế và đường xá đã cải thiện đáng kể.</t>
  </si>
  <si>
    <t>Nhà nước đã giải thích rõ ràng mục tiêu của chính sách mới, giúp tôi hiểu được lý do đằng sau các thay đổi</t>
  </si>
  <si>
    <t>Niềm tin và cảm giác công bằng cao từ cải cách thuế, cùng với sự thuận lợi trong việc khai báo tạo động lực cho việc tuân thủ.</t>
  </si>
  <si>
    <t>Biểu thuế được đơn giản hóa và mức giảm trừ gia cảnh tăng, tuy nhiên không có thông tin cụ thể về khả năng phát hiện trốn thuế.</t>
  </si>
  <si>
    <t>Công nghệ phát triển mạnh mẽ nhưng chưa rõ liệu cơ quan thuế đã sử dụng công nghệ này như thế nào để phát hiện trốn thuế.</t>
  </si>
  <si>
    <t>Biểu thuế được đơn giản hóa từ 7 bậc xuống còn 5, mức giảm trừ gia cảnh tăng giúp việc khai báo thuế dễ dàng hơn.</t>
  </si>
  <si>
    <t>Cách tính thuế mới đơn giản nhưng vẫn cần thời gian để người dân quen với quy trình mới.</t>
  </si>
  <si>
    <t>Nhìn chung, mức giảm trừ gia cảnh tăng và biểu thuế đơn giản hóa tạo cảm giác công bằng hơn đối với tôi.</t>
  </si>
  <si>
    <t>Mức thuế mới có vẻ hợp lý nhưng cần xem xét thêm về hiệu quả sử dụng nguồn thu vào các dịch vụ công.</t>
  </si>
  <si>
    <t>Việc cải cách thuế giúp tôi tin rằng tiền thuế đóng sẽ được sử dụng hiệu quả hơn để cải thiện chất lượng cuộc sống.</t>
  </si>
  <si>
    <t>Thông tin về lý do và mục tiêu của việc sửa đổi thuế chưa đủ rõ ràng, cần thêm minh bạch.</t>
  </si>
  <si>
    <t>Dù cải cách thuế tạo cảm giác công bằng hơn nhưng vẫn còn nhiều yếu tố để cân nhắc trước khi ủng hộ hoàn toàn.</t>
  </si>
  <si>
    <t>Biểu thuế đơn giản hóa và mức giảm trừ gia cảnh tăng nên giảm khả năng trốn thuế, nhưng vẫn cần công nghệ phát hiện.</t>
  </si>
  <si>
    <t>Việc áp dụng công nghệ có thể nâng cao hiệu quả giám sát, tuy nhiên, thực thi pháp luật vẫn phụ thuộc vào con người và quy định cụ thể.</t>
  </si>
  <si>
    <t>Biểu thuế mới đơn giản hơn so với trước đây, giảm bớt thủ tục khai báo, giúp quá trình làm việc nhanh chóng hơn.</t>
  </si>
  <si>
    <t>Cách tính thuế và bậc thuế mới dễ hiểu, giảm độ phức tạp cho người nộp thuế.</t>
  </si>
  <si>
    <t>Mức giảm trừ gia cảnh tăng, giúp gánh nặng thuế thấp hơn, tạo niềm tin về sự công bằng trong việc áp dụng chính sách.</t>
  </si>
  <si>
    <t>Thuế suất và ngưỡng chịu thuế mới được điều chỉnh phù hợp với thu nhập cá nhân, thể hiện tính công bằng.</t>
  </si>
  <si>
    <t>Mức giảm trừ gia cảnh tăng giúp số tiền đóng thuế thấp hơn, tạo niềm tin vào việc sử dụng hiệu quả nguồn thu về cho dịch vụ công.</t>
  </si>
  <si>
    <t>Cải cách thuế có thông điệp rõ ràng nhưng chưa thuyết phục được tất cả mọi người do mức độ phức tạp của chính sách.</t>
  </si>
  <si>
    <t>Thu nhập giảm trừ gia cảnh tăng, tạo cảm giác công bằng và thuận lợi trong tuân thủ, tuy nhiên, vẫn cần thời gian để hình thành niềm tin đầy đủ.</t>
  </si>
  <si>
    <t>Việc tăng mức giảm trừ gia cảnh và đơn giản hóa biểu thuế có thể làm giảm số vụ trốn thuế nhưng không đảm bảo hiệu quả phát hiện cao.</t>
  </si>
  <si>
    <t>Cơ quan thuế đã áp dụng công nghệ để quản lý thuế nhưng mức độ phát hiện và xử lý vẫn phụ thuộc nhiều vào nguồn lực và khả năng triển khai.</t>
  </si>
  <si>
    <t>Biểu thuế mới đơn giản hơn so với trước đây, giảm số bậc từ 7 xuống còn 5, giúp việc khai báo thuế dễ dàng hơn.</t>
  </si>
  <si>
    <t>Cách tính thuế và các bậc thuế trong phương án mới rõ ràng hơn, dễ hiểu và dễ thực hiện hơn so với trước đây.</t>
  </si>
  <si>
    <t>Tăng mức giảm trừ gia cảnh giúp người dân cảm thấy công bằng hơn nhưng không chắc chắn về cách Nhà nước thực thi chính sách.</t>
  </si>
  <si>
    <t>Mức thuế mới có thể được xem là công bằng đối với thu nhập hiện tại của tôi, tuy nhiên cần thêm thời gian để đánh giá hiệu quả thực tế.</t>
  </si>
  <si>
    <t>Tăng mức giảm trừ gia cảnh giúp cải thiện dịch vụ công nhưng không chắc chắn về cách sử dụng số tiền thuế thu được.</t>
  </si>
  <si>
    <t>Các thông tin giải thích về sửa đổi thuế chưa đầy đủ và rõ ràng, cần thêm thời gian để đánh giá hiệu quả của việc cải cách.</t>
  </si>
  <si>
    <t>Đánh giá tổng thể cho thấy lợi ích tài chính từ chính sách mới nhưng không đảm bảo sự tuân thủ cao do mức độ phức tạp và niềm tin chưa vững chắc.</t>
  </si>
  <si>
    <t>Các quy định quản lý thuế hiện nay đã được cải thiện, tăng mức giảm trừ gia cảnh và đơn giản hóa biểu thuế. Tuy nhiên, việc phát hiện trốn thuế còn phụ thuộc nhiều vào công nghệ và nguồn lực của cơ quan thuế.</t>
  </si>
  <si>
    <t>Công nghệ hiện đại có thể hỗ trợ hiệu quả trong việc phát hiện gian lận thuế. Tăng cường năng lực của cơ quan thuế cũng giúp cải thiện khả năng xử lý nghiêm các hành vi trốn thuế.</t>
  </si>
  <si>
    <t>Mức giảm trừ gia cảnh mới cao hơn, việc đơn giản hóa biểu thuế làm cho thủ tục khai báo thuế trở nên thuận tiện hơn. Tuy nhiên, việc áp dụng các quy định cụ thể còn phụ thuộc vào sự hiểu biết của người nộp thuế.</t>
  </si>
  <si>
    <t>Biểu thuế mới có ít bậc hơn và mức giảm trừ gia cảnh cao hơn, do đó việc tính thuế trở nên dễ dàng hơn. Tuy nhiên, các quy định cụ thể về cách tính thuế vẫn cần được hiểu kỹ.</t>
  </si>
  <si>
    <t>Nhà nước đã tăng cường công tác quản lý và cải thiện công bằng trong việc áp dụng giảm trừ gia cảnh. Mức thuế mới cũng mang lại sự công bằng hơn cho người thu nhập thấp.</t>
  </si>
  <si>
    <t>Mức thuế mới có thể phù hợp với thu nhập của tôi, tuy nhiên vẫn cần thêm thông tin để đánh giá đầy đủ về tính công bằng.</t>
  </si>
  <si>
    <t>Tăng cường quản lý thuế và đơn giản hóa biểu thuế giúp sử dụng hiệu quả hơn số tiền thuế. Tuy nhiên, việc chi tiêu cụ thể của ngân sách nhà nước vẫn cần thêm thông tin.</t>
  </si>
  <si>
    <t>Nhà nước đã cải thiện công khai trong việc giải thích các thay đổi về thuế. Tuy nhiên, sự minh bạch đầy đủ và cụ thể về mục tiêu của việc cải cách vẫn cần thêm thông tin.</t>
  </si>
  <si>
    <t>Tăng cường quản lý thuế có thể giúp giảm gian lận và tăng thu. Việc đơn giản hóa biểu thuế cũng tạo thuận lợi cho người nộp thuế. Tuy nhiên, quyết định cuối cùng phụ thuộc vào việc hiểu rõ về mục tiêu và hiệu quả của chính sách.</t>
  </si>
  <si>
    <t>Các quy định quản lý thuế hiện nay đã được cải thiện, đặc biệt là việc tăng mức giảm trừ gia cảnh, giúp phát hiện và xử lý gian lận trốn thuế trở nên khó khăn hơn. Tuy nhiên, vẫn cần nhiều biện pháp kỹ thuật và công nghệ hỗ trợ.</t>
  </si>
  <si>
    <t>Công nghệ ngày càng phát triển, kết hợp với sự cải cách quản lý thuế, khả năng phát hiện trốn thuế cũng được nâng cao. Tuy nhiên, vẫn còn những rủi ro và thách thức cần giải quyết.</t>
  </si>
  <si>
    <t>Các thủ tục khai báo thuế đã đơn giản hóa, giảm bớt các bước phức tạp trước đây, tạo điều kiện cho người nộp thuế dễ dàng hơn trong việc làm việc với cơ quan thuế. Tuy nhiên, vẫn cần cải thiện thêm về độ tiện lợi.</t>
  </si>
  <si>
    <t>Cách tính thuế và các bậc thuế mới đơn giản hóa quy trình, tạo ra sự minh bạch và dễ hiểu hơn so với trước đây. Điều này giúp người dân nắm bắt nhanh chóng và thực hiện dễ dàng.</t>
  </si>
  <si>
    <t>Nhà nước đã cải thiện việc quản lý thuế thông qua các quy định mới, tạo ra một hệ thống công bằng hơn với nhiều mức giảm trừ gia cảnh. Điều này tăng niềm tin vào sự khách quan và công bằng của cơ quan thuế.</t>
  </si>
  <si>
    <t>Mức thuế mới được thiết kế công bằng, phù hợp với thu nhập cá nhân. Điều này tạo ra cảm giác công bằng cho người dân khi đóng thuế.</t>
  </si>
  <si>
    <t>Thuế tôi phải đóng sẽ được sử dụng hiệu quả vào các dịch vụ công như y tế, đường xá... Điều này tăng niềm tin rằng việc đóng thuế có ích và mang lại lợi ích cho cộng đồng.</t>
  </si>
  <si>
    <t>Nhà nước đã giải thích rõ ràng lý do và mục tiêu của việc sửa đổi thuế thông qua các kênh truyền thông, giúp người dân hiểu được sự cần thiết của thay đổi này. Tuy nhiên, vẫn còn một số điểm chưa hoàn hảo.</t>
  </si>
  <si>
    <t>Sau khi xem xét lợi ích và nghĩa vụ từ chính sách mới, tôi ủng hộ nó vì các quy định đã được cải thiện. Tôi sẽ tuân thủ theo đúng yêu cầu của pháp luật để đảm bảo lợi ích chung.</t>
  </si>
  <si>
    <t>Tăng cường giảm trừ gia cảnh và đơn giản hóa biểu thuế có thể làm giảm khả năng phát hiện sai phạm, nhưng công nghệ hiện đại hỗ trợ phát hiện gian lận.</t>
  </si>
  <si>
    <t>Công nghệ phát triển giúp nhà nước dễ dàng hơn trong việc quản lý và phát hiện các hành vi trốn thuế.</t>
  </si>
  <si>
    <t>Mức giảm trừ gia cảnh cao hơn và số bậc thuế ít hơn tạo thuận lợi cho người nộp thuế khai báo, nhưng quy trình vẫn cần cải thiện.</t>
  </si>
  <si>
    <t>Các bậc thuế đơn giản hơn giúp tính toán nhanh chóng, nhưng cách tính cụ thể có thể còn phức tạp đối với một số người.</t>
  </si>
  <si>
    <t>Giảm trừ gia cảnh tăng và mức thuế thấp hơn có thể tạo niềm tin vào sự công bằng của chính sách mới.</t>
  </si>
  <si>
    <t>Mức thuế mới có vẻ hợp lý so với thu nhập cá nhân, nhưng cần xem xét thêm về hiệu quả sử dụng nguồn thu</t>
  </si>
  <si>
    <t>Giảm trừ gia cảnh và mức thuế thấp hơn tạo niềm tin rằng tiền thuế sẽ được sử dụng hiệu quả cho công cộng.</t>
  </si>
  <si>
    <t>Thông tin về lý do và mục tiêu của chính sách mới chưa đủ rõ ràng, nhưng cải cách thuế có lợi cho người nộp thuế.</t>
  </si>
  <si>
    <t>Niềm tin cao hơn vào công bằng và hiệu quả sử dụng nguồn thu thuế, nhưng vẫn cần thời gian để đánh giá thực tế.</t>
  </si>
  <si>
    <t>Chính phủ đã tăng giảm trừ gia cảnh và đơn giản hóa quy trình khai thuế, nhưng vẫn có khả năng phát hiện trốn thuế.</t>
  </si>
  <si>
    <t>Công nghệ hiện đại giúp phát hiện trốn thuế hiệu quả hơn, tuy nhiên vẫn cần sự giám sát chặt chẽ từ cơ quan thuế.</t>
  </si>
  <si>
    <t>Mức giảm trừ gia cảnh tăng và quy trình khai báo thuế đơn giản hơn so với trước đây, tạo thuận lợi cho người dân.</t>
  </si>
  <si>
    <t>Nhà nước đã công bố quy định mới một cách công bằng, nhưng cần thêm thời gian để mọi người tin tưởng hoàn toàn.</t>
  </si>
  <si>
    <t>Mức thuế mới phù hợp với thu nhập hiện tại của tôi, tạo cảm giác công bằng.</t>
  </si>
  <si>
    <t>Thuế đóng góp vào cải thiện dịch vụ công, nhưng cần thêm minh bạch về cách sử dụng tiền thuế.</t>
  </si>
  <si>
    <t>Nhà nước đã giải thích rõ về mục tiêu sửa đổi thuế, tạo cảm giác tin tưởng hơn.</t>
  </si>
  <si>
    <t>Sau khi xem xét các quyền lợi và nghĩa vụ, tôi ủng hộ chính sách mới vì nó mang lại thuận lợi và công bằng.</t>
  </si>
  <si>
    <t>Các quy định quản lý thuế hiện nay được cải thiện, đặc biệt là việc tăng cường công nghệ phát hiện trốn thuế. Đây giúp giảm nguy cơ gian lận và tăng tính minh bạch.</t>
  </si>
  <si>
    <t>Công nghệ ngày càng tiên tiến, cùng với sự cải cách quản lý thuế, sẽ đảm bảo hành vi trốn thuế bị phát hiện và xử lý nghiêm. Tuy nhiên, vẫn có nguy cơ về sự đa dạng trong cách thực thi.</t>
  </si>
  <si>
    <t>Biểu thuế đơn giản hơn trước, quy trình khai báo thuế cũng thuận tiện hơn. Điều này giúp tiết kiệm thời gian và công sức cho người nộp thuế.</t>
  </si>
  <si>
    <t>Cách tính thuế mới đơn giản hơn, bậc thuế rõ ràng hơn so với trước đây, dễ hiểu và thực hiện dễ dàng hơn.</t>
  </si>
  <si>
    <t>Nhà nước đã cải thiện quy định về giảm trừ gia cảnh, tạo cảm giác công bằng. Tuy nhiên, vẫn cần sự minh bạch trong quá trình thực thi để tăng niềm tin.</t>
  </si>
  <si>
    <t>Mức thuế mới có vẻ hợp lý so với thu nhập hiện tại của tôi, nhưng cần thời gian để xem xét hiệu quả thực tế. Niềm tin về tính công bằng vẫn đang hình thành.</t>
  </si>
  <si>
    <t>Nhà nước đã cải thiện quy định về giảm trừ gia cảnh, tạo cảm giác công bằng. Tuy nhiên, cần thời gian để xem xét hiệu quả thực tế trong việc sử dụng số tiền thuế này.</t>
  </si>
  <si>
    <t>Nhà nước đã giải thích khá rõ ràng về lý do và mục tiêu của cải cách thuế. Tuy nhiên, cần thêm thông tin để tăng sự minh bạch.</t>
  </si>
  <si>
    <t>Niềm tin và cảm giác công bằng đã được cải thiện nhưng vẫn còn một số lo ngại về thực thi chính sách. Tôi sẽ theo dõi và xem xét kỹ trước khi quyết định ủng hộ hay không.</t>
  </si>
  <si>
    <t>Theo cải cách, mức giảm trừ gia cảnh đã tăng đáng kể, giúp giảm gánh nặng thuế cho người dân. Tuy nhiên, việc phát hiện hành vi trốn thuế vẫn phụ thuộc vào thực thi của cơ quan thuế.</t>
  </si>
  <si>
    <t>Nhà nước và cơ quan thuế đã áp dụng nhiều công nghệ tiên tiến để tăng cường quản lý và phát hiện gian lận, như việc sử dụng AI trong đánh giá rủi ro.</t>
  </si>
  <si>
    <t>Biểu thuế đơn giản hơn với số bậc giảm từ 7 xuống còn 5, làm cho quá trình khai báo trở nên dễ dàng hơn. Đồng thời, các quy định quản lý thuế cũng được cải thiện.</t>
  </si>
  <si>
    <t>Các mức thuế mới được thiết kế sao cho phù hợp với thu nhập cá nhân, giảm gánh nặng cho người có thu nhập thấp và trung bình. Điều này giúp việc tính toán trở nên đơn giản hơn.</t>
  </si>
  <si>
    <t>Mức thuế mới được thiết kế nhằm đảm bảo sự công bằng giữa các đối tượng nộp thuế. Tuy nhiên, vẫn còn một số lo ngại về khả năng thực thi chính sách một cách công tâm.</t>
  </si>
  <si>
    <t>Nhìn chung, mức thuế mới được thiết kế phù hợp với thu nhập của tôi, cho thấy sự công bằng trong việc phân bổ gánh nặng thuế. Tuy nhiên, vẫn còn cần cải thiện về minh bạch.</t>
  </si>
  <si>
    <t>Tôi tin rằng số tiền thuế đóng sẽ được sử dụng hiệu quả để cải thiện dịch vụ công. Tuy nhiên, việc thực hiện mục tiêu này phụ thuộc vào khả năng quản lý và giám sát của cơ quan chức năng.</t>
  </si>
  <si>
    <t>Nhà nước đã giải thích rõ ràng về các thay đổi trong thuế, nhưng vẫn còn cần cải thiện hơn nữa trong việc minh bạch thông tin để tăng sự tin tưởng từ công chúng.</t>
  </si>
  <si>
    <t>Sau khi xem xét lợi ích và nghĩa vụ của chính sách mới, tôi có xu hướng ủng hộ. Tuy nhiên, vẫn cần cải thiện trong việc quản lý và thực thi chính sách để tăng cường sự tuân thủ.</t>
  </si>
  <si>
    <t>Nâng cao mức giảm trừ gia cảnh và đơn giản hóa biểu thuế có thể làm giảm cơ hội trốn thuế. Tuy nhiên, không có thông tin cụ thể về công nghệ phát hiện mới.</t>
  </si>
  <si>
    <t>Việc nâng cấp công nghệ quản lý thuế là cần thiết nhưng chưa có thông tin cụ thể về mức độ hiệu quả của chúng. Cơ quan thuế vẫn có khả năng phát hiện trốn thuế.</t>
  </si>
  <si>
    <t>Mức giảm trừ gia cảnh cao hơn và biểu thuế đơn giản hơn có thể làm thủ tục khai báo thuế dễ dàng hơn, nhưng chưa rõ về quy trình thực thi mới.</t>
  </si>
  <si>
    <t>Bậc thuế ít hơn và mức thuế suất thay đổi có thể làm việc tính toán thuế đơn giản hơn, tuy nhiên cần xem xét thêm thông tin về cách áp dụng.</t>
  </si>
  <si>
    <t>Nâng cao mức giảm trừ gia cảnh và công bằng hóa biểu thuế có thể tăng niềm tin vào sự công tâm của cơ quan thuế, nhưng vẫn còn lo ngại về việc thực thi.</t>
  </si>
  <si>
    <t>Mức thuế mới được tính dựa trên thu nhập, nhưng chưa rõ ràng về mức độ công bằng khi so sánh với người có thu nhập tương tự. Tuy nhiên, giảm trừ gia cảnh cao hơn có thể làm giảm gánh nặng.</t>
  </si>
  <si>
    <t>Nâng cao mức giảm trừ gia cảnh và đơn giản hóa biểu thuế có thể tăng niềm tin vào việc sử dụng hiệu quả số tiền đóng thuế, nhưng vẫn cần xem xét thêm về cách sử dụng nguồn thu.</t>
  </si>
  <si>
    <t>Chưa rõ ràng về thông tin giải thích từ cơ quan thuế. Nâng cao mức giảm trừ gia cảnh có thể làm tăng sự tin tưởng, nhưng chưa đủ để thuyết phục.</t>
  </si>
  <si>
    <t>Mức giảm trừ gia cảnh cao hơn và đơn giản hóa biểu thuế có thể làm giảm gánh nặng cho người thu nhập thấp. Tuy nhiên, mức độ ủng hộ tuân thủ còn phụ thuộc vào niềm tin và thông tin giải thích.</t>
  </si>
  <si>
    <t>Mức giảm trừ gia cảnh tăng và quy định quản lý thuế rõ ràng, giảm cơ hội trốn thuế.</t>
  </si>
  <si>
    <t>Công nghệ hiện đại giúp phát hiện hành vi gian lận và xử lý nghiêm các trường hợp trốn thuế.</t>
  </si>
  <si>
    <t>Mức giảm trừ gia cảnh tăng, đơn giản hóa biểu thuế, giảm bớt rườm rà trong quy trình khai báo.</t>
  </si>
  <si>
    <t>Bậc thuế ít hơn và rõ ràng hơn, dễ dàng tính toán và thực hiện.</t>
  </si>
  <si>
    <t>Nhà nước đã cải thiện mức giảm trừ gia cảnh, tạo cảm giác công bằng khi so sánh với người cùng thu nhập.</t>
  </si>
  <si>
    <t>Mức thuế mới hợp lý so với thu nhập, nhưng vẫn cần thêm minh bạch về mục tiêu cải cách.</t>
  </si>
  <si>
    <t>Thuế đóng góp vào các dịch vụ công quan trọng như y tế và giao thông, tạo cảm giác niêm tin.</t>
  </si>
  <si>
    <t>Thông điệp giải thích về mục tiêu cải cách thuế rõ ràng hơn, nhưng cần thêm minh bạch về chi tiết cụ thể.</t>
  </si>
  <si>
    <t>Cải cách thuế tạo lợi ích tài chính và thuận tiện, nhưng vẫn có sự đa dạng trong mức độ tin tưởng giữa các nhóm tuổi.</t>
  </si>
  <si>
    <t>Mức giảm trừ gia cảnh tăng, tuy nhiên chưa rõ liệu công nghệ phát hiện trốn thuế có được cải thiện hay không.</t>
  </si>
  <si>
    <t>Công nghệ ngày càng tiên tiến, nhưng vẫn phụ thuộc vào khả năng quản lý của cơ quan thuế và sự tuân thủ của người dân.</t>
  </si>
  <si>
    <t>Mức giảm trừ gia cảnh tăng, đơn giản hóa biểu thuế, tuy nhiên không rõ quy trình khai báo có thực sự tiện lợi hơn hay không.</t>
  </si>
  <si>
    <t>Biểu thuế được rút gọn, dễ hiểu hơn nhưng cần xem xét cách thực hiện để đảm bảo đơn giản và nhanh chóng.</t>
  </si>
  <si>
    <t>Giảm trừ gia cảnh tăng, mức thuế mới có vẻ công bằng hơn đối với thu nhập trung bình, tuy nhiên chưa rõ cách thực thi.</t>
  </si>
  <si>
    <t>Mức thuế mới có vẻ hợp lý với thu nhập hiện tại, nhưng cần xem xét hiệu quả sử dụng nguồn lực của Nhà nước.</t>
  </si>
  <si>
    <t>Giảm trừ gia cảnh tăng và mức thuế mới có thể giúp cải thiện dịch vụ công, tuy nhiên chưa rõ hiệu quả thực tế.</t>
  </si>
  <si>
    <t>Thông tin về việc sửa đổi thuế được cung cấp qua nhiều kênh nhưng chưa chắc chắn liệu đã minh bạch và rõ ràng như thế nào.</t>
  </si>
  <si>
    <t>Thu nhập hiện tại giảm nhẹ, mức thuế mới có vẻ công bằng hơn, tuy nhiên vẫn còn nghi ngờ về hiệu quả thực thi.</t>
  </si>
  <si>
    <t>Nguyên tắc chung, các quy định quản lý thuế hiện nay có thể giúp phát hiện hành vi gian lận nhưng công nghệ chưa hẳn đã tối ưu hóa việc này.</t>
  </si>
  <si>
    <t>Công nghệ ngày càng phát triển nên khả năng phát hiện trốn thuế tăng lên, tuy nhiên cần sự đầu tư và cập nhật liên tục để đảm bảo hiệu quả.</t>
  </si>
  <si>
    <t>Mức giảm trừ gia cảnh cao hơn và đơn giản hóa biểu thuế giúp quy trình khai báo trở nên dễ dàng hơn.</t>
  </si>
  <si>
    <t>Cách tính thuế mới rõ ràng, mức độ phức tạp giảm do số bậc thuế ít đi.</t>
  </si>
  <si>
    <t>Thu nhập giảm trừ gia cảnh cao hơn có thể tạo niềm tin rằng chính sách mới khách quan và công bằng đối với người nộp thuế.</t>
  </si>
  <si>
    <t>Mức thuế mới dường như công bằng so với thu nhập cá nhân hiện tại, nhưng cần xem xét tổng thể để đánh giá.</t>
  </si>
  <si>
    <t>Niềm tin vào việc sử dụng hiệu quả số tiền thuế đóng vào dịch vụ công phụ thuộc nhiều vào thực tế và minh bạch của chính phủ.</t>
  </si>
  <si>
    <t>Thông tin giải thích về mục tiêu sửa đổi thuế chưa rõ ràng nên tạo ra sự hoài nghi, đặc biệt là với những người không theo dõi thường xuyên.</t>
  </si>
  <si>
    <t>Mặc dù có nhiều lợi ích nhưng tôi vẫn cần xem xét kỹ lưỡng trước khi tuân thủ chính sách mới do độ phức tạp và hoài nghi về minh bạch.</t>
  </si>
  <si>
    <t>Các quy định quản lý thuế hiện nay có nhiều cải thiện, nhưng vẫn còn khả năng gian lận nếu không áp dụng công nghệ phát hiện hiệu quả.</t>
  </si>
  <si>
    <t>Nhà nước và cơ quan thuế đang đầu tư vào công nghệ để phát hiện trốn thuế, tuy nhiên vẫn cần thời gian để hoàn thiện hệ thống.</t>
  </si>
  <si>
    <t>Các thủ tục khai báo thuế trở nên đơn giản hơn, giảm bớt rườm rà, nhưng vẫn có thể gặp khó khăn trong quá trình làm việc với cơ quan thuế.</t>
  </si>
  <si>
    <t>Cách tính thuế và các bậc thuế mới đã đơn giản hóa so với trước đây, giúp người nộp thuế dễ dàng hiểu và áp dụng.</t>
  </si>
  <si>
    <t>Nhà nước có thể thực thi chính sách một cách công bằng, nhưng vẫn cần thời gian để mọi người tin tưởng hoàn toàn.</t>
  </si>
  <si>
    <t>Mức thuế mới được tính toán dựa trên thu nhập của tôi là hợp lý, giúp giảm gánh nặng tài chính.</t>
  </si>
  <si>
    <t>Tôi tin rằng số tiền thuế đóng sẽ được sử dụng hiệu quả cho các dịch vụ công, nhưng cần thời gian để chứng minh.</t>
  </si>
  <si>
    <t>Nhà nước đã giải thích một cách rõ ràng về mục tiêu cải cách, tuy nhiên vẫn còn nhiều thông tin chưa đầy đủ.</t>
  </si>
  <si>
    <t>Sau khi xem xét các quyền lợi và nghĩa vụ, tôi thấy chính sách mới có lợi hơn so với trước đây, nhưng vẫn cần thời gian để thích ứng.</t>
  </si>
  <si>
    <t>Cải cách thuế TNCN không chỉ tăng mức giảm trừ gia cảnh mà còn đơn giản hóa quy trình khai báo, tạo thuận lợi hơn cho người nộp thuế. Điều này làm giảm khả năng trốn thuế.</t>
  </si>
  <si>
    <t>Việc áp dụng công nghệ hiện đại trong quản lý thuế như hệ thống điện tử sẽ giúp phát hiện và xử lý nhanh chóng các hành vi gian lận hoặc trốn thuế.</t>
  </si>
  <si>
    <t>Mức giảm trừ gia cảnh tăng, quy trình khai báo đơn giản hơn so với trước đây, tạo cảm giác thuận tiện và dễ dàng cho người nộp thuế.</t>
  </si>
  <si>
    <t>Biểu thuế được rút gọn từ 7 bậc xuống còn 5 bậc, giảm số lượng thang thuế nên việc tính toán thuế trở nên đơn giản hơn.</t>
  </si>
  <si>
    <t>Cải cách thuế TNCN với mức giảm trừ gia cảnh tăng và quy trình khai báo đơn giản hơn tạo cảm giác công bằng, khách quan trong việc thực thi chính sách.</t>
  </si>
  <si>
    <t>Mức thuế mới được thiết kế dựa trên thu nhập của người nộp thuế, đảm bảo mức thuế đóng là hợp lý và công bằng đối với từng nhóm thu nhập.</t>
  </si>
  <si>
    <t>Thu nhập của tôi nằm trong bậc thuế thấp hơn nên số tiền thuế đóng giảm. Điều này tạo cảm giác rằng số tiền đóng sẽ được sử dụng hiệu quả để cải thiện dịch vụ công.</t>
  </si>
  <si>
    <t>Quy trình giải thích về lý do và mục tiêu của việc sửa đổi thuế đã được cải tiến, nhưng vẫn chưa đủ minh bạch đối với tôi.</t>
  </si>
  <si>
    <t>Sau khi xem xét, tôi thấy chính sách mới giúp giảm gánh nặng thuế cho người thu nhập thấp hơn. Điều này tạo cảm giác ủng hộ và tuân thủ chính sách.</t>
  </si>
  <si>
    <t>Hiện nay, mức giảm trừ gia cảnh tăng lên và biểu thuế được đơn giản hóa, điều này làm giảm khả năng trốn thuế. Công nghệ phát triển cũng giúp cơ quan thuế dễ dàng hơn trong việc theo dõi và giám sát.</t>
  </si>
  <si>
    <t>Công nghệ hiện đại như AI và big data có thể giúp cải thiện hiệu suất phát hiện trốn thuế, tuy nhiên, vẫn cần sự hỗ trợ từ con người để xử lý các trường hợp phức tạp. Cơ quan thuế đã đầu tư vào công nghệ nhưng khả năng phát hiện vẫn phụ thuộc vào quy định pháp luật.</t>
  </si>
  <si>
    <t>Biểu thuế được đơn giản hóa, số bậc giảm từ 7 xuống còn 5, giúp quá trình khai báo trở nên dễ dàng hơn. Ngoài ra, nhiều hình thức nộp thuế trực tuyến cũng đã được triển khai.</t>
  </si>
  <si>
    <t>Cách tính thuế và các bậc thuế mới đơn giản hóa so với trước đây, giúp người dân dễ dàng hiểu và áp dụng</t>
  </si>
  <si>
    <t>Mức giảm trừ gia cảnh tăng lên, làm cho việc đóng thuế trở nên công bằng hơn. Cơ quan thuế có thể thực thi chính sách một cách khách quan, công tâm.</t>
  </si>
  <si>
    <t>Những thay đổi về biểu thuế mới giúp người dân hiểu rõ hơn về mức thuế mình phải đóng, tạo cảm giác công bằng. Tuy nhiên, vẫn cần thời gian để thực hiện và kiểm chứng hiệu quả.</t>
  </si>
  <si>
    <t>Mức giảm trừ gia cảnh tăng lên giúp người dân tin rằng số tiền họ đóng thuế sẽ được sử dụng hiệu quả hơn cho các dịch vụ công. Tuy nhiên, vẫn cần thời gian để chứng minh</t>
  </si>
  <si>
    <t>Cơ quan thuế đã giải thích rõ về mục tiêu và nguyên nhân của việc sửa đổi thuế mới, tuy nhiên, vẫn có người nghi ngờ hiệu quả thực hiện.</t>
  </si>
  <si>
    <t>Sau khi xem xét các thay đổi, tôi tin rằng mức giảm trừ gia cảnh tăng lên đã giúp làm giảm gánh nặng thuế cho người dân. Tuy nhiên, vẫn cần thời gian để kiểm chứng hiệu quả thực hiện.</t>
  </si>
  <si>
    <t>Biểu thuế đơn giản hơn, giảm bậc thuế và tăng mức giảm trừ gia cảnh có thể làm giảm khả năng trốn thuế. Tuy nhiên, chưa biết công nghệ hiện tại của cơ quan thuế liệu đã phát triển đến đâu.</t>
  </si>
  <si>
    <t>Công nghệ ngày càng phát triển và các hệ thống phát hiện gian lận thuế cũng đang được cải thiện. Tuy nhiên, vẫn cần thời gian để chứng minh hiệu quả của chúng.</t>
  </si>
  <si>
    <t>Số bậc thuế giảm từ 7 xuống 5 có thể làm quy trình đơn giản hơn. Mức giảm trừ gia cảnh tăng cũng giúp quá trình khai báo thuận tiện hơn.</t>
  </si>
  <si>
    <t>Biểu thuế mới đơn giản hóa các bậc thuế, dễ hiểu và thực hiện nhanh chóng hơn so với trước đây.</t>
  </si>
  <si>
    <t>Thu nhập tính thuế/tháng đến 10 triệu đồng chịu thuế suất 5% và mức giảm trừ gia cảnh tăng có thể tạo cảm giác công bằng. Tuy nhiên, việc thực thi chính sách mới vẫn cần thời gian để đánh giá.</t>
  </si>
  <si>
    <t>Mức thuế mới được thiết kế dựa trên thu nhập của người nộp thuế nên hợp lý, tuy nhiên cảm giác công bằng còn phụ thuộc vào cách thực thi.</t>
  </si>
  <si>
    <t>Thuế tăng giảm theo thu nhập có thể làm cho số tiền đóng góp vào dịch vụ công trở nên rõ ràng hơn. Tuy nhiên, hiệu quả sử dụng nguồn thu thuế vẫn cần thời gian để đánh giá.</t>
  </si>
  <si>
    <t>Thông tin về lý do và mục tiêu của việc sửa đổi thuế mới chưa đủ minh bạch nên dễ làm người dân nghi ngờ.</t>
  </si>
  <si>
    <t>Thu nhập tính thuế/tháng đến 10 triệu đồng chịu thuế suất 5% và mức giảm trừ gia cảnh tăng giúp tôi cảm thấy ủng hộ chính sách mới. Tuy nhiên, quyết định cuối cùng vẫn dựa trên quá trình đánh giá tổng thể về hiệu quả thực thi.</t>
  </si>
  <si>
    <t>Biện pháp quản lý thuế được tăng cường, với mức giảm trừ gia cảnh cao hơn, giúp phát hiện trốn thuế dễ dàng hơn. Tuy nhiên, cần công nghệ và sự quyết tâm để thực thi.</t>
  </si>
  <si>
    <t>Công nghệ tiên tiến có thể hỗ trợ phát hiện trốn thuế hiệu quả nhưng còn phụ thuộc vào nguồn lực và chiến lược của cơ quan thuế. Tăng cường công nghệ là cần thiết.</t>
  </si>
  <si>
    <t>Mức giảm trừ gia cảnh cao hơn giúp làm giảm gánh nặng thuế, tạo thuận lợi cho người nộp thuế. Số bậc thuế đơn giản hóa cũng làm thủ tục trở nên dễ dàng hơn.</t>
  </si>
  <si>
    <t>Biểu thuế đơn giản, số bậc thuế ít đi giúp việc tính toán và hoàn thành hồ sơ thuế trở nên dễ dàng và nhanh chóng hơn. Việc giảm complexity tạo thuận lợi cho người dân.</t>
  </si>
  <si>
    <t>Mức giảm trừ gia cảnh cao hơn mang lại cảm giác công bằng, nhưng mức độ thực thi chính sách còn phụ thuộc vào cách áp dụng quy định. Niềm tin tăng lên nhưng vẫn có sự nghi ngờ.</t>
  </si>
  <si>
    <t>Mức thuế mới phù hợp với thu nhập hiện tại của tôi và giảm gánh nặng, tạo cảm giác công bằng hơn so với trước đây. Tuy nhiên, việc giải thích rõ ràng về mục tiêu cải cách còn cần được tăng cường.</t>
  </si>
  <si>
    <t>Các mức thuế mới phù hợp với thu nhập hiện tại của tôi và giảm gánh nặng, tạo cảm giác công bằng hơn so với trước đây. Tuy nhiên, việc giải thích rõ ràng về mục tiêu cải cách còn cần được tăng cường.</t>
  </si>
  <si>
    <t>Công bố thông tin chính sách mới rõ ràng nhưng vẫn có sự nghi ngờ về độ minh bạch và thực thi. Tuy nhiên, mức thuế mới phù hợp với thu nhập hiện tại của tôi.</t>
  </si>
  <si>
    <t>Mức giảm trừ gia cảnh cao hơn và số bậc thuế ít đi tạo thuận lợi cho việc tuân thủ chính sách. Tuy nhiên, vẫn có sự nghi ngờ về thực thi và minh bạch của quy định mới.</t>
  </si>
  <si>
    <t>Việc tăng mức giảm trừ gia cảnh và đơn giản hóa biểu thuế có thể làm giảm gian lận, nhưng không chắc chắn về khả năng phát hiện trốn thuế.</t>
  </si>
  <si>
    <t>Công nghệ ngày càng phát triển giúp cơ quan thuế dễ dàng phát hiện hành vi trốn thuế, tuy nhiên vẫn còn thách thức trong việc xử lý nghiêm minh.</t>
  </si>
  <si>
    <t>Mức giảm trừ gia cảnh tăng lên và số bậc thuế được rút gọn có thể làm thủ tục khai báo thuế đơn giản hơn so với trước đây.</t>
  </si>
  <si>
    <t>Biểu thuế mới đơn giản hóa các bậc thuế, nhưng cần thời gian để người dân quen với cách tính mới.</t>
  </si>
  <si>
    <t>Giảm trừ gia cảnh tăng lên có thể làm giảm gánh nặng thuế cho cá nhân, tạo cảm giác công bằng và khách quan trong việc thực thi chính sách.</t>
  </si>
  <si>
    <t>Mức thuế mới dựa trên thu nhập có thể coi là công bằng, nhưng cần thời gian để nhận thức về tính công bằng của chính sách mới.</t>
  </si>
  <si>
    <t>Giảm trừ gia cảnh và mức thuế mới được áp dụng có thể tạo niềm tin rằng số tiền thuế đóng sẽ được sử dụng hiệu quả cho dịch vụ công.</t>
  </si>
  <si>
    <t>Thông tin về chính sách mới có xu hướng minh bạch hơn, nhưng cần thời gian để người dân hiểu rõ mục tiêu và lý do của việc sửa đổi thuế.</t>
  </si>
  <si>
    <t>Niềm tin và cảm giác công bằng từ chính sách mới làm tăng khả năng tuân thủ, nhưng vẫn có sự nghi ngờ về thực thi nghiêm minh.</t>
  </si>
  <si>
    <t>Nhà nước đã tăng cường công nghệ để phát hiện trốn thuế, nhưng do chưa có nhiều trải nghiệm nên mức độ tin tưởng còn thấp.</t>
  </si>
  <si>
    <t>Công nghệ và quy định quản lý thuế hiện tại cho thấy khả năng phát hiện trốn thuế đã được cải thiện đáng kể, nhưng vẫn cần thời gian để chứng minh.</t>
  </si>
  <si>
    <t>Thủ tục khai báo thuế đơn giản hơn nhiều so với trước đây, giảm bớt sự phức tạp và thời gian chờ đợi.</t>
  </si>
  <si>
    <t>Cách tính thuế mới đơn giản hóa bậc thuế, dễ hiểu và thực hiện nhanh chóng hơn, tạo cảm giác thuận tiện cho người nộp thuế.</t>
  </si>
  <si>
    <t>Mức giảm trừ gia cảnh tăng lên, khiến tôi thấy chính sách mới có tính công bằng cao hơn so với trước đây.</t>
  </si>
  <si>
    <t>Dù mức thuế mới được thiết kế để công bằng nhưng do không có nhiều thông tin về cách áp dụng nên vẫn còn nghi ngờ.</t>
  </si>
  <si>
    <t>Tăng cường giảm trừ gia cảnh và đơn giản hóa biểu thuế giúp tôi thấy số tiền đóng sẽ được sử dụng hiệu quả hơn cho các dịch vụ công.</t>
  </si>
  <si>
    <t>Nhà nước đã cung cấp thông tin về lý do thay đổi thuế nhưng vẫn còn thiếu minh bạch đối với người dân.</t>
  </si>
  <si>
    <t>Tăng giảm trừ gia cảnh và đơn giản hóa thủ tục làm việc với cơ quan thuế khiến tôi có xu hướng ủng hộ và tuân thủ chính sách mới hơn.</t>
  </si>
  <si>
    <t>Nhà nước đã tăng cường công nghệ phát hiện gian lận, đặc biệt là với mức giảm trừ gia cảnh cao hơn, giúp kiểm soát tốt hơn hành vi trốn thuế.</t>
  </si>
  <si>
    <t>Công nghệ và hệ thống quản lý thuế đã được cải thiện đáng kể, tăng khả năng phát hiện và xử lý nghiêm các vụ việc trốn thuế.</t>
  </si>
  <si>
    <t>Biểu thuế đơn giản hơn, giảm bớt thủ tục khai báo, giúp quá trình làm việc với cơ quan thuế nhanh chóng và dễ dàng hơn.</t>
  </si>
  <si>
    <t>Phương án mới có các bậc thuế rõ ràng, đơn giản hơn so với trước đây, do đó việc tính thuế cũng trở nên dễ hiểu và dễ thực hiện hơn.</t>
  </si>
  <si>
    <t>Mức giảm trừ gia cảnh cao hơn giúp gánh nặng thuế đối với người bình thường được giảm bớt, đồng thời quy định công bằng hơn so với trước đây.</t>
  </si>
  <si>
    <t>Thuế suất mới có thể coi là phù hợp với thu nhập hiện tại của tôi, nhưng vẫn cần thêm thông tin về cách sử dụng số tiền thuế này để đánh giá toàn diện.</t>
  </si>
  <si>
    <t>Tôi tin tưởng rằng tiền thuế sẽ được sử dụng hiệu quả cho các dịch vụ công, đặc biệt là y tế và hạ tầng cơ sở hạ tầng., nhưng cần thêm thông tin về kế hoạch chi tiêu cụ thể.</t>
  </si>
  <si>
    <t>Nhà nước đã giải thích các thay đổi thuế một cách rõ ràng, nhưng tôi vẫn mong muốn có thêm thông tin về mục tiêu của việc sửa đổi thuế để đánh giá</t>
  </si>
  <si>
    <t>Thuế mới công bằng hơn và thủ tục đơn giản, tuy nhiên do mức độ nghi ngờ nên không hoàn toàn ủng hộ ngay lập tức.</t>
  </si>
  <si>
    <t>Các quy định quản lý thuế hiện nay không rõ ràng, nguy cơ trốn thuế vẫn còn. Tăng mức giảm trừ gia cảnh có thể làm giảm nhẹ gánh nặng nhưng không đảm bảo phát hiện trốn thuế hiệu quả.</t>
  </si>
  <si>
    <t>Công nghệ hiện đại giúp phát hiện trốn thuế dễ dàng hơn, tuy nhiên vẫn còn rủi ro và chưa chắc chắn về khả năng xử lý nghiêm hành vi này.</t>
  </si>
  <si>
    <t>Bậc thuế được đơn giản hóa từ 7 xuống 5 nhưng mức thuế suất không thay đổi nhiều, thủ tục khai báo thuế vẫn còn phức tạp. Tuy nhiên, gánh nặng thuế giảm do tăng mức giảm trừ gia cảnh.</t>
  </si>
  <si>
    <t>Cách tính thuế và bậc thuế mới đơn giản hơn so với trước đây, dễ hiểu và thực hiện được cải tiến này.</t>
  </si>
  <si>
    <t>Tăng mức giảm trừ gia cảnh có thể làm giảm gánh nặng cho người dân nhưng chưa rõ liệu việc thực thi chính sách mới có khách quan, công bằng không. Tính đối xử bình đẳng vẫn còn là vấn đề.</t>
  </si>
  <si>
    <t>Mức thuế mới được đơn giản hóa nhưng chưa đủ minh bạch về tính công bằng so với người thu nhập tương tự. Việc giải thích mục tiêu và lý do của chính sách mới vẫn còn hạn chế.</t>
  </si>
  <si>
    <t>Tăng mức giảm trừ gia cảnh có thể làm giảm gánh nặng thuế nhưng chưa rõ số tiền thuế đóng sẽ được sử dụng hiệu quả như thế nào. Tính minh bạch trong việc sử dụng nguồn thu từ thuế còn hạn chế.</t>
  </si>
  <si>
    <t>Tăng mức giảm trừ gia cảnh và đơn giản hóa biểu thuế có thể làm tăng niềm tin vào sự công bằng nhưng thông tin giải thích về mục tiêu chính sách mới vẫn chưa rõ ràng. Cần thêm thông tin minh bạch hơn.</t>
  </si>
  <si>
    <t>Tăng mức giảm trừ gia cảnh và đơn giản hóa biểu thuế có thể làm giảm gánh nặng thuế nhưng quyết định tuân thủ phụ thuộc vào nhiều yếu tố khác như niềm tin, hiểu biết về chính sách mới. Cần thêm thông tin minh bạch.</t>
  </si>
  <si>
    <t>Các quy định quản lý thuế hiện nay có nhiều cải tiến như tăng mức giảm trừ gia cảnh và đơn giản hóa biểu thuế, tuy nhiên vẫn cần công nghệ phát hiện trốn thuế.</t>
  </si>
  <si>
    <t>Nhà nước đã đầu tư vào công nghệ, nhưng trốn thuế vẫn tồn tại do nhiều yếu tố như thông báo sai lệch và người nộp thuế không khai đúng</t>
  </si>
  <si>
    <t>Mức giảm trừ gia cảnh cao hơn trước giúp tiết kiệm thời gian khai báo, nhưng quy trình vẫn cần cải tiến.</t>
  </si>
  <si>
    <t>Biểu thuế đơn giản hơn, tuy nhiên quá trình tính toán và khai báo vẫn có thể phức tạp</t>
  </si>
  <si>
    <t>Nhà nước đã cố gắng thực thi một cách công bằng nhưng vẫn cần cải thiện trong việc đối xử bình đẳng giữa các nhóm thu nhập.</t>
  </si>
  <si>
    <t>Mức thuế mới có vẻ hợp lý so với thu nhập của tôi, tuy nhiên tôi còn lo ngại về khả năng thực thi</t>
  </si>
  <si>
    <t>Niềm tin vào việc sử dụng hiệu quả số tiền thuế đóng còn thấp do nhiều dịch vụ công chưa tốt.</t>
  </si>
  <si>
    <t>Thông tin giải thích về chính sách mới không rõ ràng như tôi mong đợi, đặc biệt là với các thay đổi lớn trong biểu thuế.</t>
  </si>
  <si>
    <t>Tăng giảm trừ gia cảnh và mức thuế hợp lý giúp tôi ủng hộ hơn, nhưng vẫn có lo ngại về thực thi chính sách</t>
  </si>
  <si>
    <t>Biện pháp quản lý thuế hiện tại được tăng cường, đồng thời với việc cải cách thủ tục làm việc và khai báo thuế, khả năng phát hiện hành vi gian lận hoặc trốn thuế sẽ cao hơn trước đây.</t>
  </si>
  <si>
    <t>Như đã đề cập ở trên, công nghệ và hệ thống quản lý thuế được cải tiến, tạo điều kiện cho việc phát hiện và xử lý nghiêm các hành vi trốn thuế một cách hiệu quả.</t>
  </si>
  <si>
    <t>Biểu thuế đơn giản hơn với ít bậc thuế, cùng với mức giảm trừ gia cảnh cao hơn giúp quá trình khai báo thuế trở nên nhanh chóng và tiện lợi hơn.</t>
  </si>
  <si>
    <t>So với trước đây, cách tính thuế mới đơn giản hóa các bậc thuế, tạo thuận lợi cho người nộp thuế trong việc hiểu và thực hiện.</t>
  </si>
  <si>
    <t>Nhìn chung, mức giảm trừ gia cảnh cao hơn có thể khiến tôi cảm thấy công bằng hơn về cách phân chia gánh nặng thuế đối với mọi người.</t>
  </si>
  <si>
    <t>Mức thuế mới có vẻ hợp lý cho thu nhập của mình, nhưng do còn nhiều rủi ro và không chắc chắn về thực thi nên chưa hoàn toàn tin tưởng.</t>
  </si>
  <si>
    <t>Trong dài hạn, tôi hy vọng số tiền thuế đóng sẽ được sử dụng hiệu quả để cải thiện dịch vụ công, nhưng hiện tại vẫn còn nhiều lo ngại.</t>
  </si>
  <si>
    <t>Nhìn chung, thông tin về chính sách mới chưa rõ ràng và minh bạch như tôi mong đợi, do đó sự tin tưởng vào mục tiêu của nó vẫn thấp.</t>
  </si>
  <si>
    <t>Đối với thu nhập hiện tại, giảm trừ gia cảnh cao hơn tạo lợi ích cho tôi. Tuy nhiên, do còn nhiều lo ngại về thực thi và minh bạch nên chưa quyết định ủng hộ hoàn toàn.</t>
  </si>
  <si>
    <t>Biểu thuế đơn giản hóa và mức giảm trừ gia cảnh tăng, tuy nhiên chưa có thông tin rõ ràng về công nghệ phát hiện gian lận.</t>
  </si>
  <si>
    <t>Công nghệ ngày càng phát triển, nhưng vẫn cần thời gian để áp dụng rộng rãi và hiệu quả trong quản lý thuế.</t>
  </si>
  <si>
    <t>Mức giảm trừ gia cảnh tăng và biểu thuế đơn giản hóa, thuận lợi cho người nộp thuế.</t>
  </si>
  <si>
    <t>Biểu thuế có số bậc ít hơn, dễ hiểu và thực hiện hơn so với trước đây.</t>
  </si>
  <si>
    <t>Mức giảm trừ gia cảnh tăng, người nộp thuế có lợi hơn. Tuy nhiên, chưa rõ về cách Nhà nước công bố khách quan, công bằng.</t>
  </si>
  <si>
    <t>Thuế suất và ngưỡng chịu thuế được điều chỉnh phù hợp với thu nhập cá nhân hiện nay, mang tính công bằng.</t>
  </si>
  <si>
    <t>Giảm trừ gia cảnh tăng giúp cải thiện dịch vụ công, tuy nhiên chưa rõ số tiền thuế đóng sẽ được sử dụng như thế nào.</t>
  </si>
  <si>
    <t>Thông tin về lý do và mục tiêu sửa đổi thuế có phần thiếu sót, cần nhiều thông tin hơn để thuyết phục người dân.</t>
  </si>
  <si>
    <t>Các lợi ích về tài chính và thủ tục đơn giản hóa tạo động lực cho sự ủng hộ. Tuy nhiên, vẫn còn một số lo ngại về công bằng và minh bạch.</t>
  </si>
  <si>
    <t>Biểu thuế đơn giản hơn, giảm bậc thuế từ 7 xuống 5. Tuy nhiên, mức tăng giảm trừ gia cảnh không có tác động lớn đến việc phát hiện trốn thuế.</t>
  </si>
  <si>
    <t>Công nghệ hiện đại giúp phát hiện trốn thuế dễ dàng hơn, nhưng vẫn phụ thuộc vào quản lý và thực thi của cơ quan thuế.</t>
  </si>
  <si>
    <t>Bậc thuế giảm từ 7 xuống 5, đơn giản hóa quy trình khai báo. Tuy nhiên, không có thông tin về việc làm việc với cơ quan thuế trở nên tiện lợi hơn.</t>
  </si>
  <si>
    <t>Biểu thuế đơn giản hơn, dễ hiểu hơn, giảm số bậc từ 7 xuống 5.</t>
  </si>
  <si>
    <t>Tăng mức giảm trừ gia cảnh, nhưng không có thông tin về việc thực thi chính sách khách quan, công bằng. Tuy nhiên, mức tăng giảm trừ gia cảnh có thể làm tăng niềm tin của người dân.</t>
  </si>
  <si>
    <t>Mức thuế mới có thể coi là công bằng với thu nhập hiện tại. Tuy nhiên, không có thông tin về việc giải thích rõ ràng mục tiêu của chính sách mới.</t>
  </si>
  <si>
    <t>Tăng mức giảm trừ gia cảnh, nhưng không có thông tin cụ thể về việc sử dụng hiệu quả số tiền thuế thu được. Tuy nhiên, mức tăng giảm trừ gia cảnh có thể làm tăng niềm tin của người dân.</t>
  </si>
  <si>
    <t>Không có thông tin về việc giải thích rõ ràng mục tiêu và lý do của chính sách mới. Tuy nhiên, biểu thuế đơn giản hơn có thể tạo sự minh bạch nhất định.</t>
  </si>
  <si>
    <t>Mức tăng giảm trừ gia cảnh có thể làm người dân ủng hộ hơn. Biểu thuế đơn giản hơn cũng có thể giúp người dân tuân thủ tốt hơn. Tuy nhiên, không có thông tin về việc thực thi chính sách công bằng và minh bạch.</t>
  </si>
  <si>
    <t>Tăng mức giảm trừ gia cảnh và đơn giản hóa biểu thuế có thể làm tăng rủi ro cho các hành vi trốn thuế, tuy nhiên, không rõ liệu công nghệ mới có đảm bảo phát hiện mọi trường hợp gian lận hay không.</t>
  </si>
  <si>
    <t>Công nghệ hiện đại và cải tiến quản lý thuế giúp tăng khả năng phát hiện trốn thuế. Tuy nhiên, hiệu quả thực tế phụ thuộc vào nhiều yếu tố như nguồn lực, nhân sự và kỹ thuật.</t>
  </si>
  <si>
    <t>Đơn giản hóa biểu thuế từ 7 bậc xuống còn 5 bậc có thể làm thủ tục đơn giản hơn. Tuy nhiên, quy trình khai báo thuế vẫn cần cải tiến để thuận tiện cho người dân.</t>
  </si>
  <si>
    <t>Bậc thuế mới đơn giản hóa so với trước đây nhưng vẫn giữ nguyên mức độ phức tạp của từng bậc. Cần thêm hướng dẫn chi tiết cho người nộp thuế để dễ hiểu hơn.</t>
  </si>
  <si>
    <t>Mức giảm trừ gia cảnh và mức thuế mới có thể tạo niềm tin về sự công bằng trong việc thực thi chính sách, tuy nhiên, còn phụ thuộc vào cách áp dụng của cơ quan thuế.</t>
  </si>
  <si>
    <t>Đối với thu nhập trung bình như tôi, mức thuế mới có vẻ hợp lý. Tuy nhiên, cần thêm thông tin về việc sử dụng số tiền thuế để nâng cao niềm tin.</t>
  </si>
  <si>
    <t>Niềm tin vào việc sử dụng hiệu quả số tiền thuế còn phụ thuộc vào các chính sách khác của Nhà nước. Cần cải thiện minh bạch trong quản lý ngân sách</t>
  </si>
  <si>
    <t>Phản ánh rõ ràng về mục tiêu và lý do sửa đổi thuế có thể tăng niềm tin, nhưng cần thêm thông tin chi tiết để thuyết phục hơn.</t>
  </si>
  <si>
    <t>Niềm tin và sự công bằng mới tạo nên quyết định ủng hộ, tuy nhiên, vẫn có sự lo ngại về khả năng thực thi chính sách.</t>
  </si>
  <si>
    <t>Quy định quản lý thuế hiện nay có nhiều cải tiến nhưng vẫn chưa đủ mạnh để phát hiện và xử lý trốn thuế.</t>
  </si>
  <si>
    <t>Nâng cao mức giảm trừ gia cảnh và đơn giản hóa biểu thuế là bước tiến đáng kể, giúp tăng khả năng phát hiện trốn thuế thông qua công nghệ.</t>
  </si>
  <si>
    <t>Biểu thuế được đơn giản hóa từ 7 bậc xuống còn 5 bậc, giảm gánh nặng cho người nộp thuế và thuận tiện hơn trong quá trình khai báo.</t>
  </si>
  <si>
    <t>Cách tính thuế mới đơn giản hơn so với trước đây, phù hợp với nhiều đối tượng và dễ hiểu hơn.</t>
  </si>
  <si>
    <t>Nhà nước đã tăng mức giảm trừ gia cảnh và đơn giản hóa biểu thuế, tạo cảm giác công bằng trong việc áp dụng chính sách cho mọi người nộp thuế.</t>
  </si>
  <si>
    <t>Mức thuế mới được thiết kế dựa trên thu nhập của tôi nên tôi thấy là hợp lý. Tuy nhiên, vẫn còn nghi ngờ về tính minh bạch trong việc sử dụng số tiền thuế.</t>
  </si>
  <si>
    <t>Các cải tiến về giảm trừ gia cảnh và đơn giản hóa biểu thuế giúp tôi tin rằng số tiền thuế đóng sẽ được sử dụng hiệu quả cho dịch vụ công.</t>
  </si>
  <si>
    <t>Tôi thấy thông tin về các thay đổi trong Luật Thuế TNCN đã được giải thích rõ ràng nhưng vẫn chưa hoàn toàn thuyết phục tôi về mục tiêu chính sách.</t>
  </si>
  <si>
    <t>Sau khi cân nhắc, tôi ủng hộ và tuân thủ chính sách mới vì những lợi ích tài chính mang lại cho cá nhân tôi. Tuy nhiên, vẫn có một số lo ngại về thực thi.</t>
  </si>
  <si>
    <t>Nếu tăng giảm trừ gia cảnh, mức thuế có thể sẽ giảm đi. Tuy nhiên, quy định quản lý thuế hiện tại chưa rõ ràng về công nghệ phát hiện gian lận.</t>
  </si>
  <si>
    <t>Công nghệ hiện đại có khả năng phát hiện trốn thuế tốt hơn nhưng cần phải dựa trên các quy định quản lý thuế chặt chẽ.</t>
  </si>
  <si>
    <t>Bậc thuế giảm từ 7 xuống 5, đồng nghĩa với việc thủ tục khai báo đơn giản hơn. Tuy nhiên, không rõ liệu quy trình làm việc với cơ quan thuế có thay đổi theo.</t>
  </si>
  <si>
    <t>Cách tính thuế đơn giản hóa từ 7 bậc xuống 5, dễ hiểu và thực hiện dễ dàng hơn so với trước đây.</t>
  </si>
  <si>
    <t>Mức giảm trừ gia cảnh tăng lên có thể làm cho tôi cảm thấy công bằng hơn. Tuy nhiên, vẫn chưa rõ liệu Nhà nước sẽ xử lý chính sách một cách khách quan và công bằng như thế nào.</t>
  </si>
  <si>
    <t>Mức thuế mới phù hợp với thu nhập của tôi, tuy nhiên, không đủ thông tin về việc giải thích rõ ràng và minh bạch về mục tiêu của chính sách mới.</t>
  </si>
  <si>
    <t>Thuế tôi đóng sẽ được sử dụng hiệu quả cho các dịch vụ công. Tuy nhiên, vẫn còn nhiều câu hỏi chưa được giải đáp về việc sử dụng nguồn thu thuế một cách minh bạch và công bằng.</t>
  </si>
  <si>
    <t>Công bố thông tin về mục tiêu của chính sách mới vẫn chưa rõ ràng. Tuy nhiên, mức thuế mới đơn giản hóa hơn so với trước đây.</t>
  </si>
  <si>
    <t>Sau khi xem xét các quyền lợi và nghĩa vụ, tôi thấy mức thuế mới phù hợp với thu nhập của mình. Tuy nhiên, vẫn còn nhiều điều chưa rõ ràng về cách thực hiện chính sách này.</t>
  </si>
  <si>
    <t>Các quy định quản lý thuế hiện nay không rõ ràng và chưa có công nghệ phát hiện gian lận hiệu quả.</t>
  </si>
  <si>
    <t>Nhà nước đã đầu tư vào công nghệ nhưng còn hạn chế về nguồn lực và khả năng phát hiện trốn thuế.</t>
  </si>
  <si>
    <t>Các thủ tục khai báo thuế đơn giản hơn, giảm số bậc thuế nên dễ thực hiện hơn so với trước đây.</t>
  </si>
  <si>
    <t>Phương án mới đơn giản hóa biểu thuế, nhưng việc tính toán cụ thể vẫn còn phức tạp đối với người dân.</t>
  </si>
  <si>
    <t>Niềm tin vào sự công bằng của Nhà nước cần thời gian xây dựng lại, mặc dù giảm trừ gia cảnh tăng.</t>
  </si>
  <si>
    <t>Mức thuế mới được thiết kế để hợp lý với thu nhập hiện tại, nhưng vẫn còn nhiều thắc mắc về tính công bằng.</t>
  </si>
  <si>
    <t>Niềm tin vào việc sử dụng hiệu quả số tiền thuế đóng cần thời gian chứng minh qua các dự án cụ thể của Nhà nước.</t>
  </si>
  <si>
    <t>Thiên về độ minh bạch trong giải thích chính sách, nhưng vẫn còn nhiều thông tin chưa rõ ràng đối với người dân.</t>
  </si>
  <si>
    <t>Sau cân nhắc lợi ích và nghĩa vụ, tôi thấy quyết định tuân thủ là phù hợp với quyền lợi hiện tại.</t>
  </si>
  <si>
    <t>Công nghệ hiện đại có thể phát hiện hành vi trốn thuế hiệu quả, cùng với các quy định quản lý thuế chặt chẽ.</t>
  </si>
  <si>
    <t>Nhà nước đã đầu tư công nghệ và nhân lực để tăng cường khả năng giám sát, xử lý trốn thuế.</t>
  </si>
  <si>
    <t>Mức giảm trừ gia cảnh cao hơn cùng với đơn giản hóa biểu thuế tạo cảm giác thuận tiện khi khai báo.</t>
  </si>
  <si>
    <t>Biểu thuế mới đơn giản hơn, dễ hiểu và thực hiện nhanh chóng hơn so với trước đây.</t>
  </si>
  <si>
    <t>Niềm tin vào sự công bằng của Nhà nước được nâng cao nhờ các quy định mới về giảm trừ gia cảnh.</t>
  </si>
  <si>
    <t>Mức thuế mới có thể coi là công bằng, phù hợp với thu nhập trung bình hiện nay.</t>
  </si>
  <si>
    <t>Tin tưởng vào việc sử dụng số tiền thuế đóng để cải thiện dịch vụ công</t>
  </si>
  <si>
    <t>Nhà nước đã giải thích rõ ràng về quy định mới, nhưng vẫn có sự phức tạp trong việc hiểu thấu đáo.</t>
  </si>
  <si>
    <t>Tham gia ủng hộ và tuân thủ chính sách vì lợi ích tài chính cao hơn, cùng với niềm tin vào hiệu quả sử dụng thuế</t>
  </si>
  <si>
    <t>Nếu tăng giảm trừ gia cảnh và đơn giản hóa biểu thuế, việc đánh giá thu nhập dễ dàng hơn. Công nghệ hiện đại cũng giúp phát hiện gian lận nhanh chóng.</t>
  </si>
  <si>
    <t>Với công nghệ tiên tiến như AI, Big Data, Nhà nước có thể theo dõi và xử lý trốn thuế hiệu quả hơn.</t>
  </si>
  <si>
    <t>Giảm từ 7 bậc xuống còn 5 bậc thuế giúp quy trình khai báo đơn giản hóa. Tăng giảm trừ gia cảnh cũng tạo thuận lợi cho người nộp thuế.</t>
  </si>
  <si>
    <t>Việc tăng giảm trừ gia cảnh công bằng đối với người nộp thuế. Tuy nhiên, mức thuế mới vẫn còn gây nghi ngại về tính công bằng.</t>
  </si>
  <si>
    <t>Mức thuế mới có thể không công bằng với những người có thu nhập cao hơn do số bậc thuế giảm đi.</t>
  </si>
  <si>
    <t>Tăng giảm trừ gia cảnh giúp cải thiện dịch vụ công. Tuy nhiên, vẫn còn nghi ngại về việc sử dụng hiệu quả nguồn thu từ thuế.</t>
  </si>
  <si>
    <t>Công bố thông tin chưa rõ ràng và đầy đủ về mục tiêu của chính sách mới, gây nghi ngại cho người dân.</t>
  </si>
  <si>
    <t>Tăng giảm trừ gia cảnh tạo thuận lợi cho việc tuân thủ. Tuy nhiên, mức thuế mới không công bằng với mọi đối tượng nên có thể gặp rủi ro khi thực thi.</t>
  </si>
  <si>
    <t>Cải cách thuế TNCN có thể tăng cường quản lý thông qua mức giảm trừ gia cảnh cao hơn, tuy nhiên khả năng phát hiện trốn thuế phụ thuộc vào công nghệ và nguồn lực của cơ quan thuế.</t>
  </si>
  <si>
    <t>Công nghệ ngày càng tiên tiến giúp việc quản lý thuế hiệu quả hơn. Tuy nhiên, việc xử lý nghiêm vẫn cần sự quyết tâm từ phía nhà chức trách.</t>
  </si>
  <si>
    <t>Biểu thuế đơn giản hóa từ 7 bậc xuống còn 5 bậc có thể làm giảm phiền toái cho người dân, nhưng quy trình khai báo và làm việc với cơ quan thuế chưa chắc đã thuận tiện hơn.</t>
  </si>
  <si>
    <t>Cách tính thuế mới đơn giản hóa từ 7 bậc xuống 5 bậc có thể dễ hiểu hơn. Tuy nhiên, mức thuế suất thay đổi nên cần thời gian để người dân thích nghi.</t>
  </si>
  <si>
    <t>Giảm trừ gia cảnh tăng lên và đơn giản hóa biểu thuế có thể tạo niềm tin về sự công bằng trong việc đánh thuế. Tuy nhiên, mức độ này phụ thuộc vào cách thực thi chính sách.</t>
  </si>
  <si>
    <t>Mức thuế mới dựa trên thu nhập, nhưng cần xem xét tổng thể về mức giảm trừ gia cảnh và biểu thuế để đánh giá công bằng hơn.</t>
  </si>
  <si>
    <t>Giảm trừ gia cảnh tăng lên có thể tạo niềm tin về việc số tiền đóng thuế sẽ được sử dụng hiệu quả. Tuy nhiên, cần xem xét tổng thể về cách sử dụng ngân sách.</t>
  </si>
  <si>
    <t>Tăng mức giảm trừ gia cảnh và đơn giản hóa biểu thuế có thể tạo niềm tin về sự minh bạch trong việc sửa đổi thuế. Tuy nhiên, cần thông tin rõ ràng hơn về mục tiêu chính sách.</t>
  </si>
  <si>
    <t>Chính sách mới mang lại lợi ích về mặt tài chính và giảm gánh nặng từ mức giảm trừ gia cảnh cao hơn, nhưng vẫn cần thời gian để thích nghi. Tuân thủ có điều kiện dựa trên sự hiểu biết tổng thể.</t>
  </si>
  <si>
    <t>Nguyên tắc quản lý thuế mới có nhiều biện pháp mạnh mẽ hơn để phát hiện gian lận và trốn thuế, từ đó giảm khả năng trốn thuế.</t>
  </si>
  <si>
    <t>Công nghệ tiên tiến giúp cải thiện hiệu quả trong việc thu thập dữ liệu và phân tích hành vi của người nộp thuế, tăng cường khả năng phát hiện gian lận.</t>
  </si>
  <si>
    <t>Mức giảm trừ gia cảnh cao hơn tạo thuận lợi cho người nộp thuế, quy trình khai báo đơn giản và nhanh chóng hơn so với trước đây.</t>
  </si>
  <si>
    <t>Biểu thuế được đơn giản hóa từ 7 bậc xuống còn 5 bậc, làm giảm độ phức tạp và dễ hiểu hơn cho người nộp thuế.</t>
  </si>
  <si>
    <t>Mức giảm trừ gia cảnh tăng mạnh, tôi tin rằng cơ quan thuế sẽ thực thi chính sách một cách công bằng đối với tất cả các nhóm thu nhập.</t>
  </si>
  <si>
    <t>Dựa trên mức thu nhập hiện tại của mình, mức thuế mới được coi là hợp lý và công bằng so với trước đây.</t>
  </si>
  <si>
    <t>Tăng cường giảm trừ gia cảnh giúp cải thiện dịch vụ công, tôi tin rằng số tiền thuế đóng sẽ được sử dụng hiệu quả.</t>
  </si>
  <si>
    <t>Nhà nước đã thông báo các thay đổi một cách rõ ràng và minh bạch về mục đích của việc sửa đổi thuế.</t>
  </si>
  <si>
    <t>Dựa trên lợi ích từ chính sách mới, tôi thấy rằng nó phù hợp với thu nhập hiện tại của mình. Đánh giá tổng thể, tôi ủng hộ và sẵn lòng tuân thủ chính sách mới.</t>
  </si>
  <si>
    <t>Nâng cao mức giảm trừ gia cảnh có thể làm giảm cơ hội trốn thuế, nhưng vẫn cần công nghệ phát hiện để đảm bảo hiệu quả.</t>
  </si>
  <si>
    <t>Công nghệ ngày càng tiên tiến giúp tăng khả năng phát hiện hành vi trốn thuế, đồng thời việc xử lý nghiêm cũng tạo áp lực lớn cho người nộp thuế.</t>
  </si>
  <si>
    <t>Mức giảm trừ gia cảnh cao hơn và đơn giản hóa biểu thuế có thể làm các thủ tục trở nên thuận tiện hơn.</t>
  </si>
  <si>
    <t>Nâng cao mức giảm trừ gia cảnh và đơn giản hóa biểu thuế có thể tạo cảm giác công bằng trong việc áp dụng chính sách.</t>
  </si>
  <si>
    <t>Mức thuế mới được thiết kế dựa trên thu nhập, nên tôi thấy là hợp lý với mức sống hiện tại của mình.</t>
  </si>
  <si>
    <t>Nâng cao mức giảm trừ gia cảnh và đơn giản hóa biểu thuế có thể tạo niềm tin rằng thuế sẽ được sử dụng hiệu quả cho công ích.</t>
  </si>
  <si>
    <t>Thông điệp về việc cải cách thuế đã được truyền tải rõ ràng, giúp tôi hiểu mục tiêu của chính sách mới.</t>
  </si>
  <si>
    <t>Sau khi cân nhắc các yếu tố như mức giảm trừ gia cảnh cao hơn và đơn giản hóa biểu thuế, tôi thấy mình sẽ ủng hộ và tuân thủ.</t>
  </si>
  <si>
    <t>Trong Luật Thuế TNCN sửa đổi, các quy định quản lý thuế được tăng cường với mức giảm trừ gia cảnh cao hơn. Điều này giúp phát hiện hành vi trốn thuế khó khăn hơn, nhưng công nghệ và khả năng của cơ quan thuế chưa rõ ràng.</t>
  </si>
  <si>
    <t>Công nghệ quản lý thuế mới đã được đầu tư nhằm phát hiện trốn thuế, tuy nhiên hiệu quả thực tế cần thời gian để chứng minh. Cơ quan thuế có đủ khả năng nếu công nghệ và nguồn lực được triển khai tốt.</t>
  </si>
  <si>
    <t>Mức giảm trừ gia cảnh tăng đáng kể, giúp thủ tục khai báo thuế đơn giản hơn. Các quy định mới giúp việc làm việc với cơ quan thuế trở nên dễ dàng hơn so với trước đây.</t>
  </si>
  <si>
    <t>Biểu thuế được đơn giản hóa từ 7 bậc xuống 5, giảm độ phức tạp. Cách tính thuế rõ ràng hơn, phù hợp với nhiều đối tượng người nộp thuế.</t>
  </si>
  <si>
    <t>Nhà nước đã tăng mức giảm trừ gia cảnh và đơn giản hóa biểu thuế, tạo ra sự công bằng trong việc đánh thuế. Tuy nhiên, cần thời gian để xem xét liệu các quy định mới có được thực thi một cách công tâm.</t>
  </si>
  <si>
    <t>Mức thuế mới theo phương án đơn giản hóa rõ ràng hơn và phù hợp với thu nhập cá nhân hiện nay. Tuy nhiên, mức độ công bằng cần được đánh giá qua thời gian.</t>
  </si>
  <si>
    <t>Thuế TNCN mới giúp cải thiện dịch vụ công như y tế và hạ tầng. Mức thuế giảm cũng góp phần nâng cao niềm tin vào việc sử dụng hiệu quả số tiền thu được.</t>
  </si>
  <si>
    <t>Các thông báo về Luật Thuế TNCN mới đã được thực hiện một cách rõ ràng và minh bạch. Tuy nhiên, cần thời gian để đánh giá liệu các giải thích có thuyết phục người dân hay không.</t>
  </si>
  <si>
    <t>Thu nhập của tôi giảm do mức thuế mới thấp hơn so với trước đây, nhưng thủ tục đơn giản và khả năng phát hiện trốn thuế tốt hơn. Tôi sẵn sàng tuân thủ vì lợi ích chung.</t>
  </si>
  <si>
    <t>Việc tăng mức giảm trừ gia cảnh và đơn giản hóa biểu thuế có thể làm giảm rủi ro trốn thuế, nhưng không đảm bảo 100% phát hiện được hành vi gian lận.</t>
  </si>
  <si>
    <t>Nhà nước đã đầu tư công nghệ để phát hiện và xử lý trốn thuế, nhưng thực tế vẫn còn nhiều khó khăn trong việc giám sát toàn diện.</t>
  </si>
  <si>
    <t>Số bậc thuế giảm từ 7 xuống 5 có thể làm quá trình khai báo đơn giản hơn, nhưng quy trình làm việc với cơ quan thuế vẫn còn phức tạp.</t>
  </si>
  <si>
    <t>Cách tính thuế mới đơn giản hóa các bậc thuế, dễ hiểu và thực hiện dễ dàng hơn so với trước đây.</t>
  </si>
  <si>
    <t>Nhà nước đã cải thiện mức giảm trừ gia cảnh, tạo cảm giác công bằng cho người dân, nhưng chưa thể đảm bảo mọi người đều nhận thức được sự công bằng.</t>
  </si>
  <si>
    <t>Mức thuế mới có thể phù hợp với thu nhập của tôi, tạo cảm giác công bằng hơn so với trước đây.</t>
  </si>
  <si>
    <t>Tăng mức giảm trừ gia cảnh và đơn giản hóa biểu thuế giúp cải thiện dịch vụ công, nhưng cần thời gian để đánh giá hiệu quả thực tế.</t>
  </si>
  <si>
    <t>Nhà nước đã giải thích rõ ràng về mục tiêu cải cách thuế, tạo cảm giác minh bạch và tin tưởng đối với chính sách mới.</t>
  </si>
  <si>
    <t>Chính sách mới có nhiều lợi ích cho tôi, tăng mức giảm trừ gia cảnh giúp đỡ chi phí cuộc sống hàng ngày, nên tôi sẽ ủng hộ và tuân thủ.</t>
  </si>
  <si>
    <t>Công nghệ hiện nay giúp phát hiện gian lận trốn thuế dễ dàng hơn, đặc biệt là với mức giảm trừ gia cảnh tăng lên. Điều này làm giảm khả năng bị lợi dụng.</t>
  </si>
  <si>
    <t>Nhà nước có nhiều nguồn lực và công nghệ tiên tiến để phát hiện các hành vi trốn thuế. Hệ thống quản lý thuế đã được cải thiện đáng kể.</t>
  </si>
  <si>
    <t>Biểu thuế đơn giản hơn với ít bậc thuế, tạo điều kiện cho việc khai báo và nộp thuế dễ dàng hơn. Quy trình làm việc với cơ quan thuế cũng trở nên thuận tiện hơn.</t>
  </si>
  <si>
    <t>Cách tính thuế mới đơn giản hóa các bậc thuế, giúp người dân dễ dàng hiểu và áp dụng. Tuy nhiên, vẫn còn cần thêm thời gian để mọi người quen với hệ thống mới.</t>
  </si>
  <si>
    <t>Nhà nước đã cải thiện mức giảm trừ gia cảnh, tạo ra sự công bằng hơn trong việc đánh thuế. Điều này thể hiện sự đối xử bình đẳng giữa các cá nhân có thu nhập tương tự.</t>
  </si>
  <si>
    <t>Mức thuế mới được thiết kế để phù hợp với thu nhập của người dân, tạo cảm giác công bằng. Tuy nhiên, vẫn cần thêm thời gian để mọi người quen với hệ thống mới và thấy rõ sự công bằng.</t>
  </si>
  <si>
    <t>Thuế đóng góp vào dịch vụ công, đặc biệt là y tế và cơ sở hạ tầng. Tuy nhiên, vẫn cần đánh giá về hiệu quả sử dụng nguồn thu này để đảm bảo số tiền thuế được sử dụng một cách hiệu quả.</t>
  </si>
  <si>
    <t>Nhà nước đã giải thích rõ ràng về mục tiêu cải cách, tuy nhiên việc truyền thông vẫn cần cải thiện hơn nữa để mọi người hiểu đầy đủ các điểm mới trong chính sách.</t>
  </si>
  <si>
    <t>Chính sách mới có nhiều ưu điểm như giảm gánh nặng thuế và đơn giản hóa quy trình khai báo, tuy nhiên vẫn còn cần thời gian để đánh giá hiệu quả thực tế. Tôi sẽ ủng hộ chính sách này và tuân thủ.</t>
  </si>
  <si>
    <t>Tăng cường quản lý thuế và công nghệ hiện đại giúp giảm khả năng trốn thuế, tuy nhiên vẫn có rủi ro.</t>
  </si>
  <si>
    <t>Công nghệ tiên tiến như AI, Big Data hỗ trợ phát hiện gian lận hiệu quả, nhưng cần thời gian áp dụng rộng rãi.</t>
  </si>
  <si>
    <t>Mức giảm trừ gia cảnh tăng và đơn giản hóa biểu thuế tạo thuận lợi trong khai báo, dễ thực hiện hơn.</t>
  </si>
  <si>
    <t>Các bậc thuế mới ít hơn, dễ hiểu, tuy nhiên việc áp dụng có thể phức tạp với những người chưa quen.</t>
  </si>
  <si>
    <t>Nhà nước đã cải thiện giảm trừ gia cảnh và điều chỉnh thuế suất công bằng hơn, tăng niềm tin.</t>
  </si>
  <si>
    <t>Mức thuế mới tương đối công bằng với thu nhập hiện tại của tôi, nhưng vẫn cần thêm thời gian để xem xét.</t>
  </si>
  <si>
    <t>Tăng cường giảm trừ gia cảnh và đơn giản hóa biểu thuế tạo niềm tin vào việc sử dụng hiệu quả số tiền đã đóng.</t>
  </si>
  <si>
    <t>Thông tin về cải cách thuế chưa rõ ràng, cần thêm thời gian để hiểu đầy đủ mục tiêu chính sách.</t>
  </si>
  <si>
    <t>Niềm tin và sự công bằng trong thuế mới tăng, tuy nhiên vẫn có rủi ro không tuân thủ</t>
  </si>
  <si>
    <t>Trong bối cảnh hiện nay, các quy định quản lý thuế có thể được tăng cường bởi công nghệ phát triển. Tuy nhiên, vẫn cần sự hợp tác từ người nộp thuế để ngăn chặn gian lận.</t>
  </si>
  <si>
    <t>Công nghệ hiện đại như AI và Big Data giúp phát hiện các hành vi trốn thuế nhanh chóng. Tuy nhiên, vẫn cần sự cải tiến liên tục về công nghệ và nguồn lực.</t>
  </si>
  <si>
    <t>Mức giảm trừ gia cảnh tăng lên giúp thủ tục đơn giản hóa, nhưng quy trình làm việc với cơ quan thuế có thể vẫn còn phức tạp.</t>
  </si>
  <si>
    <t>Biểu thuế được rút gọn từ 7 bậc xuống 5 đã tạo nên sự đơn giản và dễ hiểu hơn. Các bước tính toán cũng trở nên dễ thực hiện hơn.</t>
  </si>
  <si>
    <t>Nhà nước có thể thực thi chính sách một cách công bằng, nhưng mức độ tin tưởng còn phụ thuộc vào việc minh bạch thông tin và khả năng giải quyết khiếu nại.</t>
  </si>
  <si>
    <t>Mức thuế mới được thiết kế để công bằng hơn so với trước đây. Tuy nhiên, mức độ công bằng còn phụ thuộc vào thu nhập cụ thể của mỗi người.</t>
  </si>
  <si>
    <t>Thuế đóng góp vào việc cải thiện dịch vụ công. Tuy nhiên, hiệu quả sử dụng nguồn thu từ thuế cần được minh bạch và công khai hơn.</t>
  </si>
  <si>
    <t>Các giải thích về mục tiêu của chính sách mới có thể chưa đầy đủ hoặc rõ ràng. Sự cải tiến trong việc truyền thông thông tin sẽ tăng niềm tin.</t>
  </si>
  <si>
    <t>Chính sách mới mang lại lợi ích tài chính cho nhiều người, nhưng quyết định tuân thủ còn phụ thuộc vào sự minh bạch và công khai của Nhà nước.</t>
  </si>
  <si>
    <t>Việc tăng mức giảm trừ gia cảnh và đơn giản hóa biểu thuế có thể làm giảm khả năng phát hiện hành vi trốn thuế, vì vậy tôi đánh giá thấp. Tuy nhiên, công nghệ hiện đại có thể hỗ trợ cải thiện việc phát hiện gian lận.</t>
  </si>
  <si>
    <t>Công nghệ tiên tiến và quy định quản lý thuế chặt chẽ hơn so với trước đây tạo điều kiện cho việc phát hiện và xử lý nghiêm các hành vi trốn thuế hiệu quả.</t>
  </si>
  <si>
    <t>Đơn giản hóa biểu thuế có thể làm tăng thuận tiện khi khai báo thuế, nhưng quy trình làm việc với cơ quan thuế vẫn còn phức tạp. Tuy nhiên, so với trước đây, việc này đã cải thiện đáng kể.</t>
  </si>
  <si>
    <t>Phương án mới đơn giản hóa việc tính thuế và các bậc thuế suất, làm cho quá trình này dễ hiểu và thực hiện hơn so với trước đây.</t>
  </si>
  <si>
    <t>Nâng cao mức giảm trừ gia cảnh có thể tạo niềm tin rằng cơ quan thuế đối xử công bằng. Tuy nhiên, việc cải cách chưa hoàn toàn minh bạch và rõ ràng về mặt quản lý.</t>
  </si>
  <si>
    <t>Đối với thu nhập của tôi, mức thuế mới có vẻ hợp lý so với trước đây, tạo cảm giác công bằng hơn.</t>
  </si>
  <si>
    <t>Mức độ tin tưởng về việc sử dụng số tiền thuế vào mục đích chung đang tăng lên do cải cách này. Tuy nhiên, cần thêm thông tin về hiệu quả cụ thể của chi tiêu từ nguồn thuế.</t>
  </si>
  <si>
    <t>Các thông điệp về lý do và mục tiêu của cải cách đã được giải thích rõ ràng hơn so với trước đây, tạo niềm tin rằng chính sách mới là cần thiết.</t>
  </si>
  <si>
    <t>Dù có một số ưu điểm như đơn giản hóa thuế suất và tăng mức giảm trừ gia cảnh, nhưng do vẫn còn nghi ngờ về quản lý thuế và khả năng phát hiện gian lận, tôi sẽ tuân thủ với điều kiện.</t>
  </si>
  <si>
    <t>Nhu cầu tăng mức giảm trừ gia cảnh và đơn giản hóa biểu thuế có thể làm giảm động lực trốn thuế, nhưng vẫn cần công nghệ để phát hiện gian lận.</t>
  </si>
  <si>
    <t>Công nghệ ngày càng tiến bộ, tuy nhiên, việc phát hiện trốn thuế đòi hỏi nguồn lực và khả năng phối hợp giữa các cơ quan quản lý.</t>
  </si>
  <si>
    <t>Biểu thuế đơn giản hóa có thể làm giảm rào cản cho người nộp thuế, nhưng quy trình khai báo vẫn cần cải thiện.</t>
  </si>
  <si>
    <t>Cách tính thuế mới đơn giản hơn so với trước đây, giúp người dân dễ dàng nắm bắt và tuân thủ.</t>
  </si>
  <si>
    <t>Mức giảm trừ gia cảnh cao hơn có thể làm tăng niềm tin về sự công bằng trong việc áp dụng chính sách thuế.</t>
  </si>
  <si>
    <t>Thuế suất và ngưỡng chịu thuế mới có vẻ hợp lý, nhưng mức độ công bằng còn phụ thuộc vào hiệu quả sử dụng số tiền thu được từ thuế.</t>
  </si>
  <si>
    <t>Niềm tin về việc sử dụng nguồn thuế cho các dịch vụ công vẫn cần được cải thiện thông qua minh bạch và công khai.</t>
  </si>
  <si>
    <t>Thống kê về sự giải thích rõ ràng của chính phủ còn hạn chế, đặc biệt là đối với người dân chưa có nhiều kiến thức về thuế.</t>
  </si>
  <si>
    <t>Với mức giảm trừ gia cảnh cao hơn và biểu thuế đơn giản, tôi sẽ ủng hộ việc tuân thủ chính sách mới, nhưng vẫn cần cải thiện minh bạch.</t>
  </si>
  <si>
    <t xml:space="preserve">Các quy định quản lý thuế hiện nay đã được cải thiện đáng kể, với việc tăng mức giảm trừ gia cảnh và đơn giản hóa biểu thuế. Điều này làm giảm khả năng trốn thuế. </t>
  </si>
  <si>
    <t>Nhà nước và cơ quan thuế đã đầu tư công nghệ tiên tiến để phát hiện hành vi gian lận, tăng cường giám sát và xử lý nghiêm minh các trường hợp trốn thuế.</t>
  </si>
  <si>
    <t xml:space="preserve">Mức giảm trừ gia cảnh cao hơn và số bậc thuế đơn giản hóa giúp quá trình khai báo thuế trở nên dễ dàng, nhanh chóng hơn. </t>
  </si>
  <si>
    <t>Biểu thuế mới đơn giản với ít bậc, giúp người dân tính toán thu nhập chịu thuế một cách dễ dàng và chính xác.</t>
  </si>
  <si>
    <t xml:space="preserve">Nhà nước đã công bố rõ ràng các quy định mới, đảm bảo sự công bằng trong việc áp dụng mức giảm trừ gia cảnh và bậc thuế. </t>
  </si>
  <si>
    <t>Mức thu thuế theo phương án mới được thiết kế nhằm đảm bảo công bằng giữa người nộp thuế với thu nhập tương đương, phù hợp với tình hình hiện nay.</t>
  </si>
  <si>
    <t xml:space="preserve">Tăng mức giảm trừ gia cảnh và đơn giản hóa biểu thuế giúp cải thiện chất lượng dịch vụ công và nâng cao hiệu quả sử dụng ngân sách nhà nước. </t>
  </si>
  <si>
    <t>Nhà nước đã cung cấp thông tin đầy đủ về mục tiêu của chính sách mới, tuy nhiên vẫn còn cần cải thiện trong việc giải thích chi tiết và rõ ràng hơn.</t>
  </si>
  <si>
    <t>Sau khi xem xét các quyền lợi từ chính sách mới như mức giảm trừ gia cảnh cao hơn và đơn giản hóa biểu thuế, tôi sẵn sàng tuân thủ. Tuy nhiên, cần cải thiện sự minh bạch trong thông tin để tăng độ tin cậy.</t>
  </si>
  <si>
    <t>Mức giảm trừ gia cảnh tăng đáng kể, cùng với việc đơn giản hóa biểu thuế, giúp giảm gian lận. Công nghệ hiện đại cũng hỗ trợ hiệu quả trong phát hiện hành vi trốn thuế.</t>
  </si>
  <si>
    <t>Nhà nước đã đầu tư công nghệ để cải thiện khả năng phát hiện và xử lý trốn thuế, đồng thời có nhiều quy định rõ ràng về việc xử lý các trường hợp gian lận.</t>
  </si>
  <si>
    <t>Giảm trừ gia cảnh tăng cao giúp đơn giản hóa quá trình khai báo. Biểu thuế ngắn gọn dễ hiểu hơn, giảm bớt rắc rối cho người dân.</t>
  </si>
  <si>
    <t>Biểu thuế được rút gọn từ 7 bậc xuống còn 5 bậc, đơn giản hóa quy trình tính thuế và làm việc với cơ quan thuế.</t>
  </si>
  <si>
    <t>Nhà nước đã tăng mức giảm trừ gia cảnh, giúp người dân cảm thấy công bằng hơn. Quy định mới tạo ra sự đối xử bình đẳng giữa các nhóm thu nhập khác nhau.</t>
  </si>
  <si>
    <t>Mức thuế mới được thiết kế dựa trên thu nhập thực tế của người nộp thuế, tạo nên cảm giác công bằng trong việc đóng góp thuế</t>
  </si>
  <si>
    <t>Giảm trừ gia cảnh và mức thuế mới giúp số tiền thuế tôi phải đóng thấp hơn so với trước đây. Điều này làm tăng niềm tin rằng số tiền thuế sẽ được sử dụng hiệu quả.</t>
  </si>
  <si>
    <t>Nhà nước đã công bố thông tin về việc cải cách thuế một cách rõ ràng, giúp người dân hiểu được mục tiêu và ý nghĩa của chính sách mới</t>
  </si>
  <si>
    <t>Sau khi xem xét lợi ích từ các quy định mới như tăng giảm trừ gia cảnh và mức thuế công bằng hơn, tôi sẽ ủng hộ và tuân thủ chính sách mới.</t>
  </si>
  <si>
    <t>Biểu thuế được đơn giản hóa, giảm số bậc thuế và tăng giảm trừ gia cảnh có thể làm giảm cơ hội trốn thuế. Tuy nhiên, việc phát hiện gian lận vẫn phụ thuộc vào khả năng và công nghệ của cơ quan thuế.</t>
  </si>
  <si>
    <t>Công nghệ ngày càng tiên tiến, giúp tăng cường giám sát và kiểm soát hành vi trốn thuế. Việc cải cách thuế cũng có thể làm giảm gian lận thông qua việc đơn giản hóa quy trình và minh bạch hóa.</t>
  </si>
  <si>
    <t>Số bậc thuế từ 7 xuống còn 5, cùng với tăng giảm trừ gia cảnh, tạo ra một quy trình khai báo thuận tiện hơn. Tuy nhiên, cải cách chưa làm đơn giản hóa hoàn toàn thủ tục.</t>
  </si>
  <si>
    <t>Các bậc thuế mới rõ ràng và dễ hiểu hơn so với trước đây, làm giảm độ phức tạp cho người nộp thuế. Việc tăng giảm trừ gia cảnh cũng giúp tính toán thuế trở nên đơn giản hơn.</t>
  </si>
  <si>
    <t>Những cải cách như tăng giảm trừ gia cảnh và số bậc thuế rõ ràng có thể tạo ra một hệ thống công bằng hơn. Tuy nhiên, việc thực thi chính sách còn phụ thuộc vào tính minh bạch trong quản lý.</t>
  </si>
  <si>
    <t>Mức thuế mới phù hợp với thu nhập hiện tại của tôi, tạo cảm giác rằng hệ thống thuế đang công bằng. Tuy nhiên, việc đánh giá mức thuế này phụ thuộc vào thời gian làm việc và thu nhập trong tương lai.</t>
  </si>
  <si>
    <t>Tăng giảm trừ gia cảnh và đơn giản hóa biểu thuế có thể tạo ra một hệ thống công bằng hơn. Tuy nhiên, mức độ sử dụng hiệu quả của số tiền thuế do Nhà nước thu vào dịch vụ công phụ thuộc vào quản lý tài chính.</t>
  </si>
  <si>
    <t>Sự cải cách thuế đã giải thích rõ ràng về mục tiêu và lý do của việc sửa đổi. Tuy nhiên, tôi cần xem xét thêm thông tin từ các nguồn khác để đánh giá mức độ minh bạch.</t>
  </si>
  <si>
    <t>Sau khi cân nhắc lợi ích và nghĩa vụ mới, tôi thấy rằng cải cách thuế này mang lại nhiều quyền lợi cho tôi. Tuy nhiên, quyết định cuối cùng phụ thuộc vào quản lý tài chính và thực thi của Nhà nước.</t>
  </si>
  <si>
    <t>Tăng mức giảm trừ gia cảnh và đơn giản hóa biểu thuế có thể làm tăng khả năng phát hiện gian lận, nhưng vẫn cần công nghệ tiên tiến để giám sát.</t>
  </si>
  <si>
    <t>Công nghệ ngày càng phát triển giúp nhà nước có nhiều phương pháp phát hiện trốn thuế hiệu quả hơn, nhưng vẫn còn rủi ro không thể loại bỏ hoàn toàn.</t>
  </si>
  <si>
    <t>Biểu thuế được đơn giản hóa từ 7 bậc xuống 5, cùng với việc tăng giảm trừ gia cảnh giúp quá trình khai báo và làm việc với cơ quan thuế dễ dàng hơn.</t>
  </si>
  <si>
    <t>Các bậc thuế mới rõ ràng hơn so với trước đây, nhưng vẫn cần thời gian để người dân quen thuộc với cách tính mới.</t>
  </si>
  <si>
    <t>Tăng giảm trừ gia cảnh và đơn giản hóa biểu thuế tạo cảm giác công bằng hơn cho người nộp thuế, dù chưa hoàn toàn đối xử bình đẳng</t>
  </si>
  <si>
    <t>Mức thuế mới phù hợp với thu nhập cá nhân hiện tại, nhưng vẫn cần thời gian để thực sự đánh giá được tính công bằng của nó.</t>
  </si>
  <si>
    <t>Tăng giảm trừ gia cảnh tạo cảm giác số tiền đóng thuế sẽ được sử dụng hiệu quả hơn cho dịch vụ công</t>
  </si>
  <si>
    <t>Thông tin về cải cách thuế chưa rõ ràng, đặc biệt là với những người trẻ tuổi ít tiếp xúc với thông tin chính thức.</t>
  </si>
  <si>
    <t>Thu nhập tăng cao do giảm trừ gia cảnh và đơn giản hóa biểu thuế tạo cảm giác thuận lợi hơn cho việc tuân thủ</t>
  </si>
  <si>
    <t>Nguyên tắc quản lý thuế hiện nay có nhiều biện pháp phòng ngừa, nhưng thực tế việc phát hiện trốn thuế vẫn khó khăn. Các quy định mới không đảm bảo 100% sẽ dễ dàng phát hiện hành vi gian lận.</t>
  </si>
  <si>
    <t>Công nghệ phát triển, nhưng vẫn chưa thể phát hiện toàn bộ các trường hợp trốn thuế. Cơ quan thuế cần tăng cường kiểm tra và công khai hơn để nâng cao hiệu quả.</t>
  </si>
  <si>
    <t>Thủ tục khai báo thuế nay đơn giản hơn so với trước, nhưng vẫn còn một số khó khăn. Sự thay đổi về biểu thuế cũng giúp quá trình làm việc với cơ quan thuế trở nên thuận lợi hơn.</t>
  </si>
  <si>
    <t>Cách tính và các bậc thuế mới đơn giản hơn, giảm bớt sự phức tạp cho người nộp thuế. Tuy nhiên, vẫn cần thời gian để điều chỉnh quen với quy trình mới.</t>
  </si>
  <si>
    <t>Nhà nước đã thực hiện một số cải cách về quản lý thuế và giảm trừ gia cảnh, nhưng sự công bằng trong việc áp dụng các chính sách còn cần thời gian để đánh giá. Tuy nhiên, điều này tạo niềm tin hơn so với trước đây.</t>
  </si>
  <si>
    <t>Mức thuế mới được thiết kế nhằm đảm bảo công bằng cho người dân. Việc tăng giảm trừ gia cảnh giúp phân chia hợp lý giữa các đối tượng thu nhập khác nhau, tạo cảm giác công bằng hơn.</t>
  </si>
  <si>
    <t>Các cải cách thuế mới hướng đến việc sử dụng số tiền thuế đóng vào nhiều dịch vụ công quan trọng. Điều này thể hiện sự liên kết giữa đóng góp và lợi ích từ nhà nước, tạo niềm tin về việc sử dụng hiệu quả nguồn thu.</t>
  </si>
  <si>
    <t>Nhà nước đã giải thích đầy đủ các thay đổi về thuế thông qua nhiều kênh truyền thông. Tuy nhiên, sự minh bạch cần được nâng cao hơn để người dân cảm thấy tin tưởng</t>
  </si>
  <si>
    <t>Sau khi cân nhắc, tôi ủng hộ chính sách mới vì nó tạo điều kiện thuận lợi và công bằng cho người nộp thuế. Tuy nhiên, vẫn cần thời gian để thích nghi với quy định mới.</t>
  </si>
  <si>
    <t>Các quy định quản lý thuế hiện nay được cải thiện, với mức giảm trừ gia cảnh tăng cao, giúp phát hiện và xử lý trốn thuế dễ dàng hơn.</t>
  </si>
  <si>
    <t>Nhà nước đã đầu tư công nghệ để phát hiện và xử lý nghiêm các hành vi trốn thuế, nhưng vẫn cần cải thiện về khả năng phát hiện.</t>
  </si>
  <si>
    <t>Biểu thuế đơn giản hơn với ít bậc, giúp việc khai báo thuế trở nên dễ dàng và nhanh chóng hơn.</t>
  </si>
  <si>
    <t>Cách tính thuế mới đơn giản hóa các bậc thuế, giảm sự phức tạp cho người nộp thuế.</t>
  </si>
  <si>
    <t>Nhà nước đã tăng mức giảm trừ gia cảnh và đơn giản hóa biểu thuế, tạo ra cảm giác công bằng hơn trong việc thực thi chính sách.</t>
  </si>
  <si>
    <t>Tôi thấy mức thuế mới là hợp lý đối với thu nhập của mình, nhưng cần thêm thông tin về cách sử dụng số tiền thuế để đánh giá hoàn toàn.</t>
  </si>
  <si>
    <t>Tăng mức giảm trừ gia cảnh giúp tôi tự tin rằng số tiền thuế đóng sẽ được sử dụng hiệu quả cho dịch vụ công.</t>
  </si>
  <si>
    <t>Nhà nước đã cải thiện việc giải thích về lý do và mục tiêu của việc sửa đổi thuế, nhưng vẫn cần thêm thông tin để thuyết phục hoàn toàn.</t>
  </si>
  <si>
    <t>Các quyền lợi từ chính sách mới như tăng giảm trừ gia cảnh làm tôi cảm thấy công bằng hơn và sẵn sàng tuân thủ</t>
  </si>
  <si>
    <t>Các quy định quản lý thuế hiện nay có nhiều cải tiến như tăng giảm trừ gia cảnh, đơn giản hóa biểu thuế. Tuy nhiên, việc phát hiện và xử lý trốn thuế phụ thuộc nhiều vào hiệu quả công nghệ và nguồn lực của cơ quan thuế.</t>
  </si>
  <si>
    <t>Công nghệ hiện nay đã phát triển mạnh mẽ, giúp cải thiện khả năng giám sát và xử lý gian lận. Tuy nhiên, vẫn cần thời gian để áp dụng hiệu quả.</t>
  </si>
  <si>
    <t>Mức giảm trừ gia cảnh tăng lên, thủ tục khai báo thuế đơn giản hơn so với trước đây. Điều này làm cho việc nộp thuế trở nên thuận tiện và nhanh chóng hơn.</t>
  </si>
  <si>
    <t>Biểu thuế được đơn giản hóa từ 7 bậc xuống còn 5 bậc, giúp cách tính thuế rõ ràng hơn, dễ hiểu và thực hiện dễ dàng hơn.</t>
  </si>
  <si>
    <t>Nhà nước đã cải thiện các quy định về giảm trừ gia cảnh và đơn giản hóa biểu thuế. Điều này thể hiện sự công bằng trong việc áp dụng mức thuế cho người dân.</t>
  </si>
  <si>
    <t>Mức thuế mới được thiết kế để phù hợp với thu nhập của cá nhân, giúp đảm bảo tính công bằng về mặt tài chính. Tuy nhiên, vẫn cần thời gian để xem xét hiệu quả thực tế.</t>
  </si>
  <si>
    <t>Giảm trừ gia cảnh tăng lên và đơn giản hóa biểu thuế làm cho việc đóng thuế trở nên công bằng hơn, người dân tin tưởng số tiền họ đóng sẽ được sử dụng hiệu quả trong cải thiện dịch vụ công.</t>
  </si>
  <si>
    <t>Nhà nước đã giải thích rõ ràng về các thay đổi trong biểu thuế. Tuy nhiên, mức độ minh bạch cần cao hơn để thuyết phục mọi người.</t>
  </si>
  <si>
    <t>Tăng giảm trừ gia cảnh và đơn giản hóa biểu thuế tạo ra lợi ích tài chính rõ ràng cho người nộp thuế. Đây là động lực quan trọng để ủng hộ và tuân thủ chính sách mới.</t>
  </si>
  <si>
    <t>Chính phủ đã tăng cường công nghệ và quy định quản lý thuế, nhưng mức độ phát hiện trốn thuế vẫn phụ thuộc vào sự tận lực của cơ quan thuế.</t>
  </si>
  <si>
    <t>Công nghệ tiên tiến giúp phát hiện hành vi gian lận hiệu quả hơn, đồng thời tăng cường khả năng xử lý nghiêm các trường hợp trốn thuế.</t>
  </si>
  <si>
    <t>Mức giảm trừ gia cảnh lớn hơn và quy trình khai báo thuế đơn giản hơn so với trước đây, tạo thuận lợi cho người dân.</t>
  </si>
  <si>
    <t>Biểu thuế được rút gọn từ 7 bậc xuống còn 5 bậc, làm giảm độ phức tạp, dễ hiểu và thực hiện hơn.</t>
  </si>
  <si>
    <t>Nhà nước đã tăng cường quy định quản lý thuế, cải thiện công bằng trong việc phân bổ gánh nặng thuế giữa các đối tượng nộp thuế.</t>
  </si>
  <si>
    <t>Mức thuế mới được thiết kế dựa trên thu nhập cá nhân, thể hiện tính công bằng hơn so với trước đây.</t>
  </si>
  <si>
    <t>Thuận tiện về tài chính do giảm trừ gia cảnh và số bậc thuế, cộng thêm cải thiện hạ tầng dịch vụ công giúp tăng niềm tin.</t>
  </si>
  <si>
    <t>Nhà nước đã cung cấp thông tin rõ ràng về mục tiêu cải cách thuế nhưng vẫn cần làm rõ hơn để thuyết phục người dân.</t>
  </si>
  <si>
    <t>Nhuận lợi từ giảm trừ gia cảnh và số bậc thuế ít hơn tạo động lực cho việc tuân thủ, mặc dù sự phức tạp về quy định vẫn còn.</t>
  </si>
  <si>
    <t>Biện pháp quản lý thuế hiện nay được cải thiện, đặc biệt là mức giảm trừ gia cảnh tăng lên. Tuy nhiên, không có thông tin rõ ràng về công nghệ phát hiện trốn thuế.</t>
  </si>
  <si>
    <t>Công nghệ và khả năng của cơ quan thuế được cải thiện nhưng chưa cung cấp đầy đủ thông tin về việc sử dụng công nghệ này để phát hiện trốn thuế.</t>
  </si>
  <si>
    <t>Thủ tục khai báo thuế và quy trình làm việc với cơ quan thuế đơn giản hơn do số bậc thuế giảm, tạo thuận lợi cho người nộp thuế.</t>
  </si>
  <si>
    <t>Cách tính thuế trong phương án mới dễ hiểu và đơn giản hơn so với trước đây nhờ vào việc rút gọn số bậc thuế.</t>
  </si>
  <si>
    <t>Mức giảm trừ gia cảnh tăng lên, tạo cảm giác công bằng cho người nộp thuế. Tuy nhiên, mức thuế suất vẫn tương đối cao nên có nghi ngờ về tính khách quan trong thực thi.</t>
  </si>
  <si>
    <t>Thu nhập của tôi thuộc bậc thuế thấp nên mức thuế mới là hợp lý. Tuy nhiên, không thấy giải thích rõ ràng về mục tiêu và lý do của chính sách</t>
  </si>
  <si>
    <t>Thống kê và phân tích chưa cung cấp đủ thông tin để tôi cảm thấy chính phủ đã giải thích rõ ràng về mục tiêu của chính sách mới</t>
  </si>
  <si>
    <t>Thu nhập thuộc bậc thuế thấp nên mức giảm trừ gia cảnh tăng lên đáng kể, tạo cảm giác công bằng. Thủ tục khai báo thuế đơn giản hơn nhưng vẫn còn nghi ngờ về thực thi.</t>
  </si>
  <si>
    <t>Quy định quản lý thuế hiện nay đã tăng mức giảm trừ gia cảnh và đơn giản hóa biểu thuế, tuy nhiên, việc phát hiện trốn thuế vẫn phụ thuộc vào công nghệ và sự quyết tâm của cơ quan thuế.</t>
  </si>
  <si>
    <t>Công nghệ ngày càng phát triển giúp tăng khả năng giám sát hành vi gian lận thuế, nhưng vẫn cần sự phối hợp hiệu quả từ các bên liên quan để xử lý nghiêm minh.</t>
  </si>
  <si>
    <t>Mức giảm trừ gia cảnh cao hơn và số bậc thuế đơn giản hóa giúp quá trình khai báo thuế dễ dàng hơn, nhưng vẫn cần cải thiện về mặt giao tiếp với cơ quan thuế.</t>
  </si>
  <si>
    <t>Cách tính thuế mới đơn giản hóa các bậc thuế, tuy nhiên, việc áp dụng vào thực tế có thể gặp khó khăn đối với người dân chưa quen thuộc.</t>
  </si>
  <si>
    <t>Nhà nước đã cải cách mức giảm trừ gia cảnh và đơn giản hóa biểu thuế, tạo cảm giác công bằng cho người nộp thuế.</t>
  </si>
  <si>
    <t>Mức thuế mới được thiết kế để công bằng với thu nhập hiện tại của tôi, tuy nhiên, việc kiểm soát thuế vẫn cần sự minh bạch hơn.</t>
  </si>
  <si>
    <t>Nhà nước đã sử dụng số tiền thuế một cách hiệu quả trong các dự án cải thiện hạ tầng, nhưng sự minh bạch về chi tiêu công vẫn còn hạn chế.</t>
  </si>
  <si>
    <t>Đã có thông tin giải thích về thay đổi thuế, nhưng cần tăng cường truyền thông để người dân hiểu rõ hơn về mục đích của cải cách.</t>
  </si>
  <si>
    <t>Nhìn chung, chính sách mới mang lại lợi ích tài chính và thủ tục đơn giản hơn, tuy nhiên, vẫn có những điểm cần cải thiện.</t>
  </si>
  <si>
    <t>Tăng mức giảm trừ gia cảnh giúp giảm gánh nặng thuế, nhưng không chắc chắn về khả năng phát hiện trốn thuế.</t>
  </si>
  <si>
    <t>Công nghệ và quy định quản lý thuế được cải cách, tăng khả năng phát hiện hành vi trốn thuế.</t>
  </si>
  <si>
    <t>Biểu thuế đơn giản hơn nhưng cần thời gian để quen với hệ thống mới.</t>
  </si>
  <si>
    <t>Cách tính thuế và bậc thuế mới dễ hiểu, phù hợp với nhiều người.</t>
  </si>
  <si>
    <t>Mức giảm trừ gia cảnh cao hơn tạo cảm giác công bằng, nhưng chưa chắc về thực thi khách quan.</t>
  </si>
  <si>
    <t>Bậc thuế mới rõ ràng hơn, nhưng không phải ai cũng đồng ý với mức thuế.</t>
  </si>
  <si>
    <t>Thuận tiện tài chính và giảm trừ gia cảnh cao giúp tăng niềm tin vào sử dụng hiệu quả số tiền thuế.</t>
  </si>
  <si>
    <t>Công khai về lý do sửa đổi thuế, nhưng chưa thuyết phục mọi người.</t>
  </si>
  <si>
    <t>Tài chính cải thiện, nhưng nghi ngờ về thực thi và thông tin minh bạch.</t>
  </si>
  <si>
    <t>Các quy định quản lý thuế hiện nay có nhiều cải tiến, như việc sử dụng công nghệ tiên tiến để phát hiện trốn thuế. Tuy nhiên, vẫn còn khả năng gian lận nếu không cẩn thận.</t>
  </si>
  <si>
    <t>Nhà nước đã đầu tư vào công nghệ và đào tạo cán bộ thuế, nâng cao khả năng phát hiện trốn thuế. Công nghệ như AI, big data giúp tăng hiệu quả quản lý.</t>
  </si>
  <si>
    <t>Mức giảm trừ gia cảnh cao hơn và số bậc thuế ít đi làm thủ tục đơn giản hơn. Tuy nhiên, vẫn cần thời gian để người dân quen với quy trình mới.</t>
  </si>
  <si>
    <t>Cách tính thuế và các bậc thuế mới đơn giản hóa quy trình tính toán, dễ hiểu hơn so với trước đây. Điều này giúp người dân nhanh chóng nắm bắt.</t>
  </si>
  <si>
    <t>Nhà nước đã cải thiện giảm trừ gia cảnh và đơn giản hóa biểu thuế. Đây là minh chứng cho việc thực thi chính sách một cách công bằng.</t>
  </si>
  <si>
    <t>Mức thuế mới theo phương án này phù hợp với thu nhập của tôi, thể hiện sự công bằng trong việc đóng góp tài chính</t>
  </si>
  <si>
    <t>Thuế đóng sẽ được sử dụng vào các dịch vụ công quan trọng như y tế và hạ tầng. Điều này tạo niềm tin về hiệu quả sử dụng nguồn lực.</t>
  </si>
  <si>
    <t>Nhà nước đã có những thông báo rõ ràng về việc cải cách thuế, nhưng vẫn cần làm rõ hơn nữa để mọi người hiểu đầy đủ mục tiêu</t>
  </si>
  <si>
    <t>Sau khi xem xét các quyền lợi và nghĩa vụ mới, tôi cảm thấy hài lòng với chính sách. Tuy nhiên, cần thời gian để thích nghi.</t>
  </si>
  <si>
    <t>Biện pháp quản lý thuế được cải thiện, đặc biệt là mức giảm trừ gia cảnh tăng cao, sẽ làm giảm cơ hội trốn thuế. Tuy nhiên, việc thực thi vẫn phụ thuộc vào hiệu quả của công nghệ và nguồn lực của cơ quan thuế.</t>
  </si>
  <si>
    <t>Công nghệ hiện đại ngày càng phát triển, giúp phát hiện hành vi gian lận nhanh chóng và chính xác hơn. Tuy nhiên, hiệu quả phụ thuộc vào nguồn lực đầu tư của nhà nước.</t>
  </si>
  <si>
    <t>Mức thuế giảm trừ gia cảnh tăng cao sẽ làm đơn giản hóa quy trình khai báo thuế và ít rườm rà hơn. Tuy nhiên, việc thực hiện phụ thuộc vào sự tuân thủ của cá nhân.</t>
  </si>
  <si>
    <t>Biểu thuế được rút gọn từ 7 bậc xuống còn 5 bậc, làm giảm độ phức tạp và dễ hiểu cho người nộp thuế. Tuy nhiên, việc áp dụng cụ thể cần thời gian để quen thuộc.</t>
  </si>
  <si>
    <t>Nhà nước đã cải thiện mức giảm trừ gia cảnh, nhưng mức độ công tâm vẫn phụ thuộc vào cách thực thi chính sách. Sự minh bạch trong quản lý thuế là yếu tố cần thiết để tăng niềm tin.</t>
  </si>
  <si>
    <t>Mức thuế mới được thiết kế hợp lý cho thu nhập của tôi, nhưng việc công bằng thực sự phụ thuộc vào cách sử dụng ngân sách và hiệu quả chi tiêu. Sự minh bạch trong quản lý ngân sách sẽ tăng niềm tin.</t>
  </si>
  <si>
    <t>Thuế đóng góp vào dịch vụ công như y tế, giáo dục và giao thông là cần thiết, nhưng hiệu quả sử dụng nguồn lực vẫn phụ thuộc vào quản trị nhà nước. Sự minh bạch trong việc sử dụng ngân sách sẽ tăng niềm tin.</t>
  </si>
  <si>
    <t>Giải thích về mục đích của chính sách mới được cải thiện, nhưng sự minh bạch và công khai trong quá trình thực thi chính sách vẫn cần cải thiện. Sự minh bạch sẽ tăng niềm tin.</t>
  </si>
  <si>
    <t>Chính sách mới có lợi cho tôi về mặt giảm trừ gia cảnh, nhưng việc tuân thủ phụ thuộc vào sự minh bạch và công bằng trong thực thi chính sách. Niềm tin là yếu tố quan trọng để quyết định ủng hộ.</t>
  </si>
  <si>
    <t>Điều kiện quản lý thuế hiện nay chưa rõ ràng, nhưng với sự tăng cường công nghệ, khả năng phát hiện trốn thuế có thể tốt hơn.</t>
  </si>
  <si>
    <t>Công nghệ hiện đại có thể giúp phát hiện và xử lý gian lận thuế một cách hiệu quả, đặc biệt là với mức giảm trừ gia cảnh tăng lên.</t>
  </si>
  <si>
    <t>Mức giảm trừ gia cảnh cao hơn làm cho quy trình khai báo đơn giản hơn, nhưng việc phải làm nhiều giấy tờ vẫn còn phức tạp.</t>
  </si>
  <si>
    <t>Biểu thuế được đơn giản hóa từ 7 bậc xuống 5, giảm bớt sự phức tạp và dễ hiểu hơn cho người dân.</t>
  </si>
  <si>
    <t>Nhà nước đã tăng mức giảm trừ gia cảnh, thể hiện việc thực thi chính sách công bằng và khách quan hơn.</t>
  </si>
  <si>
    <t>Mức thuế mới có vẻ hợp lý so với thu nhập hiện tại của tôi, nhưng vẫn cần xem xét hiệu quả sử dụng ngân sách.</t>
  </si>
  <si>
    <t>Tăng mức giảm trừ gia cảnh giúp cải thiện dịch vụ công và y tế, nhưng chưa chắc chắn về việc sử dụng hiệu quả nguồn thuế thu được.</t>
  </si>
  <si>
    <t>Cơ quan thuế đã giải thích rõ ràng về sự thay đổi, tạo niềm tin cho người dân về mục tiêu của chính sách mới.</t>
  </si>
  <si>
    <t>Trước khi xem xét các quyền lợi và nghĩa vụ, tôi có nghi ngờ về việc liệu chính sách mới có thực sự công bằng hay không. Tuy nhiên, mức giảm trừ gia cảnh tăng lên tạo ra sự ủng hộ.</t>
  </si>
  <si>
    <t>Thuật toán phát hiện trốn thuế được cập nhật, giảm thiểu cơ hội gian lận.</t>
  </si>
  <si>
    <t>Công nghệ tiên tiến và nguồn lực dồi dào của cơ quan thuế tạo điều kiện cho việc phát hiện và xử lý nghiêm trốn thuế.</t>
  </si>
  <si>
    <t>Giảm trừ gia cảnh tăng, quy trình khai báo đơn giản hơn, giảm gánh nặng hành chính.</t>
  </si>
  <si>
    <t>Biểu thuế được đơn giản hóa từ 7 bậc xuống còn 5 bậc, dễ dàng tính toán và hiểu hơn so với trước đây.</t>
  </si>
  <si>
    <t>Nhà nước đã thực hiện các cải cách công bằng, giảm gánh nặng cho người thu nhập thấp và trung bình.</t>
  </si>
  <si>
    <t>Lớp thuế mới tạo ra sự công bằng hơn giữa các mức thu nhập, phù hợp với điều kiện kinh tế hiện tại.</t>
  </si>
  <si>
    <t>Tiền thuế đóng góp vào việc cải thiện dịch vụ công như y tế và giao thông, nhưng cần thời gian để chứng minh hiệu quả.</t>
  </si>
  <si>
    <t>Lý do và mục tiêu của chính sách mới đã được giải thích rõ ràng hơn so với trước đây.</t>
  </si>
  <si>
    <t>Dù lợi ích tài chính từ cải cách thuế, nhưng vẫn cần thời gian để đánh giá hiệu quả tổng thể.</t>
  </si>
  <si>
    <t>Cải cách thuế TNCN mang lại nhiều thuận lợi cho người nộp thuế, giảm gánh nặng về mặt tài chính. Việc tăng giảm trừ gia cảnh và đơn giản hóa biểu thuế có thể làm tăng niềm tin vào sự công bằng trong việc đánh thuế. Ngoài ra, các quy định quản lý thuế hiện nay được cải thiện, tạo điều kiện để phát hiện hành vi trốn thuế.</t>
  </si>
  <si>
    <t>Công nghệ ngày càng tiên tiến giúp cơ quan thuế có khả năng phát hiện và xử lý nghiêm các hành vi trốn thuế. Tuy nhiên, vẫn cần thời gian để công nghệ áp dụng rộng rãi.</t>
  </si>
  <si>
    <t>Cải cách biểu thuế đơn giản hơn với ít bậc thuế, tạo điều kiện thuận lợi cho việc khai báo và tính toán thuế. Điều này làm tăng cảm giác thuận tiện khi làm việc với cơ quan thuế.</t>
  </si>
  <si>
    <t>Công thức tính thuế mới đơn giản hơn so với trước đây, giúp người nộp thuế dễ hiểu và thực hiện nhanh chóng. Điều này tạo ra sự minh bạch trong quá trình đánh thuế</t>
  </si>
  <si>
    <t>Những cải cách về giảm trừ gia cảnh và đơn giản hóa biểu thuế đã làm tăng niềm tin vào tính công bằng của hệ thống thuế, đặc biệt là đối với nhóm có thu nhập thấp. Tuy nhiên, vẫn còn nghi ngờ về việc áp dụng quy định mới.</t>
  </si>
  <si>
    <t>Đối với người có thu nhập trung bình như tôi, mức thuế mới được coi là công bằng. Việc giảm số bậc thuế cũng giúp minh bạch hóa quá trình đánh thuế</t>
  </si>
  <si>
    <t>Tăng cường giảm trừ gia cảnh và đơn giản hóa biểu thuế có thể làm tăng niềm tin vào việc sử dụng hiệu quả số tiền thuế thu được. Tuy nhiên, vẫn cần thời gian để thấy kết quả thực tế từ cải cách này.</t>
  </si>
  <si>
    <t>Thông điệp về mục tiêu của cải cách thuế khá rõ ràng, nhưng việc truyền tải thông tin đến người nộp thuế chưa đầy đủ. Tuy nhiên, tôi vẫn có niềm tin rằng cơ quan thuế sẽ thực hiện đúng mục tiêu đã đề ra</t>
  </si>
  <si>
    <t>Sau khi xem xét các ưu điểm về thuận tiện và công bằng trong việc đánh thuế mới, tôi quyết định ủng hộ chính sách. Tuy nhiên, vẫn cần thời gian để thấy hiệu quả thực tế của cải cách này.</t>
  </si>
  <si>
    <t>Các quy định quản lý thuế hiện nay có nhiều cải tiến, nhưng vẫn còn khả năng trốn thuế. Công nghệ phát hiện gian lận tăng lên so với trước đây.</t>
  </si>
  <si>
    <t>Nhà nước và cơ quan thuế đã đầu tư công nghệ mới để phát hiện trốn thuế, nhưng vẫn cần sự hỗ trợ từ người nộp thuế. Công nghệ giúp cải thiện khả năng phát hiện hơn so với trước đây.</t>
  </si>
  <si>
    <t>Các thủ tục khai báo thuế và quy trình làm việc với cơ quan thuế đơn giản hơn, giảm bớt các bước phức tạp trước đây. Việc này tạo thuận lợi cho người nộp thuế.</t>
  </si>
  <si>
    <t>Phương án mới đơn giản hóa biểu thuế, giúp người dân dễ dàng tính toán và hiểu rõ hơn về mức thuế phải đóng. Đây là một cải tiến đáng kể so với trước đây.</t>
  </si>
  <si>
    <t>Những thay đổi trong chính sách thuế mới tạo sự công bằng đối với người nộp thuế, đặc biệt là việc tăng mức giảm trừ gia cảnh. Điều này thể hiện tính khách quan và công tâm của Nhà nước.</t>
  </si>
  <si>
    <t>Mức thuế mới được thiết kế dựa trên thu nhập cá nhân, tạo cảm giác công bằng cho người nộp thuế. Tuy nhiên, vẫn cần thêm thông tin để đảm bảo tính minh bạch và rõ ràng hơn.</t>
  </si>
  <si>
    <t>Sử dụng số tiền thuế đóng vào các dịch vụ công như y tế, giáo dục có thể mang lại lợi ích cho người dân. Tuy nhiên, cần thêm thông tin về cách sử dụng để tăng niềm tin.</t>
  </si>
  <si>
    <t>Nhà nước đã giải thích rõ ràng về các thay đổi trong chính sách thuế mới, nhưng vẫn còn cần cải thiện minh bạch hơn nữa. Thông điệp truyền đạt chưa đủ thuyết phục mọi người.</t>
  </si>
  <si>
    <t>Sau khi cân nhắc lợi ích và nghĩa vụ, tôi thấy chính sách mới tạo thuận lợi cho người nộp thuế. Tuy nhiên, vẫn có một số lo ngại về minh bạch và khả năng phát hiện gian lận.</t>
  </si>
  <si>
    <t>Các quy định quản lý thuế hiện nay được cải thiện với mức giảm trừ gia cảnh cao hơn, giúp phát hiện hành vi gian lận dễ dàng hơn. Công nghệ phát triển cũng hỗ trợ việc giám sát hiệu quả.</t>
  </si>
  <si>
    <t>Nhà nước và cơ quan thuế có khả năng sử dụng công nghệ để phát hiện trốn thuế, đặc biệt là với sự cải cách quản lý thuế mới. Tuy nhiên, vẫn cần tăng cường hơn nữa.</t>
  </si>
  <si>
    <t>Thủ tục khai báo thuế và quy trình làm việc với cơ quan thuế đơn giản hơn so với trước đây, do số bậc thuế được rút gọn. Điều này giúp tiết kiệm thời gian cho người nộp thuế.</t>
  </si>
  <si>
    <t>Cách tính thuế và các bậc thuế mới đơn giản hóa quy trình, giảm sự phức tạp. Điều này làm tăng khả năng hiểu và thực hiện đúng quy định của người dân.</t>
  </si>
  <si>
    <t>Nhà nước đã cải cách mức giảm trừ gia cảnh cao hơn, thể hiện khách quan và công bằng đối với mọi người nộp thuế. Tuy nhiên, vẫn cần thêm minh bạch về việc thực thi.</t>
  </si>
  <si>
    <t>Mức thuế mới phù hợp với thu nhập của tôi, do đó thấy rằng nó là một mức thuế công bằng. Sự đơn giản hóa quy định cũng giúp tạo cảm giác công bằng.</t>
  </si>
  <si>
    <t>Sử dụng số tiền thuế đóng vào các dịch vụ công quan trọng như y tế và đường xá có thể tạo niềm tin rằng thuế được sử dụng hiệu quả. Tuy nhiên, cần minh bạch hơn về cách thức sử dụng.</t>
  </si>
  <si>
    <t>Nhà nước đã giải thích rõ ràng về cải cách thuế, tuy nhiên vẫn có một số điểm chưa rõ ràng. Sự minh bạch cao sẽ làm tăng niềm tin của người dân.</t>
  </si>
  <si>
    <t>Sau khi xem xét các quyền lợi và nghĩa vụ, tôi thấy rằng chính sách mới mang lại nhiều ưu đãi cho người dân như giảm trừ gia cảnh cao hơn. Tuy nhiên, vẫn cần thêm minh bạch về cách sử dụng số tiền thuế để tăng sự ủng hộ.</t>
  </si>
  <si>
    <t>Hiện nay, với sự phát triển của công nghệ, việc phát hiện hành vi gian lận thuế trở nên dễ dàng hơn. Mức giảm trừ gia cảnh tăng cũng làm giảm rủi ro trốn thuế.</t>
  </si>
  <si>
    <t>Công nghệ ngày càng tiên tiến và Nhà nước đã đầu tư vào các hệ thống phát hiện gian lận, tạo ra khả năng phát hiện và xử lý nghiêm minh hơn.</t>
  </si>
  <si>
    <t>Mức giảm trừ gia cảnh tăng và số bậc thuế giảm đi làm đơn giản hóa quy trình khai báo thuế. Tuy nhiên, việc này vẫn cần thời gian để người dân quen thuộc.</t>
  </si>
  <si>
    <t>Biểu thuế được đơn giản hóa từ 7 bậc xuống còn 5 bậc, làm cho quá trình tính thuế trở nên dễ hiểu và thực hiện thuận lợi hơn.</t>
  </si>
  <si>
    <t>Nhà nước đã tăng mức giảm trừ gia cảnh và đơn giản hóa biểu thuế, tạo cảm giác công bằng trong việc áp dụng chính sách thuế mới.</t>
  </si>
  <si>
    <t>Mức thuế mới được thiết kế hợp lý theo thu nhập cá nhân. Tuy nhiên, tôi vẫn có chút nghi ngờ về cách sử dụng số tiền thuế này.</t>
  </si>
  <si>
    <t>Tôi tin rằng số tiền thuế đóng sẽ được sử dụng hiệu quả cho các dịch vụ công, nhưng cần thời gian để đánh giá thực tế.</t>
  </si>
  <si>
    <t>Nhà nước đã giải thích khá rõ ràng về mục tiêu của chính sách mới. Tuy nhiên, tôi vẫn muốn có thêm thông tin để thuyết phục hơn.</t>
  </si>
  <si>
    <t>Tôi ủng hộ chính sách mới do lợi ích mà nó mang lại cho người dân, nhưng cần thời gian để hoàn toàn tuân thủ.</t>
  </si>
  <si>
    <t>Các quy định quản lý thuế hiện nay có nhiều cải tiến về công nghệ, tăng khả năng phát hiện trốn thuế. Điều này giúp giảm gian lận.</t>
  </si>
  <si>
    <t>Nhà nước đã đầu tư mạnh vào công nghệ để phát hiện và xử lý nghiêm các hành vi trốn thuế, thể hiện cam kết chống gian lận.</t>
  </si>
  <si>
    <t>Đơn giản hóa biểu thuế và tăng giảm trừ gia cảnh tạo cảm giác thuận tiện hơn cho người nộp thuế. Quy trình khai báo trở nên dễ dàng hơn.</t>
  </si>
  <si>
    <t>Các bậc thuế mới đơn giản, dễ hiểu và dễ thực hiện hơn so với trước đây, giúp người dân nắm bắt nhanh chóng.</t>
  </si>
  <si>
    <t>Nhà nước đã cải thiện mức giảm trừ gia cảnh, thể hiện sự công bằng đối với mọi cá nhân. Tuy nhiên, vẫn còn những lo ngại về thực thi chính sách.</t>
  </si>
  <si>
    <t>Mức thuế mới có thể phù hợp hơn với thu nhập hiện tại của tôi, tạo cảm giác công bằng. Tuy nhiên, việc minh bạch vẫn là vấn đề cần cải thiện.</t>
  </si>
  <si>
    <t>Sử dụng số tiền thuế đóng vào dịch vụ công có thể mang lại lợi ích cho cộng đồng. Tuy nhiên, mức độ hiệu quả còn phụ thuộc vào quản lý tài chính của Nhà nước.</t>
  </si>
  <si>
    <t>Nhà nước đã giải thích một cách rõ ràng về mục tiêu cải cách thuế, nhưng vẫn cần cải thiện trong việc truyền thông minh bạch hơn.</t>
  </si>
  <si>
    <t>Sau khi xem xét giảm trừ gia cảnh và đơn giản hóa quy trình khai báo, tôi thấy mình ủng hộ chính sách mới. Tuy nhiên, vẫn có những lo ngại về thực thi.</t>
  </si>
  <si>
    <t>Các quy định quản lý thuế hiện nay đã được cải thiện với mức giảm trừ gia cảnh cao hơn, giúp phát hiện hành vi trốn thuế dễ dàng hơn.</t>
  </si>
  <si>
    <t>Việc áp dụng công nghệ trong quản lý thuế và xử lý gian lận giúp Nhà nước có khả năng phát hiện và xử lý nghiêm các hành vi trốn thuế hiệu quả.</t>
  </si>
  <si>
    <t>Bản thân và người phụ thuộc được hưởng mức giảm trừ gia cảnh cao hơn, quy trình khai báo thuế đơn giản hóa, giúp việc làm việc với cơ quan thuế trở nên nhanh chóng và tiện lợi.</t>
  </si>
  <si>
    <t>Biểu thuế đã được đơn giản hóa từ 7 bậc xuống còn 5 bậc, các bậc thuế suất cũng có sự điều chỉnh, giúp người dân dễ hiểu và thực hiện quy trình tính thuế hơn.</t>
  </si>
  <si>
    <t>Nhà nước đã cải thiện mức giảm trừ gia cảnh và đơn giản hóa biểu thuế, thể hiện một cách công bằng đối xử với mọi người nộp thuế.</t>
  </si>
  <si>
    <t>Mức thuế mới được điều chỉnh phù hợp với thu nhập cá nhân, tạo cảm giác rằng mức thuế đóng là công bằng và hợp lý.</t>
  </si>
  <si>
    <t>Thu nhập của tôi nằm trong bậc thuế thấp hơn trước đây, do đó số tiền thuế phải đóng cũng giảm. Điều này làm tăng niềm tin vào việc sử dụng hiệu quả số tiền thuế đã đóng để cải thiện dịch vụ công.</t>
  </si>
  <si>
    <t>Đã có thông tin giải thích rõ ràng về thay đổi mới, nhưng vẫn cần thêm thông tin chi tiết để tôi cảm thấy rằng quyết định này là hợp lý và minh bạch.</t>
  </si>
  <si>
    <t>Sau khi xem xét việc giảm gánh nặng thuế cho bản thân và người phụ thuộc, quy trình khai báo thuế trở nên đơn giản hơn, tôi sẽ ủng hộ và tuân thủ chính sách mới này.</t>
  </si>
  <si>
    <t>Nhà nước đã tăng cường công nghệ và quy định quản lý thuế, nhưng vẫn có nguy cơ trốn thuế.</t>
  </si>
  <si>
    <t>Công nghệ hiện đại giúp phát hiện gian lận, tuy nhiên khả năng thực thi còn phụ thuộc vào nguồn lực và chính sách.</t>
  </si>
  <si>
    <t>Mức giảm trừ gia cảnh tăng, thủ tục thuế đơn giản hơn, nhưng vẫn có một số rắc rối trong quy trình khai báo.</t>
  </si>
  <si>
    <t>Biểu thuế được đơn giản hóa, bậc thuế ít hơn, dễ hiểu và thực hiện thuận lợi hơn so với trước đây.</t>
  </si>
  <si>
    <t>Nhà nước đã tăng giảm trừ gia cảnh và đơn giản hóa biểu thuế, tạo cảm giác công bằng cho người nộp thuế.</t>
  </si>
  <si>
    <t>Mức thuế mới dựa trên thu nhập cá nhân cụ thể, nhưng vẫn có nhiều thắc mắc về tính công bằng.</t>
  </si>
  <si>
    <t>Thuế được sử dụng vào các dịch vụ công như y tế và đường xá, nhưng hiệu quả sử dụng còn cần cải thiện.</t>
  </si>
  <si>
    <t>Thông tin về lý do và mục tiêu của việc sửa đổi thuế đã được giải thích rõ ràng hơn, tạo niềm tin cho người dân.</t>
  </si>
  <si>
    <t>Dù có nhiều cải tiến nhưng tôi vẫn cần thời gian để đánh giá hiệu quả thực tế của chính sách mới.</t>
  </si>
  <si>
    <t>Các quy định quản lý thuế hiện nay đã được cải thiện đáng kể, với việc tăng cường công nghệ và nguồn lực để phát hiện trốn thuế. Tuy nhiên, do tôi là một người không nghi ngờ nhiều về các cơ quan nhà nước nên điểm số này vẫn ở mức chấp nhận.</t>
  </si>
  <si>
    <t>Nhà nước đã đầu tư mạnh mẽ vào công nghệ và nguồn lực để phát hiện trốn thuế, tăng khả năng giám sát. Đây là một yếu tố quan trọng để tôi tin tưởng hơn về việc thực thi chính sách.</t>
  </si>
  <si>
    <t>Các thủ tục khai báo thuế đã đơn giản và nhanh chóng hơn nhiều so với trước đây, nhờ vào việc rút gọn biểu thuế và giảm số bậc. Điều này giúp tiết kiệm thời gian cho tôi.</t>
  </si>
  <si>
    <t>Cách tính thuế mới dễ hiểu và đơn giản hơn, đặc biệt là khi số bậc thuế đã được rút gọn từ 7 xuống còn 5. Điều này làm giảm rủi ro sai sót cho người nộp thuế.</t>
  </si>
  <si>
    <t>Nhà nước đã tăng mức giảm trừ gia cảnh và đơn giản hóa biểu thuế, điều này tạo ra một môi trường công bằng hơn cho mọi người nộp thuế. Tôi tin rằng các quy định mới sẽ được thực thi công tâm.</t>
  </si>
  <si>
    <t>Mức thuế mới mà tôi phải đóng là hợp lý so với thu nhập của mình, và việc giảm trừ gia cảnh tăng lên cũng giúp làm giảm gánh nặng thuế. Điều này tạo cảm giác rằng mức thuế đã được điều chỉnh công bằng.</t>
  </si>
  <si>
    <t>Việc cải cách thuế mới sẽ giúp cải thiện chất lượng dịch vụ công, đặc biệt là y tế và hạ tầng cơ sở. Đây là một lý do quan trọng để tôi tin tưởng vào việc sử dụng hiệu quả số tiền thuế mà tôi đóng.</t>
  </si>
  <si>
    <t>Nhà nước đã giải thích rõ ràng về mục tiêu cải cách thuế, và các thông điệp truyền thông cũng giúp tôi hiểu được những thay đổi này. Điều này làm tăng niềm tin của tôi vào việc thực hiện chính sách một cách minh bạch.</t>
  </si>
  <si>
    <t>Tổng thể, chính sách mới tạo ra lợi ích cho tôi về mặt tài chính và thủ tục thuế. Tôi sẽ ủng hộ và tuân thủ vì những thay đổi này mang lại nhiều tiện ích hơn so với trước đây.</t>
  </si>
  <si>
    <t>Các quy định quản lý thuế hiện nay có nhiều cải tiến, nhưng việc phát hiện trốn thuế vẫn phụ thuộc vào hiệu quả thực thi của cơ quan thuế. Tuy nhiên, với sự hỗ trợ từ công nghệ, khả năng phát hiện trốn thuế được tăng cường.</t>
  </si>
  <si>
    <t>Công nghệ và hệ thống quản lý thuế hiện đại giúp nâng cao hiệu quả trong việc phát hiện và xử lý trốn thuế. Tuy nhiên, cần có sự đồng bộ hóa giữa công nghệ và quy định pháp luật.</t>
  </si>
  <si>
    <t>Các thủ tục khai báo thuế đã đơn giản hơn so với trước đây, đặc biệt là sau khi giảm số bậc thuế. Điều này giúp quá trình làm việc với cơ quan thuế nhanh chóng và tiện lợi hơn.</t>
  </si>
  <si>
    <t>Cách tính thuế mới đơn giản hóa các bậc thuế từ 7 xuống 5, tạo cảm giác dễ hiểu và thực hiện dễ dàng hơn. Tuy nhiên, mức thuế vẫn có thể gây bất lợi cho một số đối tượng.</t>
  </si>
  <si>
    <t>Niềm tin vào sự khách quan và công bằng của cơ quan thuế được cải thiện nhờ các quy định mới về giảm trừ gia cảnh. Tuy nhiên, vẫn còn lo ngại về khả năng thực thi.</t>
  </si>
  <si>
    <t>Mức thuế mới có thể gây bất lợi cho người thu nhập thấp và cao, nhưng cơ bản là công bằng đối với các mức thu nhập khác. Tuy nhiên, cần tiếp tục cải thiện để đảm bảo công bằng hơn.</t>
  </si>
  <si>
    <t>Niềm tin vào việc sử dụng số tiền thuế đóng vào dịch vụ công được cải thiện nhờ các quy định về giảm trừ gia cảnh. Tuy nhiên, vẫn còn lo ngại về hiệu quả thực tế trong việc sử dụng nguồn lực.</t>
  </si>
  <si>
    <t>Nhà nước đã giải thích rõ ràng về các thay đổi thuế, nhưng cần tiếp tục cải thiện để tăng sự thuyết phục và minh bạch hơn cho người dân. Tuy nhiên, thông điệp truyền đạt vẫn mang tính tích cực.</t>
  </si>
  <si>
    <t>Sau khi cân nhắc các quyền lợi và nghĩa vụ, tôi ủng hộ chính sách mới do giảm trừ gia cảnh có lợi cho thu nhập thấp và trung bình. Tuy nhiên, cần cải thiện về mặt minh bạch để tăng sự tin tưởng.</t>
  </si>
  <si>
    <t>Dựa trên cải cách thuế mới, mức giảm trừ gia cảnh tăng lên giúp kiểm soát thu nhập chính xác hơn. Công nghệ hiện đại cũng hỗ trợ việc phát hiện gian lận dễ dàng.</t>
  </si>
  <si>
    <t>Nhà nước đã đầu tư công nghệ và nguồn lực vào hệ thống quản lý thuế, tăng khả năng phát hiện trốn thuế.</t>
  </si>
  <si>
    <t>Biểu thuế đơn giản hơn với ít bậc thuế, tạo thuận lợi cho việc khai báo. Quy trình làm việc với cơ quan thuế cũng được cải thiện.</t>
  </si>
  <si>
    <t>Cách tính thuế mới đơn giản và dễ hiểu hơn so với trước đây, giúp người dân dễ dàng nắm bắt.</t>
  </si>
  <si>
    <t>Cải cách thuế mới tăng giảm trừ gia cảnh, công bằng hơn cho thu nhập thấp. Tuy nhiên vẫn còn nhiều nghi ngờ về thực thi khách quan.</t>
  </si>
  <si>
    <t>Mức thuế mới được thiết kế để công bằng với thu nhập hiện tại của tôi, nhưng vẫn cần thời gian để đánh giá hiệu quả.</t>
  </si>
  <si>
    <t>Thuế đóng góp vào các dịch vụ công là điều hợp lý. Tuy nhiên, cần thêm thời gian để chứng kiến việc sử dụng hiệu quả nguồn thu thuế mới.</t>
  </si>
  <si>
    <t>Công bố thông tin về cải cách tax clear và minh bạch hơn so với trước đây, nhưng vẫn còn nhiều ý kiến trái chiều.</t>
  </si>
  <si>
    <t>Tổng thể, các quyền lợi từ thuế mới giúp tôi giảm gánh nặng tài chính. Tuy nhiên, sự phức tạp về quản lý thuế có thể tạo ra bất lợi. Đánh giá tích cực nhưng chưa hoàn toàn cam kết.</t>
  </si>
  <si>
    <t>Chính phủ đã tăng giảm trừ gia cảnh và đơn giản hóa biểu thuế, giảm gánh nặng cho người dân. Tuy nhiên, khả năng phát hiện trốn thuế vẫn còn phụ thuộc vào các quy định quản lý. Cơ hội để phát hiện trốn thuế có thể tăng lên do mức giảm trừ gia cảnh lớn hơn.</t>
  </si>
  <si>
    <t>Công nghệ ngày càng tiên tiến giúp cơ quan thuế dễ dàng phát hiện hành vi gian lận, đặc biệt là với sự cải cách về quy định quản lý. Tuy nhiên, vẫn cần có sự giám sát và tuân thủ chặt chẽ.</t>
  </si>
  <si>
    <t>Mức giảm trừ gia cảnh cao hơn và số bậc thuế ít hơn làm cho quá trình khai báo đơn giản hơn. Tuy nhiên, không có thông tin về việc cải cách quy trình làm việc với cơ quan thuế.</t>
  </si>
  <si>
    <t>Phương án mới có số bậc thuế ít hơn và mức giảm trừ gia cảnh cao hơn nên dễ hiểu và thực hiện đơn giản hơn. Tuy nhiên, không rõ liệu nó có thực sự đơn giản hơn trong thực tế hay không.</t>
  </si>
  <si>
    <t>Nhà nước đã tăng giảm trừ gia cảnh và đơn giản hóa biểu thuế nên người dân cảm thấy được đối xử công bằng. Tuy nhiên, mức độ tin tưởng phụ thuộc vào sự minh bạch trong thực thi.</t>
  </si>
  <si>
    <t>Người thu nhập trung bình như tôi chỉ chịu thuế suất thấp hơn nên thấy mức thuế mới là hợp lý. Tuy nhiên, không có thông tin về việc giải thích rõ ràng mục tiêu của chính sách.</t>
  </si>
  <si>
    <t>Nhà nước đã tăng giảm trừ gia cảnh và đơn giản hóa biểu thuế nên tôi cảm thấy số tiền thuế đóng sẽ được sử dụng hiệu quả. Tuy nhiên, không có thông tin về việc giải thích mục tiêu của chính sách.</t>
  </si>
  <si>
    <t>Người dân như tôi chưa nhận được nhiều thông tin về lý do và mục tiêu của chính sách nên còn nghi ngờ. Tuy nhiên, mức giảm trừ gia cảnh cao hơn khiến tôi cảm thấy có sự công bằng trong việc đóng thuế.</t>
  </si>
  <si>
    <t>Chính sách mới giúp giảm gánh nặng thuế cho người dân như tôi, do đó tôi ủng hộ. Tuy nhiên, vẫn cần thêm thông tin về mục tiêu và thực thi chính sách để tăng độ tin cậy.</t>
  </si>
  <si>
    <t>Nâng cao mức giảm trừ gia cảnh có thể hạn chế hành vi trốn thuế, nhưng cần sự giám sát kỹ lưỡng từ cơ quan thuế.</t>
  </si>
  <si>
    <t>Việc áp dụng công nghệ hiện đại sẽ tăng khả năng phát hiện trốn thuế, tuy nhiên vẫn cần cải thiện để giảm rủi ro gian lận.</t>
  </si>
  <si>
    <t>Mức độ thuận tiện của thủ tục khai báo thuế đã được đơn giản hóa, nhưng người dân vẫn gặp khó khăn với quy trình phức tạp.</t>
  </si>
  <si>
    <t>Biểu thuế mới có ít bậc hơn và rõ ràng hơn so với trước đây, giúp việc tính toán thuế trở nên dễ dàng hơn.</t>
  </si>
  <si>
    <t>Niềm tin vào sự công bằng của cơ quan thuế bị giảm do mức độ phức tạp trong quản lý thuế vẫn còn hiện hữu.</t>
  </si>
  <si>
    <t>Mức thuế mới được thiết kế nhằm tạo ra sự công bằng, nhưng người dân cần thời gian để thích nghi và đánh giá.</t>
  </si>
  <si>
    <t>Quyết định về cách sử dụng tiền thuế còn phụ thuộc vào việc thực thi chính sách cụ thể, nên niềm tin chưa hoàn toàn vững chắc.</t>
  </si>
  <si>
    <t>Nhà nước đã giải thích rõ ràng mục tiêu của cải cách, nhưng cần thêm thông tin về các biện pháp cụ thể để tạo niềm tin.</t>
  </si>
  <si>
    <t>Sau khi cân nhắc cả lợi ích và nghĩa vụ, quyết định tuân thủ chính sách mới phụ thuộc vào mức độ hiểu rõ và tin tưởng vào chính sách.</t>
  </si>
  <si>
    <t>Dựa trên thay đổi về mức giảm trừ gia cảnh và đơn giản hóa biểu thuế, việc phát hiện trốn thuế có thể trở nên khó khăn hơn đối với cá nhân. Tuy nhiên, với công nghệ phát triển ngày càng mạnh mẽ, khả năng phát hiện trốn thuế của cơ quan thuế vẫn có thể được cải thiện.</t>
  </si>
  <si>
    <t>Công nghệ hiện đại và sự cải cách trong quản lý thuế giúp tăng cường khả năng giám sát và phát hiện trốn thuế. Tuy nhiên, vẫn cần nguồn lực và nhân sự phù hợp để thực hiện hiệu quả.</t>
  </si>
  <si>
    <t>Thay đổi về mức giảm trừ gia cảnh và đơn giản hóa biểu thuế tạo điều kiện thuận lợi hơn cho việc khai báo thuế. Tuy nhiên, quy trình làm việc với cơ quan thuế vẫn có thể cần cải thiện thêm.</t>
  </si>
  <si>
    <t>Biểu thuế mới đã được đơn giản hóa từ 7 bậc xuống 5 bậc, tạo điều kiện cho người dân dễ dàng tính toán và hiểu rõ hơn về thuế của mình. Điều này làm tăng độ minh bạch.</t>
  </si>
  <si>
    <t>Những thay đổi về mức giảm trừ gia cảnh và biểu thuế mới tạo cảm giác công bằng hơn, nhưng vẫn cần giám sát chặt chẽ để đảm bảo thực thi chính sách khách quan, công tâm.</t>
  </si>
  <si>
    <t>Mức thuế mới theo phương án cải cách khá hợp lý so với thu nhập hiện tại của tôi. Tuy nhiên, cần thêm thời gian để đánh giá tính công bằng thực tế của chính sách này.</t>
  </si>
  <si>
    <t>Những thay đổi về mức giảm trừ gia cảnh và biểu thuế mới tạo cảm giác tin tưởng rằng số tiền thuế đóng sẽ được sử dụng hiệu quả. Tuy nhiên, vẫn cần thời gian để đánh giá thực tế.</t>
  </si>
  <si>
    <t>Những thông tin giải thích về lý do và mục tiêu của cải cách thuế khá rõ ràng, nhưng vẫn có sự nghi ngờ từ một số người vì không đủ minh bạch trong quá khứ.</t>
  </si>
  <si>
    <t>Sau khi xem xét các quyền lợi mới, tôi thấy chính sách cải cách thuế tạo nhiều thuận lợi hơn so với trước đây. Tuy nhiên, vẫn cần thời gian để đánh giá thực tế về tác động và cảm giác công bằng.</t>
  </si>
  <si>
    <t>Dựa trên thay đổi về giảm trừ gia cảnh và quy định quản lý thuế, hành vi gian lận sẽ khó trốn tránh. Thu nhập cao hơn phải chịu nhiều thuế, tạo áp lực để tuân thủ.</t>
  </si>
  <si>
    <t>Công nghệ hiện đại có thể dễ dàng phát hiện các giao dịch không hợp pháp và xử lý kịp thời. Tăng mức giảm trừ gia cảnh cũng tạo thêm động lực tuân thủ.</t>
  </si>
  <si>
    <t>Biểu thuế đơn giản, số bậc giảm từ 7 xuống 5, làm cho việc khai báo nhanh chóng và tiện lợi hơn. Giao dịch điện tử cũng giúp quá trình làm việc với cơ quan thuế trở nên dễ dàng.</t>
  </si>
  <si>
    <t>Biểu thuế mới đơn giản hóa quy trình tính thuế, giảm bớt sự phức tạp. Các bậc thuế rõ ràng hơn giúp người dân hiểu và thực hiện dễ dàng hơn.</t>
  </si>
  <si>
    <t>Quy định quản lý thuế công bằng hơn với mức giảm trừ gia cảnh tăng, tạo cơ hội để mọi người nộp thuế công bằng. Niềm tin vào sự công bằng của hệ thống được cải thiện.</t>
  </si>
  <si>
    <t>Thuế mới phân chia rõ ràng các bậc thuế, tạo ra một mức độ công bằng hơn với thu nhập tương tự phải đóng cùng mức thuế. Tuy nhiên, sự phức tạp của thuế cũ vẫn còn trong đầu.</t>
  </si>
  <si>
    <t>Giảm trừ gia cảnh tăng giúp người dân cảm thấy được đối xử công bằng và số tiền thuế đóng cũng hợp lý. Niềm tin vào việc sử dụng tiền thuế vào mục đích hữu ích được cải thiện.</t>
  </si>
  <si>
    <t>Thông tin giải thích rõ ràng về thay đổi, nhưng vẫn còn nhiều thông tin cần thêm để thuyết phục mọi người. Tuy nhiên, tăng giảm trừ gia cảnh tạo cảm giác tin tưởng vào hệ thống.</t>
  </si>
  <si>
    <t>Dựa trên các quyền lợi và nghĩa vụ, tôi ủng hộ chính sách mới. Mức thuế mới công bằng hơn với thu nhập tương tự phải đóng cùng mức thuế. Tuy nhiên, sự phức tạp của thuế cũ vẫn còn trong đầu.</t>
  </si>
  <si>
    <t>Cải cách thuế TNCN có thể tăng cường quản lý thông qua việc đơn giản hóa quy trình khai báo, giảm số bậc thuế. Điều này giúp phát hiện gian lận dễ dàng hơn.</t>
  </si>
  <si>
    <t>Như đã nêu trong phần Thực thi (ENF), với những cải cách đang diễn ra, khả năng phát hiện và xử lý trốn thuế được cải thiện. Công nghệ hiện đại cũng hỗ trợ việc này.</t>
  </si>
  <si>
    <t>Biểu thuế đơn giản hóa từ 7 bậc xuống còn 5 bậc, giảm thời gian và công sức cần thiết để khai báo thuế. Quy trình làm việc với cơ quan thuế cũng trở nên dễ dàng hơn.</t>
  </si>
  <si>
    <t>Cách tính thuế mới đơn giản hóa các bậc thuế, giúp người dân hiểu rõ hơn về mức thuế phải nộp. Điều này tăng cường sự minh bạch và dễ thực hiện quy trình khai thuế.</t>
  </si>
  <si>
    <t>Tăng giảm trừ gia cảnh cho bản thân và người phụ thuộc làm giảm gánh nặng thuế, tạo niềm tin rằng nhà nước đang đối xử công bằng với mọi người nộp thuế.</t>
  </si>
  <si>
    <t>Mức thuế mới được thiết kế nhằm đảm bảo tính công bằng. Tuy nhiên, do mức thu nhập cao hơn phải chịu thuế suất cao hơn, nên có sự nghi ngờ về tính công bằng trong việc phân bổ gánh nặng thuế.</t>
  </si>
  <si>
    <t>Nâng cao giảm trừ gia cảnh tạo niềm tin rằng tiền thuế đóng góp sẽ được sử dụng hiệu quả. Tuy nhiên, vẫn còn lo ngại về sự minh bạch trong việc sử dụng ngân sách thuế.</t>
  </si>
  <si>
    <t>Thông điệp về cải cách thuế được truyền tải qua nhiều kênh nhưng không đủ rõ ràng để thuyết phục mọi người. Do đó, vẫn còn một phần nghi ngờ về tính minh bạch trong việc giải thích lý do và mục tiêu của chính sách.</t>
  </si>
  <si>
    <t>Tăng giảm trừ gia cảnh tạo cảm giác công bằng và thuận lợi hơn khi thực hiện nghĩa vụ thuế. Tuy nhiên, mức thuế cao hơn đối với thu nhập cao vẫn là một trở ngại để ủng hộ hoàn toàn chính sách mới.</t>
  </si>
  <si>
    <t>Chính sách mới có nhiều biện pháp quản lý thuế, tăng mức giảm trừ gia cảnh và đơn giản hóa quy trình khai báo. Điều này cho thấy cơ quan thuế đã cố gắng để ngăn chặn trốn thuế.</t>
  </si>
  <si>
    <t>Việc áp dụng công nghệ tiên tiến trong quản lý thuế, như AI và hệ thống thông tin điện tử, giúp tăng cường khả năng phát hiện trốn thuế hiệu quả hơn.</t>
  </si>
  <si>
    <t>Mức giảm trừ gia cảnh cao hơn cùng với việc đơn giản hóa biểu thuế làm cho quy trình khai báo và làm việc với cơ quan thuế trở nên tiện lợi hơn.</t>
  </si>
  <si>
    <t>Biểu thuế mới có ít bậc hơn, giảm độ phức tạp trong quá trình tính thuế. Điều này giúp người dân dễ hiểu và thực hiện các quy định một cách thuận lợi hơn.</t>
  </si>
  <si>
    <t>Nhìn chung, tôi tin rằng cơ quan thuế sẽ công bằng khi áp dụng chính sách mới, đặc biệt là với mức giảm trừ gia cảnh cao hơn.</t>
  </si>
  <si>
    <t>Mức thuế mới được thiết kế để phù hợp với thu nhập trung bình của tôi. Điều này cho thấy mức thuế đóng góp vào ngân sách nhà nước là công bằng và hợp lý.</t>
  </si>
  <si>
    <t>Tôi tin rằng số tiền thuế đóng sẽ được sử dụng hiệu quả để cải thiện các dịch vụ công quan trọng như y tế, giao thông.</t>
  </si>
  <si>
    <t>Các thông báo và giải thích về chính sách mới từ cơ quan thuế có vẻ rõ ràng và minh bạch hơn so với trước đây.</t>
  </si>
  <si>
    <t>Dựa trên mức độ thuận tiện, công bằng và minh bạch của chính sách mới, tôi sẽ ủng hộ và tuân thủ.</t>
  </si>
  <si>
    <t>Biện pháp quản lý thuế hiện nay đã được cải thiện, đặc biệt là mức giảm trừ gia cảnh tăng lên. Điều này giúp giảm cơ hội trốn thuế và phát hiện dễ dàng hơn.</t>
  </si>
  <si>
    <t>Công nghệ hiện đại có thể hỗ trợ việc giám sát và xử lý gian lận thuế hiệu quả hơn, tuy nhiên khả năng thực thi còn phụ thuộc vào nguồn lực và chiến lược của cơ quan thuế.</t>
  </si>
  <si>
    <t>Biểu thuế đơn giản hóa đã giảm bớt rắc rối cho người nộp thuế. Tuy nhiên, quy trình khai báo vẫn cần cải tiến để thuận tiện hơn nữa.</t>
  </si>
  <si>
    <t>Cách tính thuế mới dễ hiểu và rõ ràng hơn so với trước đây, giúp người dân dễ dàng tuân thủ.</t>
  </si>
  <si>
    <t>Mức giảm trừ gia cảnh tăng lên làm giảm gánh nặng thuế cho một số đối tượng. Tuy nhiên, sự công bằng còn phụ thuộc vào cách thực thi chính sách trong thực tế.</t>
  </si>
  <si>
    <t>Thuế mới có các bậc thuế rõ ràng hơn nhưng mức tăng thuế không đáng kể nên người dân vẫn cảm thấy hợp lý.</t>
  </si>
  <si>
    <t>Hiện tượng gian lận thuế giảm giúp số tiền thuế được sử dụng hiệu quả cho dịch vụ công. Tuy nhiên, niềm tin vào sự công bằng trong việc phân bổ nguồn lực còn hạn chế.</t>
  </si>
  <si>
    <t>Đã có thông tin giải thích về chính sách mới nhưng cần cải thiện hơn để mọi người hiểu rõ mục tiêu và lý do của nó.</t>
  </si>
  <si>
    <t>Thu nhập không thay đổi nhiều so với trước đây, mức thuế cũng hợp lý. Tuy nhiên, khả năng thực thi chính sách vẫn là yếu tố làm giảm sự ủng hộ.</t>
  </si>
  <si>
    <t>Nhà nước đã tăng cường công nghệ và quy định quản lý thuế, giảm khả năng trốn thuế.</t>
  </si>
  <si>
    <t>Công nghệ hiện đại giúp Nhà nước theo dõi giao dịch tài chính, nâng cao hiệu quả phát hiện hành vi trốn thuế.</t>
  </si>
  <si>
    <t>Mức giảm trừ gia cảnh tăng và quy trình khai báo thuế đơn giản hơn, giúp người dân làm việc với cơ quan thuế thuận lợi hơn.</t>
  </si>
  <si>
    <t>Biểu thuế được đơn giản hóa từ 7 bậc xuống còn 5 bậc, dễ hiểu hơn so với trước đây.</t>
  </si>
  <si>
    <t>Cải cách thuế tạo ra sự công bằng trong việc đóng góp của người dân và cải thiện dịch vụ công.</t>
  </si>
  <si>
    <t>Mức thuế mới được thiết kế dựa trên thu nhập, thể hiện tính công bằng đối với từng nhóm người.</t>
  </si>
  <si>
    <t>Thuế đóng góp vào việc cải thiện dịch vụ công như y tế và giao thông, tạo niềm tin trong việc sử dụng nguồn lực của Nhà nước.</t>
  </si>
  <si>
    <t>Thông điệp về mục tiêu chính sách được truyền đạt rõ ràng, giúp người dân hiểu thêm về lý do cải cách thuế.</t>
  </si>
  <si>
    <t>Nhìn chung, việc cải cách thuế có lợi cho người dân và tạo ra sự công bằng trong đóng góp, dẫn đến sự ủng hộ.</t>
  </si>
  <si>
    <t>Dù luật pháp và quản lý thuế có cải thiện, nhưng vẫn còn nhiều rủi ro cho người nộp thuế không thông thạo quy định.</t>
  </si>
  <si>
    <t>Công nghệ hiện đại giúp phát hiện trốn thuế hiệu quả hơn, tuy nhiên, việc thực thi vẫn phụ thuộc vào nhân sự và năng lực quản lý.</t>
  </si>
  <si>
    <t>Thủ tục khai báo thuế đơn giản hơn, nhưng vẫn có thể tốn thời gian cho những người chưa quen với quy trình mới.</t>
  </si>
  <si>
    <t>Cách tính thuế và bậc thuế mới dễ hiểu và thực hiện thuận lợi hơn so với trước đây.</t>
  </si>
  <si>
    <t>Niềm tin vào sự công bằng của cơ quan thuế được cải thiện do mức giảm trừ gia cảnh tăng, tuy nhiên vẫn có sự đa dạng về nhận thức.</t>
  </si>
  <si>
    <t>Mức thuế mới được đánh giá là công bằng đối với thu nhập hiện tại của tôi, nhưng vẫn còn thắc mắc về hiệu quả thực tế trong việc cải thiện dịch vụ công.</t>
  </si>
  <si>
    <t>Số tiền thuế đóng sẽ được sử dụng hiệu quả để cải thiện dịch vụ công, tuy nhiên, vẫn cần thời gian chứng minh.</t>
  </si>
  <si>
    <t>Nhà nước đã giải thích rõ ràng về mục tiêu sửa đổi thuế, nhưng sự thuyết phục còn phụ thuộc vào kết quả thực tế của chính sách này.</t>
  </si>
  <si>
    <t>Việc ủng hộ và tuân thủ chính sách mới được quyết định dựa trên mức giảm trừ gia cảnh tăng, cách tính thuế đơn giản hơn, nhưng vẫn còn nghi ngờ về hiệu quả thực tế.</t>
  </si>
  <si>
    <t>Biện pháp quản lý thuế mới có thể phát hiện gian lận, nhưng không đủ thông tin về công nghệ cụ thể.</t>
  </si>
  <si>
    <t>Công nghệ tiên tiến như AI và Big Data được áp dụng trong lĩnh vực thuế có thể tăng hiệu quả phát hiện trốn thuế.</t>
  </si>
  <si>
    <t>Số bậc thuế giảm từ 7 xuống 5, quy trình khai báo trở nên đơn giản hơn, nhưng không thay đổi hoàn toàn.</t>
  </si>
  <si>
    <t>Cách tính thuế mới rõ ràng hơn với ít bậc thuế, dễ hiểu và thực hiện đơn giản hơn so với trước đây.</t>
  </si>
  <si>
    <t>Mức giảm trừ gia cảnh tăng, tạo cảm giác công bằng cho người nộp thuế.</t>
  </si>
  <si>
    <t>Lưu ý cần xem xét mức thuế mới có phù hợp với thu nhập thực tế hay không, nhưng tổng thể vẫn công bằng hơn.</t>
  </si>
  <si>
    <t>Niềm tin vào việc sử dụng tiền thuế hiệu quả để cải thiện dịch vụ công tăng lên do mức giảm trừ gia cảnh lớn hơn.</t>
  </si>
  <si>
    <t>Thông tin từ chính phủ về lý do và mục tiêu sửa đổi thuế chưa đầy đủ, nhưng đã được giải thích rõ ràng hơn so với trước đây.</t>
  </si>
  <si>
    <t>Niềm tin vào hệ thống thuế mới tăng lên, quyết định ủng hộ và tuân thủ chính sách.</t>
  </si>
  <si>
    <t>Việc tăng mức giảm trừ gia cảnh và đơn giản hóa biểu thuế có thể làm giảm rủi ro trốn thuế, nhưng không loại bỏ hoàn toàn khả năng gian lận.</t>
  </si>
  <si>
    <t>Công nghệ hiện đại như AI và big data giúp phát hiện hành vi trốn thuế hiệu quả hơn, đồng thời tăng cường giám sát.</t>
  </si>
  <si>
    <t>Mức giảm trừ gia cảnh cao hơn và số bậc thuế ít đi làm thủ tục khai báo thuế đơn giản hơn, nhưng vẫn còn phức tạp đối với người mới.</t>
  </si>
  <si>
    <t>Biểu thuế được đơn giản hóa từ 7 bậc xuống 5 bậc, dễ hiểu và thực hiện thuận lợi hơn so với trước đây.</t>
  </si>
  <si>
    <t>Trình tự xử lý nghiêm minh các hành vi trốn thuế sẽ đảm bảo tính công bằng trong việc nộp thuế, nhưng cần thời gian để xây dựng niềm tin.</t>
  </si>
  <si>
    <t>Mức thuế mới được thiết kế dựa trên thu nhập cá nhân nên hợp lý và công bằng. Tuy nhiên, không phải ai cũng đồng ý với mức thuế này.</t>
  </si>
  <si>
    <t>Thuế đóng góp vào các dịch vụ công như y tế, giáo dục là quan trọng nhưng chưa rõ ràng về cách sử dụng hiệu quả.</t>
  </si>
  <si>
    <t>Thông tin giải thích về việc sửa đổi thuế còn hạn chế nên gây ra sự hoài nghi và cần cải thiện.</t>
  </si>
  <si>
    <t>Ngoài mức giảm trừ gia cảnh cao hơn, tôi chưa thấy lợi ích rõ ràng từ chính sách mới. Cần thời gian để đánh giá hiệu quả thực tế.</t>
  </si>
  <si>
    <t>Quy định quản lý thuế hiện nay có nhiều công nghệ tiên tiến, tuy nhiên không chắc chắn 100% sẽ phát hiện được trốn thuế.</t>
  </si>
  <si>
    <t>Công nghệ và khả năng của cơ quan thuế tốt hơn nhưng vẫn cần cải thiện để phát hiện toàn bộ các hành vi trốn thuế.</t>
  </si>
  <si>
    <t>Mức giảm trừ gia cảnh tăng, thủ tục khai báo đơn giản hơn nên thuận tiện hơn cho người dân nộp thuế.</t>
  </si>
  <si>
    <t>Biểu thuế được rút gọn từ 7 bậc thành 5 bậc, cách tính thuế rõ ràng hơn, dễ hiểu và thực hiện nhanh chóng hơn so với trước đây.</t>
  </si>
  <si>
    <t>Nhà nước đã tăng giảm trừ gia cảnh, thể hiện sự công bằng đối xử giữa các đối tượng nộp thuế.</t>
  </si>
  <si>
    <t>Mức thuế mới được thiết kế dựa trên thu nhập cá nhân nên tôi cho rằng nó là công bằng.</t>
  </si>
  <si>
    <t>Thuế đóng góp vào việc cải thiện dịch vụ công, mặc dù không biết chi tiết cụ thể nhưng tin tưởng vào cơ quan quản lý.</t>
  </si>
  <si>
    <t>Nhà nước đã cung cấp thông tin về chính sách mới một cách rõ ràng và minh bạch, tuy nhiên cần thêm các giải thích về chi tiết cụ thể hơn.</t>
  </si>
  <si>
    <t>Sau khi xem xét các quyền lợi từ thuế mới, tôi ủng hộ và sẵn sàng tuân thủ chính sách mới vì mức giảm trừ gia cảnh tăng lên.</t>
  </si>
  <si>
    <t>Tăng mức giảm trừ gia cảnh và đơn giản hóa biểu thuế có thể làm giảm động cơ gian lận, nhưng không loại trừ hoàn toàn khả năng trốn thuế. Công nghệ phát hiện ngày càng tiên tiến.</t>
  </si>
  <si>
    <t>Nhà nước đã đầu tư vào công nghệ thông tin và nhân lực để giám sát và xử lý nghiêm các hành vi trốn thuế, tăng cường khả năng quản lý thuế.</t>
  </si>
  <si>
    <t>Đơn giản hóa biểu thuế từ 7 bậc xuống còn 5 bậc tạo cảm giác thuận tiện hơn. Tuy nhiên, quy trình khai báo vẫn cần cải thiện.</t>
  </si>
  <si>
    <t>Cách tính thuế mới rõ ràng hơn với ít bậc thuế, dễ dàng hơn cho người dân nắm bắt và tuân thủ.</t>
  </si>
  <si>
    <t>Nhà nước đã cải thiện quy định giảm trừ gia cảnh và đơn giản hóa biểu thuế, tạo cảm giác công bằng trong việc đánh giá thu nhập. Tuy nhiên, sự minh bạch vẫn cần được cải thiện.</t>
  </si>
  <si>
    <t>Mức thuế mới theo phương án có thể coi là hợp lý dựa trên mức thu nhập của tôi, nhưng sự công bằng vẫn phụ thuộc vào cách sử dụng nguồn thu thuế.</t>
  </si>
  <si>
    <t>Để cải thiện dịch vụ công như y tế và giao thông, số tiền thuế phải được quản lý hiệu quả. Tuy nhiên, minh bạch trong việc sử dụng nguồn thu còn hạn chế.</t>
  </si>
  <si>
    <t>Nhà nước đã cung cấp thông tin về cải cách thuế nhưng vẫn cần tăng cường minh bạch và sự hiểu biết rõ ràng hơn về mục tiêu chính sách</t>
  </si>
  <si>
    <t>Cải cách thuế mang lại lợi ích tài chính, đơn giản hóa thủ tục, tạo cảm giác công bằng và tin tưởng. Tuy nhiên, vẫn có một số điểm cần cải thiện để tăng sự ủng hộ.</t>
  </si>
  <si>
    <t>Nâng cao mức giảm trừ gia cảnh và đơn giản hóa biểu thuế có thể làm giảm hành vi trốn thuế, nhưng khả năng phát hiện vẫn phụ thuộc vào công nghệ quản lý. Công nghệ mới chưa được đề cập.</t>
  </si>
  <si>
    <t>Việc tăng mức giảm trừ gia cảnh và đơn giản hóa biểu thuế có thể làm giảm hành vi trốn thuế, nhưng khả năng phát hiện vẫn phụ thuộc vào công nghệ quản lý. Công nghệ mới chưa được đề cập.</t>
  </si>
  <si>
    <t>Bậc thuế từ 7 xuống còn 5 đã đơn giản hóa quy trình khai báo thuế, giảm thời gian và rắc rối cho người nộp thuế.</t>
  </si>
  <si>
    <t>Các bậc thuế được đơn giản hóa có thể làm việc dễ hiểu hơn và dễ thực hiện hơn. Tuy nhiên, mức thuế cụ thể cần xem xét thêm.</t>
  </si>
  <si>
    <t>Mức giảm trừ gia cảnh tăng lên có thể làm tăng niềm tin vào tính công bằng của chính sách, nhưng việc thực thi vẫn phụ thuộc nhiều vào quy định quản lý.</t>
  </si>
  <si>
    <t>Bậc thuế mới đơn giản hóa và có thể giảm gánh nặng thuế cho người thu nhập trung bình. Tuy nhiên, mức thuế cụ thể cần xem xét thêm.</t>
  </si>
  <si>
    <t>Mức giảm trừ gia cảnh tăng lên có thể làm tăng niềm tin vào việc sử dụng số tiền thuế hiệu quả hơn. Tuy nhiên, việc thực hiện vẫn phụ thuộc vào cách quản lý ngân sách của nhà nước.</t>
  </si>
  <si>
    <t>Thông tin về sửa đổi thuế được đơn giản hóa hơn so với trước đây, nhưng việc giải thích đầy đủ và minh bạch cần cải thiện thêm.</t>
  </si>
  <si>
    <t>Dù có lợi ích từ mức giảm trừ gia cảnh tăng lên, nhưng gánh nặng thuế cụ thể và khả năng phát hiện hành vi trốn thuế vẫn chưa chắc chắn. Cần xem xét kỹ.</t>
  </si>
  <si>
    <t>Chính sách thuế mới có mức giảm trừ gia cảnh tăng, nhưng không rõ liệu quy định quản lý thuế hiện tại có được cải thiện đáng kể để phát hiện hành vi gian lận hay trốn thuế.</t>
  </si>
  <si>
    <t>Công nghệ ngày càng tiên tiến và nhà nước thường xuyên đầu tư vào việc cải thiện hệ thống quản lý thuế, nên khả năng phát hiện trốn thuế có thể tăng lên.</t>
  </si>
  <si>
    <t>Bậc thuế giảm từ 7 xuống còn 5, đồng nghĩa với việc quy trình khai báo thuế có thể đơn giản hơn. Tuy nhiên, chưa rõ liệu các thủ tục mới có thực sự tiện lợi và nhanh chóng như mong đợi hay không.</t>
  </si>
  <si>
    <t>Cách tính thuế và bậc thuế mới có thể dễ hiểu hơn do số bậc giảm đi từ 7 xuống còn 5, nhưng chưa rõ liệu người dân có thực sự thấy thuận tiện khi áp dụng phương án mới.</t>
  </si>
  <si>
    <t>Mức giảm trừ gia cảnh tăng lên và việc đơn giản hóa biểu thuế có thể làm tăng niềm tin vào tính công bằng của hệ thống thuế. Tuy nhiên, chưa rõ liệu thực thi chính sách có khách quan và công bằng đối với mọi người nộp thuế hay không.</t>
  </si>
  <si>
    <t>Mức thuế mới được thiết kế dựa trên mức thu nhập, nên tôi tin rằng mức thuế theo phương án mới là công bằng. Tuy nhiên, cần xem xét thêm về hiệu quả thực thi chính sách.</t>
  </si>
  <si>
    <t>Tăng mức giảm trừ gia cảnh và đơn giản hóa biểu thuế có thể làm tăng niềm tin rằng số tiền thuế tôi đóng sẽ được sử dụng hiệu quả để cải thiện dịch vụ công. Tuy nhiên, cần xem xét thêm về việc thực thi chính sách.</t>
  </si>
  <si>
    <t>Đối với một người trẻ tuổi, thông tin về việc sửa đổi thuế có thể chưa được giải thích rõ ràng và minh bạch. Tuy nhiên, các thay đổi có vẻ hợp lý từ góc độ tài chính.</t>
  </si>
  <si>
    <t>Tôi ủng hộ các cải cách nhằm tăng giảm trừ gia cảnh và đơn giản hóa biểu thuế, do chúng có thể làm tăng lợi ích cho tôi. Tuy nhiên, cần xem xét thêm về thực thi chính sách để quyết định tuân thủ.</t>
  </si>
  <si>
    <t>Cải cách thuế TNCN không chỉ tăng giảm trừ gia cảnh mà còn đơn giản hóa biểu thuế, điều này làm giảm khả năng trốn thuế và tăng cơ hội phát hiện gian lận. Công nghệ hiện đại cũng hỗ trợ việc kiểm soát chặt chẽ hơn.</t>
  </si>
  <si>
    <t>Công nghệ như AI, Big Data đã được ứng dụng trong quản lý thuế, giúp tăng cường khả năng phát hiện và xử lý nghiêm các hành vi trốn thuế. Cơ quan thuế cũng có nhiều nguồn lực hơn để giám sát.</t>
  </si>
  <si>
    <t>Giảm từ 7 bậc xuống còn 5 bậc thuế, cùng với tăng mức giảm trừ gia cảnh tạo thuận lợi cho việc khai báo và làm việc với cơ quan thuế. Quy trình đơn giản hơn trước đây.</t>
  </si>
  <si>
    <t>Cách tính thuế mới đơn giản hơn, rõ ràng hơn so với biểu thuế cũ, giúp người dân hiểu và thực hiện dễ dàng hơn.</t>
  </si>
  <si>
    <t>Giảm trừ gia cảnh tăng lên làm giảm gánh nặng thuế cho cá nhân. Cơ quan thuế cũng đơn giản hóa quy trình, tạo cảm giác công bằng trong việc áp dụng chính sách.</t>
  </si>
  <si>
    <t>Thuế suất mới và các bậc thuế rõ ràng hơn giúp tôi thấy mức thuế đóng là hợp lý theo thu nhập của mình.</t>
  </si>
  <si>
    <t>Tăng giảm trừ gia cảnh, đơn giản hóa biểu thuế tạo cơ hội sử dụng số tiền thuế để cải thiện dịch vụ công. Cơ quan thuế cũng có nhiều nguồn lực hơn để đầu tư vào các lĩnh vực này.</t>
  </si>
  <si>
    <t>Thông tin về chính sách mới được truyền tải thông qua nhiều kênh, nhưng tôi vẫn cảm thấy cần thêm giải thích chi tiết về mục tiêu và tác động cụ thể của việc cải cách thuế.</t>
  </si>
  <si>
    <t>Cải cách thuế TNCN mang lại lợi ích tài chính rõ rệt cho cá nhân. Quy trình khai báo đơn giản hơn, cùng với cơ hội cải thiện dịch vụ công tạo cảm giác ủng hộ và tuân thủ chính sách mới.</t>
  </si>
  <si>
    <t>Các quy định quản lý thuế hiện nay có nhiều cải tiến, nhưng tôi vẫn nghi ngờ khả năng phát hiện trốn thuế hoàn toàn. Điều này dựa trên việc tăng mức giảm trừ gia cảnh và đơn giản hóa biểu thuế, giảm rủi ro cho người nộp thuế.</t>
  </si>
  <si>
    <t>Công nghệ ngày càng phát triển giúp nhà nước có thể theo dõi các giao dịch tài chính. Điều này tạo thêm cơ sở để xử lý nghiêm hành vi trốn thuế.</t>
  </si>
  <si>
    <t>Bậc thuế được đơn giản hóa, nhưng quy trình khai báo và làm việc với cơ quan thuế vẫn còn phức tạp. Tuy nhiên, so với trước đây thì đã dễ dàng hơn nhiều.</t>
  </si>
  <si>
    <t>Cách tính thuế mới rõ ràng hơn và có ít bậc thuế nên dễ hiểu và thực hiện dễ dàng hơn.</t>
  </si>
  <si>
    <t>Nhà nước đã cải thiện quy định về giảm trừ gia cảnh, tạo điều kiện cho người nộp thuế. Điều này làm tăng niềm tin rằng các chính sách được công bằng đối xử với tất cả mọi người.</t>
  </si>
  <si>
    <t>Mức thuế mới theo phương án cải cách là hợp lý so với thu nhập của tôi, tạo cảm giác công bằng hơn.</t>
  </si>
  <si>
    <t>Việc cải cách thuế có thể giúp nâng cao chất lượng dịch vụ công. Tuy nhiên, việc này phụ thuộc vào hiệu quả quản lý ngân sách</t>
  </si>
  <si>
    <t>Nhà nước đã giải thích khá rõ về mục tiêu của cải cách thuế, nhưng vẫn còn một số thông tin cần làm rõ hơn.</t>
  </si>
  <si>
    <t>Dựa trên mức giảm trừ gia cảnh và các cải tiến trong biểu thuế, tôi thấy chính sách mới công bằng và phù hợp với lợi ích của tôi. Do đó, tôi sẽ ủng hộ và tuân thủ.</t>
  </si>
  <si>
    <t>Cải cách thuế TNCN với mức giảm trừ gia cảnh tăng, đơn giản hóa biểu thuế và các bậc thuế mới. Tuy nhiên, không có thông tin cụ thể về công nghệ phát hiện trốn thuế.</t>
  </si>
  <si>
    <t>Công nghệ hiện đại giúp phát hiện hành vi gian lận và trốn thuế hiệu quả hơn. Cơ quan thuế cũng có nhiều khả năng xử lý nghiêm minh.</t>
  </si>
  <si>
    <t>Mức giảm trừ gia cảnh tăng, đơn giản hóa biểu thuế từ 7 bậc thành 5 bậc. Tuy nhiên, việc thực hiện cụ thể còn phụ thuộc vào quy trình khai báo và làm việc với cơ quan thuế.</t>
  </si>
  <si>
    <t>Cách tính thuế đơn giản hơn, giảm số bậc thuế từ 7 xuống 5. Điều này giúp người nộp thuế dễ hiểu và thực hiện chính sách mới.</t>
  </si>
  <si>
    <t>Thu nhập cá nhân có nhiều mức giảm trừ gia cảnh và các bậc thuế mới. Tuy nhiên, việc thực thi công bằng phụ thuộc vào cách triển khai cụ thể của cơ quan thuế.</t>
  </si>
  <si>
    <t>Mức thuế mới được thiết kế để phù hợp với thu nhập cá nhân. Số bậc thuế giảm giúp tính toán dễ dàng hơn, tạo cảm giác công bằng cho người nộp thuế.</t>
  </si>
  <si>
    <t>Thuế TNCN có nhiều mức giảm trừ gia cảnh và bậc thuế mới. Điều này tăng khả năng sử dụng hiệu quả số tiền đã đóng vào các dịch vụ công.</t>
  </si>
  <si>
    <t>Thông tin về cải cách thuế được truyền tải qua nhiều kênh, nhưng không rõ ràng và minh bạch như mong đợi. Cần thêm thông tin chi tiết để thuyết phục người dân.</t>
  </si>
  <si>
    <t>Cải cách thuế TNCN mang lại lợi ích tài chính cho người nộp thuế với mức giảm trừ gia cảnh tăng, đơn giản hóa biểu thuế. Tuy nhiên, quyết định tuân thủ phụ thuộc vào nhiều yếu tố khác.</t>
  </si>
  <si>
    <t>Quy định quản lý thuế hiện tại không đủ mạnh để phát hiện hành vi gian lận hoặc trốn thuế.</t>
  </si>
  <si>
    <t>Nhà nước và cơ quan thuế có khả năng sử dụng công nghệ tiên tiến, nhưng chưa chắc chắn về hiệu quả thực tế trong việc phát hiện trốn thuế.</t>
  </si>
  <si>
    <t>Mức giảm trừ gia cảnh tăng lên, thủ tục khai báo thuế đơn giản hơn và nhanh chóng hơn so với trước đây.</t>
  </si>
  <si>
    <t>Cách tính thuế mới đơn giản hóa các bậc thuế từ 7 xuống còn 5, dễ hiểu và dễ thực hiện hơn.</t>
  </si>
  <si>
    <t>Nhà nước đã cải thiện quy định quản lý thuế, giảm gánh nặng cho người nộp thuế nhưng chưa chắc chắn về sự công bằng trong việc áp dụng.</t>
  </si>
  <si>
    <t>Mức thuế mới có thể công bằng hơn so với trước đây, nhưng tôi vẫn đa nghi vì chưa rõ ràng về cách xác định mức thu nhập.</t>
  </si>
  <si>
    <t>Tăng giảm trừ gia cảnh và đơn giản hóa quy trình khai báo sẽ giúp tăng niềm tin vào việc sử dụng hiệu quả số tiền thuế.</t>
  </si>
  <si>
    <t>Dù đã giải thích rõ ràng về mục tiêu cải cách, nhưng chưa chắc chắn về mức độ minh bạch trong quá trình thực hiện chính sách.</t>
  </si>
  <si>
    <t>Sau khi cân nhắc, tôi thấy các quyền lợi và nghĩa vụ của chính sách mới là hợp lý, do đó tôi sẽ ủng hộ và tuân thủ.</t>
  </si>
  <si>
    <t>Mức giảm trừ gia cảnh tăng lên và quy định quản lý thuế được cải cách, nhưng khả năng phát hiện trốn thuế phụ thuộc nhiều vào công nghệ. Công nghệ mới có thể giúp hơn so với trước đây.</t>
  </si>
  <si>
    <t>Việc nâng cao công nghệ và quản lý thuế hiện đại hóa sẽ tăng khả năng phát hiện và xử lý trốn thuế, nhưng vẫn cần sự giám sát chặt chẽ từ phía cơ quan thuế.</t>
  </si>
  <si>
    <t>Biểu thuế được đơn giản hóa nên thủ tục khai báo thuế trở nên dễ dàng hơn, mặc dù quy trình làm việc với cơ quan thuế vẫn còn cần cải tiến.</t>
  </si>
  <si>
    <t>Cách tính thuế mới có ít bậc và mức thuế rõ ràng hơn so với trước đây, tăng sự đơn giản hóa và dễ hiểu cho người nộp thuế.</t>
  </si>
  <si>
    <t>Nhà nước đã cải thiện giảm trừ gia cảnh và đơn giản hóa biểu thuế, tạo cảm giác công bằng khi đối xử giữa các mức thu nhập khác nhau.</t>
  </si>
  <si>
    <t>Mức thuế mới có vẻ hợp lý so với thu nhập hiện tại của tôi, nhưng vẫn cần thêm thời gian để kiểm chứng hiệu quả thực tế trong việc sử dụng số tiền thuế.</t>
  </si>
  <si>
    <t>Việc cải cách thuế nhằm mục đích nâng cao chất lượng dịch vụ công, nhưng cần thêm thông tin về cụ thể việc sử dụng số tiền thuế để tăng niềm tin.</t>
  </si>
  <si>
    <t>Các thông điệp về lý do và mục tiêu của cải cách thuế đã được truyền tải rõ ràng hơn, nhưng vẫn có sự hoài nghi về tính minh bạch đầy đủ.</t>
  </si>
  <si>
    <t>Thu nhập của tôi giảm nhẹ với mức thuế mới, tạo cảm giác công bằng và tin tưởng vào cải cách. Tuy nhiên, quyết định tuân thủ vẫn dựa trên nhiều yếu tố khác như thông tin minh bạch.</t>
  </si>
  <si>
    <t>Các quy định quản lý thuế mới có nhiều cải tiến như tăng giảm trừ gia cảnh, đơn giản hóa biểu thuế, nên khả năng phát hiện và xử lý gian lận được nâng cao. Tuy nhiên, vẫn còn nghi ngờ về thực thi hiệu quả.</t>
  </si>
  <si>
    <t>Việc áp dụng công nghệ tiên tiến trong quản lý thuế giúp tăng cường khả năng phát hiện trốn thuế, đồng thời xử lý nghiêm minh các vi phạm. Tuy nhiên, vẫn cần cải thiện hơn nữa về mặt thực thi.</t>
  </si>
  <si>
    <t>Với mức giảm trừ gia cảnh và đơn giản hóa biểu thuế, quy trình khai báo thuế trở nên dễ dàng hơn so với trước đây. Tuy nhiên, vẫn còn một số thủ tục phức tạp chưa được cải thiện.</t>
  </si>
  <si>
    <t>Cách tính thuế mới có ít bậc và mức thuế suất rõ ràng hơn, giúp người dân hiểu dễ dàng hơn về quy định mới. Tuy nhiên, việc áp dụng cụ thể trên thực tế còn cần thời gian để quen thuộc.</t>
  </si>
  <si>
    <t>Nhà nước đã cải thiện tính công bằng của thuế thông qua các mức giảm trừ gia cảnh cao hơn và đơn giản hóa biểu thuế. Tuy nhiên, vẫn có sự lo ngại về cách thực thi chính sách.</t>
  </si>
  <si>
    <t>Mức thuế mới phù hợp với thu nhập của tôi, thể hiện tính công bằng trong việc chia sẻ gánh nặng thuế. Tuy nhiên, vẫn cần thời gian để đánh giá hiệu quả lâu dài.</t>
  </si>
  <si>
    <t>Tôi tin rằng số tiền thuế đóng sẽ được sử dụng hiệu quả cho các dịch vụ công như y tế và đường xá, nhưng còn phụ thuộc vào quản lý chi tiêu của Nhà nước.</t>
  </si>
  <si>
    <t>Nhà nước đã giải thích rõ ràng về mục đích cải cách thuế, nhưng vẫn cần tăng cường minh bạch trong quá trình thực thi chính sách mới.</t>
  </si>
  <si>
    <t>Tài chính cá nhân của tôi được cải thiện nhờ mức giảm trừ gia cảnh và biểu thuế đơn giản hơn. Tuy nhiên, quyết định tuân thủ còn phụ thuộc vào việc thực thi hiệu quả và minh bạch.</t>
  </si>
  <si>
    <t>Các quy định quản lý thuế hiện nay đã được nâng cao, nhưng không rõ liệu chúng có đủ mạnh để phát hiện và xử lý trốn thuế.</t>
  </si>
  <si>
    <t>Nhà nước và cơ quan thuế có công nghệ tiên tiến giúp phát hiện hành vi trốn thuế, tuy nhiên khả năng thực thi vẫn phụ thuộc vào nhiều yếu tố khác.</t>
  </si>
  <si>
    <t>Mức giảm trừ gia cảnh cao hơn trước đã đơn giản hóa quy trình khai báo thuế. Tuy nhiên, quy trình làm việc với cơ quan thuế chưa chắc đã nhanh chóng như mong đợi.</t>
  </si>
  <si>
    <t>Cách tính thuế và các bậc thuế mới đơn giản hơn so với trước đây, giúp người dân dễ dàng hiểu và thực hiện.</t>
  </si>
  <si>
    <t>Nhà nước đã cố gắng cải thiện quy định thuế nhưng vẫn có sự đa dạng trong cách hiểu về tính công bằng của nó. Tin tưởng vào việc thực thi chính sách còn phụ thuộc nhiều vào trải nghiệm cá nhân.</t>
  </si>
  <si>
    <t>Mức thuế mới được thiết kế nhằm tạo ra sự công bằng, nhưng vẫn có những lo ngại về cách áp dụng đối với từng cá nhân.</t>
  </si>
  <si>
    <t>Việc sử dụng số tiền thuế để cải thiện dịch vụ công là mục tiêu tốt, nhưng hiệu quả thực tế phụ thuộc vào việc quản lý nguồn vốn.</t>
  </si>
  <si>
    <t>Nhà nước đã giải thích một cách minh bạch về chính sách mới, tuy nhiên, vẫn có những nghi ngờ về tính rõ ràng của thông tin truyền đạt.</t>
  </si>
  <si>
    <t>Các quyền lợi và nghĩa vụ được cân nhắc kỹ lưỡng. Mặc dù cải tiến đã được thực hiện nhưng quyết định cuối cùng phụ thuộc vào trải nghiệm cá nhân với chính sách mới.</t>
  </si>
  <si>
    <t>Các quy định quản lý thuế hiện nay được cải thiện, nhưng vẫn có khả năng trốn thuế. Công nghệ phát hiện ngày càng tiến bộ, tuy nhiên cần thời gian để áp dụng rộng rãi.</t>
  </si>
  <si>
    <t>Nhà nước và cơ quan thuế đã đầu tư công nghệ mạnh mẽ, tăng cường khả năng phát hiện trốn thuế. Công nghệ giúp giảm thiểu rủi ro trốn thuế hiệu quả.</t>
  </si>
  <si>
    <t>Thủ tục khai báo thuế đơn giản hơn, nhưng vẫn còn phức tạp ở một số điểm. Nhu cầu làm việc với cơ quan thuế nhanh chóng hơn so với trước đây.</t>
  </si>
  <si>
    <t>Cách tính thuế và các bậc thuế trong phương án mới đơn giản, dễ hiểu và dễ thực hiện hơn so với trước đây. Số bậc thuế giảm giúp việc tính toán trở nên thuận tiện.</t>
  </si>
  <si>
    <t>Niềm tin vào sự khách quan, công tâm của cơ quan thuế được cải thiện do mức giảm trừ gia cảnh tăng. Tuy nhiên vẫn có một số lo ngại về việc thực thi chính sách mới.</t>
  </si>
  <si>
    <t>Mức thuế mới được xem xét là hợp lý so với thu nhập của tôi. Các bậc thuế mới giúp giảm gánh nặng, tăng cảm giác công bằng.</t>
  </si>
  <si>
    <t>Tin tưởng số tiền thuế đóng sẽ được sử dụng hiệu quả để cải thiện dịch vụ công. Tuy nhiên, cần thời gian để xem xét hiệu quả thực tế của chính sách mới.</t>
  </si>
  <si>
    <t>Nhà nước đã giải thích rõ ràng về mục tiêu và lý do sửa đổi thuế. Các thông tin được truyền đạt một cách minh bạch, nhưng vẫn có những nghi ngờ nhỏ về mức độ thuyết phục.</t>
  </si>
  <si>
    <t>Các quyền lợi mới tăng lên do giảm trừ gia cảnh và đơn giản hóa biểu thuế đã cải thiện cảm giác công bằng. Tuy nhiên, cần cân nhắc giữa lợi ích và nghĩa vụ trước khi quyết định ủng hộ.</t>
  </si>
  <si>
    <t>Các quy định quản lý thuế hiện nay đã được cải thiện, với mức giảm trừ gia cảnh cao hơn, giúp phát hiện hành vi gian lận khó khăn hơn.</t>
  </si>
  <si>
    <t>Khả năng và công nghệ của cơ quan thuế được nâng cấp, tăng cường khả năng giám sát và phát hiện trốn thuế hiệu quả.</t>
  </si>
  <si>
    <t>Biểu thuế đơn giản hơn với ít bậc thuế, quy trình khai báo dễ dàng hơn, giúp tiết kiệm thời gian và công sức cho người dân.</t>
  </si>
  <si>
    <t>Cách tính thuế mới rõ ràng hơn với ít bậc thuế, nhưng cần thêm thời gian để quen thuộc với các thay đổi mới.</t>
  </si>
  <si>
    <t>Nhà nước đã cải thiện quy định về giảm trừ gia cảnh và đơn giản hóa biểu thuế, tạo ra sự công bằng hơn trong việc phân bổ thu nhập.</t>
  </si>
  <si>
    <t>Mức thuế mới dường như hợp lý với thu nhập hiện tại của tôi, nhưng cần thêm thời gian để đánh giá thực tế sau khi áp dụng.</t>
  </si>
  <si>
    <t>Thuế được sử dụng hiệu quả cho các dịch vụ công, đặc biệt là y tế và đường xá, giúp cải thiện chất lượng cuộc sống.</t>
  </si>
  <si>
    <t>Các thông điệp về thay đổi thuế đã được truyền tải rõ ràng hơn, nhưng cần thêm thời gian để đánh giá đầy đủ hiệu quả của các biện pháp này.</t>
  </si>
  <si>
    <t>Sau khi cân nhắc lợi ích từ việc giảm thuế và cải cách quản lý, tôi ủng hộ chính sách mới. Tuy nhiên, vẫn có một số lo ngại về khả năng thực hiện hiệu quả của nó.</t>
  </si>
  <si>
    <t>Các quy định quản lý thuế hiện nay được cải thiện, giúp phát hiện và xử lý nghiêm các hành vi gian lận hoặc trốn thuế.</t>
  </si>
  <si>
    <t>Nhà nước đã đầu tư vào công nghệ để phát hiện và xử lý kịp thời các hành vi trốn thuế.</t>
  </si>
  <si>
    <t>Mức giảm trừ gia cảnh cao hơn, quy trình khai báo thuế đơn giản hơn so với trước đây.</t>
  </si>
  <si>
    <t>Biểu thuế được đơn giản hóa từ 7 bậc xuống 5 bậc, giúp dễ hiểu và thực hiện hơn.</t>
  </si>
  <si>
    <t>Niềm tin vào sự khách quan và công bằng của cơ quan thuế khi áp dụng chính sách mới.</t>
  </si>
  <si>
    <t>Mức thuế mới được thiết kế hợp lý dựa trên thu nhập, tạo cảm giác công bằng cho người nộp thuế.</t>
  </si>
  <si>
    <t>Tin tưởng rằng số tiền đóng thuế sẽ được sử dụng hiệu quả để cải thiện dịch vụ công.</t>
  </si>
  <si>
    <t>Nhà nước đã giải thích rõ ràng về lý do và mục tiêu của việc sửa đổi thuế, tăng sự minh bạch.</t>
  </si>
  <si>
    <t>Chính sách mới có lợi cho người nộp thuế, tạo ra quyết định hành vi tích cực để tuân thủ.</t>
  </si>
  <si>
    <t>Cải cách thuế thu nhập cá nhân chưa rõ ràng về khả năng phát hiện trốn thuế, nhưng tăng giảm trừ gia cảnh có thể giảm gian lận.</t>
  </si>
  <si>
    <t>Nâng cao mức giảm trừ gia cảnh và đơn giản hóa biểu thuế tạo thuận lợi cho tuân thủ, mặc dù khả năng phát hiện trốn thuế chưa rõ ràng.</t>
  </si>
  <si>
    <t>Bậc thuế được giảm từ 7 xuống 5 có thể làm quy trình khai báo trở nên đơn giản hơn, nhưng không biết liệu các thủ tục đã thực sự dễ dàng như thế nào.</t>
  </si>
  <si>
    <t>Đơn giản hóa biểu thuế và tăng mức giảm trừ gia cảnh giúp tính toán thuế trở nên rõ ràng hơn, nhưng cần xem xét việc áp dụng cụ thể.</t>
  </si>
  <si>
    <t>Tăng mức giảm trừ gia cảnh có thể mang lại cảm giác công bằng cho người thu nhập thấp hơn, nhưng không biết liệu các quy định mới đã được thực thi khách quan như thế nào.</t>
  </si>
  <si>
    <t>Mức thuế mới có vẻ hợp lý đối với thu nhập của tôi sau khi tăng giảm trừ gia cảnh, tạo cảm giác công bằng.</t>
  </si>
  <si>
    <t>Tăng mức giảm trừ gia cảnh và đơn giản hóa biểu thuế có thể giúp số tiền thuế đóng được sử dụng hiệu quả hơn cho dịch vụ công, nhưng không biết thực tế như thế nào.</t>
  </si>
  <si>
    <t>Thông tin về cải cách thuế chưa rõ ràng và minh bạch, nên còn nghi ngờ về việc giải thích của Nhà nước.</t>
  </si>
  <si>
    <t>Sau khi xem xét các quyền lợi và nghĩa vụ, tôi đồng ý với các thay đổi mang lại cảm giác công bằng và thuận tiện hơn, nhưng vẫn có sự nghi ngờ về thực hiện.</t>
  </si>
  <si>
    <t>Tăng mức giảm trừ gia cảnh và đơn giản hóa biểu thuế có thể làm giảm rủi ro trốn thuế, nhưng thực tế khả năng phát hiện vẫn phụ thuộc vào công nghệ và nguồn lực của cơ quan thuế.</t>
  </si>
  <si>
    <t>Công nghệ ngày nay đã phát triển mạnh mẽ, nên việc phát hiện trốn thuế sẽ dễ dàng hơn. Tuy nhiên, hiệu quả thực tế phụ thuộc vào năng lực và nguồn lực của cơ quan thuế.</t>
  </si>
  <si>
    <t>Bậc thuế ít đi nhưng không phải tất cả quá trình khai báo đều đơn giản hơn, đặc biệt là với các trường hợp phức tạp. Tuy nhiên, tổng thể vẫn có cải thiện so với trước đây.</t>
  </si>
  <si>
    <t>Cách tính thuế và bậc thuế mới đơn giản hóa nhiều, giúp người dân dễ dàng tính toán và làm theo hơn.</t>
  </si>
  <si>
    <t>Mức giảm trừ gia cảnh tăng lên có thể tạo niềm tin trong việc thực thi công bằng. Tuy nhiên, vẫn cần kiểm tra kỹ lưỡng để đảm bảo không lợi dụng.</t>
  </si>
  <si>
    <t>Thuế suất và ngưỡng chịu thuế mới có vẻ hợp lý nhưng cần xem xét tổng thể thu nhập và chi phí để đánh giá chính xác mức độ công bằng.</t>
  </si>
  <si>
    <t>Giảm trừ gia cảnh tăng lên tạo niềm tin về việc sử dụng số tiền thuế hiệu quả hơn. Tuy nhiên, hiệu quả thực tế phụ thuộc vào quản lý chi tiêu của chính phủ.</t>
  </si>
  <si>
    <t>Các thông điệp giải thích về thay đổi thuế có vẻ minh bạch nhưng cần xem xét kỹ lưỡng để đảm bảo thông tin đã được truyền tải rõ ràng.</t>
  </si>
  <si>
    <t>Thu nhập của tôi không tăng nhiều nên mức thuế mới không tạo ra sự khác biệt lớn. Tuy nhiên, các cải cách có thể thúc đẩy niềm tin và tuân thủ lâu dài.</t>
  </si>
  <si>
    <t>Nhìn chung, các quy định quản lý thuế hiện nay đã được cải thiện nhưng vẫn còn nhiều rủi ro trốn thuế do mức giảm trừ gia cảnh chưa rõ ràng và thủ tục khai báo còn phức tạp. Công nghệ theo dõi gian lận chưa thực sự phát triển.</t>
  </si>
  <si>
    <t>Việc áp dụng công nghệ trong quản lý thuế đã được cải thiện nhưng vẫn cần nhiều cải tiến để tăng cường khả năng phát hiện và xử lý các hành vi trốn thuế hiệu quả hơn. Cơ quan thuế có đủ tiềm lực nhân sự nhưng còn phụ thuộc vào nguồn lực.</t>
  </si>
  <si>
    <t>So với trước đây, quy trình khai báo thuế trở nên đơn giản hơn do số bậc thuế giảm và mức giảm trừ gia cảnh tăng. Tuy nhiên, thủ tục vẫn có thể cải thiện nhiều hơn để tạo thuận lợi cho người nộp thuế.</t>
  </si>
  <si>
    <t>Cách tính thuế mới trở nên rõ ràng hơn với số bậc thuế giảm và mức giảm trừ gia cảnh tăng. Điều này giúp việc tính toán trở nên dễ dàng hơn, phù hợp với nhiều đối tượng người nộp thuế.</t>
  </si>
  <si>
    <t>Niềm tin vào sự công bằng của chính sách mới chưa cao do mức thuế có thể không phản ánh đúng tình hình thực tế. Tuy nhiên, các quy định về giảm trừ gia cảnh đã cải thiện đáng kể.</t>
  </si>
  <si>
    <t>Mức thuế mới được xem xét cân nhắc kỹ lưỡng và phù hợp với thu nhập của tôi. Mức thuế suất và ngưỡng chịu thuế cũng được điều chỉnh hợp lý, tạo ra sự công bằng trong việc đóng góp cho xã hội.</t>
  </si>
  <si>
    <t>Tôi tin rằng số tiền thuế tôi đóng sẽ được sử dụng hiệu quả để cải thiện dịch vụ công. Tuy nhiên, thực tế chưa thể đánh giá đầy đủ do chính sách mới còn quá mới và chưa có nhiều kết quả cụ thể.</t>
  </si>
  <si>
    <t>Tôi thấy Nhà nước đã giải thích rõ ràng về lý do và mục tiêu của việc sửa đổi thuế. Tuy nhiên, thông tin vẫn cần được cải thiện để tạo ra sự thuyết phục hơn đối với người dân.</t>
  </si>
  <si>
    <t>Dù chính sách mới có nhiều ưu điểm nhưng tôi vẫn còn một số lo ngại về việc thực thi và hiệu quả sử dụng nguồn thu. Việc tăng mức giảm trừ gia cảnh giúp giảm gánh nặng cho người nộp thuế, nhưng đây chỉ là một phần của quyết định cuối cùng.</t>
  </si>
  <si>
    <t>Biện pháp quản lý thuế được cải thiện, mức giảm trừ gia cảnh tăng khiến việc trốn thuế khó khăn hơn.</t>
  </si>
  <si>
    <t>Công nghệ hiện đại giúp nhà nước theo dõi và phát hiện hành vi trốn thuế hiệu quả hơn.</t>
  </si>
  <si>
    <t>Mức giảm trừ gia cảnh tăng, số bậc thuế ít đi nên thủ tục khai báo đơn giản hơn.</t>
  </si>
  <si>
    <t>Biểu thuế đơn giản hóa giúp tính toán và nộp thuế dễ dàng hơn.</t>
  </si>
  <si>
    <t>Nhìn chung, tôi tin rằng nhà nước sẽ công bằng trong việc thực thi chính sách mới.</t>
  </si>
  <si>
    <t>Thuế suất và ngưỡng chịu thuế thay đổi nhưng không thấy rõ sự công bằng với thu nhập của tôi.</t>
  </si>
  <si>
    <t>Đây là quyết định cần thời gian để đánh giá hiệu quả thực tế, hiện tại chưa có đủ thông tin.</t>
  </si>
  <si>
    <t>Công bố của nhà nước về việc cải cách thuế khá rõ ràng nhưng cần thêm thời gian để kiểm chứng.</t>
  </si>
  <si>
    <t>Thu nhập và mức giảm trừ gia cảnh tăng, thủ tục đơn giản hơn nên tôi sẽ ủng hộ và tuân thủ chính sách mới.</t>
  </si>
  <si>
    <t>Dựa trên cải cách thuế mới, với mức giảm trừ gia cảnh tăng lên và quy định quản lý thuế rõ ràng hơn, khả năng phát hiện hành vi gian lận trốn thuế sẽ cao hơn.</t>
  </si>
  <si>
    <t>Công nghệ ngày càng tiên tiến và Chính phủ đã đầu tư vào hệ thống quản lý thuế hiện đại, tăng cường khả năng phát hiện và xử lý trốn thuế.</t>
  </si>
  <si>
    <t>Mức giảm trừ gia cảnh cao hơn và số bậc thuế ít hơn có thể làm đơn giản hóa quy trình khai báo thuế, nhưng vẫn cần thời gian để mọi người quen với hệ thống mới.</t>
  </si>
  <si>
    <t>Biểu thuế được đơn giản hóa từ 7 bậc xuống còn 5 bậc, giúp việc tính toán thuế trở nên dễ dàng hơn cho người dân.</t>
  </si>
  <si>
    <t>Nhìn chung, mức giảm trừ gia cảnh và số bậc thuế ít hơn tạo ra sự công bằng trong việc phân bổ thuế, nhưng vẫn cần thời gian để mọi người tin tưởng vào cách thực thi mới.</t>
  </si>
  <si>
    <t>Mức thuế mới được thiết kế nhằm đảm bảo tính công bằng, với số bậc thuế ít hơn và ngưỡng chịu thuế hợp lý, nhưng vẫn cần thêm thời gian để người dân nhận thức rõ về sự công bằng này.</t>
  </si>
  <si>
    <t>Thuế được sử dụng hiệu quả cho các dịch vụ công như y tế, giáo dục và hạ tầng giao thông có thể tạo ra niềm tin rằng thuế đóng góp của tôi đang được sử dụng một cách hợp lý.</t>
  </si>
  <si>
    <t>Trong thời gian ngắn, Nhà nước đã cải thiện việc giải thích về mục tiêu và lý do thay đổi thuế, nhưng vẫn cần thêm thời gian để mọi người cảm thấy thực sự thuyết phục với các thông điệp này.</t>
  </si>
  <si>
    <t>Nhìn chung, tôi ủng hộ chính sách mới vì mức giảm trừ gia cảnh cao hơn và quy định thuế rõ ràng hơn giúp giảm gánh nặng tài chính. Tuy nhiên, cần thêm thời gian để hoàn toàn tin tưởng vào cách thực thi mới.</t>
  </si>
  <si>
    <t>Công nghệ hiện đại và quy định quản lý thuế chặt chẽ hơn giúp giảm thiểu hành vi gian lận.</t>
  </si>
  <si>
    <t>Nhà nước đã đầu tư công nghệ tiên tiến để phát hiện trốn thuế, tăng khả năng giám sát.</t>
  </si>
  <si>
    <t>Biểu thuế đơn giản hơn và mức giảm trừ gia cảnh cao hơn làm thủ tục khai báo thuế thuận tiện hơn.</t>
  </si>
  <si>
    <t>Bậc thuế ít đi, quy trình tính thuế rõ ràng hơn giúp người dân hiểu nhanh chóng.</t>
  </si>
  <si>
    <t>Nhà nước đã cải thiện hệ thống giảm trừ gia cảnh và đơn giản hóa biểu thuế, tạo sự công bằng cho mọi người.</t>
  </si>
  <si>
    <t>Mức thuế mới phù hợp với thu nhập hiện tại của tôi, cảm thấy công bằng hơn so với trước đây.</t>
  </si>
  <si>
    <t>Thuận lợi về tài chính và quy định rõ ràng giúp tin tưởng vào việc sử dụng hiệu quả nguồn thu từ thuế.</t>
  </si>
  <si>
    <t>Các thông điệp giải thích mới của Nhà nước rõ ràng hơn, tạo niềm tin trong việc thực hiện sửa đổi.</t>
  </si>
  <si>
    <t>Dựa trên lợi ích tài chính và quy định đơn giản hơn, tôi sẵn sàng tuân thủ chính sách mới.</t>
  </si>
  <si>
    <t>Việc tăng giảm trừ gia cảnh và đơn giản hóa biểu thuế có thể làm giảm rủi ro gian lận, nhưng công nghệ phát hiện trốn thuế vẫn chưa đủ mạnh.</t>
  </si>
  <si>
    <t>Công nghệ ngày càng tiên tiến giúp kiểm soát thuế tốt hơn, đặc biệt là với hệ thống điện tử hóa hồ sơ thuế.</t>
  </si>
  <si>
    <t>Biểu thuế giảm bậc và đơn giản có thể làm thủ tục khai báo dễ dàng hơn, nhưng vẫn cần thời gian để quen thuộc.</t>
  </si>
  <si>
    <t>Cách tính thuế mới rõ ràng hơn so với trước đây, tuy nhiên, việc áp dụng các bậc thuế vẫn có thể gây nhầm lẫn.</t>
  </si>
  <si>
    <t>Nhà nước đã cải cách để tăng giảm trừ gia cảnh và đơn giản hóa biểu thuế, tạo cảm giác công bằng hơn cho người nộp thuế.</t>
  </si>
  <si>
    <t>Mức thuế mới có thể coi là công bằng đối với thu nhập hiện tại của tôi, nhưng vẫn cần thời gian để đánh giá toàn diện.</t>
  </si>
  <si>
    <t>Nhà nước đã cải thiện cơ sở hạ tầng và dịch vụ công thông qua việc sử dụng hiệu quả số tiền thuế được đóng góp.</t>
  </si>
  <si>
    <t>Các thông tin giải thích về chính sách mới khá đầy đủ, tuy nhiên, vẫn cần thêm thời gian để đánh giá sự minh bạch và thuyết phục.</t>
  </si>
  <si>
    <t>Dù cải cách mang lại nhiều lợi ích, nhưng tôi cần thời gian để quen thuộc và tin tưởng vào hiệu quả thực thi của chính sách mới.</t>
  </si>
  <si>
    <t>Biện pháp quản lý thuế được cải cách, tăng mức giảm trừ gia cảnh giúp giảm rủi ro trốn thuế.</t>
  </si>
  <si>
    <t>Công nghệ hiện đại và hệ thống quản lý thuế đã phát triển mạnh mẽ, khả năng phát hiện trốn thuế cao hơn trước đây.</t>
  </si>
  <si>
    <t>Mức giảm trừ gia cảnh tăng giúp đơn giản hóa việc khai báo thuế, quy trình làm việc với cơ quan thuế nhanh chóng hơn.</t>
  </si>
  <si>
    <t>Biểu thuế được đơn giản hóa, bậc thuế ít hơn và mức thuế suất phù hợp hơn, dễ hiểu và dễ thực hiện hơn.</t>
  </si>
  <si>
    <t>Nhà nước đã tăng giảm trừ gia cảnh, thể hiện sự công bằng trong việc đối xử với người nộp thuế.</t>
  </si>
  <si>
    <t>Mức thuế mới được thiết kế sao cho phù hợp với thu nhập của tôi, cảm thấy mức thuế này là hợp lý.</t>
  </si>
  <si>
    <t>Tiền thuế đóng góp vào việc cải thiện dịch vụ công và hạ tầng cơ sở, tin tưởng số tiền thuế được sử dụng hiệu quả.</t>
  </si>
  <si>
    <t>Nhà nước đã tăng cường truyền thông về mục tiêu của chính sách mới, giải thích rõ ràng hơn về lý do thay đổi.</t>
  </si>
  <si>
    <t>Dựa trên mức độ ủng hộ và tuân thủ chính sách, cùng với việc giảm gánh nặng thuế, tôi có xu hướng ủng hộ chính sách mới.</t>
  </si>
  <si>
    <t>Nâng cao mức giảm trừ gia cảnh có thể làm giảm cơ hội trốn thuế, nhưng thực tế phát hiện và xử lý gian lận vẫn phụ thuộc vào hiệu suất của cơ quan thuế.</t>
  </si>
  <si>
    <t>Nguyên tắc công nghệ tiên tiến giúp phát hiện trốn thuế nhanh hơn có thể tăng khả năng phát hiện, nhưng thực tế còn phụ thuộc vào nguồn lực và quản lý.</t>
  </si>
  <si>
    <t>Đơn giản hóa biểu thuế từ 7 bậc xuống 5 bậc có thể làm giảm phức tạp, tuy nhiên quy trình khai báo vẫn cần thời gian để thích ứng.</t>
  </si>
  <si>
    <t>Các bậc thuế mới đơn giản hơn so với trước đây, nhưng việc áp dụng cần sự hiểu biết của người nộp thuế.</t>
  </si>
  <si>
    <t>Mức giảm trừ gia cảnh cao hơn có thể làm tăng niềm tin vào tính công bằng trong chính sách, tuy nhiên, thực thi vẫn phụ thuộc vào các quy định cụ thể.</t>
  </si>
  <si>
    <t>Các bậc thuế mới có vẻ công bằng cho thu nhập trung bình như tôi, nhưng cần xem xét tổng thể về mức độ tuân thủ và hiệu quả.</t>
  </si>
  <si>
    <t>Niềm tin vào việc sử dụng đúng số tiền thuế đóng vào dịch vụ công phụ thuộc vào thực tế, không chỉ lý thuyết.</t>
  </si>
  <si>
    <t>Nhà nước đã giải thích rõ ràng về tăng mức giảm trừ gia cảnh, nhưng thông tin về các thay đổi khác còn hạn chế.</t>
  </si>
  <si>
    <t>Sau khi cân nhắc lợi ích và nghĩa vụ, tôi ủng hộ chính sách mới vì nó phù hợp với thu nhập của tôi. Tuy nhiên, vẫn có sự hoài nghi về thực thi.</t>
  </si>
  <si>
    <t>Biểu thuế đơn giản hóa và mức giảm trừ gia cảnh tăng lên có thể làm giảm động cơ trốn thuế. Tuy nhiên, hiện nay công nghệ phát triển giúp phát hiện hành vi gian lận dễ dàng hơn.</t>
  </si>
  <si>
    <t>Nhà nước đã đầu tư vào công nghệ để phát hiện và xử lý nghiêm các hành vi trốn thuế. Công nghệ AI, hệ thống quản lý thuế điện tử giúp nâng cao hiệu quả kiểm soát thuế.</t>
  </si>
  <si>
    <t>Biểu thuế đơn giản hóa từ 7 bậc xuống còn 5 bậc và mức giảm trừ gia cảnh tăng lên làm cho quy trình khai báo thuế trở nên dễ dàng hơn. Tuy nhiên, vẫn cần thời gian để người dân quen với các thay đổi mới.</t>
  </si>
  <si>
    <t>Cách tính thuế và bậc thuế trong phương án mới đơn giản hóa so với trước đây, giúp người dân dễ dàng hiểu và áp dụng hơn. Điều này làm tăng cảm giác thuận tiện khi thực hiện.</t>
  </si>
  <si>
    <t>Nhà nước đã cải cách biểu thuế để tạo ra sự công bằng hơn giữa các đối tượng nộp thuế. Tuy nhiên, vẫn cần thời gian để mọi người tin tưởng vào cách thực thi chính sách mới.</t>
  </si>
  <si>
    <t>Mức thuế mới theo phương án cải cách có thể hợp lý so với thu nhập của tôi. Việc này tạo ra cảm giác công bằng hơn trong việc phân chia gánh nặng thuế</t>
  </si>
  <si>
    <t>Biểu thuế đơn giản hóa và mức giảm trừ gia cảnh tăng lên tạo điều kiện cho số tiền thuế tôi đóng được sử dụng hiệu quả hơn để cải thiện dịch vụ công. Tuy nhiên, việc thực thi các chính sách này vẫn cần thời gian để mọi người tin tưởng.</t>
  </si>
  <si>
    <t>Nhà nước đã giải thích rõ ràng về mục đích của cải cách thuế lần này. Tuy nhiên, thông điệp truyền đạt chưa sâu sắc như mong muốn</t>
  </si>
  <si>
    <t>Sau khi xem xét các quyền lợi và nghĩa vụ mới, tôi ủng hộ chính sách cải cách thuế lần này. Biểu thuế đơn giản hóa và mức giảm trừ gia cảnh tăng lên tạo điều kiện cho việc tuân thủ.</t>
  </si>
  <si>
    <t>Cải cách thuế thu nhập cá nhân mới có thêm nhiều biện pháp quản lý, bao gồm tăng mức giảm trừ gia cảnh và đơn giản hóa biểu thuế. Điều này làm tăng cơ hội phát hiện gian lận hoặc trốn thuế.</t>
  </si>
  <si>
    <t>Công nghệ ngày càng phát triển giúp nhà nước có nhiều khả năng và công cụ để phát hiện, xử lý các hành vi trốn thuế hiệu quả hơn. Tuy nhiên, thực tế vẫn cần thời gian thích ứng.</t>
  </si>
  <si>
    <t>Mức giảm trừ gia cảnh tăng mạnh cùng với việc đơn giản hóa biểu thuế tạo cảm giác thuận lợi cho người nộp thuế. Các quy định mới dễ dàng hơn so với trước đây</t>
  </si>
  <si>
    <t>Cách tính thuế và các bậc thuế trong phương án mới rõ ràng, dễ hiểu và dễ thực hiện hơn, giúp giảm bớt sự phức tạp.</t>
  </si>
  <si>
    <t>Nhà nước đã cải cách thuế một cách công bằng, tăng mức giảm trừ gia cảnh cho bản thân và người phụ thuộc. Việc này làm tăng niềm tin vào sự công bằng trong việc thực thi chính sách</t>
  </si>
  <si>
    <t>Mức thuế mới được thiết kế nhằm đảm bảo tính công bằng, nhưng vẫn cần thời gian để mọi người hiểu và tiếp nhận. Thu nhập của tôi nằm ở bậc thuế suất thấp hơn trước đây nên mức thuế hợp lý.</t>
  </si>
  <si>
    <t>Nhà nước đã sử dụng hiệu quả số tiền thuế thu được vào các dịch vụ công, nhưng cần thời gian để mọi người nhìn nhận và đánh giá</t>
  </si>
  <si>
    <t>Chính phủ đã giải thích minh bạch về lý do cải cách thuế. Tuy nhiên, cần thêm thông tin cụ thể hơn về mục tiêu chính sách mới.</t>
  </si>
  <si>
    <t>Sau khi xem xét lợi ích từ các quy định mới và cảm giác công bằng, tôi ủng hộ việc tuân thủ chính sách. Tuy nhiên, cần thêm thời gian để hoàn toàn tin tưởng vào hệ thống</t>
  </si>
  <si>
    <t>Mức giảm trừ gia cảnh tăng mạnh, các quy định quản lý thuế có thể phát hiện hành vi gian lận.</t>
  </si>
  <si>
    <t>Công nghệ và hệ thống quản lý thuế đã được cải thiện, khả năng phát hiện trốn thuế cao hơn trước đây.</t>
  </si>
  <si>
    <t>Mức giảm trừ gia cảnh tăng đáng kể, thủ tục khai báo thuế đơn giản hóa, thuận lợi hơn so với trước đây.</t>
  </si>
  <si>
    <t>Mức giảm trừ gia cảnh tăng mạnh, thể hiện sự công bằng đối với người nộp thuế.</t>
  </si>
  <si>
    <t>Thuế suất và ngưỡng chịu thuế được điều chỉnh hợp lý, mức thuế mới có vẻ công bằng cho thu nhập của tôi.</t>
  </si>
  <si>
    <t>Thuế đóng vào ngân sách quốc gia để cải thiện dịch vụ công như y tế, giáo dục và giao thông.</t>
  </si>
  <si>
    <t>Đã có nhiều thông tin giải thích về việc sửa đổi thuế, tuy nhiên vẫn còn nhiều nghi ngờ về sự minh bạch.</t>
  </si>
  <si>
    <t>Sau khi cân nhắc các quyền lợi và nghĩa vụ, tôi thấy chính sách mới mang lại lợi ích và thuận tiện hơn cho người dân.</t>
  </si>
  <si>
    <t>Các quy định quản lý thuế hiện nay có nhiều cải tiến, đặc biệt là giảm trừ gia cảnh và đơn giản hóa biểu thuế. Tuy nhiên, trốn thuế vẫn còn tồn tại do hệ thống giám sát chưa hoàn thiện.</t>
  </si>
  <si>
    <t>Nhà nước đã đầu tư công nghệ để phát hiện gian lận, nhưng trốn thuế vẫn là vấn đề khó giải quyết. Công nghệ giúp tăng khả năng phát hiện nhưng không loại bỏ được hành vi trốn tránh.</t>
  </si>
  <si>
    <t>Các quy trình khai báo thuế và làm việc với cơ quan thuế đã đơn giản hơn, đặc biệt là về giảm trừ gia cảnh. Tuy nhiên, quá trình này vẫn còn phức tạp đối với người dân.</t>
  </si>
  <si>
    <t>Cách tính thuế mới có ít bậc hơn và rõ ràng hơn so với trước đây, giúp người nộp thuế dễ hiểu hơn.</t>
  </si>
  <si>
    <t>Nhà nước đã cải thiện quy định về giảm trừ gia cảnh, tạo sự công bằng cho người thu nhập thấp. Tuy nhiên, vẫn còn nhiều yếu tố gây nghi ngờ về cách thực thi chính sách.</t>
  </si>
  <si>
    <t>Mức thuế mới có thể phù hợp với thu nhập hiện tại của tôi, tạo cảm giác công bằng. Tuy nhiên, việc thực hiện hiệu quả và minh bạch còn cần thời gian để đánh giá.</t>
  </si>
  <si>
    <t>Một số cải tiến về giảm trừ gia cảnh có thể mang lại lợi ích cho người thu nhập thấp. Tuy nhiên, việc sử dụng hiệu quả số tiền thuế đóng vào dịch vụ công vẫn còn nhiều thách thức.</t>
  </si>
  <si>
    <t>Nhà nước đã cải thiện thông tin giải thích về chính sách mới, nhưng mức độ rõ ràng và minh bạch cần được nâng cao hơn.</t>
  </si>
  <si>
    <t>Cải cách thuế tạo ra lợi ích cho người thu nhập thấp. Tuy nhiên, quyết định tuân thủ phụ thuộc nhiều vào việc thực thi hiệu quả và minh bạch chính sách.</t>
  </si>
  <si>
    <t>Luật Thuế TNCN sửa đổi với mức giảm trừ gia cảnh tăng mạnh, giúp giảm gian lận. Cơ sở hạ tầng công nghệ của cơ quan thuế được nâng cấp.</t>
  </si>
  <si>
    <t>Công nghệ hiện đại đã được áp dụng để phát hiện hành vi trốn thuế và xử lý nghiêm minh.</t>
  </si>
  <si>
    <t>Mức giảm trừ gia cảnh tăng, quy trình khai báo thuế đơn giản hơn. Tuy nhiên, người nộp thuế vẫn gặp khó khăn trong việc làm quen với các thay đổi mới.</t>
  </si>
  <si>
    <t>Biểu thuế đơn giản hóa từ 7 bậc thành 5 bậc, giúp dễ hiểu và thực hiện hơn so với trước đây.</t>
  </si>
  <si>
    <t>Mức giảm trừ gia cảnh tăng mạnh, tạo sự công bằng giữa các đối tượng nộp thuế. Cơ quan thuế được yêu cầu tuân thủ quy định khách quan.</t>
  </si>
  <si>
    <t>Lưu ý đến mức thuế mới có thể phù hợp với thu nhập của tôi, tuy nhiên, vẫn cần xem xét tổng thể để đánh giá công bằng.</t>
  </si>
  <si>
    <t>Giảm trừ gia cảnh tăng mạnh và các thay đổi trong biểu thuế giúp số tiền thuế đóng được sử dụng hiệu quả hơn cho dịch vụ công</t>
  </si>
  <si>
    <t>Thông tin về cải cách thuế đã được giải thích rõ ràng, nhưng cần thời gian để người dân tiếp thu và đánh giá.</t>
  </si>
  <si>
    <t>Mức giảm trừ gia cảnh tăng mạnh, tạo lợi ích cho tôi. Tuy nhiên, vẫn còn nghi ngờ về việc thực thi chính sách mới.</t>
  </si>
  <si>
    <t>Những cải cách về thuế TNCN bao gồm việc tăng mức giảm trừ gia cảnh, đơn giản hóa biểu thuế và thay đổi bậc thuế suất. Những cải cách này cho thấy chính phủ đang cố gắng minh bạch hóa quy trình và công bằng hơn trong việc đánh thuế. Tuy nhiên, khả năng phát hiện trốn thuế phụ thuộc nhiều vào công nghệ và nguồn lực của cơ quan thuế.</t>
  </si>
  <si>
    <t>Việc tăng cường công nghệ quản lý thuế như hệ thống điện tử, AI và Big Data cho phép phát hiện hành vi gian lận nhanh chóng hơn. Tuy nhiên, khả năng thực thi vẫn cần sự hỗ trợ từ nguồn lực con người.</t>
  </si>
  <si>
    <t>Biểu thuế được đơn giản hóa và các bậc thuế suất đã thay đổi theo hướng thuận lợi hơn cho người nộp thuế. Điều này làm tăng độ tiện lợi khi khai báo thuế và tương tác với cơ quan thuế.</t>
  </si>
  <si>
    <t>Biểu thuế được đơn giản hóa từ 7 bậc xuống còn 5 bậc, việc này giúp giảm bớt sự phức tạp đối với người nộp thuế. Tuy nhiên, mức thuế mới có thể chưa phù hợp với tất cả các nhóm thu nhập.</t>
  </si>
  <si>
    <t>Những cải cách về thuế đã tăng cường minh bạch và công bằng hơn trong việc đánh giá thu nhập và áp dụng thuế. Tuy nhiên, mức độ tin tưởng còn phụ thuộc vào thực thi chính sách.</t>
  </si>
  <si>
    <t>Mức thuế mới có thể hợp lý với thu nhập của tôi nhưng cần xem xét tổng thể để đánh giá công bằng. Việc tăng giảm trừ gia cảnh cũng mang lại lợi ích đáng kể cho người nộp thuế.</t>
  </si>
  <si>
    <t>Tăng mức giảm trừ gia cảnh và đơn giản hóa biểu thuế tạo ra cơ hội sử dụng số tiền thuế đã đóng vào các dịch vụ công tốt hơn. Tuy nhiên, hiệu quả thực tế phụ thuộc vào quyết định của chính phủ.</t>
  </si>
  <si>
    <t>Các cải cách về thuế đã được thông báo rộng rãi và minh bạch nhưng cần xem xét thêm để đánh giá mức độ thuyết phục.</t>
  </si>
  <si>
    <t>Sau khi cân nhắc các quyền lợi và nghĩa vụ, tôi thấy sự đơn giản hóa quy trình khai thuế có thể tạo ra nhiều thuận lợi cho người nộp thuế. Tuy nhiên, cần xem xét kỹ hơn về mức độ công bằng của chính sách mới.</t>
  </si>
  <si>
    <t>Chính phủ đã tăng cường công nghệ phát hiện gian lận thuế, nhưng mức độ hiệu quả vẫn phụ thuộc vào khả năng thực thi.</t>
  </si>
  <si>
    <t>Công nghệ và nguồn lực của cơ quan thuế được cải thiện, tuy nhiên việc phát hiện trốn thuế cần nhiều yếu tố khác.</t>
  </si>
  <si>
    <t>Mức giảm trừ gia cảnh cao hơn giúp đơn giản hóa quy trình khai báo thuế cho người dân.</t>
  </si>
  <si>
    <t>Biểu thuế được rút gọn, tuy nhiên vẫn cần thời gian để người dân quen với cách tính mới.</t>
  </si>
  <si>
    <t>Mức giảm trừ gia cảnh và biểu thuế mới có thể giúp cải thiện công bằng trong việc thực thi chính sách thuế.</t>
  </si>
  <si>
    <t>Thuế suất mới được thiết kế để hợp lý dựa trên thu nhập, nhưng người dân cần thời gian để cảm thấy thoải mái với thay đổi này.</t>
  </si>
  <si>
    <t>Giảm trừ gia cảnh và biểu thuế mới có thể giúp cải thiện hiệu quả sử dụng nguồn thu thuế vào các dịch vụ công</t>
  </si>
  <si>
    <t>Thông tin giải thích về chính sách thuế chưa thực sự đầy đủ, nhất là đối với người dân không thường xuyên theo dõi thông tin.</t>
  </si>
  <si>
    <t>Chính sách mới có nhiều lợi ích nhưng cần thời gian để người dân hiểu và chấp nhận hoàn toàn</t>
  </si>
  <si>
    <t>Mức giảm trừ gia cảnh tăng, nhưng không rõ liệu công nghệ hiện tại có đủ mạnh để phát hiện trốn thuế hay không.</t>
  </si>
  <si>
    <t>Công nghệ ngày càng tiên tiến, nhưng vẫn phụ thuộc vào nguồn lực và chính sách của Nhà nước.</t>
  </si>
  <si>
    <t>Biểu thuế đơn giản hơn, nhưng quy trình làm việc với cơ quan thuế chưa chắc đã thay đổi nhiều.</t>
  </si>
  <si>
    <t>Cách tính thuế và bậc thuế mới dễ hiểu hơn, giúp giảm phức tạp cho người dân.</t>
  </si>
  <si>
    <t>Nhìn chung, Nhà nước có thể xử lý công bằng, nhưng mức độ thực thi còn phụ thuộc vào nguồn lực.</t>
  </si>
  <si>
    <t>Mức thuế mới đối với thu nhập trung bình hợp lý, tăng niềm tin về tính công bằng.</t>
  </si>
  <si>
    <t>Niềm tin rằng số tiền thuế đóng sẽ được sử dụng hiệu quả vào các dịch vụ công là quan trọng, nhưng chưa rõ ràng.</t>
  </si>
  <si>
    <t>Giải thích về mục tiêu của chính sách mới không đầy đủ, nên có sự hoài nghi về minh bạch.</t>
  </si>
  <si>
    <t>Các quyền lợi và nghĩa vụ rõ ràng hơn so với trước đây, nhưng vẫn còn nhiều yếu tố cần cân nhắc.</t>
  </si>
  <si>
    <t>Mức giảm trừ gia cảnh tăng mạnh, cơ hội trốn thuế ít hơn. Công nghệ hiện đại giúp phát hiện gian lận hiệu quả.</t>
  </si>
  <si>
    <t>Công nghệ tiên tiến và đội ngũ chuyên môn cao của cơ quan thuế có khả năng phát hiện trốn thuế nhanh chóng.</t>
  </si>
  <si>
    <t>Số bậc thuế giảm, quy trình đơn giản hơn, thuận tiện cho người nộp thuế.</t>
  </si>
  <si>
    <t>Biểu thuế đơn giản hóa, dễ hiểu và dễ thực hiện hơn so với trước đây.</t>
  </si>
  <si>
    <t>Giảm trừ gia cảnh tăng, tôi cảm thấy công bằng trong việc đóng thuế. Cơ quan thuế có thể xử lý một cách khách quan.</t>
  </si>
  <si>
    <t>Thuế mới được thiết kế theo mức thu nhập, tôi cho rằng đây là mức hợp lý đối với thu nhập của mình.</t>
  </si>
  <si>
    <t>Giảm trừ gia cảnh tăng mạnh, tôi tin số tiền thuế đóng sẽ được sử dụng hiệu quả để cải thiện dịch vụ công.</t>
  </si>
  <si>
    <t>Đơn giản hóa biểu thuế và giảm trừ gia cảnh, việc giải thích rõ ràng về mục tiêu mới giúp tôi hiểu hơn.</t>
  </si>
  <si>
    <t>Sau khi xem xét các quyền lợi, thu nhập của tôi được giảm trừ nhiều hơn. Tôi ủng hộ và sẽ tuân thủ chính sách mới.</t>
  </si>
  <si>
    <t>Luật Thuế TNCN sửa đổi có các quy định quản lý thuế rõ ràng hơn, giúp phát hiện hành vi gian lận. Công nghệ tiên tiến cũng hỗ trợ việc giám sát hiệu quả.</t>
  </si>
  <si>
    <t>Cơ quan thuế đã đầu tư vào công nghệ để phát hiện và xử lý trốn thuế, tăng cường khả năng quản lý và giám sát.</t>
  </si>
  <si>
    <t>Mức giảm trừ gia cảnh cao hơn giúp đơn giản hóa thủ tục khai báo thuế. Quy trình làm việc với cơ quan thuế trở nên nhanh chóng hơn.</t>
  </si>
  <si>
    <t>Biểu thuế được rút gọn, tạo sự rõ ràng và dễ hiểu cho người nộp thuế, giúp tính toán thuế đơn giản hơn.</t>
  </si>
  <si>
    <t>Mức giảm trừ gia cảnh cao hơn cho thấy Nhà nước đang đối xử công bằng với mọi người. Quy định mới tăng sự tin tưởng vào cơ quan thuế.</t>
  </si>
  <si>
    <t>Thuế suất và ngưỡng chịu thuế được điều chỉnh phù hợp, tạo cảm giác mức thuế đóng là công bằng.</t>
  </si>
  <si>
    <t>Thuê được sử dụng vào các dịch vụ công quan trọng như y tế, giáo dục, giúp tạo niềm tin rằng số tiền đóng đã được dùng hiệu quả.</t>
  </si>
  <si>
    <t>Nhà nước đã giải thích rõ ràng về mục tiêu và lý do của cải cách thuế. Thông điệp này tạo sự minh bạch và tin cậy.</t>
  </si>
  <si>
    <t>Chính sách mới mang lại lợi ích tài chính và đơn giản hóa thủ tục, tăng khả năng tuân thủ. Tuy nhiên, đa nghi về các quy định vẫn còn tồn tại.</t>
  </si>
  <si>
    <t>Chính sách mới tăng giảm trừ gia cảnh và đơn giản hóa biểu thuế, tạo ra sự công bằng hơn. Tuy nhiên, khả năng phát hiện trốn thuế phụ thuộc nhiều vào hiệu quả của hệ thống quản lý thuế.</t>
  </si>
  <si>
    <t>Hệ thống quản lý thuế đang đầu tư công nghệ để tăng cường khả năng giám sát, nhưng không rõ liệu các cơ sở hạ tầng này đã được triển khai đầy đủ hay chưa.</t>
  </si>
  <si>
    <t>Biểu thuế đơn giản hơn và giảm trừ gia cảnh cao hơn tạo ra sự thuận tiện cho người dân. Các quy trình làm việc với cơ quan thuế cũng trở nên dễ dàng hơn.</t>
  </si>
  <si>
    <t>Cách tính thuế mới rõ ràng và dễ hiểu, số bậc thuế giảm đi giúp người nộp thuế không còn cảm thấy bị rối rắm khi khai báo thuế.</t>
  </si>
  <si>
    <t>Nhà nước đã cải thiện cơ sở hạ tầng quản lý thuế, nhưng vẫn cần thời gian để thực thi chính sách một cách công bằng và khách quan đối với mọi người nộp thuế.</t>
  </si>
  <si>
    <t>Mức thuế mới được tính dựa trên thu nhập, tạo ra sự công bằng hơn. Tuy nhiên, mức giảm trừ gia cảnh cho bản thân và người phụ thuộc tăng lên đáng kể, nên có thể coi là hợp lý.</t>
  </si>
  <si>
    <t>Thuế được sử dụng để cải thiện dịch vụ công như y tế, giáo dục và cơ sở hạ tầng. Tuy nhiên, việc thực hiện hiệu quả các dự án này còn phụ thuộc vào sự quản lý và giám sát của Nhà nước.</t>
  </si>
  <si>
    <t>Nhà nước đã cung cấp thông tin về cải cách thuế, nhưng cần thêm thời gian để người dân hiểu rõ mục tiêu và lý do sau lưng những thay đổi này. Hiện tại, tôi vẫn đang chờ đợi thêm thông tin.</t>
  </si>
  <si>
    <t>Chính sách mới tạo ra sự thuận tiện và công bằng hơn cho người nộp thuế. Tôi sẽ tuân thủ vì lợi ích mà chính sách mang lại, nhưng vẫn cần thời gian để có thể hoàn toàn ủng hộ.</t>
  </si>
  <si>
    <t>Cải cách thuế đã tăng giảm trừ gia cảnh, nhưng không đề cập đến khả năng phát hiện gian lận. Công nghệ hiện đại có thể hỗ trợ phát hiện trốn thuế.</t>
  </si>
  <si>
    <t>Nếu áp dụng công nghệ tiên tiến và đào tạo nhân lực kỹ thuật số, nhà nước có thể tăng cường khả năng phát hiện gian lận thuế.</t>
  </si>
  <si>
    <t>Mức giảm trừ gia cảnh cao hơn giúp đơn giản hóa thủ tục khai báo thuế. Ngưỡng chịu thuế cũng được điều chỉnh, tạo thuận lợi cho người nộp thuế.</t>
  </si>
  <si>
    <t>Biểu thuế mới đơn giản hơn so với trước đây, giúp việc tính toán và thực hiện nghĩa vụ thuế dễ dàng hơn.</t>
  </si>
  <si>
    <t>Cải cách thuế đã tăng giảm trừ gia cảnh, tạo cảm giác công bằng. Tuy nhiên, việc thực thi chính sách còn phụ thuộc vào quản lý và giám sát của nhà nước.</t>
  </si>
  <si>
    <t>Mức thu thuế mới dựa trên mức thu nhập hiện tại, nhưng không rõ liệu nó có công bằng so với các quốc gia khác hay không.</t>
  </si>
  <si>
    <t>Thuế được sử dụng để cải thiện dịch vụ công. Tuy nhiên, hiệu quả sử dụng ngân sách cần thời gian để đánh giá.</t>
  </si>
  <si>
    <t>Thông tin về lý do và mục tiêu của việc cải cách thuế chưa rõ ràng enough. Cần nhiều hơn nữa để thuyết phục người dân.</t>
  </si>
  <si>
    <t>Thuế mới giúp giảm gánh nặng, tăng thuận lợi cho người nộp thuế. Tuy nhiên, sự hoài nghi về thực thi chính sách vẫn còn.</t>
  </si>
  <si>
    <t>Việc tăng mức giảm trừ gia cảnh và đơn giản hóa biểu thuế có thể làm giảm rủi ro trốn thuế. Tuy nhiên, việc phát hiện hành vi gian lận vẫn phụ thuộc vào hiệu quả của công nghệ quản lý thuế.</t>
  </si>
  <si>
    <t>Công nghệ và hệ thống quản lý thuế mới có thể tăng khả năng phát hiện trốn thuế. Tuy nhiên, việc thực thi cần sự phối hợp chặt chẽ giữa các cơ quan chức năng.</t>
  </si>
  <si>
    <t>Mức giảm trừ gia cảnh cao hơn và biểu thuế đơn giản hơn có thể làm thủ tục khai báo thuận tiện hơn. Tuy nhiên, quy trình làm việc với cơ quan thuế vẫn cần cải thiện.</t>
  </si>
  <si>
    <t>Biểu thuế mới đơn giản hơn so với trước đây, nhưng mức thuế suất cao hơn cho thu nhập cao có thể gây phức tạp cho người dân hiểu và áp dụng.</t>
  </si>
  <si>
    <t>Nhà nước đã cải thiện các quy định về giảm trừ gia cảnh và biểu thuế, làm tăng niềm tin vào tính công bằng của hệ thống thuế. Tuy nhiên, việc thực thi vẫn cần minh bạch hơn.</t>
  </si>
  <si>
    <t>Mức thuế mới có thể không hợp lý đối với thu nhập như tôi. Việc phân bậc thuế có thể gây hiểu nhầm về tính công bằng.</t>
  </si>
  <si>
    <t>Thuế đóng góp vào dịch vụ công nhưng mức thuế cao cho thu nhập cao có thể làm giảm niềm tin vào hiệu quả sử dụng tiền thuế. Tuy nhiên, cải cách vẫn mang lại lợi ích cho người dân.</t>
  </si>
  <si>
    <t>Nhà nước đã giải thích rõ ràng về cải cách nhưng việc thực thi cần minh bạch hơn để tăng sự tin tưởng của người dân.</t>
  </si>
  <si>
    <t>Tôi ủng hộ cải cách vì giảm trừ gia cảnh cao và biểu thuế đơn giản. Tuy nhiên, mức thuế cho thu nhập cao có thể làm giảm khả năng tuân thủ.</t>
  </si>
  <si>
    <t>Nguyên tắc tăng giảm trừ gia cảnh và số bậc thuế được đơn giản hóa có thể làm giảm cơ hội để trốn thuế, nhưng vẫn cần công nghệ hiện đại để phát hiện.</t>
  </si>
  <si>
    <t>Công nghệ ngày càng tiến bộ giúp kiểm soát tốt hơn hành vi gian lận, đặc biệt là với việc tăng mức giảm trừ gia cảnh và đơn giản hóa biểu thuế.</t>
  </si>
  <si>
    <t>Bậc thuế được đơn giản hóa từ 7 bậc xuống còn 5 bậc, đồng thời có thêm quy định về giảm trừ gia cảnh, tạo thuận lợi cho việc khai báo và làm việc với cơ quan thuế.</t>
  </si>
  <si>
    <t>Biểu thuế được đơn giản hóa từ 7 bậc xuống còn 5 bậc, giúp người dân dễ dàng nắm bắt và áp dụng.</t>
  </si>
  <si>
    <t>Mức giảm trừ gia cảnh tăng lên cùng với việc đơn giản hóa biểu thuế tạo nên sự công bằng hơn trong việc đánh giá thu nhập của cá nhân.</t>
  </si>
  <si>
    <t>Biểu thuế được đơn giản hóa và mức giảm trừ gia cảnh tăng lên, tạo cảm giác rằng mức thuế đóng là hợp lý theo thu nhập hiện tại.</t>
  </si>
  <si>
    <t>Thu nhập của tôi tăng lên nhưng mức thuế đã được điều chỉnh phù hợp hơn, do đó tôi tin số tiền thuế đóng sẽ được sử dụng hiệu quả.</t>
  </si>
  <si>
    <t>Thông tin về sửa đổi thuế được giải thích rõ ràng và minh bạch, làm tăng sự hiểu biết của người dân về chính sách mới.</t>
  </si>
  <si>
    <t>Sau khi xem xét giảm trừ gia cảnh và mức thuế có lợi cho thu nhập hiện tại, tôi cảm thấy mình sẽ tuân thủ chính sách mới.</t>
  </si>
  <si>
    <t>Mức giảm trừ gia cảnh tăng và quy định quản lý thuế chặt chẽ hơn, nhưng không đủ để phát hiện trốn thuế dễ dàng.</t>
  </si>
  <si>
    <t>Công nghệ ngày càng tiên tiến, khả năng phát hiện trốn thuế được cải thiện đáng kể, tuy nhiên còn phụ thuộc vào nguồn lực và chính sách quản lý.</t>
  </si>
  <si>
    <t>Quy trình khai báo thuế đơn giản hơn, giảm bớt rườm rà của trước đây, thuận tiện cho người dân.</t>
  </si>
  <si>
    <t>Bậc thuế được đơn giản hóa từ 7 xuống còn 5 bậc, dễ hiểu và thực hiện hơn so với trước đây.</t>
  </si>
  <si>
    <t>Nhà nước đã tăng giảm trừ gia cảnh, công bằng đối xử giữa các nhóm thu nhập khác nhau, tuy nhiên vẫn có nghi ngại về cách thực thi.</t>
  </si>
  <si>
    <t>Mức thuế mới là hợp lý với thu nhập hiện tại, không quá cao nhưng cũng không quá thấp so với trước đây.</t>
  </si>
  <si>
    <t>Tăng giảm trừ gia cảnh giúp cải thiện dịch vụ công một phần, nhưng vẫn cần thời gian để thấy kết quả rõ ràng.</t>
  </si>
  <si>
    <t>Truyền thông về chính sách mới chưa đủ minh bạch, có nhiều thông tin trái chiều khiến người dân hoài nghi.</t>
  </si>
  <si>
    <t>Mặc dù thuế đã giảm nhưng vẫn còn lo ngại về cách thực thi và công bằng trong việc áp dụng chính sách.</t>
  </si>
  <si>
    <t>Biện pháp quản lý thuế mới đã tăng mức giảm trừ gia cảnh, giúp phát hiện và xử lý hành vi trốn thuế dễ dàng hơn.</t>
  </si>
  <si>
    <t>Công nghệ phát triển, cơ quan thuế có khả năng sử dụng công nghệ để phát hiện gian lận và trốn thuế hiệu quả.</t>
  </si>
  <si>
    <t>Mức giảm trừ gia cảnh cao hơn trước giúp quy trình khai báo đơn giản hơn, nhưng vẫn phức tạp vì nhiều bậc thuế.</t>
  </si>
  <si>
    <t>Biểu thuế được rút gọn, tạo cảm giác rõ ràng và dễ hiểu hơn so với trước đây.</t>
  </si>
  <si>
    <t>Giảm trừ gia cảnh cao hơn giúp tôi tin rằng Nhà nước sẽ đối xử công bằng với mọi người nộp thuế.</t>
  </si>
  <si>
    <t>Thuế suất và ngưỡng chịu thuế mới có thể gây bất lợi cho tôi do mức thu nhập của mình, nhưng vẫn cảm thấy công bằng hơn so với trước đây.</t>
  </si>
  <si>
    <t>Việc cải cách thuế nhằm nâng cao chất lượng dịch vụ công và giảm gánh nặng cho người dân, tăng niềm tin về việc sử dụng tiền thuế hiệu quả.</t>
  </si>
  <si>
    <t>Truyền thông về cải cách thuế không rõ ràng, gây ra sự hoài nghi về mục tiêu của nó. Tuy nhiên, lợi ích tài chính từ mức giảm trừ gia cảnh cao hơn vẫn mang lại niềm tin.</t>
  </si>
  <si>
    <t>Đối với tôi, việc cải cách thuế có thể tạo ra nhiều quyền lợi, nhưng sự phức tạp và hoài nghi về mục tiêu của nó khiến tôi cân nhắc kỹ trước khi tuân thủ.</t>
  </si>
  <si>
    <t>Cải cách thuế TNCN bao gồm việc tăng giảm trừ gia cảnh và đơn giản hóa biểu thuế, đây là các biện pháp nhằm nâng cao tính minh bạch. Tuy nhiên, mức độ phát hiện trốn thuế phụ thuộc vào năng lực và công nghệ của cơ quan thuế. Công nghệ AI có thể giúp tăng cường khả năng phát hiện gian lận.</t>
  </si>
  <si>
    <t>Năng lực của cơ quan thuế đã được cải thiện với việc áp dụng công nghệ, nhưng vẫn cần thời gian để hoàn thiện hệ thống. Công nghệ AI và Big Data có tiềm năng phát hiện trốn thuế hiệu quả hơn.</t>
  </si>
  <si>
    <t>Biểu thuế đơn giản hóa từ 7 bậc xuống còn 5, giảm tải cho người dân khai báo, nhưng quá trình làm việc với cơ quan thuế vẫn phức tạp do cần cung cấp nhiều thông tin.</t>
  </si>
  <si>
    <t>Cách tính thuế đơn giản hơn, giảm số bậc thuế từ 7 xuống 5, tạo cảm giác dễ dàng và minh bạch cho người nộp thuế. Tuy nhiên, vẫn cần thời gian để quen với quy trình mới.</t>
  </si>
  <si>
    <t>Tăng giảm trừ gia cảnh có lợi cho nhiều cá nhân, tạo cảm giác công bằng hơn trong việc đánh thuế. Tuy nhiên, mức độ công tâm còn phụ thuộc vào cách thực thi của cơ quan thuế.</t>
  </si>
  <si>
    <t>Mức thuế mới có thể công bằng đối với người thu nhập trung bình, nhưng chưa chắc chắn cho người thu nhập cao hơn. Cải cách cần thêm thời gian để đánh giá hiệu quả.</t>
  </si>
  <si>
    <t>Tăng giảm trừ gia cảnh và đơn giản hóa biểu thuế tạo cảm giác số tiền thuế đóng được sử dụng hiệu quả cho dịch vụ công, nhưng cần thêm thời gian để thấy kết quả cụ thể.</t>
  </si>
  <si>
    <t>Cải cách thuế đã có sự giải thích rõ ràng về mục tiêu và quyền lợi của người dân. Tuy nhiên, mức độ minh bạch còn phụ thuộc vào thông tin chính thức từ cơ quan thuế.</t>
  </si>
  <si>
    <t>Tăng giảm trừ gia cảnh và đơn giản hóa biểu thuế tạo cảm giác công bằng hơn. Tuy nhiên, vẫn cần thời gian để thấy kết quả thực tế của cải cách và quyết định hành vi dựa trên đánh giá tổng thể.</t>
  </si>
  <si>
    <t>Mức giảm trừ gia cảnh và mức thuế mới có thể làm giảm gánh nặng thuế, tạo niềm tin về sự công bằng. Tuy nhiên, việc phát hiện hành vi trốn thuế vẫn phụ thuộc vào khả năng của cơ quan quản lý.</t>
  </si>
  <si>
    <t>Công nghệ hiện đại có thể giúp cải thiện khả năng phát hiện và xử lý trốn thuế. Tuy nhiên, sự hiệu quả còn phụ thuộc vào việc triển khai và thực thi.</t>
  </si>
  <si>
    <t>Bậc thuế ít hơn và mức giảm trừ gia cảnh cao hơn có thể làm cho quy trình đơn giản hóa và thuận tiện hơn. Tuy nhiên, vẫn cần cải thiện ở một số khía cạnh để tạo sự thoải mái.</t>
  </si>
  <si>
    <t>Biểu thuế mới đơn giản hơn so với trước đây, giúp người nộp thuế dễ dàng tính toán và hiểu rõ hơn về quy định. Tuy nhiên, vẫn cần thêm hướng dẫn chi tiết để nâng cao độ hiểu biết.</t>
  </si>
  <si>
    <t>Niềm tin vào sự công bằng của cơ quan thuế được cải thiện do mức giảm trừ gia cảnh và mức thuế mới. Tuy nhiên, vẫn có nghi ngờ về khả năng thực thi chính sách một cách công bằng.</t>
  </si>
  <si>
    <t>Mức thuế mới dựa trên thu nhập cá nhân có vẻ hợp lý nhưng chưa chắc chắn cao độ tin tưởng do thiếu thông tin rõ ràng về mục tiêu của việc cải cách.</t>
  </si>
  <si>
    <t>Niềm tin rằng số tiền thuế đóng sẽ được sử dụng hiệu quả để cải thiện dịch vụ công đang tăng nhưng chưa chắc chắn cao do không có nhiều thông tin cụ thể về ngân sách và phân bổ.</t>
  </si>
  <si>
    <t>Nhà nước đã giải thích một cách rõ ràng về mục tiêu của việc cải cách nhưng vẫn còn thiếu thông tin về quy trình thực hiện và hiệu quả cuối cùng.</t>
  </si>
  <si>
    <t>Niềm tin tăng do mức thuế mới hợp lý, đơn giản hóa thủ tục. Tuy nhiên, vẫn có nghi ngờ về khả năng tuân thủ chính sách một cách toàn diện do chưa chắc chắn cao về thực thi.</t>
  </si>
  <si>
    <t>Tăng mức giảm trừ gia cảnh và đơn giản hóa quy trình khai báo thuế có thể làm giảm cơ hội trốn thuế. Các quy định quản lý thuế hiện nay dường như đã được cải thiện để phát hiện hành vi gian lận.</t>
  </si>
  <si>
    <t>Công nghệ ngày càng tiên tiến và chính phủ có nguồn lực lớn, nên khả năng phát hiện trốn thuế cũng tăng lên đáng kể. Công nghệ giúp xử lý các vụ việc nhanh chóng và công bằng.</t>
  </si>
  <si>
    <t>Mức giảm trừ gia cảnh cao hơn và số bậc thuế ít hơn có thể làm đơn giản hóa quy trình khai báo. Tuy nhiên, vẫn còn một số thủ tục cần cải thiện để trở nên hoàn toàn tiện lợi.</t>
  </si>
  <si>
    <t>Cách tính thuế mới đơn giản và dễ hiểu hơn so với trước đây. Bậc thuế ít hơn giúp giảm sự phức tạp, nhưng vẫn có thể cần thêm thời gian để quen thuộc với hệ thống mới.</t>
  </si>
  <si>
    <t>Nhà nước đã cải thiện quy định quản lý thuế và mức giảm trừ gia cảnh. Điều này tăng niềm tin rằng các cơ quan sẽ thực thi chính sách công bằng đối với tất cả người nộp thuế.</t>
  </si>
  <si>
    <t>Mức thuế mới có thể coi là công bằng, nhưng vẫn cần thêm thời gian để quen thuộc và kiểm tra tính thực tế của nó. Cần đánh giá kỹ lưỡng về sự công bằng trong quá trình áp dụng.</t>
  </si>
  <si>
    <t>Nhà nước đã giải thích rõ ràng về các thay đổi thuế, nhưng vẫn cần thêm thông tin chi tiết để tăng niềm tin về việc sử dụng hiệu quả số tiền thuế thu được.</t>
  </si>
  <si>
    <t>Trình diễn và giải thích đầy đủ về mục tiêu của cải cách thuế đã làm tăng sự minh bạch, nhưng vẫn cần thêm thông tin để hoàn toàn thuyết phục.</t>
  </si>
  <si>
    <t>Niềm tin vào hệ thống mới cao, mức giảm trừ gia cảnh tốt hơn và việc đơn giản hóa quy trình khai báo thuế có thể tăng khả năng tuân thủ. Tuy nhiên, vẫn cần thêm thời gian để quen với hệ thống mới.</t>
  </si>
  <si>
    <t>Cải cách thuế TNCN mang lại nhiều quyền lợi cho người nộp thuế, giảm gánh nặng về thuế. Điều này tạo niềm tin rằng Nhà nước và cơ quan thuế sẽ có các biện pháp quản lý chặt chẽ để phát hiện hành vi trốn thuế.</t>
  </si>
  <si>
    <t>Công nghệ ngày càng phát triển, cùng với việc cải cách thuế TNCN, các quy định quản lý thuế được cập nhật, giúp phát hiện và xử lý nghiêm các hành vi trốn thuế dễ dàng hơn.</t>
  </si>
  <si>
    <t>Mức giảm trừ gia cảnh tăng đáng kể, cùng với việc đơn giản hóa biểu thuế từ 7 bậc xuống còn 5 bậc, tạo thuận lợi cho quá trình khai báo và làm việc với cơ quan thuế.</t>
  </si>
  <si>
    <t>Một số thay đổi như mức giảm trừ gia cảnh cao hơn và đơn giản hóa biểu thuế giúp người dân dễ hiểu và áp dụng.</t>
  </si>
  <si>
    <t>Người nộp thuế có nhiều quyền lợi từ cải cách, giảm gánh nặng về thuế. Tuy nhiên, việc thực thi chính sách vẫn cần được giám sát chặt chẽ để đảm bảo công bằng và minh bạch.</t>
  </si>
  <si>
    <t>Mức thuế mới có vẻ hợp lý so với thu nhập của tôi. Tuy nhiên, do chưa đầy đủ thông tin về cách áp dụng, nên còn một chút nghi ngờ về tính công bằng.</t>
  </si>
  <si>
    <t>Dù cải cách thuế mang lại quyền lợi cho người nộp thuế, nhưng hiệu quả sử dụng số tiền thuế vẫn cần được đánh giá theo thời gian.</t>
  </si>
  <si>
    <t>Thông tin về cải cách thuế chưa đủ minh bạch và rõ ràng. Tuy nhiên, tôi nhận thấy có sự cải thiện so với trước đây.</t>
  </si>
  <si>
    <t>Sau khi xem xét các quyền lợi từ cải cách thuế, tôi quyết định ủng hộ chính sách mới. Tuy nhiên, việc tuân thủ vẫn cần dựa trên thực tế và kiểm soát của tôi về tình hình thực thi.</t>
  </si>
  <si>
    <t>Hiện nay, các quy định quản lý thuế đã được cải thiện với nhiều biện pháp phát hiện gian lận, nhưng vẫn có nguy cơ trốn thuế nếu người dân không tuân thủ.</t>
  </si>
  <si>
    <t>Nhà nước và cơ quan thuế có công nghệ tiên tiến để phát hiện hành vi trốn thuế, tuy nhiên hiệu quả phụ thuộc vào việc thực thi.</t>
  </si>
  <si>
    <t>Thủ tục khai báo thuế trở nên đơn giản hơn với ít bậc thuế và giảm trừ gia cảnh cao, tạo thuận lợi cho người nộp thuế.</t>
  </si>
  <si>
    <t>Cách tính thuế mới đơn giản hóa các bậc thuế, nhưng vẫn có thể phức tạp đối với những người không am hiểu về thuế.</t>
  </si>
  <si>
    <t>Nhà nước đã cải thiện tính công bằng của thuế thông qua giảm trừ gia cảnh và đơn giản hóa biểu thuế.</t>
  </si>
  <si>
    <t>Mức thuế mới có thể được coi là công bằng đối với thu nhập hiện tại, nhưng vẫn cần thời gian để đánh giá hiệu quả thực tế.</t>
  </si>
  <si>
    <t>Thuế đóng góp vào việc cải thiện dịch vụ công, nhưng hiệu suất sử dụng nguồn thuế còn phụ thuộc vào quản lý và hiệu quả của chính phủ.</t>
  </si>
  <si>
    <t>Nhà nước đã giải thích rõ ràng về mục tiêu cải cách thuế, tuy nhiên thông tin minh bạch cần được duy trì.</t>
  </si>
  <si>
    <t>Sau khi xem xét lợi ích từ giảm trừ gia cảnh và đơn giản hóa quy trình khai báo, tôi ủng hộ chính sách mới nhưng vẫn có sự thận trọng về hiệu quả thực tế.</t>
  </si>
  <si>
    <t>Tăng mức giảm trừ gia cảnh và đơn giản hóa biểu thuế có thể làm giảm rủi ro trốn thuế, nhưng vẫn cần công nghệ phát hiện hiệu quả.</t>
  </si>
  <si>
    <t>Công nghệ hiện nay đã rất phát triển, giúp cơ quan thuế dễ dàng phát hiện và xử lý các hành vi trốn thuế một cách khách quan.</t>
  </si>
  <si>
    <t>Mức giảm trừ gia cảnh tăng và số bậc thuế ít đi nên thủ tục khai báo thuế trở nên đơn giản hơn, tuy nhiên vẫn cần thời gian để người dân quen thuộc với quy trình mới.</t>
  </si>
  <si>
    <t>Biểu thuế được rút gọn từ 7 xuống còn 5 bậc, có thể làm giảm sự phức tạp và dễ hiểu hơn cho người nộp thuế.</t>
  </si>
  <si>
    <t>Nếu mức thuế mới công bằng với thu nhập hiện tại của tôi, thì tôi tin rằng các cơ quan thuế sẽ thực thi chính sách một cách khách quan.</t>
  </si>
  <si>
    <t>Mức thuế mới phù hợp với thu nhập của tôi nên tôi thấy nó là công bằng. Tuy nhiên, tôi vẫn muốn có thêm thông tin về cách sử dụng số tiền thuế này để tăng niềm tin.</t>
  </si>
  <si>
    <t>Nếu Nhà nước giải thích rõ ràng mục tiêu cải cách và sử dụng hiệu quả số tiền thuế thu được, tôi sẽ tin rằng thuế đóng góp vào sự phát triển chung của cộng đồng.</t>
  </si>
  <si>
    <t>Tôi đã xem thông báo chính thức từ cơ quan thuế nhưng vẫn muốn có thêm thông tin chi tiết về mục tiêu và cách thực hiện để cảm thấy hài lòng hơn.</t>
  </si>
  <si>
    <t>Mức thuế mới phù hợp với thu nhập của tôi, thủ tục khai báo thuế trở nên đơn giản hơn. Tuy nhiên, tôi cần thêm thời gian để quen với quy trình mới và tăng niềm tin vào việc sử dụng số tiền thuế.</t>
  </si>
  <si>
    <t>Việc tăng cường quản lý thuế và công nghệ hiện đại giúp phát hiện hành vi trốn thuế dễ dàng hơn, tuy nhiên vẫn có nguy cơ bị lách luật.</t>
  </si>
  <si>
    <t>Công nghệ hiện đại cùng với sự cam kết của cơ quan thuế trong việc chống trốn thuế tạo niềm tin cho người dân.</t>
  </si>
  <si>
    <t>Biểu thuế đơn giản hơn và mức giảm trừ gia cảnh cao hơn giúp quá trình khai báo thuế dễ dàng hơn, nhưng vẫn còn một số thủ tục phức tạp.</t>
  </si>
  <si>
    <t>Cách tính thuế mới rõ ràng hơn so với trước đây, các bậc thuế cũng đơn giản hơn, tạo cảm giác dễ hiểu và dễ thực hiện.</t>
  </si>
  <si>
    <t>Nhà nước đã tăng cường giảm trừ gia cảnh và đơn giản hóa biểu thuế, tạo ra sự công bằng trong việc đánh thuế.</t>
  </si>
  <si>
    <t>Mức thuế mới được thiết kế phù hợp với thu nhập cá nhân hiện tại của tôi, tạo cảm giác công bằng.</t>
  </si>
  <si>
    <t>Việc cải cách thuế giúp tăng cường sự minh bạch và hiệu quả trong sử dụng số tiền thuế đóng góp vào ngân sách nhà nước.</t>
  </si>
  <si>
    <t>Thông tin giải thích về thay đổi thuế đã được cung cấp đầy đủ, tạo niềm tin cho người dân trong việc tuân thủ.</t>
  </si>
  <si>
    <t>Dựa trên mức giảm trừ gia cảnh và cải cách biểu thuế mới, tôi cảm thấy ủng hộ chính sách thuế mới hơn so với trước đây.</t>
  </si>
  <si>
    <t>Biện pháp quản lý thuế được tăng cường, mức giảm trừ gia cảnh và tỷ lệ chịu thuế mới tạo ra rủi ro cao cho các hành vi trốn thuế.</t>
  </si>
  <si>
    <t>Công nghệ hiện đại và cải cách quản lý thuế giúp phát hiện và xử lý nghiêm các vụ trốn thuế hiệu quả hơn.</t>
  </si>
  <si>
    <t>Bậc thuế được đơn giản hóa, quy trình khai báo thuế trở nên thuận tiện hơn so với trước đây.</t>
  </si>
  <si>
    <t>Biểu thuế mới đơn giản hơn, dễ hiểu và thực hiện nhanh chóng hơn so với hệ thống cũ.</t>
  </si>
  <si>
    <t>Mức giảm trừ gia cảnh tăng lên làm cho việc nộp thuế công bằng hơn đối với người thu nhập thấp.</t>
  </si>
  <si>
    <t>Thuế suất mới được thiết kế để đảm bảo tính công bằng dựa trên mức thu nhập, nhưng tôi vẫn có nghi ngờ về cách áp dụng.</t>
  </si>
  <si>
    <t>Mức thuế đóng góp vào cải thiện dịch vụ công, đặc biệt là y tế và giao thông, tạo niềm tin cho việc sử dụng hiệu quả số tiền đóng thuế.</t>
  </si>
  <si>
    <t>Giải thích về mục tiêu của chính sách mới chưa hoàn toàn rõ ràng, nhưng tôi thấy có những cải tiến đáng kể trong quản lý thuế.</t>
  </si>
  <si>
    <t>Thuận lợi từ mức giảm trừ gia cảnh và biểu thuế đơn giản hóa đã tăng sự ủng hộ cho việc tuân thủ chính sách mới.</t>
  </si>
  <si>
    <t>Việc tăng giảm trừ gia cảnh và đơn giản hóa biểu thuế có thể làm giảm rủi ro trốn thuế, nhưng thực tế công nghệ phát hiện vẫn chưa hoàn hảo.</t>
  </si>
  <si>
    <t>Công nghệ hiện nay đã tiến bộ đáng kể trong việc phát hiện trốn thuế, tuy nhiên, vẫn cần sự kiểm tra và giám sát chặt chẽ từ phía cơ quan thuế.</t>
  </si>
  <si>
    <t>Mức giảm trừ gia cảnh tăng lên có thể giúp thủ tục khai báo trở nên đơn giản hơn, nhưng quy trình làm việc với cơ quan thuế vẫn cần cải tiến nhiều hơn.</t>
  </si>
  <si>
    <t>Biểu thuế đơn giản hơn và các bậc thuế rõ ràng hơn tạo cảm giác thuận tiện cho người dân, giảm bớt sự phức tạp trong tính toán.</t>
  </si>
  <si>
    <t>Mức độ công bằng của chính sách đã được cải thiện nhờ việc tăng giảm trừ gia cảnh và đơn giản hóa biểu thuế.</t>
  </si>
  <si>
    <t>Với mức thu nhập hiện tại, tôi thấy mình đóng thuế ở mức hợp lý so với các bậc thuế mới.</t>
  </si>
  <si>
    <t>Tăng giảm trừ gia cảnh và đơn giản hóa biểu thuế có thể giúp số tiền thuế được sử dụng hiệu quả hơn cho công trình công cộng, nhưng cần thêm thời gian để đánh giá.</t>
  </si>
  <si>
    <t>Trải qua nhiều đợt cải cách, tôi thấy thông tin về chính sách mới vẫn chưa đủ minh bạch và thuyết phục.</t>
  </si>
  <si>
    <t>Dù có một số cải tiến nhưng với mức độ nghi ngờ hiện tại, tôi vẫn cần thêm thời gian để xem xét kỹ lưỡng trước khi ủng hộ hoàn toàn.</t>
  </si>
  <si>
    <t>Biện pháp quản lý thuế được tăng cường, với mức giảm trừ gia cảnh cao hơn giúp phát hiện hành vi gian lận hoặc trốn thuế dễ dàng hơn.</t>
  </si>
  <si>
    <t>Công nghệ phát triển giúp Nhà nước và cơ quan thuế có khả năng giám sát chặt chẽ các giao dịch tài chính, từ đó dễ dàng phát hiện và xử lý hành vi trốn thuế.</t>
  </si>
  <si>
    <t>Mức giảm trừ gia cảnh tăng cao hơn, quy trình khai báo đơn giản hóa, giúp thuận tiện cho người nộp thuế.</t>
  </si>
  <si>
    <t>Biểu thuế được đơn giản hóa, số bậc thuế giảm từ 7 xuống còn 5, dễ dàng tính toán và hiểu hơn so với trước đây.</t>
  </si>
  <si>
    <t>Nhà nước đã tăng cường các quy định quản lý thuế, giúp đảm bảo khách quan và công bằng trong việc thực thi chính sách.</t>
  </si>
  <si>
    <t>Mức thuế mới được điều chỉnh phù hợp với thu nhập cá nhân hiện tại, thể hiện tính công bằng.</t>
  </si>
  <si>
    <t>Tăng mức giảm trừ gia cảnh và đơn giản hóa biểu thuế giúp số tiền thuế đóng vào ngân sách nhà nước hiệu quả hơn trong việc cải thiện các dịch vụ công.</t>
  </si>
  <si>
    <t>Nhà nước đã cung cấp thông tin rõ ràng về mức thuế mới, nhưng cần thêm minh bạch và giải thích về mục tiêu của chính sách này.</t>
  </si>
  <si>
    <t>Sau khi xem xét các quyền lợi và nghĩa vụ, tôi thấy chính sách mới giúp giảm gánh nặng tài chính cho người dân, do đó tôi sẵn sàng tuân thủ.</t>
  </si>
  <si>
    <t>Nhìn chung, tôi tin rằng các quy định quản lý thuế hiện nay đã được cải thiện và công nghệ cũng hỗ trợ tốt hơn trong việc phát hiện hành vi gian lận hoặc trốn thuế.</t>
  </si>
  <si>
    <t>Tăng cường công nghệ trong quản lý thuế sẽ giúp Nhà nước và cơ quan thuế có khả năng phát hiện và xử lý nghiêm các hành vi trốn thuế một cách hiệu quả hơn.</t>
  </si>
  <si>
    <t>Các quy trình làm việc với cơ quan thuế đã đơn giản hơn, đặc biệt là với sự giảm số bậc thuế từ 7 xuống còn 5.</t>
  </si>
  <si>
    <t>Biểu thuế mới có ít bậc hơn, do đó tôi thấy cách tính thuế và các bậc thuế trong phương án mới đơn giản và dễ hiểu hơn so với trước đây.</t>
  </si>
  <si>
    <t>Nhìn chung, mức giảm trừ gia cảnh tăng lên cho bản thân và người phụ thuộc giúp tôi cảm thấy chính sách mới công bằng hơn đối với mọi người nộp thuế.</t>
  </si>
  <si>
    <t>Mức thuế theo phương án mới có vẻ hợp lý so với thu nhập của tôi, nhưng cần xem xét hiệu quả sử dụng số tiền này trong các dịch vụ công</t>
  </si>
  <si>
    <t>Tôi tin rằng số tiền thuế mà tôi đóng sẽ được sử dụng một cách hiệu quả để cải thiện các dịch vụ công như y tế, đường xá,... nhưng cần xem xét thực tế.</t>
  </si>
  <si>
    <t>Nhìn chung, Nhà nước đã giải thích rõ ràng về việc sửa đổi thuế này, nhưng vẫn có một số thông tin chưa đủ minh bạch</t>
  </si>
  <si>
    <t>Trước những thay đổi tích cực và sự hỗ trợ từ công nghệ quản lý thuế, tôi sẽ ủng hộ và tuân thủ chính sách mới với điều kiện Nhà nước tiếp tục cải thiện việc giải thích và minh bạch thông tin</t>
  </si>
  <si>
    <t>Các quy định quản lý thuế hiện nay chưa rõ ràng và khó kiểm soát hành vi trốn thuế.</t>
  </si>
  <si>
    <t>Việc áp dụng công nghệ trong phát hiện trốn thuế còn hạn chế, khả năng xử lý vẫn bị giới hạn bởi quy định pháp luật.</t>
  </si>
  <si>
    <t>Mức giảm trừ gia cảnh tăng, nhưng thủ tục khai báo và làm việc với cơ quan thuế không đơn giản hơn nhiều.</t>
  </si>
  <si>
    <t>Biểu thuế được đơn giản hóa, nhưng cách tính thuế vẫn phức tạp đối với người dân thường.</t>
  </si>
  <si>
    <t>Nguyên tắc khách quan và công bằng trong thực thi chính sách chưa rõ ràng, đặc biệt đối với nhóm thu nhập thấp.</t>
  </si>
  <si>
    <t>Mức thuế mới có phần hợp lý so với trước đây, nhưng vẫn cần thời gian để kiểm chứng hiệu quả.</t>
  </si>
  <si>
    <t>Tin tưởng vào việc sử dụng số tiền thuế đóng vào dịch vụ công còn thấp do thiếu minh bạch trong quản lý ngân sách.</t>
  </si>
  <si>
    <t>Việc giải thích về mục tiêu và lý do của chính sách mới chưa đầy đủ, đặc biệt với người dân thường.</t>
  </si>
  <si>
    <t>Sau khi cân nhắc các quyền lợi và nghĩa vụ, quyết định tuân thủ vẫn còn lưỡng lự do nhiều bất ổn trong thực thi.</t>
  </si>
  <si>
    <t>Điều kiện phát hiện và xử lý trốn thuế được cải thiện với mức giảm trừ gia cảnh tăng mạnh, giúp thu nhập cá nhân dễ bị phát hiện. Việc nâng cao công nghệ cũng hỗ trợ trong việc giám sát.</t>
  </si>
  <si>
    <t>Công nghệ hiện đại và quy định quản lý thuế mới có thể phát hiện hành vi trốn thuế hiệu quả hơn, giảm thiểu cơ hội gian lận. Tuy nhiên, vẫn cần cải thiện về khả năng ứng dụng công nghệ.</t>
  </si>
  <si>
    <t>Biểu thuế đơn giản và mức giảm trừ gia cảnh cao giúp thủ tục khai báo thuế dễ dàng hơn so với trước đây, tuy nhiên quy trình làm việc vẫn còn phức tạp.</t>
  </si>
  <si>
    <t>Bậc thuế ít đi và mức giảm trừ gia cảnh tăng lên đơn giản hóa cách tính thuế, nhưng phương án mới chưa tối ưu hóa đến mức dễ hiểu cho tất cả mọi người.</t>
  </si>
  <si>
    <t>Nhà nước cải thiện quy định quản lý thuế, nâng cao công nghệ phát hiện trốn thuế. Tuy nhiên, việc thực thi vẫn cần nhiều cải tiến để đảm bảo khách quan và công bằng.</t>
  </si>
  <si>
    <t>Mức thuế mới được thiết kế dựa trên thu nhập cá nhân nên có tính công bằng hơn so với trước đây. Tuy nhiên, do là người trung bình nên cần thêm thời gian để quen với cách tính.</t>
  </si>
  <si>
    <t>Thuế mới được sử dụng vào các mục đích công ích như y tế và đường xá, tạo niềm tin cho việc sử dụng hiệu quả. Tuy nhiên, còn nhiều thắc mắc về cách sử dụng cụ thể.</t>
  </si>
  <si>
    <t>Các giải thích về chính sách mới chưa rõ ràng và đầy đủ, khiến người dân có cảm giác không được thông tin minh bạch. Tuy nhiên, đã cải thiện so với trước đây.</t>
  </si>
  <si>
    <t>Tăng mức giảm trừ gia cảnh giúp lợi ích cá nhân tăng lên, tạo ra sự ủng hộ. Đánh giá tổng quan về các quyền lợi và nghĩa vụ hiện tại là tích cực, tuy nhiên vẫn cần cải thiện.</t>
  </si>
  <si>
    <t>AI_ENF1_Norm</t>
  </si>
  <si>
    <t>Human_ENF1_Norm</t>
  </si>
  <si>
    <t>AI_ENF2_Norm</t>
  </si>
  <si>
    <t>Human_ENF2_Norm</t>
  </si>
  <si>
    <t>AI_ENF</t>
  </si>
  <si>
    <t>Human_ENF</t>
  </si>
  <si>
    <t>AI_FAC1_Norm</t>
  </si>
  <si>
    <t>Human_FAC1_Norm</t>
  </si>
  <si>
    <t>AI_FAC2_Norm</t>
  </si>
  <si>
    <t>Human_FAC2_Norm</t>
  </si>
  <si>
    <t>AI_FAC</t>
  </si>
  <si>
    <t>Human_FAC</t>
  </si>
  <si>
    <t>AI_TRU1_Norm</t>
  </si>
  <si>
    <t>Human_TRU1_Norm</t>
  </si>
  <si>
    <t>AI_TRU2_Norm</t>
  </si>
  <si>
    <t>Human_TRU2_Norm</t>
  </si>
  <si>
    <t>AI_TRU3_Norm</t>
  </si>
  <si>
    <t>Human_TRU3_Norm</t>
  </si>
  <si>
    <t>AI_TRU4_Norm</t>
  </si>
  <si>
    <t>AI_TRU</t>
  </si>
  <si>
    <t>Human_TRU</t>
  </si>
  <si>
    <t>AI_AIx</t>
  </si>
  <si>
    <t>Human_AIx</t>
  </si>
  <si>
    <t>AI_OUT1_Norm</t>
  </si>
  <si>
    <t>Human_OUT1_Norm</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</si>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</sst>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8" borderId="1" xfId="0" applyFont="1" applyFill="1" applyBorder="1"/>
    <xf numFmtId="10" fontId="0" fillId="0" borderId="1" xfId="0" applyNumberFormat="1" applyBorder="1"/>
    <xf numFmtId="166" fontId="0" fillId="0" borderId="1" xfId="0" applyNumberFormat="1" applyBorder="1"/>
    <xf numFmtId="0" fontId="2" fillId="0" borderId="1" xfId="0" applyFont="1" applyBorder="1" applyAlignment="1">
      <alignment horizontal="center" vertical="center"/>
    </xf>
    <xf numFmtId="0" fontId="3" fillId="0" borderId="1" xfId="0" applyFont="1" applyBorder="1" applyAlignment="1">
      <alignment horizontal="center" vertical="center"/>
    </xf>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uveduvn-my.sharepoint.com/personal/mpp26_duypham_student_fulbright_edu_vn/Documents/FSMPP/18.%20Thesis/Final%20Data/step3_analysis_report_master%20-%20calibration%20-%20Run%201%20-%20Seed%2042.xlsx" TargetMode="External"/><Relationship Id="rId1" Type="http://schemas.openxmlformats.org/officeDocument/2006/relationships/externalLinkPath" Target="step3_analysis_report_master%20-%20calibration%20-%20Run%201%20-%20Seed%20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ep3_calibration"/>
      <sheetName val="survey_responses"/>
      <sheetName val="step3_combined_data"/>
      <sheetName val="Insights"/>
      <sheetName val="AIx"/>
      <sheetName val="EMD"/>
      <sheetName val="SUMMARY_REPORT"/>
      <sheetName val="CM_REPORT"/>
      <sheetName val="CM_ENF1"/>
      <sheetName val="CM_ENF2"/>
      <sheetName val="CM_FAC1"/>
      <sheetName val="CM_FAC2"/>
      <sheetName val="CM_TRU1"/>
      <sheetName val="CM_TRU2"/>
      <sheetName val="CM_TRU3"/>
      <sheetName val="CM_TRU4"/>
      <sheetName val="CM_OUT1"/>
      <sheetName val="step3_analysis_report_master - "/>
    </sheetNames>
    <sheetDataSet>
      <sheetData sheetId="0"/>
      <sheetData sheetId="1"/>
      <sheetData sheetId="2">
        <row r="2">
          <cell r="E2" t="str">
            <v>25 - 29</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2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2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2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2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2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2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2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6"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9"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topLeftCell="AA1" workbookViewId="0">
      <selection activeCell="F2" sqref="F2:AS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197</v>
      </c>
      <c r="C1" t="s">
        <v>38</v>
      </c>
      <c r="D1" t="s">
        <v>169</v>
      </c>
      <c r="E1" t="s">
        <v>40</v>
      </c>
      <c r="F1" t="s">
        <v>41</v>
      </c>
      <c r="G1" t="s">
        <v>42</v>
      </c>
      <c r="H1" t="s">
        <v>43</v>
      </c>
      <c r="I1" t="s">
        <v>44</v>
      </c>
      <c r="J1" t="s">
        <v>170</v>
      </c>
      <c r="K1" t="s">
        <v>46</v>
      </c>
      <c r="L1" t="s">
        <v>171</v>
      </c>
      <c r="M1" t="s">
        <v>172</v>
      </c>
      <c r="N1" t="s">
        <v>49</v>
      </c>
      <c r="O1" t="s">
        <v>173</v>
      </c>
      <c r="P1" t="s">
        <v>174</v>
      </c>
      <c r="Q1" t="s">
        <v>52</v>
      </c>
      <c r="R1" t="s">
        <v>175</v>
      </c>
      <c r="S1" t="s">
        <v>176</v>
      </c>
      <c r="T1" t="s">
        <v>55</v>
      </c>
      <c r="U1" t="s">
        <v>177</v>
      </c>
      <c r="V1" t="s">
        <v>178</v>
      </c>
      <c r="W1" t="s">
        <v>58</v>
      </c>
      <c r="X1" t="s">
        <v>179</v>
      </c>
      <c r="Y1" t="s">
        <v>180</v>
      </c>
      <c r="Z1" t="s">
        <v>61</v>
      </c>
      <c r="AA1" t="s">
        <v>181</v>
      </c>
      <c r="AB1" t="s">
        <v>182</v>
      </c>
      <c r="AC1" t="s">
        <v>64</v>
      </c>
      <c r="AD1" t="s">
        <v>183</v>
      </c>
      <c r="AE1" t="s">
        <v>184</v>
      </c>
      <c r="AF1" t="s">
        <v>67</v>
      </c>
      <c r="AG1" t="s">
        <v>185</v>
      </c>
      <c r="AH1" t="s">
        <v>186</v>
      </c>
      <c r="AI1" t="s">
        <v>70</v>
      </c>
      <c r="AJ1" t="s">
        <v>187</v>
      </c>
      <c r="AK1" t="s">
        <v>47</v>
      </c>
      <c r="AL1" t="s">
        <v>50</v>
      </c>
      <c r="AM1" t="s">
        <v>53</v>
      </c>
      <c r="AN1" t="s">
        <v>56</v>
      </c>
      <c r="AO1" t="s">
        <v>59</v>
      </c>
      <c r="AP1" t="s">
        <v>62</v>
      </c>
      <c r="AQ1" t="s">
        <v>65</v>
      </c>
      <c r="AR1" t="s">
        <v>68</v>
      </c>
      <c r="AS1" t="s">
        <v>71</v>
      </c>
    </row>
    <row r="2" spans="1:45" x14ac:dyDescent="0.45">
      <c r="A2">
        <v>1</v>
      </c>
      <c r="B2">
        <v>12345</v>
      </c>
      <c r="C2" t="s">
        <v>72</v>
      </c>
      <c r="D2" t="s">
        <v>81</v>
      </c>
      <c r="E2" t="s">
        <v>74</v>
      </c>
      <c r="F2" t="s">
        <v>77</v>
      </c>
      <c r="G2" t="s">
        <v>76</v>
      </c>
      <c r="H2">
        <v>13.136680112335849</v>
      </c>
      <c r="I2">
        <v>1</v>
      </c>
      <c r="J2">
        <v>9</v>
      </c>
      <c r="K2">
        <v>10</v>
      </c>
      <c r="L2">
        <v>-1</v>
      </c>
      <c r="M2">
        <v>8</v>
      </c>
      <c r="N2">
        <v>8</v>
      </c>
      <c r="O2">
        <v>0</v>
      </c>
      <c r="P2">
        <v>8</v>
      </c>
      <c r="Q2">
        <v>5</v>
      </c>
      <c r="R2">
        <v>3</v>
      </c>
      <c r="S2">
        <v>7</v>
      </c>
      <c r="T2">
        <v>5</v>
      </c>
      <c r="U2">
        <v>2</v>
      </c>
      <c r="V2">
        <v>7</v>
      </c>
      <c r="W2">
        <v>10</v>
      </c>
      <c r="X2">
        <v>-3</v>
      </c>
      <c r="Y2">
        <v>6</v>
      </c>
      <c r="Z2">
        <v>10</v>
      </c>
      <c r="AA2">
        <v>-4</v>
      </c>
      <c r="AB2">
        <v>7</v>
      </c>
      <c r="AC2">
        <v>10</v>
      </c>
      <c r="AD2">
        <v>-3</v>
      </c>
      <c r="AE2">
        <v>6</v>
      </c>
      <c r="AF2">
        <v>10</v>
      </c>
      <c r="AG2">
        <v>-4</v>
      </c>
      <c r="AH2">
        <v>5</v>
      </c>
      <c r="AI2">
        <v>10</v>
      </c>
      <c r="AJ2">
        <v>-5</v>
      </c>
      <c r="AK2" t="s">
        <v>222</v>
      </c>
      <c r="AL2" t="s">
        <v>223</v>
      </c>
      <c r="AM2" t="s">
        <v>224</v>
      </c>
      <c r="AN2" t="s">
        <v>225</v>
      </c>
      <c r="AO2" t="s">
        <v>226</v>
      </c>
      <c r="AP2" t="s">
        <v>227</v>
      </c>
      <c r="AQ2" t="s">
        <v>228</v>
      </c>
      <c r="AR2" t="s">
        <v>229</v>
      </c>
      <c r="AS2" t="s">
        <v>230</v>
      </c>
    </row>
    <row r="3" spans="1:45" x14ac:dyDescent="0.45">
      <c r="A3">
        <v>2</v>
      </c>
      <c r="B3">
        <v>12346</v>
      </c>
      <c r="C3" t="s">
        <v>72</v>
      </c>
      <c r="D3" t="s">
        <v>81</v>
      </c>
      <c r="E3" t="s">
        <v>74</v>
      </c>
      <c r="F3" t="s">
        <v>77</v>
      </c>
      <c r="G3" t="s">
        <v>76</v>
      </c>
      <c r="H3">
        <v>14.367362109435824</v>
      </c>
      <c r="I3">
        <v>0</v>
      </c>
      <c r="J3">
        <v>7</v>
      </c>
      <c r="K3">
        <v>8</v>
      </c>
      <c r="L3">
        <v>-1</v>
      </c>
      <c r="M3">
        <v>8</v>
      </c>
      <c r="N3">
        <v>8</v>
      </c>
      <c r="O3">
        <v>0</v>
      </c>
      <c r="P3">
        <v>6</v>
      </c>
      <c r="Q3">
        <v>6</v>
      </c>
      <c r="R3">
        <v>0</v>
      </c>
      <c r="S3">
        <v>7</v>
      </c>
      <c r="T3">
        <v>9</v>
      </c>
      <c r="U3">
        <v>-2</v>
      </c>
      <c r="V3">
        <v>8</v>
      </c>
      <c r="W3">
        <v>10</v>
      </c>
      <c r="X3">
        <v>-2</v>
      </c>
      <c r="Y3">
        <v>7</v>
      </c>
      <c r="Z3">
        <v>9</v>
      </c>
      <c r="AA3">
        <v>-2</v>
      </c>
      <c r="AB3">
        <v>6</v>
      </c>
      <c r="AC3">
        <v>8</v>
      </c>
      <c r="AD3">
        <v>-2</v>
      </c>
      <c r="AE3">
        <v>7</v>
      </c>
      <c r="AF3">
        <v>9</v>
      </c>
      <c r="AG3">
        <v>-2</v>
      </c>
      <c r="AH3">
        <v>8</v>
      </c>
      <c r="AI3">
        <v>10</v>
      </c>
      <c r="AJ3">
        <v>-2</v>
      </c>
      <c r="AK3" t="s">
        <v>231</v>
      </c>
      <c r="AL3" t="s">
        <v>232</v>
      </c>
      <c r="AM3" t="s">
        <v>233</v>
      </c>
      <c r="AN3" t="s">
        <v>234</v>
      </c>
      <c r="AO3" t="s">
        <v>235</v>
      </c>
      <c r="AP3" t="s">
        <v>236</v>
      </c>
      <c r="AQ3" t="s">
        <v>237</v>
      </c>
      <c r="AR3" t="s">
        <v>238</v>
      </c>
      <c r="AS3" t="s">
        <v>239</v>
      </c>
    </row>
    <row r="4" spans="1:45" x14ac:dyDescent="0.45">
      <c r="A4">
        <v>3</v>
      </c>
      <c r="B4">
        <v>12347</v>
      </c>
      <c r="C4" t="s">
        <v>78</v>
      </c>
      <c r="D4" t="s">
        <v>79</v>
      </c>
      <c r="E4" t="s">
        <v>74</v>
      </c>
      <c r="F4" t="s">
        <v>75</v>
      </c>
      <c r="G4" t="s">
        <v>76</v>
      </c>
      <c r="H4">
        <v>68.743161446629699</v>
      </c>
      <c r="I4">
        <v>3</v>
      </c>
      <c r="J4">
        <v>7</v>
      </c>
      <c r="K4">
        <v>6</v>
      </c>
      <c r="L4">
        <v>1</v>
      </c>
      <c r="M4">
        <v>6</v>
      </c>
      <c r="N4">
        <v>5</v>
      </c>
      <c r="O4">
        <v>1</v>
      </c>
      <c r="P4">
        <v>8</v>
      </c>
      <c r="Q4">
        <v>4</v>
      </c>
      <c r="R4">
        <v>4</v>
      </c>
      <c r="S4">
        <v>7</v>
      </c>
      <c r="T4">
        <v>5</v>
      </c>
      <c r="U4">
        <v>2</v>
      </c>
      <c r="V4">
        <v>8</v>
      </c>
      <c r="W4">
        <v>4</v>
      </c>
      <c r="X4">
        <v>4</v>
      </c>
      <c r="Y4">
        <v>7</v>
      </c>
      <c r="Z4">
        <v>4</v>
      </c>
      <c r="AA4">
        <v>3</v>
      </c>
      <c r="AB4">
        <v>8</v>
      </c>
      <c r="AC4">
        <v>4</v>
      </c>
      <c r="AD4">
        <v>4</v>
      </c>
      <c r="AE4">
        <v>7</v>
      </c>
      <c r="AF4">
        <v>10</v>
      </c>
      <c r="AG4">
        <v>-3</v>
      </c>
      <c r="AH4">
        <v>8</v>
      </c>
      <c r="AI4">
        <v>4</v>
      </c>
      <c r="AJ4">
        <v>4</v>
      </c>
      <c r="AK4" t="s">
        <v>240</v>
      </c>
      <c r="AL4" t="s">
        <v>241</v>
      </c>
      <c r="AM4" t="s">
        <v>242</v>
      </c>
      <c r="AN4" t="s">
        <v>243</v>
      </c>
      <c r="AO4" t="s">
        <v>244</v>
      </c>
      <c r="AP4" t="s">
        <v>245</v>
      </c>
      <c r="AQ4" t="s">
        <v>246</v>
      </c>
      <c r="AR4" t="s">
        <v>247</v>
      </c>
      <c r="AS4" t="s">
        <v>248</v>
      </c>
    </row>
    <row r="5" spans="1:45" x14ac:dyDescent="0.45">
      <c r="A5">
        <v>4</v>
      </c>
      <c r="B5">
        <v>12348</v>
      </c>
      <c r="C5" t="s">
        <v>72</v>
      </c>
      <c r="D5" t="s">
        <v>188</v>
      </c>
      <c r="E5" t="s">
        <v>74</v>
      </c>
      <c r="F5" t="s">
        <v>77</v>
      </c>
      <c r="G5" t="s">
        <v>76</v>
      </c>
      <c r="H5">
        <v>12</v>
      </c>
      <c r="I5">
        <v>0</v>
      </c>
      <c r="J5">
        <v>7</v>
      </c>
      <c r="K5">
        <v>10</v>
      </c>
      <c r="L5">
        <v>-3</v>
      </c>
      <c r="M5">
        <v>8</v>
      </c>
      <c r="N5">
        <v>10</v>
      </c>
      <c r="O5">
        <v>-2</v>
      </c>
      <c r="P5">
        <v>8</v>
      </c>
      <c r="Q5">
        <v>8</v>
      </c>
      <c r="R5">
        <v>0</v>
      </c>
      <c r="S5">
        <v>9</v>
      </c>
      <c r="T5">
        <v>9</v>
      </c>
      <c r="U5">
        <v>0</v>
      </c>
      <c r="V5">
        <v>7</v>
      </c>
      <c r="W5">
        <v>9</v>
      </c>
      <c r="X5">
        <v>-2</v>
      </c>
      <c r="Y5">
        <v>7</v>
      </c>
      <c r="Z5">
        <v>7</v>
      </c>
      <c r="AA5">
        <v>0</v>
      </c>
      <c r="AB5">
        <v>6</v>
      </c>
      <c r="AC5">
        <v>10</v>
      </c>
      <c r="AD5">
        <v>-4</v>
      </c>
      <c r="AE5">
        <v>7</v>
      </c>
      <c r="AF5">
        <v>7</v>
      </c>
      <c r="AG5">
        <v>0</v>
      </c>
      <c r="AH5">
        <v>8</v>
      </c>
      <c r="AI5">
        <v>10</v>
      </c>
      <c r="AJ5">
        <v>-2</v>
      </c>
      <c r="AK5" t="s">
        <v>249</v>
      </c>
      <c r="AL5" t="s">
        <v>250</v>
      </c>
      <c r="AM5" t="s">
        <v>251</v>
      </c>
      <c r="AN5" t="s">
        <v>252</v>
      </c>
      <c r="AO5" t="s">
        <v>253</v>
      </c>
      <c r="AP5" t="s">
        <v>254</v>
      </c>
      <c r="AQ5" t="s">
        <v>255</v>
      </c>
      <c r="AR5" t="s">
        <v>256</v>
      </c>
      <c r="AS5" t="s">
        <v>257</v>
      </c>
    </row>
    <row r="6" spans="1:45" x14ac:dyDescent="0.45">
      <c r="A6">
        <v>5</v>
      </c>
      <c r="B6">
        <v>12349</v>
      </c>
      <c r="C6" t="s">
        <v>72</v>
      </c>
      <c r="D6" t="s">
        <v>81</v>
      </c>
      <c r="E6" t="s">
        <v>74</v>
      </c>
      <c r="F6" t="s">
        <v>77</v>
      </c>
      <c r="G6" t="s">
        <v>76</v>
      </c>
      <c r="H6">
        <v>12</v>
      </c>
      <c r="I6">
        <v>0</v>
      </c>
      <c r="J6">
        <v>6</v>
      </c>
      <c r="K6">
        <v>9</v>
      </c>
      <c r="L6">
        <v>-3</v>
      </c>
      <c r="M6">
        <v>8</v>
      </c>
      <c r="N6">
        <v>9</v>
      </c>
      <c r="O6">
        <v>-1</v>
      </c>
      <c r="P6">
        <v>9</v>
      </c>
      <c r="Q6">
        <v>10</v>
      </c>
      <c r="R6">
        <v>-1</v>
      </c>
      <c r="S6">
        <v>7</v>
      </c>
      <c r="T6">
        <v>9</v>
      </c>
      <c r="U6">
        <v>-2</v>
      </c>
      <c r="V6">
        <v>7</v>
      </c>
      <c r="W6">
        <v>9</v>
      </c>
      <c r="X6">
        <v>-2</v>
      </c>
      <c r="Y6">
        <v>8</v>
      </c>
      <c r="Z6">
        <v>9</v>
      </c>
      <c r="AA6">
        <v>-1</v>
      </c>
      <c r="AB6">
        <v>7</v>
      </c>
      <c r="AC6">
        <v>9</v>
      </c>
      <c r="AD6">
        <v>-2</v>
      </c>
      <c r="AE6">
        <v>5</v>
      </c>
      <c r="AF6">
        <v>9</v>
      </c>
      <c r="AG6">
        <v>-4</v>
      </c>
      <c r="AH6">
        <v>4</v>
      </c>
      <c r="AI6">
        <v>9</v>
      </c>
      <c r="AJ6">
        <v>-5</v>
      </c>
      <c r="AK6" t="s">
        <v>258</v>
      </c>
      <c r="AL6" t="s">
        <v>259</v>
      </c>
      <c r="AM6" t="s">
        <v>260</v>
      </c>
      <c r="AN6" t="s">
        <v>261</v>
      </c>
      <c r="AO6" t="s">
        <v>262</v>
      </c>
      <c r="AP6" t="s">
        <v>263</v>
      </c>
      <c r="AQ6" t="s">
        <v>264</v>
      </c>
      <c r="AR6" t="s">
        <v>265</v>
      </c>
      <c r="AS6" t="s">
        <v>266</v>
      </c>
    </row>
    <row r="7" spans="1:45" x14ac:dyDescent="0.45">
      <c r="A7">
        <v>6</v>
      </c>
      <c r="B7">
        <v>12350</v>
      </c>
      <c r="C7" t="s">
        <v>72</v>
      </c>
      <c r="D7" t="s">
        <v>73</v>
      </c>
      <c r="E7" t="s">
        <v>74</v>
      </c>
      <c r="F7" t="s">
        <v>75</v>
      </c>
      <c r="G7" t="s">
        <v>76</v>
      </c>
      <c r="H7">
        <v>100.9242271447424</v>
      </c>
      <c r="I7">
        <v>4</v>
      </c>
      <c r="J7">
        <v>6</v>
      </c>
      <c r="K7">
        <v>8</v>
      </c>
      <c r="L7">
        <v>-2</v>
      </c>
      <c r="M7">
        <v>6</v>
      </c>
      <c r="N7">
        <v>8</v>
      </c>
      <c r="O7">
        <v>-2</v>
      </c>
      <c r="P7">
        <v>7</v>
      </c>
      <c r="Q7">
        <v>5</v>
      </c>
      <c r="R7">
        <v>2</v>
      </c>
      <c r="S7">
        <v>8</v>
      </c>
      <c r="T7">
        <v>8</v>
      </c>
      <c r="U7">
        <v>0</v>
      </c>
      <c r="V7">
        <v>7</v>
      </c>
      <c r="W7">
        <v>6</v>
      </c>
      <c r="X7">
        <v>1</v>
      </c>
      <c r="Y7">
        <v>6</v>
      </c>
      <c r="Z7">
        <v>6</v>
      </c>
      <c r="AA7">
        <v>0</v>
      </c>
      <c r="AB7">
        <v>5</v>
      </c>
      <c r="AC7">
        <v>4</v>
      </c>
      <c r="AD7">
        <v>1</v>
      </c>
      <c r="AE7">
        <v>4</v>
      </c>
      <c r="AF7">
        <v>5</v>
      </c>
      <c r="AG7">
        <v>-1</v>
      </c>
      <c r="AH7">
        <v>5</v>
      </c>
      <c r="AI7">
        <v>6</v>
      </c>
      <c r="AJ7">
        <v>-1</v>
      </c>
      <c r="AK7" t="s">
        <v>267</v>
      </c>
      <c r="AL7" t="s">
        <v>268</v>
      </c>
      <c r="AM7" t="s">
        <v>269</v>
      </c>
      <c r="AN7" t="s">
        <v>270</v>
      </c>
      <c r="AO7" t="s">
        <v>271</v>
      </c>
      <c r="AP7" t="s">
        <v>272</v>
      </c>
      <c r="AQ7" t="s">
        <v>273</v>
      </c>
      <c r="AR7" t="s">
        <v>274</v>
      </c>
      <c r="AS7" t="s">
        <v>275</v>
      </c>
    </row>
    <row r="8" spans="1:45" x14ac:dyDescent="0.45">
      <c r="A8">
        <v>7</v>
      </c>
      <c r="B8">
        <v>12351</v>
      </c>
      <c r="C8" t="s">
        <v>72</v>
      </c>
      <c r="D8" t="s">
        <v>73</v>
      </c>
      <c r="E8" t="s">
        <v>74</v>
      </c>
      <c r="F8" t="s">
        <v>77</v>
      </c>
      <c r="G8" t="s">
        <v>76</v>
      </c>
      <c r="H8">
        <v>18.691318692838557</v>
      </c>
      <c r="I8">
        <v>2</v>
      </c>
      <c r="J8">
        <v>7</v>
      </c>
      <c r="K8">
        <v>5</v>
      </c>
      <c r="L8">
        <v>2</v>
      </c>
      <c r="M8">
        <v>8</v>
      </c>
      <c r="N8">
        <v>4</v>
      </c>
      <c r="O8">
        <v>4</v>
      </c>
      <c r="P8">
        <v>6</v>
      </c>
      <c r="Q8">
        <v>4</v>
      </c>
      <c r="R8">
        <v>2</v>
      </c>
      <c r="S8">
        <v>5</v>
      </c>
      <c r="T8">
        <v>6</v>
      </c>
      <c r="U8">
        <v>-1</v>
      </c>
      <c r="V8">
        <v>8</v>
      </c>
      <c r="W8">
        <v>6</v>
      </c>
      <c r="X8">
        <v>2</v>
      </c>
      <c r="Y8">
        <v>6</v>
      </c>
      <c r="Z8">
        <v>7</v>
      </c>
      <c r="AA8">
        <v>-1</v>
      </c>
      <c r="AB8">
        <v>7</v>
      </c>
      <c r="AC8">
        <v>2</v>
      </c>
      <c r="AD8">
        <v>5</v>
      </c>
      <c r="AE8">
        <v>5</v>
      </c>
      <c r="AF8">
        <v>4</v>
      </c>
      <c r="AG8">
        <v>1</v>
      </c>
      <c r="AH8">
        <v>7</v>
      </c>
      <c r="AI8">
        <v>4</v>
      </c>
      <c r="AJ8">
        <v>3</v>
      </c>
      <c r="AK8" t="s">
        <v>276</v>
      </c>
      <c r="AL8" t="s">
        <v>277</v>
      </c>
      <c r="AM8" t="s">
        <v>278</v>
      </c>
      <c r="AN8" t="s">
        <v>279</v>
      </c>
      <c r="AO8" t="s">
        <v>280</v>
      </c>
      <c r="AP8" t="s">
        <v>281</v>
      </c>
      <c r="AQ8" t="s">
        <v>282</v>
      </c>
      <c r="AR8" t="s">
        <v>283</v>
      </c>
      <c r="AS8" t="s">
        <v>284</v>
      </c>
    </row>
    <row r="9" spans="1:45" x14ac:dyDescent="0.45">
      <c r="A9">
        <v>8</v>
      </c>
      <c r="B9">
        <v>12352</v>
      </c>
      <c r="C9" t="s">
        <v>78</v>
      </c>
      <c r="D9" t="s">
        <v>79</v>
      </c>
      <c r="E9" t="s">
        <v>74</v>
      </c>
      <c r="F9" t="s">
        <v>75</v>
      </c>
      <c r="G9" t="s">
        <v>76</v>
      </c>
      <c r="H9">
        <v>12</v>
      </c>
      <c r="I9">
        <v>2</v>
      </c>
      <c r="J9">
        <v>8</v>
      </c>
      <c r="K9">
        <v>1</v>
      </c>
      <c r="L9">
        <v>7</v>
      </c>
      <c r="M9">
        <v>7</v>
      </c>
      <c r="N9">
        <v>1</v>
      </c>
      <c r="O9">
        <v>6</v>
      </c>
      <c r="P9">
        <v>9</v>
      </c>
      <c r="Q9">
        <v>2</v>
      </c>
      <c r="R9">
        <v>7</v>
      </c>
      <c r="S9">
        <v>8</v>
      </c>
      <c r="T9">
        <v>3</v>
      </c>
      <c r="U9">
        <v>5</v>
      </c>
      <c r="V9">
        <v>7</v>
      </c>
      <c r="W9">
        <v>6</v>
      </c>
      <c r="X9">
        <v>1</v>
      </c>
      <c r="Y9">
        <v>6</v>
      </c>
      <c r="Z9">
        <v>2</v>
      </c>
      <c r="AA9">
        <v>4</v>
      </c>
      <c r="AB9">
        <v>7</v>
      </c>
      <c r="AC9">
        <v>7</v>
      </c>
      <c r="AD9">
        <v>0</v>
      </c>
      <c r="AE9">
        <v>6</v>
      </c>
      <c r="AF9">
        <v>3</v>
      </c>
      <c r="AG9">
        <v>3</v>
      </c>
      <c r="AH9">
        <v>7</v>
      </c>
      <c r="AI9">
        <v>3</v>
      </c>
      <c r="AJ9">
        <v>4</v>
      </c>
      <c r="AK9" t="s">
        <v>285</v>
      </c>
      <c r="AL9" t="s">
        <v>286</v>
      </c>
      <c r="AM9" t="s">
        <v>287</v>
      </c>
      <c r="AN9" t="s">
        <v>288</v>
      </c>
      <c r="AO9" t="s">
        <v>289</v>
      </c>
      <c r="AP9" t="s">
        <v>290</v>
      </c>
      <c r="AQ9" t="s">
        <v>291</v>
      </c>
      <c r="AR9" t="s">
        <v>292</v>
      </c>
      <c r="AS9" t="s">
        <v>293</v>
      </c>
    </row>
    <row r="10" spans="1:45" x14ac:dyDescent="0.45">
      <c r="A10">
        <v>9</v>
      </c>
      <c r="B10">
        <v>12353</v>
      </c>
      <c r="C10" t="s">
        <v>72</v>
      </c>
      <c r="D10" t="s">
        <v>81</v>
      </c>
      <c r="E10" t="s">
        <v>80</v>
      </c>
      <c r="F10" t="s">
        <v>77</v>
      </c>
      <c r="G10" t="s">
        <v>161</v>
      </c>
      <c r="H10">
        <v>14.325396151387569</v>
      </c>
      <c r="I10">
        <v>1</v>
      </c>
      <c r="J10">
        <v>7</v>
      </c>
      <c r="K10">
        <v>10</v>
      </c>
      <c r="L10">
        <v>-3</v>
      </c>
      <c r="M10">
        <v>6</v>
      </c>
      <c r="N10">
        <v>10</v>
      </c>
      <c r="O10">
        <v>-4</v>
      </c>
      <c r="P10">
        <v>8</v>
      </c>
      <c r="Q10">
        <v>8</v>
      </c>
      <c r="R10">
        <v>0</v>
      </c>
      <c r="S10">
        <v>7</v>
      </c>
      <c r="T10">
        <v>7</v>
      </c>
      <c r="U10">
        <v>0</v>
      </c>
      <c r="V10">
        <v>8</v>
      </c>
      <c r="W10">
        <v>7</v>
      </c>
      <c r="X10">
        <v>1</v>
      </c>
      <c r="Y10">
        <v>6</v>
      </c>
      <c r="Z10">
        <v>5</v>
      </c>
      <c r="AA10">
        <v>1</v>
      </c>
      <c r="AB10">
        <v>7</v>
      </c>
      <c r="AC10">
        <v>5</v>
      </c>
      <c r="AD10">
        <v>2</v>
      </c>
      <c r="AE10">
        <v>5</v>
      </c>
      <c r="AF10">
        <v>9</v>
      </c>
      <c r="AG10">
        <v>-4</v>
      </c>
      <c r="AH10">
        <v>7</v>
      </c>
      <c r="AI10">
        <v>8</v>
      </c>
      <c r="AJ10">
        <v>-1</v>
      </c>
      <c r="AK10" t="s">
        <v>294</v>
      </c>
      <c r="AL10" t="s">
        <v>295</v>
      </c>
      <c r="AM10" t="s">
        <v>296</v>
      </c>
      <c r="AN10" t="s">
        <v>297</v>
      </c>
      <c r="AO10" t="s">
        <v>298</v>
      </c>
      <c r="AP10" t="s">
        <v>299</v>
      </c>
      <c r="AQ10" t="s">
        <v>300</v>
      </c>
      <c r="AR10" t="s">
        <v>301</v>
      </c>
      <c r="AS10" t="s">
        <v>302</v>
      </c>
    </row>
    <row r="11" spans="1:45" x14ac:dyDescent="0.45">
      <c r="A11">
        <v>10</v>
      </c>
      <c r="B11">
        <v>12354</v>
      </c>
      <c r="C11" t="s">
        <v>72</v>
      </c>
      <c r="D11" t="s">
        <v>81</v>
      </c>
      <c r="E11" t="s">
        <v>74</v>
      </c>
      <c r="F11" t="s">
        <v>77</v>
      </c>
      <c r="G11" t="s">
        <v>76</v>
      </c>
      <c r="H11">
        <v>19.914375440519994</v>
      </c>
      <c r="I11">
        <v>0</v>
      </c>
      <c r="J11">
        <v>7</v>
      </c>
      <c r="K11">
        <v>7</v>
      </c>
      <c r="L11">
        <v>0</v>
      </c>
      <c r="M11">
        <v>8</v>
      </c>
      <c r="N11">
        <v>10</v>
      </c>
      <c r="O11">
        <v>-2</v>
      </c>
      <c r="P11">
        <v>9</v>
      </c>
      <c r="Q11">
        <v>1</v>
      </c>
      <c r="R11">
        <v>8</v>
      </c>
      <c r="S11">
        <v>8</v>
      </c>
      <c r="T11">
        <v>5</v>
      </c>
      <c r="U11">
        <v>3</v>
      </c>
      <c r="V11">
        <v>7</v>
      </c>
      <c r="W11">
        <v>8</v>
      </c>
      <c r="X11">
        <v>-1</v>
      </c>
      <c r="Y11">
        <v>6</v>
      </c>
      <c r="Z11">
        <v>5</v>
      </c>
      <c r="AA11">
        <v>1</v>
      </c>
      <c r="AB11">
        <v>5</v>
      </c>
      <c r="AC11">
        <v>5</v>
      </c>
      <c r="AD11">
        <v>0</v>
      </c>
      <c r="AE11">
        <v>5</v>
      </c>
      <c r="AF11">
        <v>5</v>
      </c>
      <c r="AG11">
        <v>0</v>
      </c>
      <c r="AH11">
        <v>6</v>
      </c>
      <c r="AI11">
        <v>10</v>
      </c>
      <c r="AJ11">
        <v>-4</v>
      </c>
      <c r="AK11" t="s">
        <v>303</v>
      </c>
      <c r="AL11" t="s">
        <v>304</v>
      </c>
      <c r="AM11" t="s">
        <v>305</v>
      </c>
      <c r="AN11" t="s">
        <v>306</v>
      </c>
      <c r="AO11" t="s">
        <v>307</v>
      </c>
      <c r="AP11" t="s">
        <v>308</v>
      </c>
      <c r="AQ11" t="s">
        <v>309</v>
      </c>
      <c r="AR11" t="s">
        <v>310</v>
      </c>
      <c r="AS11" t="s">
        <v>311</v>
      </c>
    </row>
    <row r="12" spans="1:45" x14ac:dyDescent="0.45">
      <c r="A12">
        <v>11</v>
      </c>
      <c r="B12">
        <v>12355</v>
      </c>
      <c r="C12" t="s">
        <v>78</v>
      </c>
      <c r="D12" t="s">
        <v>73</v>
      </c>
      <c r="E12" t="s">
        <v>74</v>
      </c>
      <c r="F12" t="s">
        <v>75</v>
      </c>
      <c r="G12" t="s">
        <v>161</v>
      </c>
      <c r="H12">
        <v>42.066556778740022</v>
      </c>
      <c r="I12">
        <v>4</v>
      </c>
      <c r="J12">
        <v>7</v>
      </c>
      <c r="K12">
        <v>10</v>
      </c>
      <c r="L12">
        <v>-3</v>
      </c>
      <c r="M12">
        <v>8</v>
      </c>
      <c r="N12">
        <v>3</v>
      </c>
      <c r="O12">
        <v>5</v>
      </c>
      <c r="P12">
        <v>6</v>
      </c>
      <c r="Q12">
        <v>1</v>
      </c>
      <c r="R12">
        <v>5</v>
      </c>
      <c r="S12">
        <v>7</v>
      </c>
      <c r="T12">
        <v>7</v>
      </c>
      <c r="U12">
        <v>0</v>
      </c>
      <c r="V12">
        <v>8</v>
      </c>
      <c r="W12">
        <v>1</v>
      </c>
      <c r="X12">
        <v>7</v>
      </c>
      <c r="Y12">
        <v>7</v>
      </c>
      <c r="Z12">
        <v>5</v>
      </c>
      <c r="AA12">
        <v>2</v>
      </c>
      <c r="AB12">
        <v>8</v>
      </c>
      <c r="AC12">
        <v>1</v>
      </c>
      <c r="AD12">
        <v>7</v>
      </c>
      <c r="AE12">
        <v>6</v>
      </c>
      <c r="AF12">
        <v>8</v>
      </c>
      <c r="AG12">
        <v>-2</v>
      </c>
      <c r="AH12">
        <v>7</v>
      </c>
      <c r="AI12">
        <v>6</v>
      </c>
      <c r="AJ12">
        <v>1</v>
      </c>
      <c r="AK12" t="s">
        <v>312</v>
      </c>
      <c r="AL12" t="s">
        <v>313</v>
      </c>
      <c r="AM12" t="s">
        <v>314</v>
      </c>
      <c r="AN12" t="s">
        <v>315</v>
      </c>
      <c r="AO12" t="s">
        <v>316</v>
      </c>
      <c r="AP12" t="s">
        <v>317</v>
      </c>
      <c r="AQ12" t="s">
        <v>318</v>
      </c>
      <c r="AR12" t="s">
        <v>319</v>
      </c>
      <c r="AS12" t="s">
        <v>320</v>
      </c>
    </row>
    <row r="13" spans="1:45" x14ac:dyDescent="0.45">
      <c r="A13">
        <v>12</v>
      </c>
      <c r="B13">
        <v>12356</v>
      </c>
      <c r="C13" t="s">
        <v>72</v>
      </c>
      <c r="D13" t="s">
        <v>188</v>
      </c>
      <c r="E13" t="s">
        <v>74</v>
      </c>
      <c r="F13" t="s">
        <v>77</v>
      </c>
      <c r="G13" t="s">
        <v>76</v>
      </c>
      <c r="H13">
        <v>12</v>
      </c>
      <c r="I13">
        <v>0</v>
      </c>
      <c r="J13">
        <v>7</v>
      </c>
      <c r="K13">
        <v>5</v>
      </c>
      <c r="L13">
        <v>2</v>
      </c>
      <c r="M13">
        <v>8</v>
      </c>
      <c r="N13">
        <v>8</v>
      </c>
      <c r="O13">
        <v>0</v>
      </c>
      <c r="P13">
        <v>6</v>
      </c>
      <c r="Q13">
        <v>5</v>
      </c>
      <c r="R13">
        <v>1</v>
      </c>
      <c r="S13">
        <v>8</v>
      </c>
      <c r="T13">
        <v>5</v>
      </c>
      <c r="U13">
        <v>3</v>
      </c>
      <c r="V13">
        <v>7</v>
      </c>
      <c r="W13">
        <v>6</v>
      </c>
      <c r="X13">
        <v>1</v>
      </c>
      <c r="Y13">
        <v>8</v>
      </c>
      <c r="Z13">
        <v>5</v>
      </c>
      <c r="AA13">
        <v>3</v>
      </c>
      <c r="AB13">
        <v>6</v>
      </c>
      <c r="AC13">
        <v>5</v>
      </c>
      <c r="AD13">
        <v>1</v>
      </c>
      <c r="AE13">
        <v>7</v>
      </c>
      <c r="AF13">
        <v>5</v>
      </c>
      <c r="AG13">
        <v>2</v>
      </c>
      <c r="AH13">
        <v>8</v>
      </c>
      <c r="AI13">
        <v>5</v>
      </c>
      <c r="AJ13">
        <v>3</v>
      </c>
      <c r="AK13" t="s">
        <v>321</v>
      </c>
      <c r="AL13" t="s">
        <v>322</v>
      </c>
      <c r="AM13" t="s">
        <v>323</v>
      </c>
      <c r="AN13" t="s">
        <v>324</v>
      </c>
      <c r="AO13" t="s">
        <v>325</v>
      </c>
      <c r="AP13" t="s">
        <v>326</v>
      </c>
      <c r="AQ13" t="s">
        <v>327</v>
      </c>
      <c r="AR13" t="s">
        <v>328</v>
      </c>
      <c r="AS13" t="s">
        <v>329</v>
      </c>
    </row>
    <row r="14" spans="1:45" x14ac:dyDescent="0.45">
      <c r="A14">
        <v>13</v>
      </c>
      <c r="B14">
        <v>12357</v>
      </c>
      <c r="C14" t="s">
        <v>72</v>
      </c>
      <c r="D14" t="s">
        <v>188</v>
      </c>
      <c r="E14" t="s">
        <v>74</v>
      </c>
      <c r="F14" t="s">
        <v>77</v>
      </c>
      <c r="G14" t="s">
        <v>76</v>
      </c>
      <c r="H14">
        <v>12</v>
      </c>
      <c r="I14">
        <v>0</v>
      </c>
      <c r="J14">
        <v>7</v>
      </c>
      <c r="K14">
        <v>8</v>
      </c>
      <c r="L14">
        <v>-1</v>
      </c>
      <c r="M14">
        <v>6</v>
      </c>
      <c r="N14">
        <v>7</v>
      </c>
      <c r="O14">
        <v>-1</v>
      </c>
      <c r="P14">
        <v>5</v>
      </c>
      <c r="Q14">
        <v>7</v>
      </c>
      <c r="R14">
        <v>-2</v>
      </c>
      <c r="S14">
        <v>6</v>
      </c>
      <c r="T14">
        <v>7</v>
      </c>
      <c r="U14">
        <v>-1</v>
      </c>
      <c r="V14">
        <v>8</v>
      </c>
      <c r="W14">
        <v>7</v>
      </c>
      <c r="X14">
        <v>1</v>
      </c>
      <c r="Y14">
        <v>7</v>
      </c>
      <c r="Z14">
        <v>8</v>
      </c>
      <c r="AA14">
        <v>-1</v>
      </c>
      <c r="AB14">
        <v>8</v>
      </c>
      <c r="AC14">
        <v>7</v>
      </c>
      <c r="AD14">
        <v>1</v>
      </c>
      <c r="AE14">
        <v>6</v>
      </c>
      <c r="AF14">
        <v>7</v>
      </c>
      <c r="AG14">
        <v>-1</v>
      </c>
      <c r="AH14">
        <v>8</v>
      </c>
      <c r="AI14">
        <v>7</v>
      </c>
      <c r="AJ14">
        <v>1</v>
      </c>
      <c r="AK14" t="s">
        <v>330</v>
      </c>
      <c r="AL14" t="s">
        <v>331</v>
      </c>
      <c r="AM14" t="s">
        <v>332</v>
      </c>
      <c r="AN14" t="s">
        <v>333</v>
      </c>
      <c r="AO14" t="s">
        <v>334</v>
      </c>
      <c r="AP14" t="s">
        <v>335</v>
      </c>
      <c r="AQ14" t="s">
        <v>336</v>
      </c>
      <c r="AR14" t="s">
        <v>337</v>
      </c>
      <c r="AS14" t="s">
        <v>338</v>
      </c>
    </row>
    <row r="15" spans="1:45" x14ac:dyDescent="0.45">
      <c r="A15">
        <v>14</v>
      </c>
      <c r="B15">
        <v>12358</v>
      </c>
      <c r="C15" t="s">
        <v>72</v>
      </c>
      <c r="D15" t="s">
        <v>73</v>
      </c>
      <c r="E15" t="s">
        <v>74</v>
      </c>
      <c r="F15" t="s">
        <v>75</v>
      </c>
      <c r="G15" t="s">
        <v>76</v>
      </c>
      <c r="H15">
        <v>19.120867691875361</v>
      </c>
      <c r="I15">
        <v>0</v>
      </c>
      <c r="J15">
        <v>7</v>
      </c>
      <c r="K15">
        <v>10</v>
      </c>
      <c r="L15">
        <v>-3</v>
      </c>
      <c r="M15">
        <v>6</v>
      </c>
      <c r="N15">
        <v>10</v>
      </c>
      <c r="O15">
        <v>-4</v>
      </c>
      <c r="P15">
        <v>5</v>
      </c>
      <c r="Q15">
        <v>8</v>
      </c>
      <c r="R15">
        <v>-3</v>
      </c>
      <c r="S15">
        <v>8</v>
      </c>
      <c r="T15">
        <v>8</v>
      </c>
      <c r="U15">
        <v>0</v>
      </c>
      <c r="V15">
        <v>9</v>
      </c>
      <c r="W15">
        <v>8</v>
      </c>
      <c r="X15">
        <v>1</v>
      </c>
      <c r="Y15">
        <v>6</v>
      </c>
      <c r="Z15">
        <v>6</v>
      </c>
      <c r="AA15">
        <v>0</v>
      </c>
      <c r="AB15">
        <v>7</v>
      </c>
      <c r="AC15">
        <v>6</v>
      </c>
      <c r="AD15">
        <v>1</v>
      </c>
      <c r="AE15">
        <v>5</v>
      </c>
      <c r="AF15">
        <v>5</v>
      </c>
      <c r="AG15">
        <v>0</v>
      </c>
      <c r="AH15">
        <v>8</v>
      </c>
      <c r="AI15">
        <v>5</v>
      </c>
      <c r="AJ15">
        <v>3</v>
      </c>
      <c r="AK15" t="s">
        <v>339</v>
      </c>
      <c r="AL15" t="s">
        <v>340</v>
      </c>
      <c r="AM15" t="s">
        <v>341</v>
      </c>
      <c r="AN15" t="s">
        <v>342</v>
      </c>
      <c r="AO15" t="s">
        <v>343</v>
      </c>
      <c r="AP15" t="s">
        <v>344</v>
      </c>
      <c r="AQ15" t="s">
        <v>345</v>
      </c>
      <c r="AR15" t="s">
        <v>346</v>
      </c>
      <c r="AS15" t="s">
        <v>347</v>
      </c>
    </row>
    <row r="16" spans="1:45" x14ac:dyDescent="0.45">
      <c r="A16">
        <v>15</v>
      </c>
      <c r="B16">
        <v>12359</v>
      </c>
      <c r="C16" t="s">
        <v>78</v>
      </c>
      <c r="D16" t="s">
        <v>73</v>
      </c>
      <c r="E16" t="s">
        <v>74</v>
      </c>
      <c r="F16" t="s">
        <v>75</v>
      </c>
      <c r="G16" t="s">
        <v>76</v>
      </c>
      <c r="H16">
        <v>33.088932394530367</v>
      </c>
      <c r="I16">
        <v>2</v>
      </c>
      <c r="J16">
        <v>7</v>
      </c>
      <c r="K16">
        <v>7</v>
      </c>
      <c r="L16">
        <v>0</v>
      </c>
      <c r="M16">
        <v>8</v>
      </c>
      <c r="N16">
        <v>9</v>
      </c>
      <c r="O16">
        <v>-1</v>
      </c>
      <c r="P16">
        <v>6</v>
      </c>
      <c r="Q16">
        <v>3</v>
      </c>
      <c r="R16">
        <v>3</v>
      </c>
      <c r="S16">
        <v>7</v>
      </c>
      <c r="T16">
        <v>6</v>
      </c>
      <c r="U16">
        <v>1</v>
      </c>
      <c r="V16">
        <v>6</v>
      </c>
      <c r="W16">
        <v>1</v>
      </c>
      <c r="X16">
        <v>5</v>
      </c>
      <c r="Y16">
        <v>5</v>
      </c>
      <c r="Z16">
        <v>1</v>
      </c>
      <c r="AA16">
        <v>4</v>
      </c>
      <c r="AB16">
        <v>6</v>
      </c>
      <c r="AC16">
        <v>1</v>
      </c>
      <c r="AD16">
        <v>5</v>
      </c>
      <c r="AE16">
        <v>5</v>
      </c>
      <c r="AF16">
        <v>1</v>
      </c>
      <c r="AG16">
        <v>4</v>
      </c>
      <c r="AH16">
        <v>8</v>
      </c>
      <c r="AI16">
        <v>1</v>
      </c>
      <c r="AJ16">
        <v>7</v>
      </c>
      <c r="AK16" t="s">
        <v>348</v>
      </c>
      <c r="AL16" t="s">
        <v>349</v>
      </c>
      <c r="AM16" t="s">
        <v>350</v>
      </c>
      <c r="AN16" t="s">
        <v>351</v>
      </c>
      <c r="AO16" t="s">
        <v>352</v>
      </c>
      <c r="AP16" t="s">
        <v>353</v>
      </c>
      <c r="AQ16" t="s">
        <v>354</v>
      </c>
      <c r="AR16" t="s">
        <v>355</v>
      </c>
      <c r="AS16" t="s">
        <v>356</v>
      </c>
    </row>
    <row r="17" spans="1:45" x14ac:dyDescent="0.45">
      <c r="A17">
        <v>16</v>
      </c>
      <c r="B17">
        <v>12360</v>
      </c>
      <c r="C17" t="s">
        <v>78</v>
      </c>
      <c r="D17" t="s">
        <v>79</v>
      </c>
      <c r="E17" t="s">
        <v>74</v>
      </c>
      <c r="F17" t="s">
        <v>75</v>
      </c>
      <c r="G17" t="s">
        <v>76</v>
      </c>
      <c r="H17">
        <v>83.97191403487318</v>
      </c>
      <c r="I17">
        <v>4</v>
      </c>
      <c r="J17">
        <v>7</v>
      </c>
      <c r="K17">
        <v>8</v>
      </c>
      <c r="L17">
        <v>-1</v>
      </c>
      <c r="M17">
        <v>8</v>
      </c>
      <c r="N17">
        <v>8</v>
      </c>
      <c r="O17">
        <v>0</v>
      </c>
      <c r="P17">
        <v>6</v>
      </c>
      <c r="Q17">
        <v>8</v>
      </c>
      <c r="R17">
        <v>-2</v>
      </c>
      <c r="S17">
        <v>8</v>
      </c>
      <c r="T17">
        <v>9</v>
      </c>
      <c r="U17">
        <v>-1</v>
      </c>
      <c r="V17">
        <v>5</v>
      </c>
      <c r="W17">
        <v>7</v>
      </c>
      <c r="X17">
        <v>-2</v>
      </c>
      <c r="Y17">
        <v>6</v>
      </c>
      <c r="Z17">
        <v>7</v>
      </c>
      <c r="AA17">
        <v>-1</v>
      </c>
      <c r="AB17">
        <v>4</v>
      </c>
      <c r="AC17">
        <v>9</v>
      </c>
      <c r="AD17">
        <v>-5</v>
      </c>
      <c r="AE17">
        <v>5</v>
      </c>
      <c r="AF17">
        <v>8</v>
      </c>
      <c r="AG17">
        <v>-3</v>
      </c>
      <c r="AH17">
        <v>4</v>
      </c>
      <c r="AI17">
        <v>7</v>
      </c>
      <c r="AJ17">
        <v>-3</v>
      </c>
      <c r="AK17" t="s">
        <v>357</v>
      </c>
      <c r="AL17" t="s">
        <v>358</v>
      </c>
      <c r="AM17" t="s">
        <v>359</v>
      </c>
      <c r="AN17" t="s">
        <v>360</v>
      </c>
      <c r="AO17" t="s">
        <v>361</v>
      </c>
      <c r="AP17" t="s">
        <v>362</v>
      </c>
      <c r="AQ17" t="s">
        <v>363</v>
      </c>
      <c r="AR17" t="s">
        <v>364</v>
      </c>
      <c r="AS17" t="s">
        <v>365</v>
      </c>
    </row>
    <row r="18" spans="1:45" x14ac:dyDescent="0.45">
      <c r="A18">
        <v>17</v>
      </c>
      <c r="B18">
        <v>12361</v>
      </c>
      <c r="C18" t="s">
        <v>72</v>
      </c>
      <c r="D18" t="s">
        <v>81</v>
      </c>
      <c r="E18" t="s">
        <v>74</v>
      </c>
      <c r="F18" t="s">
        <v>77</v>
      </c>
      <c r="G18" t="s">
        <v>76</v>
      </c>
      <c r="H18">
        <v>20.16566114604132</v>
      </c>
      <c r="I18">
        <v>2</v>
      </c>
      <c r="J18">
        <v>7</v>
      </c>
      <c r="K18">
        <v>6</v>
      </c>
      <c r="L18">
        <v>1</v>
      </c>
      <c r="M18">
        <v>8</v>
      </c>
      <c r="N18">
        <v>7</v>
      </c>
      <c r="O18">
        <v>1</v>
      </c>
      <c r="P18">
        <v>6</v>
      </c>
      <c r="Q18">
        <v>5</v>
      </c>
      <c r="R18">
        <v>1</v>
      </c>
      <c r="S18">
        <v>7</v>
      </c>
      <c r="T18">
        <v>5</v>
      </c>
      <c r="U18">
        <v>2</v>
      </c>
      <c r="V18">
        <v>8</v>
      </c>
      <c r="W18">
        <v>6</v>
      </c>
      <c r="X18">
        <v>2</v>
      </c>
      <c r="Y18">
        <v>7</v>
      </c>
      <c r="Z18">
        <v>7</v>
      </c>
      <c r="AA18">
        <v>0</v>
      </c>
      <c r="AB18">
        <v>6</v>
      </c>
      <c r="AC18">
        <v>3</v>
      </c>
      <c r="AD18">
        <v>3</v>
      </c>
      <c r="AE18">
        <v>5</v>
      </c>
      <c r="AF18">
        <v>4</v>
      </c>
      <c r="AG18">
        <v>1</v>
      </c>
      <c r="AH18">
        <v>8</v>
      </c>
      <c r="AI18">
        <v>5</v>
      </c>
      <c r="AJ18">
        <v>3</v>
      </c>
      <c r="AK18" t="s">
        <v>366</v>
      </c>
      <c r="AL18" t="s">
        <v>367</v>
      </c>
      <c r="AM18" t="s">
        <v>368</v>
      </c>
      <c r="AN18" t="s">
        <v>369</v>
      </c>
      <c r="AO18" t="s">
        <v>370</v>
      </c>
      <c r="AP18" t="s">
        <v>371</v>
      </c>
      <c r="AQ18" t="s">
        <v>372</v>
      </c>
      <c r="AR18" t="s">
        <v>373</v>
      </c>
      <c r="AS18" t="s">
        <v>374</v>
      </c>
    </row>
    <row r="19" spans="1:45" x14ac:dyDescent="0.45">
      <c r="A19">
        <v>18</v>
      </c>
      <c r="B19">
        <v>12362</v>
      </c>
      <c r="C19" t="s">
        <v>78</v>
      </c>
      <c r="D19" t="s">
        <v>79</v>
      </c>
      <c r="E19" t="s">
        <v>74</v>
      </c>
      <c r="F19" t="s">
        <v>77</v>
      </c>
      <c r="G19" t="s">
        <v>161</v>
      </c>
      <c r="H19">
        <v>14.778987131493366</v>
      </c>
      <c r="I19">
        <v>0</v>
      </c>
      <c r="J19">
        <v>8</v>
      </c>
      <c r="K19">
        <v>6</v>
      </c>
      <c r="L19">
        <v>2</v>
      </c>
      <c r="M19">
        <v>9</v>
      </c>
      <c r="N19">
        <v>8</v>
      </c>
      <c r="O19">
        <v>1</v>
      </c>
      <c r="P19">
        <v>7</v>
      </c>
      <c r="Q19">
        <v>7</v>
      </c>
      <c r="R19">
        <v>0</v>
      </c>
      <c r="S19">
        <v>8</v>
      </c>
      <c r="T19">
        <v>8</v>
      </c>
      <c r="U19">
        <v>0</v>
      </c>
      <c r="V19">
        <v>7</v>
      </c>
      <c r="W19">
        <v>8</v>
      </c>
      <c r="X19">
        <v>-1</v>
      </c>
      <c r="Y19">
        <v>6</v>
      </c>
      <c r="Z19">
        <v>7</v>
      </c>
      <c r="AA19">
        <v>-1</v>
      </c>
      <c r="AB19">
        <v>7</v>
      </c>
      <c r="AC19">
        <v>7</v>
      </c>
      <c r="AD19">
        <v>0</v>
      </c>
      <c r="AE19">
        <v>8</v>
      </c>
      <c r="AF19">
        <v>6</v>
      </c>
      <c r="AG19">
        <v>2</v>
      </c>
      <c r="AH19">
        <v>7</v>
      </c>
      <c r="AI19">
        <v>8</v>
      </c>
      <c r="AJ19">
        <v>-1</v>
      </c>
      <c r="AK19" t="s">
        <v>375</v>
      </c>
      <c r="AL19" t="s">
        <v>376</v>
      </c>
      <c r="AM19" t="s">
        <v>377</v>
      </c>
      <c r="AN19" t="s">
        <v>378</v>
      </c>
      <c r="AO19" t="s">
        <v>379</v>
      </c>
      <c r="AP19" t="s">
        <v>380</v>
      </c>
      <c r="AQ19" t="s">
        <v>381</v>
      </c>
      <c r="AR19" t="s">
        <v>382</v>
      </c>
      <c r="AS19" t="s">
        <v>383</v>
      </c>
    </row>
    <row r="20" spans="1:45" x14ac:dyDescent="0.45">
      <c r="A20">
        <v>19</v>
      </c>
      <c r="B20">
        <v>12363</v>
      </c>
      <c r="C20" t="s">
        <v>78</v>
      </c>
      <c r="D20" t="s">
        <v>79</v>
      </c>
      <c r="E20" t="s">
        <v>74</v>
      </c>
      <c r="F20" t="s">
        <v>77</v>
      </c>
      <c r="G20" t="s">
        <v>76</v>
      </c>
      <c r="H20">
        <v>106.0420861707336</v>
      </c>
      <c r="I20">
        <v>4</v>
      </c>
      <c r="J20">
        <v>8</v>
      </c>
      <c r="K20">
        <v>10</v>
      </c>
      <c r="L20">
        <v>-2</v>
      </c>
      <c r="M20">
        <v>9</v>
      </c>
      <c r="N20">
        <v>10</v>
      </c>
      <c r="O20">
        <v>-1</v>
      </c>
      <c r="P20">
        <v>7</v>
      </c>
      <c r="Q20">
        <v>5</v>
      </c>
      <c r="R20">
        <v>2</v>
      </c>
      <c r="S20">
        <v>8</v>
      </c>
      <c r="T20">
        <v>5</v>
      </c>
      <c r="U20">
        <v>3</v>
      </c>
      <c r="V20">
        <v>6</v>
      </c>
      <c r="W20">
        <v>5</v>
      </c>
      <c r="X20">
        <v>1</v>
      </c>
      <c r="Y20">
        <v>7</v>
      </c>
      <c r="Z20">
        <v>3</v>
      </c>
      <c r="AA20">
        <v>4</v>
      </c>
      <c r="AB20">
        <v>5</v>
      </c>
      <c r="AC20">
        <v>2</v>
      </c>
      <c r="AD20">
        <v>3</v>
      </c>
      <c r="AE20">
        <v>4</v>
      </c>
      <c r="AF20">
        <v>5</v>
      </c>
      <c r="AG20">
        <v>-1</v>
      </c>
      <c r="AH20">
        <v>7</v>
      </c>
      <c r="AI20">
        <v>8</v>
      </c>
      <c r="AJ20">
        <v>-1</v>
      </c>
      <c r="AK20" t="s">
        <v>384</v>
      </c>
      <c r="AL20" t="s">
        <v>385</v>
      </c>
      <c r="AM20" t="s">
        <v>386</v>
      </c>
      <c r="AN20" t="s">
        <v>387</v>
      </c>
      <c r="AO20" t="s">
        <v>388</v>
      </c>
      <c r="AP20" t="s">
        <v>389</v>
      </c>
      <c r="AQ20" t="s">
        <v>390</v>
      </c>
      <c r="AR20" t="s">
        <v>391</v>
      </c>
      <c r="AS20" t="s">
        <v>392</v>
      </c>
    </row>
    <row r="21" spans="1:45" x14ac:dyDescent="0.45">
      <c r="A21">
        <v>20</v>
      </c>
      <c r="B21">
        <v>12364</v>
      </c>
      <c r="C21" t="s">
        <v>78</v>
      </c>
      <c r="D21" t="s">
        <v>73</v>
      </c>
      <c r="E21" t="s">
        <v>74</v>
      </c>
      <c r="F21" t="s">
        <v>75</v>
      </c>
      <c r="G21" t="s">
        <v>76</v>
      </c>
      <c r="H21">
        <v>67.573479496414791</v>
      </c>
      <c r="I21">
        <v>2</v>
      </c>
      <c r="J21">
        <v>7</v>
      </c>
      <c r="K21">
        <v>9</v>
      </c>
      <c r="L21">
        <v>-2</v>
      </c>
      <c r="M21">
        <v>6</v>
      </c>
      <c r="N21">
        <v>9</v>
      </c>
      <c r="O21">
        <v>-3</v>
      </c>
      <c r="P21">
        <v>8</v>
      </c>
      <c r="Q21">
        <v>7</v>
      </c>
      <c r="R21">
        <v>1</v>
      </c>
      <c r="S21">
        <v>5</v>
      </c>
      <c r="T21">
        <v>9</v>
      </c>
      <c r="U21">
        <v>-4</v>
      </c>
      <c r="V21">
        <v>7</v>
      </c>
      <c r="W21">
        <v>7</v>
      </c>
      <c r="X21">
        <v>0</v>
      </c>
      <c r="Y21">
        <v>6</v>
      </c>
      <c r="Z21">
        <v>8</v>
      </c>
      <c r="AA21">
        <v>-2</v>
      </c>
      <c r="AB21">
        <v>7</v>
      </c>
      <c r="AC21">
        <v>5</v>
      </c>
      <c r="AD21">
        <v>2</v>
      </c>
      <c r="AE21">
        <v>5</v>
      </c>
      <c r="AF21">
        <v>5</v>
      </c>
      <c r="AG21">
        <v>0</v>
      </c>
      <c r="AH21">
        <v>6</v>
      </c>
      <c r="AI21">
        <v>6</v>
      </c>
      <c r="AJ21">
        <v>0</v>
      </c>
      <c r="AK21" t="s">
        <v>393</v>
      </c>
      <c r="AL21" t="s">
        <v>394</v>
      </c>
      <c r="AM21" t="s">
        <v>395</v>
      </c>
      <c r="AN21" t="s">
        <v>396</v>
      </c>
      <c r="AO21" t="s">
        <v>397</v>
      </c>
      <c r="AP21" t="s">
        <v>398</v>
      </c>
      <c r="AQ21" t="s">
        <v>399</v>
      </c>
      <c r="AR21" t="s">
        <v>400</v>
      </c>
      <c r="AS21" t="s">
        <v>401</v>
      </c>
    </row>
    <row r="22" spans="1:45" x14ac:dyDescent="0.45">
      <c r="A22">
        <v>21</v>
      </c>
      <c r="B22">
        <v>12365</v>
      </c>
      <c r="C22" t="s">
        <v>72</v>
      </c>
      <c r="D22" t="s">
        <v>79</v>
      </c>
      <c r="E22" t="s">
        <v>74</v>
      </c>
      <c r="F22" t="s">
        <v>77</v>
      </c>
      <c r="G22" t="s">
        <v>76</v>
      </c>
      <c r="H22">
        <v>116.26419431137634</v>
      </c>
      <c r="I22">
        <v>3</v>
      </c>
      <c r="J22">
        <v>7</v>
      </c>
      <c r="K22">
        <v>10</v>
      </c>
      <c r="L22">
        <v>-3</v>
      </c>
      <c r="M22">
        <v>6</v>
      </c>
      <c r="N22">
        <v>10</v>
      </c>
      <c r="O22">
        <v>-4</v>
      </c>
      <c r="P22">
        <v>8</v>
      </c>
      <c r="Q22">
        <v>8</v>
      </c>
      <c r="R22">
        <v>0</v>
      </c>
      <c r="S22">
        <v>9</v>
      </c>
      <c r="T22">
        <v>7</v>
      </c>
      <c r="U22">
        <v>2</v>
      </c>
      <c r="V22">
        <v>8</v>
      </c>
      <c r="W22">
        <v>7</v>
      </c>
      <c r="X22">
        <v>1</v>
      </c>
      <c r="Y22">
        <v>7</v>
      </c>
      <c r="Z22">
        <v>7</v>
      </c>
      <c r="AA22">
        <v>0</v>
      </c>
      <c r="AB22">
        <v>6</v>
      </c>
      <c r="AC22">
        <v>2</v>
      </c>
      <c r="AD22">
        <v>4</v>
      </c>
      <c r="AE22">
        <v>7</v>
      </c>
      <c r="AF22">
        <v>3</v>
      </c>
      <c r="AG22">
        <v>4</v>
      </c>
      <c r="AH22">
        <v>8</v>
      </c>
      <c r="AI22">
        <v>3</v>
      </c>
      <c r="AJ22">
        <v>5</v>
      </c>
      <c r="AK22" t="s">
        <v>402</v>
      </c>
      <c r="AL22" t="s">
        <v>403</v>
      </c>
      <c r="AM22" t="s">
        <v>404</v>
      </c>
      <c r="AN22" t="s">
        <v>405</v>
      </c>
      <c r="AO22" t="s">
        <v>406</v>
      </c>
      <c r="AP22" t="s">
        <v>407</v>
      </c>
      <c r="AQ22" t="s">
        <v>408</v>
      </c>
      <c r="AR22" t="s">
        <v>409</v>
      </c>
      <c r="AS22" t="s">
        <v>410</v>
      </c>
    </row>
    <row r="23" spans="1:45" x14ac:dyDescent="0.45">
      <c r="A23">
        <v>22</v>
      </c>
      <c r="B23">
        <v>12366</v>
      </c>
      <c r="C23" t="s">
        <v>72</v>
      </c>
      <c r="D23" t="s">
        <v>188</v>
      </c>
      <c r="E23" t="s">
        <v>74</v>
      </c>
      <c r="F23" t="s">
        <v>77</v>
      </c>
      <c r="G23" t="s">
        <v>76</v>
      </c>
      <c r="H23">
        <v>15.160051629906439</v>
      </c>
      <c r="I23">
        <v>0</v>
      </c>
      <c r="J23">
        <v>8</v>
      </c>
      <c r="K23">
        <v>8</v>
      </c>
      <c r="L23">
        <v>0</v>
      </c>
      <c r="M23">
        <v>7</v>
      </c>
      <c r="N23">
        <v>8</v>
      </c>
      <c r="O23">
        <v>-1</v>
      </c>
      <c r="P23">
        <v>8</v>
      </c>
      <c r="Q23">
        <v>5</v>
      </c>
      <c r="R23">
        <v>3</v>
      </c>
      <c r="S23">
        <v>7</v>
      </c>
      <c r="T23">
        <v>8</v>
      </c>
      <c r="U23">
        <v>-1</v>
      </c>
      <c r="V23">
        <v>7</v>
      </c>
      <c r="W23">
        <v>8</v>
      </c>
      <c r="X23">
        <v>-1</v>
      </c>
      <c r="Y23">
        <v>6</v>
      </c>
      <c r="Z23">
        <v>8</v>
      </c>
      <c r="AA23">
        <v>-2</v>
      </c>
      <c r="AB23">
        <v>6</v>
      </c>
      <c r="AC23">
        <v>8</v>
      </c>
      <c r="AD23">
        <v>-2</v>
      </c>
      <c r="AE23">
        <v>7</v>
      </c>
      <c r="AF23">
        <v>8</v>
      </c>
      <c r="AG23">
        <v>-1</v>
      </c>
      <c r="AH23">
        <v>6</v>
      </c>
      <c r="AI23">
        <v>8</v>
      </c>
      <c r="AJ23">
        <v>-2</v>
      </c>
      <c r="AK23" t="s">
        <v>411</v>
      </c>
      <c r="AL23" t="s">
        <v>412</v>
      </c>
      <c r="AM23" t="s">
        <v>413</v>
      </c>
      <c r="AN23" t="s">
        <v>414</v>
      </c>
      <c r="AO23" t="s">
        <v>415</v>
      </c>
      <c r="AP23" t="s">
        <v>416</v>
      </c>
      <c r="AQ23" t="s">
        <v>417</v>
      </c>
      <c r="AR23" t="s">
        <v>418</v>
      </c>
      <c r="AS23" t="s">
        <v>419</v>
      </c>
    </row>
    <row r="24" spans="1:45" x14ac:dyDescent="0.45">
      <c r="A24">
        <v>23</v>
      </c>
      <c r="B24">
        <v>12367</v>
      </c>
      <c r="C24" t="s">
        <v>72</v>
      </c>
      <c r="D24" t="s">
        <v>79</v>
      </c>
      <c r="E24" t="s">
        <v>74</v>
      </c>
      <c r="F24" t="s">
        <v>75</v>
      </c>
      <c r="G24" t="s">
        <v>76</v>
      </c>
      <c r="H24">
        <v>79.228395760830907</v>
      </c>
      <c r="I24">
        <v>3</v>
      </c>
      <c r="J24">
        <v>7</v>
      </c>
      <c r="K24">
        <v>5</v>
      </c>
      <c r="L24">
        <v>2</v>
      </c>
      <c r="M24">
        <v>6</v>
      </c>
      <c r="N24">
        <v>5</v>
      </c>
      <c r="O24">
        <v>1</v>
      </c>
      <c r="P24">
        <v>8</v>
      </c>
      <c r="Q24">
        <v>5</v>
      </c>
      <c r="R24">
        <v>3</v>
      </c>
      <c r="S24">
        <v>7</v>
      </c>
      <c r="T24">
        <v>5</v>
      </c>
      <c r="U24">
        <v>2</v>
      </c>
      <c r="V24">
        <v>8</v>
      </c>
      <c r="W24">
        <v>5</v>
      </c>
      <c r="X24">
        <v>3</v>
      </c>
      <c r="Y24">
        <v>6</v>
      </c>
      <c r="Z24">
        <v>5</v>
      </c>
      <c r="AA24">
        <v>1</v>
      </c>
      <c r="AB24">
        <v>7</v>
      </c>
      <c r="AC24">
        <v>5</v>
      </c>
      <c r="AD24">
        <v>2</v>
      </c>
      <c r="AE24">
        <v>5</v>
      </c>
      <c r="AF24">
        <v>5</v>
      </c>
      <c r="AG24">
        <v>0</v>
      </c>
      <c r="AH24">
        <v>6</v>
      </c>
      <c r="AI24">
        <v>5</v>
      </c>
      <c r="AJ24">
        <v>1</v>
      </c>
      <c r="AK24" t="s">
        <v>420</v>
      </c>
      <c r="AL24" t="s">
        <v>421</v>
      </c>
      <c r="AM24" t="s">
        <v>422</v>
      </c>
      <c r="AN24" t="s">
        <v>423</v>
      </c>
      <c r="AO24" t="s">
        <v>424</v>
      </c>
      <c r="AP24" t="s">
        <v>425</v>
      </c>
      <c r="AQ24" t="s">
        <v>426</v>
      </c>
      <c r="AR24" t="s">
        <v>427</v>
      </c>
      <c r="AS24" t="s">
        <v>428</v>
      </c>
    </row>
    <row r="25" spans="1:45" x14ac:dyDescent="0.45">
      <c r="A25">
        <v>24</v>
      </c>
      <c r="B25">
        <v>12368</v>
      </c>
      <c r="C25" t="s">
        <v>72</v>
      </c>
      <c r="D25" t="s">
        <v>73</v>
      </c>
      <c r="E25" t="s">
        <v>80</v>
      </c>
      <c r="F25" t="s">
        <v>77</v>
      </c>
      <c r="G25" t="s">
        <v>76</v>
      </c>
      <c r="H25">
        <v>27.667757486993665</v>
      </c>
      <c r="I25">
        <v>2</v>
      </c>
      <c r="J25">
        <v>5</v>
      </c>
      <c r="K25">
        <v>9</v>
      </c>
      <c r="L25">
        <v>-4</v>
      </c>
      <c r="M25">
        <v>6</v>
      </c>
      <c r="N25">
        <v>8</v>
      </c>
      <c r="O25">
        <v>-2</v>
      </c>
      <c r="P25">
        <v>8</v>
      </c>
      <c r="Q25">
        <v>6</v>
      </c>
      <c r="R25">
        <v>2</v>
      </c>
      <c r="S25">
        <v>7</v>
      </c>
      <c r="T25">
        <v>9</v>
      </c>
      <c r="U25">
        <v>-2</v>
      </c>
      <c r="V25">
        <v>6</v>
      </c>
      <c r="W25">
        <v>8</v>
      </c>
      <c r="X25">
        <v>-2</v>
      </c>
      <c r="Y25">
        <v>7</v>
      </c>
      <c r="Z25">
        <v>10</v>
      </c>
      <c r="AA25">
        <v>-3</v>
      </c>
      <c r="AB25">
        <v>6</v>
      </c>
      <c r="AC25">
        <v>6</v>
      </c>
      <c r="AD25">
        <v>0</v>
      </c>
      <c r="AE25">
        <v>5</v>
      </c>
      <c r="AF25">
        <v>6</v>
      </c>
      <c r="AG25">
        <v>-1</v>
      </c>
      <c r="AH25">
        <v>6</v>
      </c>
      <c r="AI25">
        <v>8</v>
      </c>
      <c r="AJ25">
        <v>-2</v>
      </c>
      <c r="AK25" t="s">
        <v>429</v>
      </c>
      <c r="AL25" t="s">
        <v>430</v>
      </c>
      <c r="AM25" t="s">
        <v>431</v>
      </c>
      <c r="AN25" t="s">
        <v>432</v>
      </c>
      <c r="AO25" t="s">
        <v>433</v>
      </c>
      <c r="AP25" t="s">
        <v>434</v>
      </c>
      <c r="AQ25" t="s">
        <v>435</v>
      </c>
      <c r="AR25" t="s">
        <v>436</v>
      </c>
      <c r="AS25" t="s">
        <v>437</v>
      </c>
    </row>
    <row r="26" spans="1:45" x14ac:dyDescent="0.45">
      <c r="A26">
        <v>25</v>
      </c>
      <c r="B26">
        <v>12369</v>
      </c>
      <c r="C26" t="s">
        <v>78</v>
      </c>
      <c r="D26" t="s">
        <v>73</v>
      </c>
      <c r="E26" t="s">
        <v>74</v>
      </c>
      <c r="F26" t="s">
        <v>75</v>
      </c>
      <c r="G26" t="s">
        <v>76</v>
      </c>
      <c r="H26">
        <v>40.060721030723165</v>
      </c>
      <c r="I26">
        <v>1</v>
      </c>
      <c r="J26">
        <v>5</v>
      </c>
      <c r="K26">
        <v>6</v>
      </c>
      <c r="L26">
        <v>-1</v>
      </c>
      <c r="M26">
        <v>7</v>
      </c>
      <c r="N26">
        <v>7</v>
      </c>
      <c r="O26">
        <v>0</v>
      </c>
      <c r="P26">
        <v>8</v>
      </c>
      <c r="Q26">
        <v>5</v>
      </c>
      <c r="R26">
        <v>3</v>
      </c>
      <c r="S26">
        <v>9</v>
      </c>
      <c r="T26">
        <v>6</v>
      </c>
      <c r="U26">
        <v>3</v>
      </c>
      <c r="V26">
        <v>8</v>
      </c>
      <c r="W26">
        <v>7</v>
      </c>
      <c r="X26">
        <v>1</v>
      </c>
      <c r="Y26">
        <v>7</v>
      </c>
      <c r="Z26">
        <v>7</v>
      </c>
      <c r="AA26">
        <v>0</v>
      </c>
      <c r="AB26">
        <v>6</v>
      </c>
      <c r="AC26">
        <v>3</v>
      </c>
      <c r="AD26">
        <v>3</v>
      </c>
      <c r="AE26">
        <v>7</v>
      </c>
      <c r="AF26">
        <v>3</v>
      </c>
      <c r="AG26">
        <v>4</v>
      </c>
      <c r="AH26">
        <v>8</v>
      </c>
      <c r="AI26">
        <v>5</v>
      </c>
      <c r="AJ26">
        <v>3</v>
      </c>
      <c r="AK26" t="s">
        <v>438</v>
      </c>
      <c r="AL26" t="s">
        <v>439</v>
      </c>
      <c r="AM26" t="s">
        <v>219</v>
      </c>
      <c r="AN26" t="s">
        <v>440</v>
      </c>
      <c r="AO26" t="s">
        <v>441</v>
      </c>
      <c r="AP26" t="s">
        <v>442</v>
      </c>
      <c r="AQ26" t="s">
        <v>443</v>
      </c>
      <c r="AR26" t="s">
        <v>444</v>
      </c>
      <c r="AS26" t="s">
        <v>445</v>
      </c>
    </row>
    <row r="27" spans="1:45" x14ac:dyDescent="0.45">
      <c r="A27">
        <v>26</v>
      </c>
      <c r="B27">
        <v>12370</v>
      </c>
      <c r="C27" t="s">
        <v>78</v>
      </c>
      <c r="D27" t="s">
        <v>73</v>
      </c>
      <c r="E27" t="s">
        <v>74</v>
      </c>
      <c r="F27" t="s">
        <v>75</v>
      </c>
      <c r="G27" t="s">
        <v>76</v>
      </c>
      <c r="H27">
        <v>12</v>
      </c>
      <c r="I27">
        <v>4</v>
      </c>
      <c r="J27">
        <v>8</v>
      </c>
      <c r="K27">
        <v>10</v>
      </c>
      <c r="L27">
        <v>-2</v>
      </c>
      <c r="M27">
        <v>7</v>
      </c>
      <c r="N27">
        <v>10</v>
      </c>
      <c r="O27">
        <v>-3</v>
      </c>
      <c r="P27">
        <v>9</v>
      </c>
      <c r="Q27">
        <v>10</v>
      </c>
      <c r="R27">
        <v>-1</v>
      </c>
      <c r="S27">
        <v>8</v>
      </c>
      <c r="T27">
        <v>6</v>
      </c>
      <c r="U27">
        <v>2</v>
      </c>
      <c r="V27">
        <v>7</v>
      </c>
      <c r="W27">
        <v>6</v>
      </c>
      <c r="X27">
        <v>1</v>
      </c>
      <c r="Y27">
        <v>6</v>
      </c>
      <c r="Z27">
        <v>10</v>
      </c>
      <c r="AA27">
        <v>-4</v>
      </c>
      <c r="AB27">
        <v>7</v>
      </c>
      <c r="AC27">
        <v>1</v>
      </c>
      <c r="AD27">
        <v>6</v>
      </c>
      <c r="AE27">
        <v>5</v>
      </c>
      <c r="AF27">
        <v>4</v>
      </c>
      <c r="AG27">
        <v>1</v>
      </c>
      <c r="AH27">
        <v>6</v>
      </c>
      <c r="AI27">
        <v>10</v>
      </c>
      <c r="AJ27">
        <v>-4</v>
      </c>
      <c r="AK27" t="s">
        <v>446</v>
      </c>
      <c r="AL27" t="s">
        <v>447</v>
      </c>
      <c r="AM27" t="s">
        <v>448</v>
      </c>
      <c r="AN27" t="s">
        <v>449</v>
      </c>
      <c r="AO27" t="s">
        <v>450</v>
      </c>
      <c r="AP27" t="s">
        <v>451</v>
      </c>
      <c r="AQ27" t="s">
        <v>452</v>
      </c>
      <c r="AR27" t="s">
        <v>453</v>
      </c>
      <c r="AS27" t="s">
        <v>454</v>
      </c>
    </row>
    <row r="28" spans="1:45" x14ac:dyDescent="0.45">
      <c r="A28">
        <v>27</v>
      </c>
      <c r="B28">
        <v>12371</v>
      </c>
      <c r="C28" t="s">
        <v>78</v>
      </c>
      <c r="D28" t="s">
        <v>188</v>
      </c>
      <c r="E28" t="s">
        <v>74</v>
      </c>
      <c r="F28" t="s">
        <v>77</v>
      </c>
      <c r="G28" t="s">
        <v>76</v>
      </c>
      <c r="H28">
        <v>12</v>
      </c>
      <c r="I28">
        <v>0</v>
      </c>
      <c r="J28">
        <v>7</v>
      </c>
      <c r="K28">
        <v>1</v>
      </c>
      <c r="L28">
        <v>6</v>
      </c>
      <c r="M28">
        <v>8</v>
      </c>
      <c r="N28">
        <v>1</v>
      </c>
      <c r="O28">
        <v>7</v>
      </c>
      <c r="P28">
        <v>6</v>
      </c>
      <c r="Q28">
        <v>1</v>
      </c>
      <c r="R28">
        <v>5</v>
      </c>
      <c r="S28">
        <v>9</v>
      </c>
      <c r="T28">
        <v>1</v>
      </c>
      <c r="U28">
        <v>8</v>
      </c>
      <c r="V28">
        <v>7</v>
      </c>
      <c r="W28">
        <v>1</v>
      </c>
      <c r="X28">
        <v>6</v>
      </c>
      <c r="Y28">
        <v>8</v>
      </c>
      <c r="Z28">
        <v>1</v>
      </c>
      <c r="AA28">
        <v>7</v>
      </c>
      <c r="AB28">
        <v>7</v>
      </c>
      <c r="AC28">
        <v>1</v>
      </c>
      <c r="AD28">
        <v>6</v>
      </c>
      <c r="AE28">
        <v>6</v>
      </c>
      <c r="AF28">
        <v>1</v>
      </c>
      <c r="AG28">
        <v>5</v>
      </c>
      <c r="AH28">
        <v>7</v>
      </c>
      <c r="AI28">
        <v>1</v>
      </c>
      <c r="AJ28">
        <v>6</v>
      </c>
      <c r="AK28" t="s">
        <v>455</v>
      </c>
      <c r="AL28" t="s">
        <v>456</v>
      </c>
      <c r="AM28" t="s">
        <v>457</v>
      </c>
      <c r="AN28" t="s">
        <v>458</v>
      </c>
      <c r="AO28" t="s">
        <v>459</v>
      </c>
      <c r="AP28" t="s">
        <v>460</v>
      </c>
      <c r="AQ28" t="s">
        <v>461</v>
      </c>
      <c r="AR28" t="s">
        <v>462</v>
      </c>
      <c r="AS28" t="s">
        <v>463</v>
      </c>
    </row>
    <row r="29" spans="1:45" x14ac:dyDescent="0.45">
      <c r="A29">
        <v>28</v>
      </c>
      <c r="B29">
        <v>12372</v>
      </c>
      <c r="C29" t="s">
        <v>78</v>
      </c>
      <c r="D29" t="s">
        <v>81</v>
      </c>
      <c r="E29" t="s">
        <v>74</v>
      </c>
      <c r="F29" t="s">
        <v>77</v>
      </c>
      <c r="G29" t="s">
        <v>76</v>
      </c>
      <c r="H29">
        <v>13.092916963171589</v>
      </c>
      <c r="I29">
        <v>0</v>
      </c>
      <c r="J29">
        <v>8</v>
      </c>
      <c r="K29">
        <v>1</v>
      </c>
      <c r="L29">
        <v>7</v>
      </c>
      <c r="M29">
        <v>7</v>
      </c>
      <c r="N29">
        <v>1</v>
      </c>
      <c r="O29">
        <v>6</v>
      </c>
      <c r="P29">
        <v>9</v>
      </c>
      <c r="Q29">
        <v>1</v>
      </c>
      <c r="R29">
        <v>8</v>
      </c>
      <c r="S29">
        <v>8</v>
      </c>
      <c r="T29">
        <v>1</v>
      </c>
      <c r="U29">
        <v>7</v>
      </c>
      <c r="V29">
        <v>7</v>
      </c>
      <c r="W29">
        <v>1</v>
      </c>
      <c r="X29">
        <v>6</v>
      </c>
      <c r="Y29">
        <v>8</v>
      </c>
      <c r="Z29">
        <v>1</v>
      </c>
      <c r="AA29">
        <v>7</v>
      </c>
      <c r="AB29">
        <v>7</v>
      </c>
      <c r="AC29">
        <v>1</v>
      </c>
      <c r="AD29">
        <v>6</v>
      </c>
      <c r="AE29">
        <v>6</v>
      </c>
      <c r="AF29">
        <v>1</v>
      </c>
      <c r="AG29">
        <v>5</v>
      </c>
      <c r="AH29">
        <v>8</v>
      </c>
      <c r="AI29">
        <v>1</v>
      </c>
      <c r="AJ29">
        <v>7</v>
      </c>
      <c r="AK29" t="s">
        <v>464</v>
      </c>
      <c r="AL29" t="s">
        <v>465</v>
      </c>
      <c r="AM29" t="s">
        <v>466</v>
      </c>
      <c r="AN29" t="s">
        <v>467</v>
      </c>
      <c r="AO29" t="s">
        <v>468</v>
      </c>
      <c r="AP29" t="s">
        <v>469</v>
      </c>
      <c r="AQ29" t="s">
        <v>470</v>
      </c>
      <c r="AR29" t="s">
        <v>471</v>
      </c>
      <c r="AS29" t="s">
        <v>472</v>
      </c>
    </row>
    <row r="30" spans="1:45" x14ac:dyDescent="0.45">
      <c r="A30">
        <v>29</v>
      </c>
      <c r="B30">
        <v>12373</v>
      </c>
      <c r="C30" t="s">
        <v>72</v>
      </c>
      <c r="D30" t="s">
        <v>188</v>
      </c>
      <c r="E30" t="s">
        <v>74</v>
      </c>
      <c r="F30" t="s">
        <v>77</v>
      </c>
      <c r="G30" t="s">
        <v>76</v>
      </c>
      <c r="H30">
        <v>14.715388617498849</v>
      </c>
      <c r="I30">
        <v>0</v>
      </c>
      <c r="J30">
        <v>7</v>
      </c>
      <c r="K30">
        <v>10</v>
      </c>
      <c r="L30">
        <v>-3</v>
      </c>
      <c r="M30">
        <v>8</v>
      </c>
      <c r="N30">
        <v>10</v>
      </c>
      <c r="O30">
        <v>-2</v>
      </c>
      <c r="P30">
        <v>6</v>
      </c>
      <c r="Q30">
        <v>9</v>
      </c>
      <c r="R30">
        <v>-3</v>
      </c>
      <c r="S30">
        <v>7</v>
      </c>
      <c r="T30">
        <v>10</v>
      </c>
      <c r="U30">
        <v>-3</v>
      </c>
      <c r="V30">
        <v>6</v>
      </c>
      <c r="W30">
        <v>10</v>
      </c>
      <c r="X30">
        <v>-4</v>
      </c>
      <c r="Y30">
        <v>8</v>
      </c>
      <c r="Z30">
        <v>9</v>
      </c>
      <c r="AA30">
        <v>-1</v>
      </c>
      <c r="AB30">
        <v>6</v>
      </c>
      <c r="AC30">
        <v>10</v>
      </c>
      <c r="AD30">
        <v>-4</v>
      </c>
      <c r="AE30">
        <v>7</v>
      </c>
      <c r="AF30">
        <v>10</v>
      </c>
      <c r="AG30">
        <v>-3</v>
      </c>
      <c r="AH30">
        <v>6</v>
      </c>
      <c r="AI30">
        <v>10</v>
      </c>
      <c r="AJ30">
        <v>-4</v>
      </c>
      <c r="AK30" t="s">
        <v>473</v>
      </c>
      <c r="AL30" t="s">
        <v>474</v>
      </c>
      <c r="AM30" t="s">
        <v>475</v>
      </c>
      <c r="AN30" t="s">
        <v>476</v>
      </c>
      <c r="AO30" t="s">
        <v>477</v>
      </c>
      <c r="AP30" t="s">
        <v>478</v>
      </c>
      <c r="AQ30" t="s">
        <v>479</v>
      </c>
      <c r="AR30" t="s">
        <v>480</v>
      </c>
      <c r="AS30" t="s">
        <v>481</v>
      </c>
    </row>
    <row r="31" spans="1:45" x14ac:dyDescent="0.45">
      <c r="A31">
        <v>30</v>
      </c>
      <c r="B31">
        <v>12374</v>
      </c>
      <c r="C31" t="s">
        <v>72</v>
      </c>
      <c r="D31" t="s">
        <v>188</v>
      </c>
      <c r="E31" t="s">
        <v>74</v>
      </c>
      <c r="F31" t="s">
        <v>77</v>
      </c>
      <c r="G31" t="s">
        <v>76</v>
      </c>
      <c r="H31">
        <v>13.119903841367227</v>
      </c>
      <c r="I31">
        <v>0</v>
      </c>
      <c r="J31">
        <v>8</v>
      </c>
      <c r="K31">
        <v>10</v>
      </c>
      <c r="L31">
        <v>-2</v>
      </c>
      <c r="M31">
        <v>8</v>
      </c>
      <c r="N31">
        <v>10</v>
      </c>
      <c r="O31">
        <v>-2</v>
      </c>
      <c r="P31">
        <v>7</v>
      </c>
      <c r="Q31">
        <v>9</v>
      </c>
      <c r="R31">
        <v>-2</v>
      </c>
      <c r="S31">
        <v>8</v>
      </c>
      <c r="T31">
        <v>10</v>
      </c>
      <c r="U31">
        <v>-2</v>
      </c>
      <c r="V31">
        <v>7</v>
      </c>
      <c r="W31">
        <v>10</v>
      </c>
      <c r="X31">
        <v>-3</v>
      </c>
      <c r="Y31">
        <v>6</v>
      </c>
      <c r="Z31">
        <v>10</v>
      </c>
      <c r="AA31">
        <v>-4</v>
      </c>
      <c r="AB31">
        <v>5</v>
      </c>
      <c r="AC31">
        <v>10</v>
      </c>
      <c r="AD31">
        <v>-5</v>
      </c>
      <c r="AE31">
        <v>4</v>
      </c>
      <c r="AF31">
        <v>10</v>
      </c>
      <c r="AG31">
        <v>-6</v>
      </c>
      <c r="AH31">
        <v>6</v>
      </c>
      <c r="AI31">
        <v>10</v>
      </c>
      <c r="AJ31">
        <v>-4</v>
      </c>
      <c r="AK31" t="s">
        <v>482</v>
      </c>
      <c r="AL31" t="s">
        <v>483</v>
      </c>
      <c r="AM31" t="s">
        <v>484</v>
      </c>
      <c r="AN31" t="s">
        <v>485</v>
      </c>
      <c r="AO31" t="s">
        <v>486</v>
      </c>
      <c r="AP31" t="s">
        <v>487</v>
      </c>
      <c r="AQ31" t="s">
        <v>488</v>
      </c>
      <c r="AR31" t="s">
        <v>489</v>
      </c>
      <c r="AS31" t="s">
        <v>490</v>
      </c>
    </row>
    <row r="32" spans="1:45" x14ac:dyDescent="0.45">
      <c r="A32">
        <v>31</v>
      </c>
      <c r="B32">
        <v>12375</v>
      </c>
      <c r="C32" t="s">
        <v>72</v>
      </c>
      <c r="D32" t="s">
        <v>81</v>
      </c>
      <c r="E32" t="s">
        <v>74</v>
      </c>
      <c r="F32" t="s">
        <v>77</v>
      </c>
      <c r="G32" t="s">
        <v>76</v>
      </c>
      <c r="H32">
        <v>27.295945965192793</v>
      </c>
      <c r="I32">
        <v>0</v>
      </c>
      <c r="J32">
        <v>7</v>
      </c>
      <c r="K32">
        <v>10</v>
      </c>
      <c r="L32">
        <v>-3</v>
      </c>
      <c r="M32">
        <v>8</v>
      </c>
      <c r="N32">
        <v>7</v>
      </c>
      <c r="O32">
        <v>1</v>
      </c>
      <c r="P32">
        <v>6</v>
      </c>
      <c r="Q32">
        <v>10</v>
      </c>
      <c r="R32">
        <v>-4</v>
      </c>
      <c r="S32">
        <v>9</v>
      </c>
      <c r="T32">
        <v>7</v>
      </c>
      <c r="U32">
        <v>2</v>
      </c>
      <c r="V32">
        <v>7</v>
      </c>
      <c r="W32">
        <v>10</v>
      </c>
      <c r="X32">
        <v>-3</v>
      </c>
      <c r="Y32">
        <v>8</v>
      </c>
      <c r="Z32">
        <v>10</v>
      </c>
      <c r="AA32">
        <v>-2</v>
      </c>
      <c r="AB32">
        <v>7</v>
      </c>
      <c r="AC32">
        <v>3</v>
      </c>
      <c r="AD32">
        <v>4</v>
      </c>
      <c r="AE32">
        <v>5</v>
      </c>
      <c r="AF32">
        <v>5</v>
      </c>
      <c r="AG32">
        <v>0</v>
      </c>
      <c r="AH32">
        <v>6</v>
      </c>
      <c r="AI32">
        <v>8</v>
      </c>
      <c r="AJ32">
        <v>-2</v>
      </c>
      <c r="AK32" t="s">
        <v>491</v>
      </c>
      <c r="AL32" t="s">
        <v>492</v>
      </c>
      <c r="AM32" t="s">
        <v>493</v>
      </c>
      <c r="AN32" t="s">
        <v>494</v>
      </c>
      <c r="AO32" t="s">
        <v>495</v>
      </c>
      <c r="AP32" t="s">
        <v>496</v>
      </c>
      <c r="AQ32" t="s">
        <v>497</v>
      </c>
      <c r="AR32" t="s">
        <v>498</v>
      </c>
      <c r="AS32" t="s">
        <v>499</v>
      </c>
    </row>
    <row r="33" spans="1:45" x14ac:dyDescent="0.45">
      <c r="A33">
        <v>32</v>
      </c>
      <c r="B33">
        <v>12376</v>
      </c>
      <c r="C33" t="s">
        <v>72</v>
      </c>
      <c r="D33" t="s">
        <v>188</v>
      </c>
      <c r="E33" t="s">
        <v>74</v>
      </c>
      <c r="F33" t="s">
        <v>77</v>
      </c>
      <c r="G33" t="s">
        <v>76</v>
      </c>
      <c r="H33">
        <v>29.138658898904062</v>
      </c>
      <c r="I33">
        <v>0</v>
      </c>
      <c r="J33">
        <v>9</v>
      </c>
      <c r="K33">
        <v>5</v>
      </c>
      <c r="L33">
        <v>4</v>
      </c>
      <c r="M33">
        <v>8</v>
      </c>
      <c r="N33">
        <v>5</v>
      </c>
      <c r="O33">
        <v>3</v>
      </c>
      <c r="P33">
        <v>7</v>
      </c>
      <c r="Q33">
        <v>5</v>
      </c>
      <c r="R33">
        <v>2</v>
      </c>
      <c r="S33">
        <v>8</v>
      </c>
      <c r="T33">
        <v>5</v>
      </c>
      <c r="U33">
        <v>3</v>
      </c>
      <c r="V33">
        <v>7</v>
      </c>
      <c r="W33">
        <v>5</v>
      </c>
      <c r="X33">
        <v>2</v>
      </c>
      <c r="Y33">
        <v>8</v>
      </c>
      <c r="Z33">
        <v>5</v>
      </c>
      <c r="AA33">
        <v>3</v>
      </c>
      <c r="AB33">
        <v>7</v>
      </c>
      <c r="AC33">
        <v>5</v>
      </c>
      <c r="AD33">
        <v>2</v>
      </c>
      <c r="AE33">
        <v>6</v>
      </c>
      <c r="AF33">
        <v>5</v>
      </c>
      <c r="AG33">
        <v>1</v>
      </c>
      <c r="AH33">
        <v>9</v>
      </c>
      <c r="AI33">
        <v>5</v>
      </c>
      <c r="AJ33">
        <v>4</v>
      </c>
      <c r="AK33" t="s">
        <v>500</v>
      </c>
      <c r="AL33" t="s">
        <v>501</v>
      </c>
      <c r="AM33" t="s">
        <v>502</v>
      </c>
      <c r="AN33" t="s">
        <v>503</v>
      </c>
      <c r="AO33" t="s">
        <v>504</v>
      </c>
      <c r="AP33" t="s">
        <v>505</v>
      </c>
      <c r="AQ33" t="s">
        <v>506</v>
      </c>
      <c r="AR33" t="s">
        <v>507</v>
      </c>
      <c r="AS33" t="s">
        <v>508</v>
      </c>
    </row>
    <row r="34" spans="1:45" x14ac:dyDescent="0.45">
      <c r="A34">
        <v>33</v>
      </c>
      <c r="B34">
        <v>12377</v>
      </c>
      <c r="C34" t="s">
        <v>72</v>
      </c>
      <c r="D34" t="s">
        <v>81</v>
      </c>
      <c r="E34" t="s">
        <v>74</v>
      </c>
      <c r="F34" t="s">
        <v>77</v>
      </c>
      <c r="G34" t="s">
        <v>76</v>
      </c>
      <c r="H34">
        <v>29.609550179087222</v>
      </c>
      <c r="I34">
        <v>0</v>
      </c>
      <c r="J34">
        <v>7</v>
      </c>
      <c r="K34">
        <v>8</v>
      </c>
      <c r="L34">
        <v>-1</v>
      </c>
      <c r="M34">
        <v>8</v>
      </c>
      <c r="N34">
        <v>9</v>
      </c>
      <c r="O34">
        <v>-1</v>
      </c>
      <c r="P34">
        <v>8</v>
      </c>
      <c r="Q34">
        <v>7</v>
      </c>
      <c r="R34">
        <v>1</v>
      </c>
      <c r="S34">
        <v>9</v>
      </c>
      <c r="T34">
        <v>8</v>
      </c>
      <c r="U34">
        <v>1</v>
      </c>
      <c r="V34">
        <v>7</v>
      </c>
      <c r="W34">
        <v>8</v>
      </c>
      <c r="X34">
        <v>-1</v>
      </c>
      <c r="Y34">
        <v>8</v>
      </c>
      <c r="Z34">
        <v>8</v>
      </c>
      <c r="AA34">
        <v>0</v>
      </c>
      <c r="AB34">
        <v>7</v>
      </c>
      <c r="AC34">
        <v>3</v>
      </c>
      <c r="AD34">
        <v>4</v>
      </c>
      <c r="AE34">
        <v>8</v>
      </c>
      <c r="AF34">
        <v>6</v>
      </c>
      <c r="AG34">
        <v>2</v>
      </c>
      <c r="AH34">
        <v>8</v>
      </c>
      <c r="AI34">
        <v>7</v>
      </c>
      <c r="AJ34">
        <v>1</v>
      </c>
      <c r="AK34" t="s">
        <v>509</v>
      </c>
      <c r="AL34" t="s">
        <v>510</v>
      </c>
      <c r="AM34" t="s">
        <v>511</v>
      </c>
      <c r="AN34" t="s">
        <v>512</v>
      </c>
      <c r="AO34" t="s">
        <v>513</v>
      </c>
      <c r="AP34" t="s">
        <v>514</v>
      </c>
      <c r="AQ34" t="s">
        <v>515</v>
      </c>
      <c r="AR34" t="s">
        <v>516</v>
      </c>
      <c r="AS34" t="s">
        <v>517</v>
      </c>
    </row>
    <row r="35" spans="1:45" x14ac:dyDescent="0.45">
      <c r="A35">
        <v>34</v>
      </c>
      <c r="B35">
        <v>12378</v>
      </c>
      <c r="C35" t="s">
        <v>78</v>
      </c>
      <c r="D35" t="s">
        <v>81</v>
      </c>
      <c r="E35" t="s">
        <v>74</v>
      </c>
      <c r="F35" t="s">
        <v>77</v>
      </c>
      <c r="G35" t="s">
        <v>76</v>
      </c>
      <c r="H35">
        <v>12.238145044249537</v>
      </c>
      <c r="I35">
        <v>1</v>
      </c>
      <c r="J35">
        <v>7</v>
      </c>
      <c r="K35">
        <v>10</v>
      </c>
      <c r="L35">
        <v>-3</v>
      </c>
      <c r="M35">
        <v>6</v>
      </c>
      <c r="N35">
        <v>10</v>
      </c>
      <c r="O35">
        <v>-4</v>
      </c>
      <c r="P35">
        <v>8</v>
      </c>
      <c r="Q35">
        <v>10</v>
      </c>
      <c r="R35">
        <v>-2</v>
      </c>
      <c r="S35">
        <v>9</v>
      </c>
      <c r="T35">
        <v>10</v>
      </c>
      <c r="U35">
        <v>-1</v>
      </c>
      <c r="V35">
        <v>7</v>
      </c>
      <c r="W35">
        <v>10</v>
      </c>
      <c r="X35">
        <v>-3</v>
      </c>
      <c r="Y35">
        <v>8</v>
      </c>
      <c r="Z35">
        <v>10</v>
      </c>
      <c r="AA35">
        <v>-2</v>
      </c>
      <c r="AB35">
        <v>7</v>
      </c>
      <c r="AC35">
        <v>10</v>
      </c>
      <c r="AD35">
        <v>-3</v>
      </c>
      <c r="AE35">
        <v>6</v>
      </c>
      <c r="AF35">
        <v>10</v>
      </c>
      <c r="AG35">
        <v>-4</v>
      </c>
      <c r="AH35">
        <v>7</v>
      </c>
      <c r="AI35">
        <v>10</v>
      </c>
      <c r="AJ35">
        <v>-3</v>
      </c>
      <c r="AK35" t="s">
        <v>518</v>
      </c>
      <c r="AL35" t="s">
        <v>519</v>
      </c>
      <c r="AM35" t="s">
        <v>520</v>
      </c>
      <c r="AN35" t="s">
        <v>521</v>
      </c>
      <c r="AO35" t="s">
        <v>522</v>
      </c>
      <c r="AP35" t="s">
        <v>523</v>
      </c>
      <c r="AQ35" t="s">
        <v>524</v>
      </c>
      <c r="AR35" t="s">
        <v>525</v>
      </c>
      <c r="AS35" t="s">
        <v>526</v>
      </c>
    </row>
    <row r="36" spans="1:45" x14ac:dyDescent="0.45">
      <c r="A36">
        <v>35</v>
      </c>
      <c r="B36">
        <v>12379</v>
      </c>
      <c r="C36" t="s">
        <v>72</v>
      </c>
      <c r="D36" t="s">
        <v>73</v>
      </c>
      <c r="E36" t="s">
        <v>74</v>
      </c>
      <c r="F36" t="s">
        <v>189</v>
      </c>
      <c r="G36" t="s">
        <v>76</v>
      </c>
      <c r="H36">
        <v>12.199839148378798</v>
      </c>
      <c r="I36">
        <v>3</v>
      </c>
      <c r="J36">
        <v>8</v>
      </c>
      <c r="K36">
        <v>10</v>
      </c>
      <c r="L36">
        <v>-2</v>
      </c>
      <c r="M36">
        <v>7</v>
      </c>
      <c r="N36">
        <v>10</v>
      </c>
      <c r="O36">
        <v>-3</v>
      </c>
      <c r="P36">
        <v>6</v>
      </c>
      <c r="Q36">
        <v>10</v>
      </c>
      <c r="R36">
        <v>-4</v>
      </c>
      <c r="S36">
        <v>7</v>
      </c>
      <c r="T36">
        <v>10</v>
      </c>
      <c r="U36">
        <v>-3</v>
      </c>
      <c r="V36">
        <v>8</v>
      </c>
      <c r="W36">
        <v>10</v>
      </c>
      <c r="X36">
        <v>-2</v>
      </c>
      <c r="Y36">
        <v>7</v>
      </c>
      <c r="Z36">
        <v>10</v>
      </c>
      <c r="AA36">
        <v>-3</v>
      </c>
      <c r="AB36">
        <v>8</v>
      </c>
      <c r="AC36">
        <v>10</v>
      </c>
      <c r="AD36">
        <v>-2</v>
      </c>
      <c r="AE36">
        <v>7</v>
      </c>
      <c r="AF36">
        <v>10</v>
      </c>
      <c r="AG36">
        <v>-3</v>
      </c>
      <c r="AH36">
        <v>8</v>
      </c>
      <c r="AI36">
        <v>10</v>
      </c>
      <c r="AJ36">
        <v>-2</v>
      </c>
      <c r="AK36" t="s">
        <v>527</v>
      </c>
      <c r="AL36" t="s">
        <v>528</v>
      </c>
      <c r="AM36" t="s">
        <v>529</v>
      </c>
      <c r="AN36" t="s">
        <v>530</v>
      </c>
      <c r="AO36" t="s">
        <v>531</v>
      </c>
      <c r="AP36" t="s">
        <v>532</v>
      </c>
      <c r="AQ36" t="s">
        <v>533</v>
      </c>
      <c r="AR36" t="s">
        <v>534</v>
      </c>
      <c r="AS36" t="s">
        <v>535</v>
      </c>
    </row>
    <row r="37" spans="1:45" x14ac:dyDescent="0.45">
      <c r="A37">
        <v>36</v>
      </c>
      <c r="B37">
        <v>12380</v>
      </c>
      <c r="C37" t="s">
        <v>72</v>
      </c>
      <c r="D37" t="s">
        <v>188</v>
      </c>
      <c r="E37" t="s">
        <v>74</v>
      </c>
      <c r="F37" t="s">
        <v>77</v>
      </c>
      <c r="G37" t="s">
        <v>76</v>
      </c>
      <c r="H37">
        <v>12.036573186404826</v>
      </c>
      <c r="I37">
        <v>0</v>
      </c>
      <c r="J37">
        <v>7</v>
      </c>
      <c r="K37">
        <v>10</v>
      </c>
      <c r="L37">
        <v>-3</v>
      </c>
      <c r="M37">
        <v>8</v>
      </c>
      <c r="N37">
        <v>9</v>
      </c>
      <c r="O37">
        <v>-1</v>
      </c>
      <c r="P37">
        <v>9</v>
      </c>
      <c r="Q37">
        <v>10</v>
      </c>
      <c r="R37">
        <v>-1</v>
      </c>
      <c r="S37">
        <v>8</v>
      </c>
      <c r="T37">
        <v>8</v>
      </c>
      <c r="U37">
        <v>0</v>
      </c>
      <c r="V37">
        <v>7</v>
      </c>
      <c r="W37">
        <v>10</v>
      </c>
      <c r="X37">
        <v>-3</v>
      </c>
      <c r="Y37">
        <v>6</v>
      </c>
      <c r="Z37">
        <v>9</v>
      </c>
      <c r="AA37">
        <v>-3</v>
      </c>
      <c r="AB37">
        <v>5</v>
      </c>
      <c r="AC37">
        <v>10</v>
      </c>
      <c r="AD37">
        <v>-5</v>
      </c>
      <c r="AE37">
        <v>6</v>
      </c>
      <c r="AF37">
        <v>10</v>
      </c>
      <c r="AG37">
        <v>-4</v>
      </c>
      <c r="AH37">
        <v>7</v>
      </c>
      <c r="AI37">
        <v>10</v>
      </c>
      <c r="AJ37">
        <v>-3</v>
      </c>
      <c r="AK37" t="s">
        <v>536</v>
      </c>
      <c r="AL37" t="s">
        <v>537</v>
      </c>
      <c r="AM37" t="s">
        <v>538</v>
      </c>
      <c r="AN37" t="s">
        <v>539</v>
      </c>
      <c r="AO37" t="s">
        <v>540</v>
      </c>
      <c r="AP37" t="s">
        <v>541</v>
      </c>
      <c r="AQ37" t="s">
        <v>542</v>
      </c>
      <c r="AR37" t="s">
        <v>543</v>
      </c>
      <c r="AS37" t="s">
        <v>544</v>
      </c>
    </row>
    <row r="38" spans="1:45" x14ac:dyDescent="0.45">
      <c r="A38">
        <v>37</v>
      </c>
      <c r="B38">
        <v>12381</v>
      </c>
      <c r="C38" t="s">
        <v>78</v>
      </c>
      <c r="D38" t="s">
        <v>188</v>
      </c>
      <c r="E38" t="s">
        <v>74</v>
      </c>
      <c r="F38" t="s">
        <v>77</v>
      </c>
      <c r="G38" t="s">
        <v>76</v>
      </c>
      <c r="H38">
        <v>12.284195665474812</v>
      </c>
      <c r="I38">
        <v>0</v>
      </c>
      <c r="J38">
        <v>8</v>
      </c>
      <c r="K38">
        <v>10</v>
      </c>
      <c r="L38">
        <v>-2</v>
      </c>
      <c r="M38">
        <v>9</v>
      </c>
      <c r="N38">
        <v>10</v>
      </c>
      <c r="O38">
        <v>-1</v>
      </c>
      <c r="P38">
        <v>7</v>
      </c>
      <c r="Q38">
        <v>10</v>
      </c>
      <c r="R38">
        <v>-3</v>
      </c>
      <c r="S38">
        <v>8</v>
      </c>
      <c r="T38">
        <v>10</v>
      </c>
      <c r="U38">
        <v>-2</v>
      </c>
      <c r="V38">
        <v>6</v>
      </c>
      <c r="W38">
        <v>9</v>
      </c>
      <c r="X38">
        <v>-3</v>
      </c>
      <c r="Y38">
        <v>5</v>
      </c>
      <c r="Z38">
        <v>9</v>
      </c>
      <c r="AA38">
        <v>-4</v>
      </c>
      <c r="AB38">
        <v>6</v>
      </c>
      <c r="AC38">
        <v>9</v>
      </c>
      <c r="AD38">
        <v>-3</v>
      </c>
      <c r="AE38">
        <v>4</v>
      </c>
      <c r="AF38">
        <v>9</v>
      </c>
      <c r="AG38">
        <v>-5</v>
      </c>
      <c r="AH38">
        <v>5</v>
      </c>
      <c r="AI38">
        <v>8</v>
      </c>
      <c r="AJ38">
        <v>-3</v>
      </c>
      <c r="AK38" t="s">
        <v>545</v>
      </c>
      <c r="AL38" t="s">
        <v>546</v>
      </c>
      <c r="AM38" t="s">
        <v>547</v>
      </c>
      <c r="AN38" t="s">
        <v>548</v>
      </c>
      <c r="AO38" t="s">
        <v>549</v>
      </c>
      <c r="AP38" t="s">
        <v>550</v>
      </c>
      <c r="AQ38" t="s">
        <v>551</v>
      </c>
      <c r="AR38" t="s">
        <v>552</v>
      </c>
      <c r="AS38" t="s">
        <v>553</v>
      </c>
    </row>
    <row r="39" spans="1:45" x14ac:dyDescent="0.45">
      <c r="A39">
        <v>38</v>
      </c>
      <c r="B39">
        <v>12382</v>
      </c>
      <c r="C39" t="s">
        <v>72</v>
      </c>
      <c r="D39" t="s">
        <v>73</v>
      </c>
      <c r="E39" t="s">
        <v>74</v>
      </c>
      <c r="F39" t="s">
        <v>77</v>
      </c>
      <c r="G39" t="s">
        <v>76</v>
      </c>
      <c r="H39">
        <v>46.409239854903745</v>
      </c>
      <c r="I39">
        <v>1</v>
      </c>
      <c r="J39">
        <v>7</v>
      </c>
      <c r="K39">
        <v>8</v>
      </c>
      <c r="L39">
        <v>-1</v>
      </c>
      <c r="M39">
        <v>8</v>
      </c>
      <c r="N39">
        <v>8</v>
      </c>
      <c r="O39">
        <v>0</v>
      </c>
      <c r="P39">
        <v>6</v>
      </c>
      <c r="Q39">
        <v>8</v>
      </c>
      <c r="R39">
        <v>-2</v>
      </c>
      <c r="S39">
        <v>7</v>
      </c>
      <c r="T39">
        <v>8</v>
      </c>
      <c r="U39">
        <v>-1</v>
      </c>
      <c r="V39">
        <v>5</v>
      </c>
      <c r="W39">
        <v>8</v>
      </c>
      <c r="X39">
        <v>-3</v>
      </c>
      <c r="Y39">
        <v>6</v>
      </c>
      <c r="Z39">
        <v>8</v>
      </c>
      <c r="AA39">
        <v>-2</v>
      </c>
      <c r="AB39">
        <v>4</v>
      </c>
      <c r="AC39">
        <v>8</v>
      </c>
      <c r="AD39">
        <v>-4</v>
      </c>
      <c r="AE39">
        <v>5</v>
      </c>
      <c r="AF39">
        <v>8</v>
      </c>
      <c r="AG39">
        <v>-3</v>
      </c>
      <c r="AH39">
        <v>6</v>
      </c>
      <c r="AI39">
        <v>8</v>
      </c>
      <c r="AJ39">
        <v>-2</v>
      </c>
      <c r="AK39" t="s">
        <v>554</v>
      </c>
      <c r="AL39" t="s">
        <v>555</v>
      </c>
      <c r="AM39" t="s">
        <v>556</v>
      </c>
      <c r="AN39" t="s">
        <v>557</v>
      </c>
      <c r="AO39" t="s">
        <v>558</v>
      </c>
      <c r="AP39" t="s">
        <v>559</v>
      </c>
      <c r="AQ39" t="s">
        <v>560</v>
      </c>
      <c r="AR39" t="s">
        <v>561</v>
      </c>
      <c r="AS39" t="s">
        <v>562</v>
      </c>
    </row>
    <row r="40" spans="1:45" x14ac:dyDescent="0.45">
      <c r="A40">
        <v>39</v>
      </c>
      <c r="B40">
        <v>12383</v>
      </c>
      <c r="C40" t="s">
        <v>78</v>
      </c>
      <c r="D40" t="s">
        <v>81</v>
      </c>
      <c r="E40" t="s">
        <v>74</v>
      </c>
      <c r="F40" t="s">
        <v>77</v>
      </c>
      <c r="G40" t="s">
        <v>76</v>
      </c>
      <c r="H40">
        <v>14.660964797434934</v>
      </c>
      <c r="I40">
        <v>0</v>
      </c>
      <c r="J40">
        <v>8</v>
      </c>
      <c r="K40">
        <v>10</v>
      </c>
      <c r="L40">
        <v>-2</v>
      </c>
      <c r="M40">
        <v>9</v>
      </c>
      <c r="N40">
        <v>10</v>
      </c>
      <c r="O40">
        <v>-1</v>
      </c>
      <c r="P40">
        <v>7</v>
      </c>
      <c r="Q40">
        <v>10</v>
      </c>
      <c r="R40">
        <v>-3</v>
      </c>
      <c r="S40">
        <v>8</v>
      </c>
      <c r="T40">
        <v>10</v>
      </c>
      <c r="U40">
        <v>-2</v>
      </c>
      <c r="V40">
        <v>9</v>
      </c>
      <c r="W40">
        <v>10</v>
      </c>
      <c r="X40">
        <v>-1</v>
      </c>
      <c r="Y40">
        <v>8</v>
      </c>
      <c r="Z40">
        <v>10</v>
      </c>
      <c r="AA40">
        <v>-2</v>
      </c>
      <c r="AB40">
        <v>9</v>
      </c>
      <c r="AC40">
        <v>10</v>
      </c>
      <c r="AD40">
        <v>-1</v>
      </c>
      <c r="AE40">
        <v>7</v>
      </c>
      <c r="AF40">
        <v>10</v>
      </c>
      <c r="AG40">
        <v>-3</v>
      </c>
      <c r="AH40">
        <v>8</v>
      </c>
      <c r="AI40">
        <v>10</v>
      </c>
      <c r="AJ40">
        <v>-2</v>
      </c>
      <c r="AK40" t="s">
        <v>563</v>
      </c>
      <c r="AL40" t="s">
        <v>564</v>
      </c>
      <c r="AM40" t="s">
        <v>565</v>
      </c>
      <c r="AN40" t="s">
        <v>566</v>
      </c>
      <c r="AO40" t="s">
        <v>567</v>
      </c>
      <c r="AP40" t="s">
        <v>568</v>
      </c>
      <c r="AQ40" t="s">
        <v>569</v>
      </c>
      <c r="AR40" t="s">
        <v>570</v>
      </c>
      <c r="AS40" t="s">
        <v>571</v>
      </c>
    </row>
    <row r="41" spans="1:45" x14ac:dyDescent="0.45">
      <c r="A41">
        <v>40</v>
      </c>
      <c r="B41">
        <v>12384</v>
      </c>
      <c r="C41" t="s">
        <v>78</v>
      </c>
      <c r="D41" t="s">
        <v>73</v>
      </c>
      <c r="E41" t="s">
        <v>74</v>
      </c>
      <c r="F41" t="s">
        <v>77</v>
      </c>
      <c r="G41" t="s">
        <v>76</v>
      </c>
      <c r="H41">
        <v>127.22034440499482</v>
      </c>
      <c r="I41">
        <v>1</v>
      </c>
      <c r="J41">
        <v>7</v>
      </c>
      <c r="K41">
        <v>8</v>
      </c>
      <c r="L41">
        <v>-1</v>
      </c>
      <c r="M41">
        <v>6</v>
      </c>
      <c r="N41">
        <v>8</v>
      </c>
      <c r="O41">
        <v>-2</v>
      </c>
      <c r="P41">
        <v>8</v>
      </c>
      <c r="Q41">
        <v>6</v>
      </c>
      <c r="R41">
        <v>2</v>
      </c>
      <c r="S41">
        <v>9</v>
      </c>
      <c r="T41">
        <v>8</v>
      </c>
      <c r="U41">
        <v>1</v>
      </c>
      <c r="V41">
        <v>6</v>
      </c>
      <c r="W41">
        <v>7</v>
      </c>
      <c r="X41">
        <v>-1</v>
      </c>
      <c r="Y41">
        <v>7</v>
      </c>
      <c r="Z41">
        <v>8</v>
      </c>
      <c r="AA41">
        <v>-1</v>
      </c>
      <c r="AB41">
        <v>6</v>
      </c>
      <c r="AC41">
        <v>5</v>
      </c>
      <c r="AD41">
        <v>1</v>
      </c>
      <c r="AE41">
        <v>5</v>
      </c>
      <c r="AF41">
        <v>6</v>
      </c>
      <c r="AG41">
        <v>-1</v>
      </c>
      <c r="AH41">
        <v>7</v>
      </c>
      <c r="AI41">
        <v>7</v>
      </c>
      <c r="AJ41">
        <v>0</v>
      </c>
      <c r="AK41" t="s">
        <v>572</v>
      </c>
      <c r="AL41" t="s">
        <v>573</v>
      </c>
      <c r="AM41" t="s">
        <v>574</v>
      </c>
      <c r="AN41" t="s">
        <v>575</v>
      </c>
      <c r="AO41" t="s">
        <v>576</v>
      </c>
      <c r="AP41" t="s">
        <v>577</v>
      </c>
      <c r="AQ41" t="s">
        <v>578</v>
      </c>
      <c r="AR41" t="s">
        <v>579</v>
      </c>
      <c r="AS41" t="s">
        <v>580</v>
      </c>
    </row>
    <row r="42" spans="1:45" x14ac:dyDescent="0.45">
      <c r="A42">
        <v>41</v>
      </c>
      <c r="B42">
        <v>12385</v>
      </c>
      <c r="C42" t="s">
        <v>78</v>
      </c>
      <c r="D42" t="s">
        <v>73</v>
      </c>
      <c r="E42" t="s">
        <v>74</v>
      </c>
      <c r="F42" t="s">
        <v>77</v>
      </c>
      <c r="G42" t="s">
        <v>76</v>
      </c>
      <c r="H42">
        <v>75.800182024381115</v>
      </c>
      <c r="I42">
        <v>2</v>
      </c>
      <c r="J42">
        <v>7</v>
      </c>
      <c r="K42">
        <v>9</v>
      </c>
      <c r="L42">
        <v>-2</v>
      </c>
      <c r="M42">
        <v>6</v>
      </c>
      <c r="N42">
        <v>8</v>
      </c>
      <c r="O42">
        <v>-2</v>
      </c>
      <c r="P42">
        <v>8</v>
      </c>
      <c r="Q42">
        <v>7</v>
      </c>
      <c r="R42">
        <v>1</v>
      </c>
      <c r="S42">
        <v>9</v>
      </c>
      <c r="T42">
        <v>8</v>
      </c>
      <c r="U42">
        <v>1</v>
      </c>
      <c r="V42">
        <v>5</v>
      </c>
      <c r="W42">
        <v>7</v>
      </c>
      <c r="X42">
        <v>-2</v>
      </c>
      <c r="Y42">
        <v>6</v>
      </c>
      <c r="Z42">
        <v>4</v>
      </c>
      <c r="AA42">
        <v>2</v>
      </c>
      <c r="AB42">
        <v>4</v>
      </c>
      <c r="AC42">
        <v>2</v>
      </c>
      <c r="AD42">
        <v>2</v>
      </c>
      <c r="AE42">
        <v>5</v>
      </c>
      <c r="AF42">
        <v>8</v>
      </c>
      <c r="AG42">
        <v>-3</v>
      </c>
      <c r="AH42">
        <v>6</v>
      </c>
      <c r="AI42">
        <v>8</v>
      </c>
      <c r="AJ42">
        <v>-2</v>
      </c>
      <c r="AK42" t="s">
        <v>581</v>
      </c>
      <c r="AL42" t="s">
        <v>582</v>
      </c>
      <c r="AM42" t="s">
        <v>583</v>
      </c>
      <c r="AN42" t="s">
        <v>584</v>
      </c>
      <c r="AO42" t="s">
        <v>585</v>
      </c>
      <c r="AP42" t="s">
        <v>586</v>
      </c>
      <c r="AQ42" t="s">
        <v>587</v>
      </c>
      <c r="AR42" t="s">
        <v>588</v>
      </c>
      <c r="AS42" t="s">
        <v>589</v>
      </c>
    </row>
    <row r="43" spans="1:45" x14ac:dyDescent="0.45">
      <c r="A43">
        <v>42</v>
      </c>
      <c r="B43">
        <v>12386</v>
      </c>
      <c r="C43" t="s">
        <v>72</v>
      </c>
      <c r="D43" t="s">
        <v>73</v>
      </c>
      <c r="E43" t="s">
        <v>74</v>
      </c>
      <c r="F43" t="s">
        <v>77</v>
      </c>
      <c r="G43" t="s">
        <v>76</v>
      </c>
      <c r="H43">
        <v>44.832411102554097</v>
      </c>
      <c r="I43">
        <v>3</v>
      </c>
      <c r="J43">
        <v>7</v>
      </c>
      <c r="K43">
        <v>10</v>
      </c>
      <c r="L43">
        <v>-3</v>
      </c>
      <c r="M43">
        <v>6</v>
      </c>
      <c r="N43">
        <v>10</v>
      </c>
      <c r="O43">
        <v>-4</v>
      </c>
      <c r="P43">
        <v>8</v>
      </c>
      <c r="Q43">
        <v>9</v>
      </c>
      <c r="R43">
        <v>-1</v>
      </c>
      <c r="S43">
        <v>9</v>
      </c>
      <c r="T43">
        <v>8</v>
      </c>
      <c r="U43">
        <v>1</v>
      </c>
      <c r="V43">
        <v>8</v>
      </c>
      <c r="W43">
        <v>7</v>
      </c>
      <c r="X43">
        <v>1</v>
      </c>
      <c r="Y43">
        <v>7</v>
      </c>
      <c r="Z43">
        <v>9</v>
      </c>
      <c r="AA43">
        <v>-2</v>
      </c>
      <c r="AB43">
        <v>6</v>
      </c>
      <c r="AC43">
        <v>9</v>
      </c>
      <c r="AD43">
        <v>-3</v>
      </c>
      <c r="AE43">
        <v>5</v>
      </c>
      <c r="AF43">
        <v>8</v>
      </c>
      <c r="AG43">
        <v>-3</v>
      </c>
      <c r="AH43">
        <v>7</v>
      </c>
      <c r="AI43">
        <v>8</v>
      </c>
      <c r="AJ43">
        <v>-1</v>
      </c>
      <c r="AK43" t="s">
        <v>590</v>
      </c>
      <c r="AL43" t="s">
        <v>591</v>
      </c>
      <c r="AM43" t="s">
        <v>592</v>
      </c>
      <c r="AN43" t="s">
        <v>220</v>
      </c>
      <c r="AO43" t="s">
        <v>593</v>
      </c>
      <c r="AP43" t="s">
        <v>594</v>
      </c>
      <c r="AQ43" t="s">
        <v>595</v>
      </c>
      <c r="AR43" t="s">
        <v>596</v>
      </c>
      <c r="AS43" t="s">
        <v>597</v>
      </c>
    </row>
    <row r="44" spans="1:45" x14ac:dyDescent="0.45">
      <c r="A44">
        <v>43</v>
      </c>
      <c r="B44">
        <v>12387</v>
      </c>
      <c r="C44" t="s">
        <v>72</v>
      </c>
      <c r="D44" t="s">
        <v>73</v>
      </c>
      <c r="E44" t="s">
        <v>74</v>
      </c>
      <c r="F44" t="s">
        <v>77</v>
      </c>
      <c r="G44" t="s">
        <v>76</v>
      </c>
      <c r="H44">
        <v>181.46460242033686</v>
      </c>
      <c r="I44">
        <v>2</v>
      </c>
      <c r="J44">
        <v>8</v>
      </c>
      <c r="K44">
        <v>6</v>
      </c>
      <c r="L44">
        <v>2</v>
      </c>
      <c r="M44">
        <v>7</v>
      </c>
      <c r="N44">
        <v>6</v>
      </c>
      <c r="O44">
        <v>1</v>
      </c>
      <c r="P44">
        <v>9</v>
      </c>
      <c r="Q44">
        <v>8</v>
      </c>
      <c r="R44">
        <v>1</v>
      </c>
      <c r="S44">
        <v>8</v>
      </c>
      <c r="T44">
        <v>10</v>
      </c>
      <c r="U44">
        <v>-2</v>
      </c>
      <c r="V44">
        <v>7</v>
      </c>
      <c r="W44">
        <v>9</v>
      </c>
      <c r="X44">
        <v>-2</v>
      </c>
      <c r="Y44">
        <v>8</v>
      </c>
      <c r="Z44">
        <v>1</v>
      </c>
      <c r="AA44">
        <v>7</v>
      </c>
      <c r="AB44">
        <v>6</v>
      </c>
      <c r="AC44">
        <v>7</v>
      </c>
      <c r="AD44">
        <v>-1</v>
      </c>
      <c r="AE44">
        <v>7</v>
      </c>
      <c r="AF44">
        <v>7</v>
      </c>
      <c r="AG44">
        <v>0</v>
      </c>
      <c r="AH44">
        <v>8</v>
      </c>
      <c r="AI44">
        <v>8</v>
      </c>
      <c r="AJ44">
        <v>0</v>
      </c>
      <c r="AK44" t="s">
        <v>598</v>
      </c>
      <c r="AL44" t="s">
        <v>599</v>
      </c>
      <c r="AM44" t="s">
        <v>600</v>
      </c>
      <c r="AN44" t="s">
        <v>601</v>
      </c>
      <c r="AO44" t="s">
        <v>602</v>
      </c>
      <c r="AP44" t="s">
        <v>603</v>
      </c>
      <c r="AQ44" t="s">
        <v>604</v>
      </c>
      <c r="AR44" t="s">
        <v>605</v>
      </c>
      <c r="AS44" t="s">
        <v>606</v>
      </c>
    </row>
    <row r="45" spans="1:45" x14ac:dyDescent="0.45">
      <c r="A45">
        <v>44</v>
      </c>
      <c r="B45">
        <v>12388</v>
      </c>
      <c r="C45" t="s">
        <v>78</v>
      </c>
      <c r="D45" t="s">
        <v>73</v>
      </c>
      <c r="E45" t="s">
        <v>74</v>
      </c>
      <c r="F45" t="s">
        <v>77</v>
      </c>
      <c r="G45" t="s">
        <v>76</v>
      </c>
      <c r="H45">
        <v>27.035028786955039</v>
      </c>
      <c r="I45">
        <v>1</v>
      </c>
      <c r="J45">
        <v>9</v>
      </c>
      <c r="K45">
        <v>8</v>
      </c>
      <c r="L45">
        <v>1</v>
      </c>
      <c r="M45">
        <v>8</v>
      </c>
      <c r="N45">
        <v>8</v>
      </c>
      <c r="O45">
        <v>0</v>
      </c>
      <c r="P45">
        <v>8</v>
      </c>
      <c r="Q45">
        <v>8</v>
      </c>
      <c r="R45">
        <v>0</v>
      </c>
      <c r="S45">
        <v>7</v>
      </c>
      <c r="T45">
        <v>8</v>
      </c>
      <c r="U45">
        <v>-1</v>
      </c>
      <c r="V45">
        <v>8</v>
      </c>
      <c r="W45">
        <v>8</v>
      </c>
      <c r="X45">
        <v>0</v>
      </c>
      <c r="Y45">
        <v>9</v>
      </c>
      <c r="Z45">
        <v>8</v>
      </c>
      <c r="AA45">
        <v>1</v>
      </c>
      <c r="AB45">
        <v>7</v>
      </c>
      <c r="AC45">
        <v>9</v>
      </c>
      <c r="AD45">
        <v>-2</v>
      </c>
      <c r="AE45">
        <v>8</v>
      </c>
      <c r="AF45">
        <v>5</v>
      </c>
      <c r="AG45">
        <v>3</v>
      </c>
      <c r="AH45">
        <v>9</v>
      </c>
      <c r="AI45">
        <v>9</v>
      </c>
      <c r="AJ45">
        <v>0</v>
      </c>
      <c r="AK45" t="s">
        <v>607</v>
      </c>
      <c r="AL45" t="s">
        <v>608</v>
      </c>
      <c r="AM45" t="s">
        <v>609</v>
      </c>
      <c r="AN45" t="s">
        <v>610</v>
      </c>
      <c r="AO45" t="s">
        <v>611</v>
      </c>
      <c r="AP45" t="s">
        <v>612</v>
      </c>
      <c r="AQ45" t="s">
        <v>613</v>
      </c>
      <c r="AR45" t="s">
        <v>614</v>
      </c>
      <c r="AS45" t="s">
        <v>615</v>
      </c>
    </row>
    <row r="46" spans="1:45" x14ac:dyDescent="0.45">
      <c r="A46">
        <v>45</v>
      </c>
      <c r="B46">
        <v>12389</v>
      </c>
      <c r="C46" t="s">
        <v>72</v>
      </c>
      <c r="D46" t="s">
        <v>79</v>
      </c>
      <c r="E46" t="s">
        <v>74</v>
      </c>
      <c r="F46" t="s">
        <v>77</v>
      </c>
      <c r="G46" t="s">
        <v>76</v>
      </c>
      <c r="H46">
        <v>26.332748776775741</v>
      </c>
      <c r="I46">
        <v>2</v>
      </c>
      <c r="J46">
        <v>7</v>
      </c>
      <c r="K46">
        <v>10</v>
      </c>
      <c r="L46">
        <v>-3</v>
      </c>
      <c r="M46">
        <v>8</v>
      </c>
      <c r="N46">
        <v>10</v>
      </c>
      <c r="O46">
        <v>-2</v>
      </c>
      <c r="P46">
        <v>6</v>
      </c>
      <c r="Q46">
        <v>10</v>
      </c>
      <c r="R46">
        <v>-4</v>
      </c>
      <c r="S46">
        <v>7</v>
      </c>
      <c r="T46">
        <v>9</v>
      </c>
      <c r="U46">
        <v>-2</v>
      </c>
      <c r="V46">
        <v>6</v>
      </c>
      <c r="W46">
        <v>10</v>
      </c>
      <c r="X46">
        <v>-4</v>
      </c>
      <c r="Y46">
        <v>5</v>
      </c>
      <c r="Z46">
        <v>10</v>
      </c>
      <c r="AA46">
        <v>-5</v>
      </c>
      <c r="AB46">
        <v>5</v>
      </c>
      <c r="AC46">
        <v>10</v>
      </c>
      <c r="AD46">
        <v>-5</v>
      </c>
      <c r="AE46">
        <v>6</v>
      </c>
      <c r="AF46">
        <v>10</v>
      </c>
      <c r="AG46">
        <v>-4</v>
      </c>
      <c r="AH46">
        <v>6</v>
      </c>
      <c r="AI46">
        <v>10</v>
      </c>
      <c r="AJ46">
        <v>-4</v>
      </c>
      <c r="AK46" t="s">
        <v>616</v>
      </c>
      <c r="AL46" t="s">
        <v>617</v>
      </c>
      <c r="AM46" t="s">
        <v>618</v>
      </c>
      <c r="AN46" t="s">
        <v>619</v>
      </c>
      <c r="AO46" t="s">
        <v>620</v>
      </c>
      <c r="AP46" t="s">
        <v>621</v>
      </c>
      <c r="AQ46" t="s">
        <v>622</v>
      </c>
      <c r="AR46" t="s">
        <v>623</v>
      </c>
      <c r="AS46" t="s">
        <v>624</v>
      </c>
    </row>
    <row r="47" spans="1:45" x14ac:dyDescent="0.45">
      <c r="A47">
        <v>46</v>
      </c>
      <c r="B47">
        <v>12390</v>
      </c>
      <c r="C47" t="s">
        <v>72</v>
      </c>
      <c r="D47" t="s">
        <v>190</v>
      </c>
      <c r="E47" t="s">
        <v>80</v>
      </c>
      <c r="F47" t="s">
        <v>77</v>
      </c>
      <c r="G47" t="s">
        <v>76</v>
      </c>
      <c r="H47">
        <v>12</v>
      </c>
      <c r="I47">
        <v>2</v>
      </c>
      <c r="J47">
        <v>6</v>
      </c>
      <c r="K47">
        <v>1</v>
      </c>
      <c r="L47">
        <v>5</v>
      </c>
      <c r="M47">
        <v>7</v>
      </c>
      <c r="N47">
        <v>1</v>
      </c>
      <c r="O47">
        <v>6</v>
      </c>
      <c r="P47">
        <v>6</v>
      </c>
      <c r="Q47">
        <v>2</v>
      </c>
      <c r="R47">
        <v>4</v>
      </c>
      <c r="S47">
        <v>8</v>
      </c>
      <c r="T47">
        <v>1</v>
      </c>
      <c r="U47">
        <v>7</v>
      </c>
      <c r="V47">
        <v>7</v>
      </c>
      <c r="W47">
        <v>1</v>
      </c>
      <c r="X47">
        <v>6</v>
      </c>
      <c r="Y47">
        <v>6</v>
      </c>
      <c r="Z47">
        <v>1</v>
      </c>
      <c r="AA47">
        <v>5</v>
      </c>
      <c r="AB47">
        <v>6</v>
      </c>
      <c r="AC47">
        <v>1</v>
      </c>
      <c r="AD47">
        <v>5</v>
      </c>
      <c r="AE47">
        <v>5</v>
      </c>
      <c r="AF47">
        <v>1</v>
      </c>
      <c r="AG47">
        <v>4</v>
      </c>
      <c r="AH47">
        <v>7</v>
      </c>
      <c r="AI47">
        <v>1</v>
      </c>
      <c r="AJ47">
        <v>6</v>
      </c>
      <c r="AK47" t="s">
        <v>625</v>
      </c>
      <c r="AL47" t="s">
        <v>626</v>
      </c>
      <c r="AM47" t="s">
        <v>627</v>
      </c>
      <c r="AN47" t="s">
        <v>628</v>
      </c>
      <c r="AO47" t="s">
        <v>629</v>
      </c>
      <c r="AP47" t="s">
        <v>630</v>
      </c>
      <c r="AQ47" t="s">
        <v>631</v>
      </c>
      <c r="AR47" t="s">
        <v>632</v>
      </c>
      <c r="AS47" t="s">
        <v>633</v>
      </c>
    </row>
    <row r="48" spans="1:45" x14ac:dyDescent="0.45">
      <c r="A48">
        <v>47</v>
      </c>
      <c r="B48">
        <v>12391</v>
      </c>
      <c r="C48" t="s">
        <v>78</v>
      </c>
      <c r="D48" t="s">
        <v>73</v>
      </c>
      <c r="E48" t="s">
        <v>74</v>
      </c>
      <c r="F48" t="s">
        <v>77</v>
      </c>
      <c r="G48" t="s">
        <v>76</v>
      </c>
      <c r="H48">
        <v>12</v>
      </c>
      <c r="I48">
        <v>0</v>
      </c>
      <c r="J48">
        <v>8</v>
      </c>
      <c r="K48">
        <v>8</v>
      </c>
      <c r="L48">
        <v>0</v>
      </c>
      <c r="M48">
        <v>7</v>
      </c>
      <c r="N48">
        <v>8</v>
      </c>
      <c r="O48">
        <v>-1</v>
      </c>
      <c r="P48">
        <v>6</v>
      </c>
      <c r="Q48">
        <v>8</v>
      </c>
      <c r="R48">
        <v>-2</v>
      </c>
      <c r="S48">
        <v>8</v>
      </c>
      <c r="T48">
        <v>7</v>
      </c>
      <c r="U48">
        <v>1</v>
      </c>
      <c r="V48">
        <v>5</v>
      </c>
      <c r="W48">
        <v>6</v>
      </c>
      <c r="X48">
        <v>-1</v>
      </c>
      <c r="Y48">
        <v>6</v>
      </c>
      <c r="Z48">
        <v>8</v>
      </c>
      <c r="AA48">
        <v>-2</v>
      </c>
      <c r="AB48">
        <v>4</v>
      </c>
      <c r="AC48">
        <v>8</v>
      </c>
      <c r="AD48">
        <v>-4</v>
      </c>
      <c r="AE48">
        <v>6</v>
      </c>
      <c r="AF48">
        <v>9</v>
      </c>
      <c r="AG48">
        <v>-3</v>
      </c>
      <c r="AH48">
        <v>7</v>
      </c>
      <c r="AI48">
        <v>8</v>
      </c>
      <c r="AJ48">
        <v>-1</v>
      </c>
      <c r="AK48" t="s">
        <v>634</v>
      </c>
      <c r="AL48" t="s">
        <v>635</v>
      </c>
      <c r="AM48" t="s">
        <v>636</v>
      </c>
      <c r="AN48" t="s">
        <v>637</v>
      </c>
      <c r="AO48" t="s">
        <v>638</v>
      </c>
      <c r="AP48" t="s">
        <v>639</v>
      </c>
      <c r="AQ48" t="s">
        <v>640</v>
      </c>
      <c r="AR48" t="s">
        <v>641</v>
      </c>
      <c r="AS48" t="s">
        <v>642</v>
      </c>
    </row>
    <row r="49" spans="1:45" x14ac:dyDescent="0.45">
      <c r="A49">
        <v>48</v>
      </c>
      <c r="B49">
        <v>12392</v>
      </c>
      <c r="C49" t="s">
        <v>72</v>
      </c>
      <c r="D49" t="s">
        <v>73</v>
      </c>
      <c r="E49" t="s">
        <v>74</v>
      </c>
      <c r="F49" t="s">
        <v>77</v>
      </c>
      <c r="G49" t="s">
        <v>76</v>
      </c>
      <c r="H49">
        <v>34.345379820134994</v>
      </c>
      <c r="I49">
        <v>3</v>
      </c>
      <c r="J49">
        <v>8</v>
      </c>
      <c r="K49">
        <v>10</v>
      </c>
      <c r="L49">
        <v>-2</v>
      </c>
      <c r="M49">
        <v>7</v>
      </c>
      <c r="N49">
        <v>10</v>
      </c>
      <c r="O49">
        <v>-3</v>
      </c>
      <c r="P49">
        <v>6</v>
      </c>
      <c r="Q49">
        <v>10</v>
      </c>
      <c r="R49">
        <v>-4</v>
      </c>
      <c r="S49">
        <v>6</v>
      </c>
      <c r="T49">
        <v>10</v>
      </c>
      <c r="U49">
        <v>-4</v>
      </c>
      <c r="V49">
        <v>5</v>
      </c>
      <c r="W49">
        <v>10</v>
      </c>
      <c r="X49">
        <v>-5</v>
      </c>
      <c r="Y49">
        <v>6</v>
      </c>
      <c r="Z49">
        <v>10</v>
      </c>
      <c r="AA49">
        <v>-4</v>
      </c>
      <c r="AB49">
        <v>4</v>
      </c>
      <c r="AC49">
        <v>10</v>
      </c>
      <c r="AD49">
        <v>-6</v>
      </c>
      <c r="AE49">
        <v>5</v>
      </c>
      <c r="AF49">
        <v>10</v>
      </c>
      <c r="AG49">
        <v>-5</v>
      </c>
      <c r="AH49">
        <v>6</v>
      </c>
      <c r="AI49">
        <v>10</v>
      </c>
      <c r="AJ49">
        <v>-4</v>
      </c>
      <c r="AK49" t="s">
        <v>643</v>
      </c>
      <c r="AL49" t="s">
        <v>644</v>
      </c>
      <c r="AM49" t="s">
        <v>645</v>
      </c>
      <c r="AN49" t="s">
        <v>646</v>
      </c>
      <c r="AO49" t="s">
        <v>647</v>
      </c>
      <c r="AP49" t="s">
        <v>648</v>
      </c>
      <c r="AQ49" t="s">
        <v>649</v>
      </c>
      <c r="AR49" t="s">
        <v>650</v>
      </c>
      <c r="AS49" t="s">
        <v>651</v>
      </c>
    </row>
    <row r="50" spans="1:45" x14ac:dyDescent="0.45">
      <c r="A50">
        <v>49</v>
      </c>
      <c r="B50">
        <v>12393</v>
      </c>
      <c r="C50" t="s">
        <v>78</v>
      </c>
      <c r="D50" t="s">
        <v>73</v>
      </c>
      <c r="E50" t="s">
        <v>74</v>
      </c>
      <c r="F50" t="s">
        <v>77</v>
      </c>
      <c r="G50" t="s">
        <v>76</v>
      </c>
      <c r="H50">
        <v>108.15945156406887</v>
      </c>
      <c r="I50">
        <v>2</v>
      </c>
      <c r="J50">
        <v>7</v>
      </c>
      <c r="K50">
        <v>8</v>
      </c>
      <c r="L50">
        <v>-1</v>
      </c>
      <c r="M50">
        <v>8</v>
      </c>
      <c r="N50">
        <v>8</v>
      </c>
      <c r="O50">
        <v>0</v>
      </c>
      <c r="P50">
        <v>9</v>
      </c>
      <c r="Q50">
        <v>7</v>
      </c>
      <c r="R50">
        <v>2</v>
      </c>
      <c r="S50">
        <v>8</v>
      </c>
      <c r="T50">
        <v>8</v>
      </c>
      <c r="U50">
        <v>0</v>
      </c>
      <c r="V50">
        <v>7</v>
      </c>
      <c r="W50">
        <v>6</v>
      </c>
      <c r="X50">
        <v>1</v>
      </c>
      <c r="Y50">
        <v>8</v>
      </c>
      <c r="Z50">
        <v>8</v>
      </c>
      <c r="AA50">
        <v>0</v>
      </c>
      <c r="AB50">
        <v>7</v>
      </c>
      <c r="AC50">
        <v>6</v>
      </c>
      <c r="AD50">
        <v>1</v>
      </c>
      <c r="AE50">
        <v>6</v>
      </c>
      <c r="AF50">
        <v>5</v>
      </c>
      <c r="AG50">
        <v>1</v>
      </c>
      <c r="AH50">
        <v>8</v>
      </c>
      <c r="AI50">
        <v>8</v>
      </c>
      <c r="AJ50">
        <v>0</v>
      </c>
      <c r="AK50" t="s">
        <v>652</v>
      </c>
      <c r="AL50" t="s">
        <v>653</v>
      </c>
      <c r="AM50" t="s">
        <v>654</v>
      </c>
      <c r="AN50" t="s">
        <v>655</v>
      </c>
      <c r="AO50" t="s">
        <v>656</v>
      </c>
      <c r="AP50" t="s">
        <v>657</v>
      </c>
      <c r="AQ50" t="s">
        <v>658</v>
      </c>
      <c r="AR50" t="s">
        <v>659</v>
      </c>
      <c r="AS50" t="s">
        <v>660</v>
      </c>
    </row>
    <row r="51" spans="1:45" x14ac:dyDescent="0.45">
      <c r="A51">
        <v>50</v>
      </c>
      <c r="B51">
        <v>12394</v>
      </c>
      <c r="C51" t="s">
        <v>72</v>
      </c>
      <c r="D51" t="s">
        <v>73</v>
      </c>
      <c r="E51" t="s">
        <v>74</v>
      </c>
      <c r="F51" t="s">
        <v>77</v>
      </c>
      <c r="G51" t="s">
        <v>76</v>
      </c>
      <c r="H51">
        <v>20.174158865869114</v>
      </c>
      <c r="I51">
        <v>3</v>
      </c>
      <c r="J51">
        <v>7</v>
      </c>
      <c r="K51">
        <v>10</v>
      </c>
      <c r="L51">
        <v>-3</v>
      </c>
      <c r="M51">
        <v>8</v>
      </c>
      <c r="N51">
        <v>10</v>
      </c>
      <c r="O51">
        <v>-2</v>
      </c>
      <c r="P51">
        <v>9</v>
      </c>
      <c r="Q51">
        <v>10</v>
      </c>
      <c r="R51">
        <v>-1</v>
      </c>
      <c r="S51">
        <v>8</v>
      </c>
      <c r="T51">
        <v>8</v>
      </c>
      <c r="U51">
        <v>0</v>
      </c>
      <c r="V51">
        <v>7</v>
      </c>
      <c r="W51">
        <v>8</v>
      </c>
      <c r="X51">
        <v>-1</v>
      </c>
      <c r="Y51">
        <v>8</v>
      </c>
      <c r="Z51">
        <v>8</v>
      </c>
      <c r="AA51">
        <v>0</v>
      </c>
      <c r="AB51">
        <v>7</v>
      </c>
      <c r="AC51">
        <v>8</v>
      </c>
      <c r="AD51">
        <v>-1</v>
      </c>
      <c r="AE51">
        <v>6</v>
      </c>
      <c r="AF51">
        <v>8</v>
      </c>
      <c r="AG51">
        <v>-2</v>
      </c>
      <c r="AH51">
        <v>8</v>
      </c>
      <c r="AI51">
        <v>8</v>
      </c>
      <c r="AJ51">
        <v>0</v>
      </c>
      <c r="AK51" t="s">
        <v>661</v>
      </c>
      <c r="AL51" t="s">
        <v>662</v>
      </c>
      <c r="AM51" t="s">
        <v>663</v>
      </c>
      <c r="AN51" t="s">
        <v>664</v>
      </c>
      <c r="AO51" t="s">
        <v>665</v>
      </c>
      <c r="AP51" t="s">
        <v>666</v>
      </c>
      <c r="AQ51" t="s">
        <v>667</v>
      </c>
      <c r="AR51" t="s">
        <v>668</v>
      </c>
      <c r="AS51" t="s">
        <v>669</v>
      </c>
    </row>
    <row r="52" spans="1:45" x14ac:dyDescent="0.45">
      <c r="A52">
        <v>51</v>
      </c>
      <c r="B52">
        <v>12395</v>
      </c>
      <c r="C52" t="s">
        <v>78</v>
      </c>
      <c r="D52" t="s">
        <v>81</v>
      </c>
      <c r="E52" t="s">
        <v>74</v>
      </c>
      <c r="F52" t="s">
        <v>77</v>
      </c>
      <c r="G52" t="s">
        <v>76</v>
      </c>
      <c r="H52">
        <v>12.655826388712205</v>
      </c>
      <c r="I52">
        <v>0</v>
      </c>
      <c r="J52">
        <v>7</v>
      </c>
      <c r="K52">
        <v>10</v>
      </c>
      <c r="L52">
        <v>-3</v>
      </c>
      <c r="M52">
        <v>8</v>
      </c>
      <c r="N52">
        <v>10</v>
      </c>
      <c r="O52">
        <v>-2</v>
      </c>
      <c r="P52">
        <v>6</v>
      </c>
      <c r="Q52">
        <v>10</v>
      </c>
      <c r="R52">
        <v>-4</v>
      </c>
      <c r="S52">
        <v>8</v>
      </c>
      <c r="T52">
        <v>10</v>
      </c>
      <c r="U52">
        <v>-2</v>
      </c>
      <c r="V52">
        <v>7</v>
      </c>
      <c r="W52">
        <v>10</v>
      </c>
      <c r="X52">
        <v>-3</v>
      </c>
      <c r="Y52">
        <v>6</v>
      </c>
      <c r="Z52">
        <v>10</v>
      </c>
      <c r="AA52">
        <v>-4</v>
      </c>
      <c r="AB52">
        <v>7</v>
      </c>
      <c r="AC52">
        <v>10</v>
      </c>
      <c r="AD52">
        <v>-3</v>
      </c>
      <c r="AE52">
        <v>6</v>
      </c>
      <c r="AF52">
        <v>10</v>
      </c>
      <c r="AG52">
        <v>-4</v>
      </c>
      <c r="AH52">
        <v>5</v>
      </c>
      <c r="AI52">
        <v>10</v>
      </c>
      <c r="AJ52">
        <v>-5</v>
      </c>
      <c r="AK52" t="s">
        <v>670</v>
      </c>
      <c r="AL52" t="s">
        <v>671</v>
      </c>
      <c r="AM52" t="s">
        <v>672</v>
      </c>
      <c r="AN52" t="s">
        <v>673</v>
      </c>
      <c r="AO52" t="s">
        <v>674</v>
      </c>
      <c r="AP52" t="s">
        <v>675</v>
      </c>
      <c r="AQ52" t="s">
        <v>676</v>
      </c>
      <c r="AR52" t="s">
        <v>677</v>
      </c>
      <c r="AS52" t="s">
        <v>678</v>
      </c>
    </row>
    <row r="53" spans="1:45" x14ac:dyDescent="0.45">
      <c r="A53">
        <v>52</v>
      </c>
      <c r="B53">
        <v>12396</v>
      </c>
      <c r="C53" t="s">
        <v>72</v>
      </c>
      <c r="D53" t="s">
        <v>81</v>
      </c>
      <c r="E53" t="s">
        <v>74</v>
      </c>
      <c r="F53" t="s">
        <v>77</v>
      </c>
      <c r="G53" t="s">
        <v>76</v>
      </c>
      <c r="H53">
        <v>18.604831155484682</v>
      </c>
      <c r="I53">
        <v>1</v>
      </c>
      <c r="J53">
        <v>5</v>
      </c>
      <c r="K53">
        <v>10</v>
      </c>
      <c r="L53">
        <v>-5</v>
      </c>
      <c r="M53">
        <v>7</v>
      </c>
      <c r="N53">
        <v>10</v>
      </c>
      <c r="O53">
        <v>-3</v>
      </c>
      <c r="P53">
        <v>8</v>
      </c>
      <c r="Q53">
        <v>10</v>
      </c>
      <c r="R53">
        <v>-2</v>
      </c>
      <c r="S53">
        <v>9</v>
      </c>
      <c r="T53">
        <v>10</v>
      </c>
      <c r="U53">
        <v>-1</v>
      </c>
      <c r="V53">
        <v>6</v>
      </c>
      <c r="W53">
        <v>10</v>
      </c>
      <c r="X53">
        <v>-4</v>
      </c>
      <c r="Y53">
        <v>8</v>
      </c>
      <c r="Z53">
        <v>10</v>
      </c>
      <c r="AA53">
        <v>-2</v>
      </c>
      <c r="AB53">
        <v>7</v>
      </c>
      <c r="AC53">
        <v>10</v>
      </c>
      <c r="AD53">
        <v>-3</v>
      </c>
      <c r="AE53">
        <v>8</v>
      </c>
      <c r="AF53">
        <v>10</v>
      </c>
      <c r="AG53">
        <v>-2</v>
      </c>
      <c r="AH53">
        <v>7</v>
      </c>
      <c r="AI53">
        <v>8</v>
      </c>
      <c r="AJ53">
        <v>-1</v>
      </c>
      <c r="AK53" t="s">
        <v>679</v>
      </c>
      <c r="AL53" t="s">
        <v>680</v>
      </c>
      <c r="AM53" t="s">
        <v>681</v>
      </c>
      <c r="AN53" t="s">
        <v>682</v>
      </c>
      <c r="AO53" t="s">
        <v>683</v>
      </c>
      <c r="AP53" t="s">
        <v>684</v>
      </c>
      <c r="AQ53" t="s">
        <v>685</v>
      </c>
      <c r="AR53" t="s">
        <v>686</v>
      </c>
      <c r="AS53" t="s">
        <v>687</v>
      </c>
    </row>
    <row r="54" spans="1:45" x14ac:dyDescent="0.45">
      <c r="A54">
        <v>53</v>
      </c>
      <c r="B54">
        <v>12397</v>
      </c>
      <c r="C54" t="s">
        <v>78</v>
      </c>
      <c r="D54" t="s">
        <v>81</v>
      </c>
      <c r="E54" t="s">
        <v>74</v>
      </c>
      <c r="F54" t="s">
        <v>75</v>
      </c>
      <c r="G54" t="s">
        <v>76</v>
      </c>
      <c r="H54">
        <v>14.9461250365175</v>
      </c>
      <c r="I54">
        <v>2</v>
      </c>
      <c r="J54">
        <v>7</v>
      </c>
      <c r="K54">
        <v>10</v>
      </c>
      <c r="L54">
        <v>-3</v>
      </c>
      <c r="M54">
        <v>6</v>
      </c>
      <c r="N54">
        <v>10</v>
      </c>
      <c r="O54">
        <v>-4</v>
      </c>
      <c r="P54">
        <v>8</v>
      </c>
      <c r="Q54">
        <v>10</v>
      </c>
      <c r="R54">
        <v>-2</v>
      </c>
      <c r="S54">
        <v>9</v>
      </c>
      <c r="T54">
        <v>10</v>
      </c>
      <c r="U54">
        <v>-1</v>
      </c>
      <c r="V54">
        <v>8</v>
      </c>
      <c r="W54">
        <v>10</v>
      </c>
      <c r="X54">
        <v>-2</v>
      </c>
      <c r="Y54">
        <v>7</v>
      </c>
      <c r="Z54">
        <v>10</v>
      </c>
      <c r="AA54">
        <v>-3</v>
      </c>
      <c r="AB54">
        <v>6</v>
      </c>
      <c r="AC54">
        <v>10</v>
      </c>
      <c r="AD54">
        <v>-4</v>
      </c>
      <c r="AE54">
        <v>8</v>
      </c>
      <c r="AF54">
        <v>10</v>
      </c>
      <c r="AG54">
        <v>-2</v>
      </c>
      <c r="AH54">
        <v>7</v>
      </c>
      <c r="AI54">
        <v>10</v>
      </c>
      <c r="AJ54">
        <v>-3</v>
      </c>
      <c r="AK54" t="s">
        <v>688</v>
      </c>
      <c r="AL54" t="s">
        <v>689</v>
      </c>
      <c r="AM54" t="s">
        <v>690</v>
      </c>
      <c r="AN54" t="s">
        <v>691</v>
      </c>
      <c r="AO54" t="s">
        <v>692</v>
      </c>
      <c r="AP54" t="s">
        <v>693</v>
      </c>
      <c r="AQ54" t="s">
        <v>694</v>
      </c>
      <c r="AR54" t="s">
        <v>695</v>
      </c>
      <c r="AS54" t="s">
        <v>696</v>
      </c>
    </row>
    <row r="55" spans="1:45" x14ac:dyDescent="0.45">
      <c r="A55">
        <v>54</v>
      </c>
      <c r="B55">
        <v>12398</v>
      </c>
      <c r="C55" t="s">
        <v>72</v>
      </c>
      <c r="D55" t="s">
        <v>79</v>
      </c>
      <c r="E55" t="s">
        <v>74</v>
      </c>
      <c r="F55" t="s">
        <v>77</v>
      </c>
      <c r="G55" t="s">
        <v>76</v>
      </c>
      <c r="H55">
        <v>36.294419909457389</v>
      </c>
      <c r="I55">
        <v>2</v>
      </c>
      <c r="J55">
        <v>8</v>
      </c>
      <c r="K55">
        <v>8</v>
      </c>
      <c r="L55">
        <v>0</v>
      </c>
      <c r="M55">
        <v>7</v>
      </c>
      <c r="N55">
        <v>7</v>
      </c>
      <c r="O55">
        <v>0</v>
      </c>
      <c r="P55">
        <v>8</v>
      </c>
      <c r="Q55">
        <v>7</v>
      </c>
      <c r="R55">
        <v>1</v>
      </c>
      <c r="S55">
        <v>6</v>
      </c>
      <c r="T55">
        <v>8</v>
      </c>
      <c r="U55">
        <v>-2</v>
      </c>
      <c r="V55">
        <v>8</v>
      </c>
      <c r="W55">
        <v>7</v>
      </c>
      <c r="X55">
        <v>1</v>
      </c>
      <c r="Y55">
        <v>7</v>
      </c>
      <c r="Z55">
        <v>8</v>
      </c>
      <c r="AA55">
        <v>-1</v>
      </c>
      <c r="AB55">
        <v>8</v>
      </c>
      <c r="AC55">
        <v>7</v>
      </c>
      <c r="AD55">
        <v>1</v>
      </c>
      <c r="AE55">
        <v>6</v>
      </c>
      <c r="AF55">
        <v>7</v>
      </c>
      <c r="AG55">
        <v>-1</v>
      </c>
      <c r="AH55">
        <v>7</v>
      </c>
      <c r="AI55">
        <v>8</v>
      </c>
      <c r="AJ55">
        <v>-1</v>
      </c>
      <c r="AK55" t="s">
        <v>697</v>
      </c>
      <c r="AL55" t="s">
        <v>698</v>
      </c>
      <c r="AM55" t="s">
        <v>699</v>
      </c>
      <c r="AN55" t="s">
        <v>700</v>
      </c>
      <c r="AO55" t="s">
        <v>701</v>
      </c>
      <c r="AP55" t="s">
        <v>702</v>
      </c>
      <c r="AQ55" t="s">
        <v>703</v>
      </c>
      <c r="AR55" t="s">
        <v>704</v>
      </c>
      <c r="AS55" t="s">
        <v>705</v>
      </c>
    </row>
    <row r="56" spans="1:45" x14ac:dyDescent="0.45">
      <c r="A56">
        <v>55</v>
      </c>
      <c r="B56">
        <v>12399</v>
      </c>
      <c r="C56" t="s">
        <v>72</v>
      </c>
      <c r="D56" t="s">
        <v>73</v>
      </c>
      <c r="E56" t="s">
        <v>74</v>
      </c>
      <c r="F56" t="s">
        <v>77</v>
      </c>
      <c r="G56" t="s">
        <v>76</v>
      </c>
      <c r="H56">
        <v>43.726389203210836</v>
      </c>
      <c r="I56">
        <v>1</v>
      </c>
      <c r="J56">
        <v>7</v>
      </c>
      <c r="K56">
        <v>10</v>
      </c>
      <c r="L56">
        <v>-3</v>
      </c>
      <c r="M56">
        <v>8</v>
      </c>
      <c r="N56">
        <v>9</v>
      </c>
      <c r="O56">
        <v>-1</v>
      </c>
      <c r="P56">
        <v>9</v>
      </c>
      <c r="Q56">
        <v>3</v>
      </c>
      <c r="R56">
        <v>6</v>
      </c>
      <c r="S56">
        <v>8</v>
      </c>
      <c r="T56">
        <v>4</v>
      </c>
      <c r="U56">
        <v>4</v>
      </c>
      <c r="V56">
        <v>6</v>
      </c>
      <c r="W56">
        <v>3</v>
      </c>
      <c r="X56">
        <v>3</v>
      </c>
      <c r="Y56">
        <v>7</v>
      </c>
      <c r="Z56">
        <v>3</v>
      </c>
      <c r="AA56">
        <v>4</v>
      </c>
      <c r="AB56">
        <v>6</v>
      </c>
      <c r="AC56">
        <v>1</v>
      </c>
      <c r="AD56">
        <v>5</v>
      </c>
      <c r="AE56">
        <v>7</v>
      </c>
      <c r="AF56">
        <v>1</v>
      </c>
      <c r="AG56">
        <v>6</v>
      </c>
      <c r="AH56">
        <v>8</v>
      </c>
      <c r="AI56">
        <v>3</v>
      </c>
      <c r="AJ56">
        <v>5</v>
      </c>
      <c r="AK56" t="s">
        <v>706</v>
      </c>
      <c r="AL56" t="s">
        <v>707</v>
      </c>
      <c r="AM56" t="s">
        <v>708</v>
      </c>
      <c r="AN56" t="s">
        <v>709</v>
      </c>
      <c r="AO56" t="s">
        <v>710</v>
      </c>
      <c r="AP56" t="s">
        <v>711</v>
      </c>
      <c r="AQ56" t="s">
        <v>712</v>
      </c>
      <c r="AR56" t="s">
        <v>713</v>
      </c>
      <c r="AS56" t="s">
        <v>714</v>
      </c>
    </row>
    <row r="57" spans="1:45" x14ac:dyDescent="0.45">
      <c r="A57">
        <v>56</v>
      </c>
      <c r="B57">
        <v>12400</v>
      </c>
      <c r="C57" t="s">
        <v>78</v>
      </c>
      <c r="D57" t="s">
        <v>81</v>
      </c>
      <c r="E57" t="s">
        <v>74</v>
      </c>
      <c r="F57" t="s">
        <v>77</v>
      </c>
      <c r="G57" t="s">
        <v>76</v>
      </c>
      <c r="H57">
        <v>12</v>
      </c>
      <c r="I57">
        <v>0</v>
      </c>
      <c r="J57">
        <v>7</v>
      </c>
      <c r="K57">
        <v>10</v>
      </c>
      <c r="L57">
        <v>-3</v>
      </c>
      <c r="M57">
        <v>8</v>
      </c>
      <c r="N57">
        <v>10</v>
      </c>
      <c r="O57">
        <v>-2</v>
      </c>
      <c r="P57">
        <v>9</v>
      </c>
      <c r="Q57">
        <v>9</v>
      </c>
      <c r="R57">
        <v>0</v>
      </c>
      <c r="S57">
        <v>8</v>
      </c>
      <c r="T57">
        <v>10</v>
      </c>
      <c r="U57">
        <v>-2</v>
      </c>
      <c r="V57">
        <v>9</v>
      </c>
      <c r="W57">
        <v>9</v>
      </c>
      <c r="X57">
        <v>0</v>
      </c>
      <c r="Y57">
        <v>8</v>
      </c>
      <c r="Z57">
        <v>10</v>
      </c>
      <c r="AA57">
        <v>-2</v>
      </c>
      <c r="AB57">
        <v>7</v>
      </c>
      <c r="AC57">
        <v>9</v>
      </c>
      <c r="AD57">
        <v>-2</v>
      </c>
      <c r="AE57">
        <v>6</v>
      </c>
      <c r="AF57">
        <v>10</v>
      </c>
      <c r="AG57">
        <v>-4</v>
      </c>
      <c r="AH57">
        <v>8</v>
      </c>
      <c r="AI57">
        <v>9</v>
      </c>
      <c r="AJ57">
        <v>-1</v>
      </c>
      <c r="AK57" t="s">
        <v>715</v>
      </c>
      <c r="AL57" t="s">
        <v>716</v>
      </c>
      <c r="AM57" t="s">
        <v>717</v>
      </c>
      <c r="AN57" t="s">
        <v>718</v>
      </c>
      <c r="AO57" t="s">
        <v>719</v>
      </c>
      <c r="AP57" t="s">
        <v>720</v>
      </c>
      <c r="AQ57" t="s">
        <v>721</v>
      </c>
      <c r="AR57" t="s">
        <v>722</v>
      </c>
      <c r="AS57" t="s">
        <v>723</v>
      </c>
    </row>
    <row r="58" spans="1:45" x14ac:dyDescent="0.45">
      <c r="A58">
        <v>57</v>
      </c>
      <c r="B58">
        <v>12401</v>
      </c>
      <c r="C58" t="s">
        <v>72</v>
      </c>
      <c r="D58" t="s">
        <v>73</v>
      </c>
      <c r="E58" t="s">
        <v>74</v>
      </c>
      <c r="F58" t="s">
        <v>77</v>
      </c>
      <c r="G58" t="s">
        <v>76</v>
      </c>
      <c r="H58">
        <v>13.601403136374421</v>
      </c>
      <c r="I58">
        <v>2</v>
      </c>
      <c r="J58">
        <v>8</v>
      </c>
      <c r="K58">
        <v>10</v>
      </c>
      <c r="L58">
        <v>-2</v>
      </c>
      <c r="M58">
        <v>7</v>
      </c>
      <c r="N58">
        <v>10</v>
      </c>
      <c r="O58">
        <v>-3</v>
      </c>
      <c r="P58">
        <v>9</v>
      </c>
      <c r="Q58">
        <v>1</v>
      </c>
      <c r="R58">
        <v>8</v>
      </c>
      <c r="S58">
        <v>8</v>
      </c>
      <c r="T58">
        <v>5</v>
      </c>
      <c r="U58">
        <v>3</v>
      </c>
      <c r="V58">
        <v>9</v>
      </c>
      <c r="W58">
        <v>7</v>
      </c>
      <c r="X58">
        <v>2</v>
      </c>
      <c r="Y58">
        <v>7</v>
      </c>
      <c r="Z58">
        <v>10</v>
      </c>
      <c r="AA58">
        <v>-3</v>
      </c>
      <c r="AB58">
        <v>8</v>
      </c>
      <c r="AC58">
        <v>9</v>
      </c>
      <c r="AD58">
        <v>-1</v>
      </c>
      <c r="AE58">
        <v>6</v>
      </c>
      <c r="AF58">
        <v>9</v>
      </c>
      <c r="AG58">
        <v>-3</v>
      </c>
      <c r="AH58">
        <v>7</v>
      </c>
      <c r="AI58">
        <v>10</v>
      </c>
      <c r="AJ58">
        <v>-3</v>
      </c>
      <c r="AK58" t="s">
        <v>724</v>
      </c>
      <c r="AL58" t="s">
        <v>725</v>
      </c>
      <c r="AM58" t="s">
        <v>726</v>
      </c>
      <c r="AN58" t="s">
        <v>727</v>
      </c>
      <c r="AO58" t="s">
        <v>728</v>
      </c>
      <c r="AP58" t="s">
        <v>729</v>
      </c>
      <c r="AQ58" t="s">
        <v>730</v>
      </c>
      <c r="AR58" t="s">
        <v>731</v>
      </c>
      <c r="AS58" t="s">
        <v>732</v>
      </c>
    </row>
    <row r="59" spans="1:45" x14ac:dyDescent="0.45">
      <c r="A59">
        <v>58</v>
      </c>
      <c r="B59">
        <v>12402</v>
      </c>
      <c r="C59" t="s">
        <v>72</v>
      </c>
      <c r="D59" t="s">
        <v>79</v>
      </c>
      <c r="E59" t="s">
        <v>74</v>
      </c>
      <c r="F59" t="s">
        <v>75</v>
      </c>
      <c r="G59" t="s">
        <v>76</v>
      </c>
      <c r="H59">
        <v>23.182107525731588</v>
      </c>
      <c r="I59">
        <v>1</v>
      </c>
      <c r="J59">
        <v>7</v>
      </c>
      <c r="K59">
        <v>5</v>
      </c>
      <c r="L59">
        <v>2</v>
      </c>
      <c r="M59">
        <v>6</v>
      </c>
      <c r="N59">
        <v>5</v>
      </c>
      <c r="O59">
        <v>1</v>
      </c>
      <c r="P59">
        <v>8</v>
      </c>
      <c r="Q59">
        <v>4</v>
      </c>
      <c r="R59">
        <v>4</v>
      </c>
      <c r="S59">
        <v>7</v>
      </c>
      <c r="T59">
        <v>8</v>
      </c>
      <c r="U59">
        <v>-1</v>
      </c>
      <c r="V59">
        <v>8</v>
      </c>
      <c r="W59">
        <v>5</v>
      </c>
      <c r="X59">
        <v>3</v>
      </c>
      <c r="Y59">
        <v>7</v>
      </c>
      <c r="Z59">
        <v>7</v>
      </c>
      <c r="AA59">
        <v>0</v>
      </c>
      <c r="AB59">
        <v>6</v>
      </c>
      <c r="AC59">
        <v>7</v>
      </c>
      <c r="AD59">
        <v>-1</v>
      </c>
      <c r="AE59">
        <v>7</v>
      </c>
      <c r="AF59">
        <v>7</v>
      </c>
      <c r="AG59">
        <v>0</v>
      </c>
      <c r="AH59">
        <v>8</v>
      </c>
      <c r="AI59">
        <v>7</v>
      </c>
      <c r="AJ59">
        <v>1</v>
      </c>
      <c r="AK59" t="s">
        <v>733</v>
      </c>
      <c r="AL59" t="s">
        <v>734</v>
      </c>
      <c r="AM59" t="s">
        <v>735</v>
      </c>
      <c r="AN59" t="s">
        <v>736</v>
      </c>
      <c r="AO59" t="s">
        <v>737</v>
      </c>
      <c r="AP59" t="s">
        <v>738</v>
      </c>
      <c r="AQ59" t="s">
        <v>739</v>
      </c>
      <c r="AR59" t="s">
        <v>740</v>
      </c>
      <c r="AS59" t="s">
        <v>741</v>
      </c>
    </row>
    <row r="60" spans="1:45" x14ac:dyDescent="0.45">
      <c r="A60">
        <v>59</v>
      </c>
      <c r="B60">
        <v>12403</v>
      </c>
      <c r="C60" t="s">
        <v>72</v>
      </c>
      <c r="D60" t="s">
        <v>188</v>
      </c>
      <c r="E60" t="s">
        <v>74</v>
      </c>
      <c r="F60" t="s">
        <v>77</v>
      </c>
      <c r="G60" t="s">
        <v>161</v>
      </c>
      <c r="H60">
        <v>12</v>
      </c>
      <c r="I60">
        <v>0</v>
      </c>
      <c r="J60">
        <v>8</v>
      </c>
      <c r="K60">
        <v>9</v>
      </c>
      <c r="L60">
        <v>-1</v>
      </c>
      <c r="M60">
        <v>8</v>
      </c>
      <c r="N60">
        <v>9</v>
      </c>
      <c r="O60">
        <v>-1</v>
      </c>
      <c r="P60">
        <v>9</v>
      </c>
      <c r="Q60">
        <v>9</v>
      </c>
      <c r="R60">
        <v>0</v>
      </c>
      <c r="S60">
        <v>8</v>
      </c>
      <c r="T60">
        <v>7</v>
      </c>
      <c r="U60">
        <v>1</v>
      </c>
      <c r="V60">
        <v>7</v>
      </c>
      <c r="W60">
        <v>7</v>
      </c>
      <c r="X60">
        <v>0</v>
      </c>
      <c r="Y60">
        <v>6</v>
      </c>
      <c r="Z60">
        <v>8</v>
      </c>
      <c r="AA60">
        <v>-2</v>
      </c>
      <c r="AB60">
        <v>7</v>
      </c>
      <c r="AC60">
        <v>8</v>
      </c>
      <c r="AD60">
        <v>-1</v>
      </c>
      <c r="AE60">
        <v>5</v>
      </c>
      <c r="AF60">
        <v>6</v>
      </c>
      <c r="AG60">
        <v>-1</v>
      </c>
      <c r="AH60">
        <v>6</v>
      </c>
      <c r="AI60">
        <v>5</v>
      </c>
      <c r="AJ60">
        <v>1</v>
      </c>
      <c r="AK60" t="s">
        <v>742</v>
      </c>
      <c r="AL60" t="s">
        <v>743</v>
      </c>
      <c r="AM60" t="s">
        <v>744</v>
      </c>
      <c r="AN60" t="s">
        <v>745</v>
      </c>
      <c r="AO60" t="s">
        <v>746</v>
      </c>
      <c r="AP60" t="s">
        <v>747</v>
      </c>
      <c r="AQ60" t="s">
        <v>748</v>
      </c>
      <c r="AR60" t="s">
        <v>749</v>
      </c>
      <c r="AS60" t="s">
        <v>750</v>
      </c>
    </row>
    <row r="61" spans="1:45" x14ac:dyDescent="0.45">
      <c r="A61">
        <v>60</v>
      </c>
      <c r="B61">
        <v>12404</v>
      </c>
      <c r="C61" t="s">
        <v>78</v>
      </c>
      <c r="D61" t="s">
        <v>81</v>
      </c>
      <c r="E61" t="s">
        <v>74</v>
      </c>
      <c r="F61" t="s">
        <v>77</v>
      </c>
      <c r="G61" t="s">
        <v>76</v>
      </c>
      <c r="H61">
        <v>16.799528534169426</v>
      </c>
      <c r="I61">
        <v>0</v>
      </c>
      <c r="J61">
        <v>7</v>
      </c>
      <c r="K61">
        <v>5</v>
      </c>
      <c r="L61">
        <v>2</v>
      </c>
      <c r="M61">
        <v>6</v>
      </c>
      <c r="N61">
        <v>5</v>
      </c>
      <c r="O61">
        <v>1</v>
      </c>
      <c r="P61">
        <v>8</v>
      </c>
      <c r="Q61">
        <v>5</v>
      </c>
      <c r="R61">
        <v>3</v>
      </c>
      <c r="S61">
        <v>9</v>
      </c>
      <c r="T61">
        <v>5</v>
      </c>
      <c r="U61">
        <v>4</v>
      </c>
      <c r="V61">
        <v>5</v>
      </c>
      <c r="W61">
        <v>5</v>
      </c>
      <c r="X61">
        <v>0</v>
      </c>
      <c r="Y61">
        <v>6</v>
      </c>
      <c r="Z61">
        <v>8</v>
      </c>
      <c r="AA61">
        <v>-2</v>
      </c>
      <c r="AB61">
        <v>7</v>
      </c>
      <c r="AC61">
        <v>4</v>
      </c>
      <c r="AD61">
        <v>3</v>
      </c>
      <c r="AE61">
        <v>6</v>
      </c>
      <c r="AF61">
        <v>5</v>
      </c>
      <c r="AG61">
        <v>1</v>
      </c>
      <c r="AH61">
        <v>7</v>
      </c>
      <c r="AI61">
        <v>5</v>
      </c>
      <c r="AJ61">
        <v>2</v>
      </c>
      <c r="AK61" t="s">
        <v>751</v>
      </c>
      <c r="AL61" t="s">
        <v>752</v>
      </c>
      <c r="AM61" t="s">
        <v>753</v>
      </c>
      <c r="AN61" t="s">
        <v>754</v>
      </c>
      <c r="AO61" t="s">
        <v>755</v>
      </c>
      <c r="AP61" t="s">
        <v>756</v>
      </c>
      <c r="AQ61" t="s">
        <v>757</v>
      </c>
      <c r="AR61" t="s">
        <v>758</v>
      </c>
      <c r="AS61" t="s">
        <v>759</v>
      </c>
    </row>
    <row r="62" spans="1:45" x14ac:dyDescent="0.45">
      <c r="A62">
        <v>61</v>
      </c>
      <c r="B62">
        <v>12405</v>
      </c>
      <c r="C62" t="s">
        <v>72</v>
      </c>
      <c r="D62" t="s">
        <v>73</v>
      </c>
      <c r="E62" t="s">
        <v>74</v>
      </c>
      <c r="F62" t="s">
        <v>75</v>
      </c>
      <c r="G62" t="s">
        <v>76</v>
      </c>
      <c r="H62">
        <v>19.765813758228159</v>
      </c>
      <c r="I62">
        <v>1</v>
      </c>
      <c r="J62">
        <v>8</v>
      </c>
      <c r="K62">
        <v>8</v>
      </c>
      <c r="L62">
        <v>0</v>
      </c>
      <c r="M62">
        <v>7</v>
      </c>
      <c r="N62">
        <v>9</v>
      </c>
      <c r="O62">
        <v>-2</v>
      </c>
      <c r="P62">
        <v>6</v>
      </c>
      <c r="Q62">
        <v>9</v>
      </c>
      <c r="R62">
        <v>-3</v>
      </c>
      <c r="S62">
        <v>8</v>
      </c>
      <c r="T62">
        <v>9</v>
      </c>
      <c r="U62">
        <v>-1</v>
      </c>
      <c r="V62">
        <v>7</v>
      </c>
      <c r="W62">
        <v>9</v>
      </c>
      <c r="X62">
        <v>-2</v>
      </c>
      <c r="Y62">
        <v>9</v>
      </c>
      <c r="Z62">
        <v>8</v>
      </c>
      <c r="AA62">
        <v>1</v>
      </c>
      <c r="AB62">
        <v>8</v>
      </c>
      <c r="AC62">
        <v>8</v>
      </c>
      <c r="AD62">
        <v>0</v>
      </c>
      <c r="AE62">
        <v>7</v>
      </c>
      <c r="AF62">
        <v>8</v>
      </c>
      <c r="AG62">
        <v>-1</v>
      </c>
      <c r="AH62">
        <v>9</v>
      </c>
      <c r="AI62">
        <v>9</v>
      </c>
      <c r="AJ62">
        <v>0</v>
      </c>
      <c r="AK62" t="s">
        <v>760</v>
      </c>
      <c r="AL62" t="s">
        <v>761</v>
      </c>
      <c r="AM62" t="s">
        <v>762</v>
      </c>
      <c r="AN62" t="s">
        <v>763</v>
      </c>
      <c r="AO62" t="s">
        <v>764</v>
      </c>
      <c r="AP62" t="s">
        <v>765</v>
      </c>
      <c r="AQ62" t="s">
        <v>766</v>
      </c>
      <c r="AR62" t="s">
        <v>767</v>
      </c>
      <c r="AS62" t="s">
        <v>768</v>
      </c>
    </row>
    <row r="63" spans="1:45" x14ac:dyDescent="0.45">
      <c r="A63">
        <v>62</v>
      </c>
      <c r="B63">
        <v>12406</v>
      </c>
      <c r="C63" t="s">
        <v>72</v>
      </c>
      <c r="D63" t="s">
        <v>81</v>
      </c>
      <c r="E63" t="s">
        <v>74</v>
      </c>
      <c r="F63" t="s">
        <v>75</v>
      </c>
      <c r="G63" t="s">
        <v>76</v>
      </c>
      <c r="H63">
        <v>29.772795733875441</v>
      </c>
      <c r="I63">
        <v>0</v>
      </c>
      <c r="J63">
        <v>7</v>
      </c>
      <c r="K63">
        <v>9</v>
      </c>
      <c r="L63">
        <v>-2</v>
      </c>
      <c r="M63">
        <v>8</v>
      </c>
      <c r="N63">
        <v>9</v>
      </c>
      <c r="O63">
        <v>-1</v>
      </c>
      <c r="P63">
        <v>9</v>
      </c>
      <c r="Q63">
        <v>7</v>
      </c>
      <c r="R63">
        <v>2</v>
      </c>
      <c r="S63">
        <v>8</v>
      </c>
      <c r="T63">
        <v>6</v>
      </c>
      <c r="U63">
        <v>2</v>
      </c>
      <c r="V63">
        <v>7</v>
      </c>
      <c r="W63">
        <v>7</v>
      </c>
      <c r="X63">
        <v>0</v>
      </c>
      <c r="Y63">
        <v>5</v>
      </c>
      <c r="Z63">
        <v>5</v>
      </c>
      <c r="AA63">
        <v>0</v>
      </c>
      <c r="AB63">
        <v>6</v>
      </c>
      <c r="AC63">
        <v>6</v>
      </c>
      <c r="AD63">
        <v>0</v>
      </c>
      <c r="AE63">
        <v>4</v>
      </c>
      <c r="AF63">
        <v>8</v>
      </c>
      <c r="AG63">
        <v>-4</v>
      </c>
      <c r="AH63">
        <v>6</v>
      </c>
      <c r="AI63">
        <v>5</v>
      </c>
      <c r="AJ63">
        <v>1</v>
      </c>
      <c r="AK63" t="s">
        <v>769</v>
      </c>
      <c r="AL63" t="s">
        <v>770</v>
      </c>
      <c r="AM63" t="s">
        <v>771</v>
      </c>
      <c r="AN63" t="s">
        <v>772</v>
      </c>
      <c r="AO63" t="s">
        <v>773</v>
      </c>
      <c r="AP63" t="s">
        <v>774</v>
      </c>
      <c r="AQ63" t="s">
        <v>775</v>
      </c>
      <c r="AR63" t="s">
        <v>776</v>
      </c>
      <c r="AS63" t="s">
        <v>777</v>
      </c>
    </row>
    <row r="64" spans="1:45" x14ac:dyDescent="0.45">
      <c r="A64">
        <v>63</v>
      </c>
      <c r="B64">
        <v>12407</v>
      </c>
      <c r="C64" t="s">
        <v>72</v>
      </c>
      <c r="D64" t="s">
        <v>190</v>
      </c>
      <c r="E64" t="s">
        <v>80</v>
      </c>
      <c r="F64" t="s">
        <v>77</v>
      </c>
      <c r="G64" t="s">
        <v>76</v>
      </c>
      <c r="H64">
        <v>19.427213280906926</v>
      </c>
      <c r="I64">
        <v>1</v>
      </c>
      <c r="J64">
        <v>7</v>
      </c>
      <c r="K64">
        <v>9</v>
      </c>
      <c r="L64">
        <v>-2</v>
      </c>
      <c r="M64">
        <v>8</v>
      </c>
      <c r="N64">
        <v>9</v>
      </c>
      <c r="O64">
        <v>-1</v>
      </c>
      <c r="P64">
        <v>6</v>
      </c>
      <c r="Q64">
        <v>9</v>
      </c>
      <c r="R64">
        <v>-3</v>
      </c>
      <c r="S64">
        <v>8</v>
      </c>
      <c r="T64">
        <v>9</v>
      </c>
      <c r="U64">
        <v>-1</v>
      </c>
      <c r="V64">
        <v>7</v>
      </c>
      <c r="W64">
        <v>8</v>
      </c>
      <c r="X64">
        <v>-1</v>
      </c>
      <c r="Y64">
        <v>7</v>
      </c>
      <c r="Z64">
        <v>9</v>
      </c>
      <c r="AA64">
        <v>-2</v>
      </c>
      <c r="AB64">
        <v>6</v>
      </c>
      <c r="AC64">
        <v>9</v>
      </c>
      <c r="AD64">
        <v>-3</v>
      </c>
      <c r="AE64">
        <v>6</v>
      </c>
      <c r="AF64">
        <v>8</v>
      </c>
      <c r="AG64">
        <v>-2</v>
      </c>
      <c r="AH64">
        <v>5</v>
      </c>
      <c r="AI64">
        <v>7</v>
      </c>
      <c r="AJ64">
        <v>-2</v>
      </c>
      <c r="AK64" t="s">
        <v>778</v>
      </c>
      <c r="AL64" t="s">
        <v>779</v>
      </c>
      <c r="AM64" t="s">
        <v>780</v>
      </c>
      <c r="AN64" t="s">
        <v>781</v>
      </c>
      <c r="AO64" t="s">
        <v>782</v>
      </c>
      <c r="AP64" t="s">
        <v>783</v>
      </c>
      <c r="AQ64" t="s">
        <v>784</v>
      </c>
      <c r="AR64" t="s">
        <v>785</v>
      </c>
      <c r="AS64" t="s">
        <v>786</v>
      </c>
    </row>
    <row r="65" spans="1:45" x14ac:dyDescent="0.45">
      <c r="A65">
        <v>64</v>
      </c>
      <c r="B65">
        <v>12408</v>
      </c>
      <c r="C65" t="s">
        <v>72</v>
      </c>
      <c r="D65" t="s">
        <v>73</v>
      </c>
      <c r="E65" t="s">
        <v>74</v>
      </c>
      <c r="F65" t="s">
        <v>77</v>
      </c>
      <c r="G65" t="s">
        <v>161</v>
      </c>
      <c r="H65">
        <v>220.56389065472962</v>
      </c>
      <c r="I65">
        <v>2</v>
      </c>
      <c r="J65">
        <v>7</v>
      </c>
      <c r="K65">
        <v>9</v>
      </c>
      <c r="L65">
        <v>-2</v>
      </c>
      <c r="M65">
        <v>8</v>
      </c>
      <c r="N65">
        <v>10</v>
      </c>
      <c r="O65">
        <v>-2</v>
      </c>
      <c r="P65">
        <v>6</v>
      </c>
      <c r="Q65">
        <v>9</v>
      </c>
      <c r="R65">
        <v>-3</v>
      </c>
      <c r="S65">
        <v>5</v>
      </c>
      <c r="T65">
        <v>10</v>
      </c>
      <c r="U65">
        <v>-5</v>
      </c>
      <c r="V65">
        <v>8</v>
      </c>
      <c r="W65">
        <v>10</v>
      </c>
      <c r="X65">
        <v>-2</v>
      </c>
      <c r="Y65">
        <v>7</v>
      </c>
      <c r="Z65">
        <v>5</v>
      </c>
      <c r="AA65">
        <v>2</v>
      </c>
      <c r="AB65">
        <v>8</v>
      </c>
      <c r="AC65">
        <v>10</v>
      </c>
      <c r="AD65">
        <v>-2</v>
      </c>
      <c r="AE65">
        <v>6</v>
      </c>
      <c r="AF65">
        <v>7</v>
      </c>
      <c r="AG65">
        <v>-1</v>
      </c>
      <c r="AH65">
        <v>7</v>
      </c>
      <c r="AI65">
        <v>9</v>
      </c>
      <c r="AJ65">
        <v>-2</v>
      </c>
      <c r="AK65" t="s">
        <v>787</v>
      </c>
      <c r="AL65" t="s">
        <v>788</v>
      </c>
      <c r="AM65" t="s">
        <v>789</v>
      </c>
      <c r="AN65" t="s">
        <v>790</v>
      </c>
      <c r="AO65" t="s">
        <v>791</v>
      </c>
      <c r="AP65" t="s">
        <v>792</v>
      </c>
      <c r="AQ65" t="s">
        <v>793</v>
      </c>
      <c r="AR65" t="s">
        <v>794</v>
      </c>
      <c r="AS65" t="s">
        <v>795</v>
      </c>
    </row>
    <row r="66" spans="1:45" x14ac:dyDescent="0.45">
      <c r="A66">
        <v>65</v>
      </c>
      <c r="B66">
        <v>12409</v>
      </c>
      <c r="C66" t="s">
        <v>72</v>
      </c>
      <c r="D66" t="s">
        <v>79</v>
      </c>
      <c r="E66" t="s">
        <v>80</v>
      </c>
      <c r="F66" t="s">
        <v>77</v>
      </c>
      <c r="G66" t="s">
        <v>76</v>
      </c>
      <c r="H66">
        <v>12</v>
      </c>
      <c r="I66">
        <v>2</v>
      </c>
      <c r="J66">
        <v>7</v>
      </c>
      <c r="K66">
        <v>10</v>
      </c>
      <c r="L66">
        <v>-3</v>
      </c>
      <c r="M66">
        <v>6</v>
      </c>
      <c r="N66">
        <v>10</v>
      </c>
      <c r="O66">
        <v>-4</v>
      </c>
      <c r="P66">
        <v>8</v>
      </c>
      <c r="Q66">
        <v>10</v>
      </c>
      <c r="R66">
        <v>-2</v>
      </c>
      <c r="S66">
        <v>9</v>
      </c>
      <c r="T66">
        <v>10</v>
      </c>
      <c r="U66">
        <v>-1</v>
      </c>
      <c r="V66">
        <v>6</v>
      </c>
      <c r="W66">
        <v>10</v>
      </c>
      <c r="X66">
        <v>-4</v>
      </c>
      <c r="Y66">
        <v>7</v>
      </c>
      <c r="Z66">
        <v>10</v>
      </c>
      <c r="AA66">
        <v>-3</v>
      </c>
      <c r="AB66">
        <v>5</v>
      </c>
      <c r="AC66">
        <v>10</v>
      </c>
      <c r="AD66">
        <v>-5</v>
      </c>
      <c r="AE66">
        <v>4</v>
      </c>
      <c r="AF66">
        <v>10</v>
      </c>
      <c r="AG66">
        <v>-6</v>
      </c>
      <c r="AH66">
        <v>5</v>
      </c>
      <c r="AI66">
        <v>10</v>
      </c>
      <c r="AJ66">
        <v>-5</v>
      </c>
      <c r="AK66" t="s">
        <v>796</v>
      </c>
      <c r="AL66" t="s">
        <v>797</v>
      </c>
      <c r="AM66" t="s">
        <v>798</v>
      </c>
      <c r="AN66" t="s">
        <v>799</v>
      </c>
      <c r="AO66" t="s">
        <v>800</v>
      </c>
      <c r="AP66" t="s">
        <v>801</v>
      </c>
      <c r="AQ66" t="s">
        <v>802</v>
      </c>
      <c r="AR66" t="s">
        <v>803</v>
      </c>
      <c r="AS66" t="s">
        <v>804</v>
      </c>
    </row>
    <row r="67" spans="1:45" x14ac:dyDescent="0.45">
      <c r="A67">
        <v>66</v>
      </c>
      <c r="B67">
        <v>12410</v>
      </c>
      <c r="C67" t="s">
        <v>72</v>
      </c>
      <c r="D67" t="s">
        <v>81</v>
      </c>
      <c r="E67" t="s">
        <v>74</v>
      </c>
      <c r="F67" t="s">
        <v>189</v>
      </c>
      <c r="G67" t="s">
        <v>76</v>
      </c>
      <c r="H67">
        <v>15.941225843089081</v>
      </c>
      <c r="I67">
        <v>0</v>
      </c>
      <c r="J67">
        <v>7</v>
      </c>
      <c r="K67">
        <v>7</v>
      </c>
      <c r="L67">
        <v>0</v>
      </c>
      <c r="M67">
        <v>8</v>
      </c>
      <c r="N67">
        <v>5</v>
      </c>
      <c r="O67">
        <v>3</v>
      </c>
      <c r="P67">
        <v>6</v>
      </c>
      <c r="Q67">
        <v>3</v>
      </c>
      <c r="R67">
        <v>3</v>
      </c>
      <c r="S67">
        <v>8</v>
      </c>
      <c r="T67">
        <v>5</v>
      </c>
      <c r="U67">
        <v>3</v>
      </c>
      <c r="V67">
        <v>7</v>
      </c>
      <c r="W67">
        <v>4</v>
      </c>
      <c r="X67">
        <v>3</v>
      </c>
      <c r="Y67">
        <v>6</v>
      </c>
      <c r="Z67">
        <v>3</v>
      </c>
      <c r="AA67">
        <v>3</v>
      </c>
      <c r="AB67">
        <v>7</v>
      </c>
      <c r="AC67">
        <v>5</v>
      </c>
      <c r="AD67">
        <v>2</v>
      </c>
      <c r="AE67">
        <v>5</v>
      </c>
      <c r="AF67">
        <v>6</v>
      </c>
      <c r="AG67">
        <v>-1</v>
      </c>
      <c r="AH67">
        <v>6</v>
      </c>
      <c r="AI67">
        <v>6</v>
      </c>
      <c r="AJ67">
        <v>0</v>
      </c>
      <c r="AK67" t="s">
        <v>805</v>
      </c>
      <c r="AL67" t="s">
        <v>806</v>
      </c>
      <c r="AM67" t="s">
        <v>807</v>
      </c>
      <c r="AN67" t="s">
        <v>808</v>
      </c>
      <c r="AO67" t="s">
        <v>809</v>
      </c>
      <c r="AP67" t="s">
        <v>810</v>
      </c>
      <c r="AQ67" t="s">
        <v>811</v>
      </c>
      <c r="AR67" t="s">
        <v>812</v>
      </c>
      <c r="AS67" t="s">
        <v>813</v>
      </c>
    </row>
    <row r="68" spans="1:45" x14ac:dyDescent="0.45">
      <c r="A68">
        <v>67</v>
      </c>
      <c r="B68">
        <v>12411</v>
      </c>
      <c r="C68" t="s">
        <v>78</v>
      </c>
      <c r="D68" t="s">
        <v>79</v>
      </c>
      <c r="E68" t="s">
        <v>74</v>
      </c>
      <c r="F68" t="s">
        <v>75</v>
      </c>
      <c r="G68" t="s">
        <v>76</v>
      </c>
      <c r="H68">
        <v>74.297528366625542</v>
      </c>
      <c r="I68">
        <v>2</v>
      </c>
      <c r="J68">
        <v>7</v>
      </c>
      <c r="K68">
        <v>5</v>
      </c>
      <c r="L68">
        <v>2</v>
      </c>
      <c r="M68">
        <v>6</v>
      </c>
      <c r="N68">
        <v>5</v>
      </c>
      <c r="O68">
        <v>1</v>
      </c>
      <c r="P68">
        <v>8</v>
      </c>
      <c r="Q68">
        <v>4</v>
      </c>
      <c r="R68">
        <v>4</v>
      </c>
      <c r="S68">
        <v>9</v>
      </c>
      <c r="T68">
        <v>4</v>
      </c>
      <c r="U68">
        <v>5</v>
      </c>
      <c r="V68">
        <v>8</v>
      </c>
      <c r="W68">
        <v>2</v>
      </c>
      <c r="X68">
        <v>6</v>
      </c>
      <c r="Y68">
        <v>7</v>
      </c>
      <c r="Z68">
        <v>3</v>
      </c>
      <c r="AA68">
        <v>4</v>
      </c>
      <c r="AB68">
        <v>6</v>
      </c>
      <c r="AC68">
        <v>2</v>
      </c>
      <c r="AD68">
        <v>4</v>
      </c>
      <c r="AE68">
        <v>7</v>
      </c>
      <c r="AF68">
        <v>3</v>
      </c>
      <c r="AG68">
        <v>4</v>
      </c>
      <c r="AH68">
        <v>8</v>
      </c>
      <c r="AI68">
        <v>3</v>
      </c>
      <c r="AJ68">
        <v>5</v>
      </c>
      <c r="AK68" t="s">
        <v>814</v>
      </c>
      <c r="AL68" t="s">
        <v>815</v>
      </c>
      <c r="AM68" t="s">
        <v>816</v>
      </c>
      <c r="AN68" t="s">
        <v>817</v>
      </c>
      <c r="AO68" t="s">
        <v>818</v>
      </c>
      <c r="AP68" t="s">
        <v>819</v>
      </c>
      <c r="AQ68" t="s">
        <v>820</v>
      </c>
      <c r="AR68" t="s">
        <v>821</v>
      </c>
      <c r="AS68" t="s">
        <v>822</v>
      </c>
    </row>
    <row r="69" spans="1:45" x14ac:dyDescent="0.45">
      <c r="A69">
        <v>68</v>
      </c>
      <c r="B69">
        <v>12412</v>
      </c>
      <c r="C69" t="s">
        <v>72</v>
      </c>
      <c r="D69" t="s">
        <v>79</v>
      </c>
      <c r="E69" t="s">
        <v>74</v>
      </c>
      <c r="F69" t="s">
        <v>77</v>
      </c>
      <c r="G69" t="s">
        <v>76</v>
      </c>
      <c r="H69">
        <v>53.094981893488004</v>
      </c>
      <c r="I69">
        <v>2</v>
      </c>
      <c r="J69">
        <v>7</v>
      </c>
      <c r="K69">
        <v>4</v>
      </c>
      <c r="L69">
        <v>3</v>
      </c>
      <c r="M69">
        <v>8</v>
      </c>
      <c r="N69">
        <v>3</v>
      </c>
      <c r="O69">
        <v>5</v>
      </c>
      <c r="P69">
        <v>9</v>
      </c>
      <c r="Q69">
        <v>1</v>
      </c>
      <c r="R69">
        <v>8</v>
      </c>
      <c r="S69">
        <v>6</v>
      </c>
      <c r="T69">
        <v>5</v>
      </c>
      <c r="U69">
        <v>1</v>
      </c>
      <c r="V69">
        <v>8</v>
      </c>
      <c r="W69">
        <v>4</v>
      </c>
      <c r="X69">
        <v>4</v>
      </c>
      <c r="Y69">
        <v>7</v>
      </c>
      <c r="Z69">
        <v>3</v>
      </c>
      <c r="AA69">
        <v>4</v>
      </c>
      <c r="AB69">
        <v>8</v>
      </c>
      <c r="AC69">
        <v>1</v>
      </c>
      <c r="AD69">
        <v>7</v>
      </c>
      <c r="AE69">
        <v>6</v>
      </c>
      <c r="AF69">
        <v>3</v>
      </c>
      <c r="AG69">
        <v>3</v>
      </c>
      <c r="AH69">
        <v>7</v>
      </c>
      <c r="AI69">
        <v>5</v>
      </c>
      <c r="AJ69">
        <v>2</v>
      </c>
      <c r="AK69" t="s">
        <v>823</v>
      </c>
      <c r="AL69" t="s">
        <v>824</v>
      </c>
      <c r="AM69" t="s">
        <v>825</v>
      </c>
      <c r="AN69" t="s">
        <v>826</v>
      </c>
      <c r="AO69" t="s">
        <v>827</v>
      </c>
      <c r="AP69" t="s">
        <v>828</v>
      </c>
      <c r="AQ69" t="s">
        <v>829</v>
      </c>
      <c r="AR69" t="s">
        <v>830</v>
      </c>
      <c r="AS69" t="s">
        <v>831</v>
      </c>
    </row>
    <row r="70" spans="1:45" x14ac:dyDescent="0.45">
      <c r="A70">
        <v>69</v>
      </c>
      <c r="B70">
        <v>12413</v>
      </c>
      <c r="C70" t="s">
        <v>78</v>
      </c>
      <c r="D70" t="s">
        <v>81</v>
      </c>
      <c r="E70" t="s">
        <v>74</v>
      </c>
      <c r="F70" t="s">
        <v>77</v>
      </c>
      <c r="G70" t="s">
        <v>76</v>
      </c>
      <c r="H70">
        <v>20.004502608983355</v>
      </c>
      <c r="I70">
        <v>0</v>
      </c>
      <c r="J70">
        <v>7</v>
      </c>
      <c r="K70">
        <v>7</v>
      </c>
      <c r="L70">
        <v>0</v>
      </c>
      <c r="M70">
        <v>7</v>
      </c>
      <c r="N70">
        <v>7</v>
      </c>
      <c r="O70">
        <v>0</v>
      </c>
      <c r="P70">
        <v>8</v>
      </c>
      <c r="Q70">
        <v>8</v>
      </c>
      <c r="R70">
        <v>0</v>
      </c>
      <c r="S70">
        <v>8</v>
      </c>
      <c r="T70">
        <v>9</v>
      </c>
      <c r="U70">
        <v>-1</v>
      </c>
      <c r="V70">
        <v>7</v>
      </c>
      <c r="W70">
        <v>8</v>
      </c>
      <c r="X70">
        <v>-1</v>
      </c>
      <c r="Y70">
        <v>7</v>
      </c>
      <c r="Z70">
        <v>10</v>
      </c>
      <c r="AA70">
        <v>-3</v>
      </c>
      <c r="AB70">
        <v>7</v>
      </c>
      <c r="AC70">
        <v>9</v>
      </c>
      <c r="AD70">
        <v>-2</v>
      </c>
      <c r="AE70">
        <v>6</v>
      </c>
      <c r="AF70">
        <v>9</v>
      </c>
      <c r="AG70">
        <v>-3</v>
      </c>
      <c r="AH70">
        <v>8</v>
      </c>
      <c r="AI70">
        <v>9</v>
      </c>
      <c r="AJ70">
        <v>-1</v>
      </c>
      <c r="AK70" t="s">
        <v>832</v>
      </c>
      <c r="AL70" t="s">
        <v>833</v>
      </c>
      <c r="AM70" t="s">
        <v>834</v>
      </c>
      <c r="AN70" t="s">
        <v>835</v>
      </c>
      <c r="AO70" t="s">
        <v>836</v>
      </c>
      <c r="AP70" t="s">
        <v>837</v>
      </c>
      <c r="AQ70" t="s">
        <v>838</v>
      </c>
      <c r="AR70" t="s">
        <v>839</v>
      </c>
      <c r="AS70" t="s">
        <v>840</v>
      </c>
    </row>
    <row r="71" spans="1:45" x14ac:dyDescent="0.45">
      <c r="A71">
        <v>70</v>
      </c>
      <c r="B71">
        <v>12414</v>
      </c>
      <c r="C71" t="s">
        <v>78</v>
      </c>
      <c r="D71" t="s">
        <v>79</v>
      </c>
      <c r="E71" t="s">
        <v>74</v>
      </c>
      <c r="F71" t="s">
        <v>75</v>
      </c>
      <c r="G71" t="s">
        <v>161</v>
      </c>
      <c r="H71">
        <v>176.18011881551902</v>
      </c>
      <c r="I71">
        <v>1</v>
      </c>
      <c r="J71">
        <v>7</v>
      </c>
      <c r="K71">
        <v>6</v>
      </c>
      <c r="L71">
        <v>1</v>
      </c>
      <c r="M71">
        <v>8</v>
      </c>
      <c r="N71">
        <v>6</v>
      </c>
      <c r="O71">
        <v>2</v>
      </c>
      <c r="P71">
        <v>9</v>
      </c>
      <c r="Q71">
        <v>5</v>
      </c>
      <c r="R71">
        <v>4</v>
      </c>
      <c r="S71">
        <v>8</v>
      </c>
      <c r="T71">
        <v>5</v>
      </c>
      <c r="U71">
        <v>3</v>
      </c>
      <c r="V71">
        <v>7</v>
      </c>
      <c r="W71">
        <v>5</v>
      </c>
      <c r="X71">
        <v>2</v>
      </c>
      <c r="Y71">
        <v>8</v>
      </c>
      <c r="Z71">
        <v>1</v>
      </c>
      <c r="AA71">
        <v>7</v>
      </c>
      <c r="AB71">
        <v>7</v>
      </c>
      <c r="AC71">
        <v>5</v>
      </c>
      <c r="AD71">
        <v>2</v>
      </c>
      <c r="AE71">
        <v>7</v>
      </c>
      <c r="AF71">
        <v>5</v>
      </c>
      <c r="AG71">
        <v>2</v>
      </c>
      <c r="AH71">
        <v>8</v>
      </c>
      <c r="AI71">
        <v>5</v>
      </c>
      <c r="AJ71">
        <v>3</v>
      </c>
      <c r="AK71" t="s">
        <v>841</v>
      </c>
      <c r="AL71" t="s">
        <v>842</v>
      </c>
      <c r="AM71" t="s">
        <v>843</v>
      </c>
      <c r="AN71" t="s">
        <v>844</v>
      </c>
      <c r="AO71" t="s">
        <v>845</v>
      </c>
      <c r="AP71" t="s">
        <v>846</v>
      </c>
      <c r="AQ71" t="s">
        <v>847</v>
      </c>
      <c r="AR71" t="s">
        <v>848</v>
      </c>
      <c r="AS71" t="s">
        <v>849</v>
      </c>
    </row>
    <row r="72" spans="1:45" x14ac:dyDescent="0.45">
      <c r="A72">
        <v>71</v>
      </c>
      <c r="B72">
        <v>12415</v>
      </c>
      <c r="C72" t="s">
        <v>72</v>
      </c>
      <c r="D72" t="s">
        <v>73</v>
      </c>
      <c r="E72" t="s">
        <v>74</v>
      </c>
      <c r="F72" t="s">
        <v>75</v>
      </c>
      <c r="G72" t="s">
        <v>76</v>
      </c>
      <c r="H72">
        <v>28.784619879217345</v>
      </c>
      <c r="I72">
        <v>2</v>
      </c>
      <c r="J72">
        <v>8</v>
      </c>
      <c r="K72">
        <v>3</v>
      </c>
      <c r="L72">
        <v>5</v>
      </c>
      <c r="M72">
        <v>9</v>
      </c>
      <c r="N72">
        <v>3</v>
      </c>
      <c r="O72">
        <v>6</v>
      </c>
      <c r="P72">
        <v>8</v>
      </c>
      <c r="Q72">
        <v>3</v>
      </c>
      <c r="R72">
        <v>5</v>
      </c>
      <c r="S72">
        <v>9</v>
      </c>
      <c r="T72">
        <v>5</v>
      </c>
      <c r="U72">
        <v>4</v>
      </c>
      <c r="V72">
        <v>7</v>
      </c>
      <c r="W72">
        <v>3</v>
      </c>
      <c r="X72">
        <v>4</v>
      </c>
      <c r="Y72">
        <v>8</v>
      </c>
      <c r="Z72">
        <v>3</v>
      </c>
      <c r="AA72">
        <v>5</v>
      </c>
      <c r="AB72">
        <v>7</v>
      </c>
      <c r="AC72">
        <v>3</v>
      </c>
      <c r="AD72">
        <v>4</v>
      </c>
      <c r="AE72">
        <v>6</v>
      </c>
      <c r="AF72">
        <v>3</v>
      </c>
      <c r="AG72">
        <v>3</v>
      </c>
      <c r="AH72">
        <v>8</v>
      </c>
      <c r="AI72">
        <v>4</v>
      </c>
      <c r="AJ72">
        <v>4</v>
      </c>
      <c r="AK72" t="s">
        <v>850</v>
      </c>
      <c r="AL72" t="s">
        <v>851</v>
      </c>
      <c r="AM72" t="s">
        <v>852</v>
      </c>
      <c r="AN72" t="s">
        <v>853</v>
      </c>
      <c r="AO72" t="s">
        <v>854</v>
      </c>
      <c r="AP72" t="s">
        <v>855</v>
      </c>
      <c r="AQ72" t="s">
        <v>856</v>
      </c>
      <c r="AR72" t="s">
        <v>857</v>
      </c>
      <c r="AS72" t="s">
        <v>858</v>
      </c>
    </row>
    <row r="73" spans="1:45" x14ac:dyDescent="0.45">
      <c r="A73">
        <v>72</v>
      </c>
      <c r="B73">
        <v>12416</v>
      </c>
      <c r="C73" t="s">
        <v>78</v>
      </c>
      <c r="D73" t="s">
        <v>73</v>
      </c>
      <c r="E73" t="s">
        <v>74</v>
      </c>
      <c r="F73" t="s">
        <v>77</v>
      </c>
      <c r="G73" t="s">
        <v>161</v>
      </c>
      <c r="H73">
        <v>20.235315403830867</v>
      </c>
      <c r="I73">
        <v>3</v>
      </c>
      <c r="J73">
        <v>8</v>
      </c>
      <c r="K73">
        <v>8</v>
      </c>
      <c r="L73">
        <v>0</v>
      </c>
      <c r="M73">
        <v>9</v>
      </c>
      <c r="N73">
        <v>8</v>
      </c>
      <c r="O73">
        <v>1</v>
      </c>
      <c r="P73">
        <v>7</v>
      </c>
      <c r="Q73">
        <v>4</v>
      </c>
      <c r="R73">
        <v>3</v>
      </c>
      <c r="S73">
        <v>8</v>
      </c>
      <c r="T73">
        <v>2</v>
      </c>
      <c r="U73">
        <v>6</v>
      </c>
      <c r="V73">
        <v>7</v>
      </c>
      <c r="W73">
        <v>6</v>
      </c>
      <c r="X73">
        <v>1</v>
      </c>
      <c r="Y73">
        <v>6</v>
      </c>
      <c r="Z73">
        <v>3</v>
      </c>
      <c r="AA73">
        <v>3</v>
      </c>
      <c r="AB73">
        <v>7</v>
      </c>
      <c r="AC73">
        <v>8</v>
      </c>
      <c r="AD73">
        <v>-1</v>
      </c>
      <c r="AE73">
        <v>5</v>
      </c>
      <c r="AF73">
        <v>4</v>
      </c>
      <c r="AG73">
        <v>1</v>
      </c>
      <c r="AH73">
        <v>7</v>
      </c>
      <c r="AI73">
        <v>8</v>
      </c>
      <c r="AJ73">
        <v>-1</v>
      </c>
      <c r="AK73" t="s">
        <v>859</v>
      </c>
      <c r="AL73" t="s">
        <v>860</v>
      </c>
      <c r="AM73" t="s">
        <v>861</v>
      </c>
      <c r="AN73" t="s">
        <v>862</v>
      </c>
      <c r="AO73" t="s">
        <v>863</v>
      </c>
      <c r="AP73" t="s">
        <v>864</v>
      </c>
      <c r="AQ73" t="s">
        <v>865</v>
      </c>
      <c r="AR73" t="s">
        <v>866</v>
      </c>
      <c r="AS73" t="s">
        <v>867</v>
      </c>
    </row>
    <row r="74" spans="1:45" x14ac:dyDescent="0.45">
      <c r="A74">
        <v>73</v>
      </c>
      <c r="B74">
        <v>12417</v>
      </c>
      <c r="C74" t="s">
        <v>78</v>
      </c>
      <c r="D74" t="s">
        <v>188</v>
      </c>
      <c r="E74" t="s">
        <v>74</v>
      </c>
      <c r="F74" t="s">
        <v>191</v>
      </c>
      <c r="G74" t="s">
        <v>76</v>
      </c>
      <c r="H74">
        <v>14.673189306981197</v>
      </c>
      <c r="I74">
        <v>0</v>
      </c>
      <c r="J74">
        <v>5</v>
      </c>
      <c r="K74">
        <v>5</v>
      </c>
      <c r="L74">
        <v>0</v>
      </c>
      <c r="M74">
        <v>6</v>
      </c>
      <c r="N74">
        <v>5</v>
      </c>
      <c r="O74">
        <v>1</v>
      </c>
      <c r="P74">
        <v>7</v>
      </c>
      <c r="Q74">
        <v>5</v>
      </c>
      <c r="R74">
        <v>2</v>
      </c>
      <c r="S74">
        <v>8</v>
      </c>
      <c r="T74">
        <v>5</v>
      </c>
      <c r="U74">
        <v>3</v>
      </c>
      <c r="V74">
        <v>6</v>
      </c>
      <c r="W74">
        <v>5</v>
      </c>
      <c r="X74">
        <v>1</v>
      </c>
      <c r="Y74">
        <v>8</v>
      </c>
      <c r="Z74">
        <v>10</v>
      </c>
      <c r="AA74">
        <v>-2</v>
      </c>
      <c r="AB74">
        <v>7</v>
      </c>
      <c r="AC74">
        <v>5</v>
      </c>
      <c r="AD74">
        <v>2</v>
      </c>
      <c r="AE74">
        <v>6</v>
      </c>
      <c r="AF74">
        <v>5</v>
      </c>
      <c r="AG74">
        <v>1</v>
      </c>
      <c r="AH74">
        <v>7</v>
      </c>
      <c r="AI74">
        <v>10</v>
      </c>
      <c r="AJ74">
        <v>-3</v>
      </c>
      <c r="AK74" t="s">
        <v>868</v>
      </c>
      <c r="AL74" t="s">
        <v>869</v>
      </c>
      <c r="AM74" t="s">
        <v>870</v>
      </c>
      <c r="AN74" t="s">
        <v>871</v>
      </c>
      <c r="AO74" t="s">
        <v>872</v>
      </c>
      <c r="AP74" t="s">
        <v>873</v>
      </c>
      <c r="AQ74" t="s">
        <v>874</v>
      </c>
      <c r="AR74" t="s">
        <v>875</v>
      </c>
      <c r="AS74" t="s">
        <v>876</v>
      </c>
    </row>
    <row r="75" spans="1:45" x14ac:dyDescent="0.45">
      <c r="A75">
        <v>74</v>
      </c>
      <c r="B75">
        <v>12418</v>
      </c>
      <c r="C75" t="s">
        <v>72</v>
      </c>
      <c r="D75" t="s">
        <v>73</v>
      </c>
      <c r="E75" t="s">
        <v>74</v>
      </c>
      <c r="F75" t="s">
        <v>77</v>
      </c>
      <c r="G75" t="s">
        <v>161</v>
      </c>
      <c r="H75">
        <v>19.207040619684111</v>
      </c>
      <c r="I75">
        <v>1</v>
      </c>
      <c r="J75">
        <v>8</v>
      </c>
      <c r="K75">
        <v>5</v>
      </c>
      <c r="L75">
        <v>3</v>
      </c>
      <c r="M75">
        <v>7</v>
      </c>
      <c r="N75">
        <v>10</v>
      </c>
      <c r="O75">
        <v>-3</v>
      </c>
      <c r="P75">
        <v>6</v>
      </c>
      <c r="Q75">
        <v>2</v>
      </c>
      <c r="R75">
        <v>4</v>
      </c>
      <c r="S75">
        <v>7</v>
      </c>
      <c r="T75">
        <v>8</v>
      </c>
      <c r="U75">
        <v>-1</v>
      </c>
      <c r="V75">
        <v>5</v>
      </c>
      <c r="W75">
        <v>5</v>
      </c>
      <c r="X75">
        <v>0</v>
      </c>
      <c r="Y75">
        <v>6</v>
      </c>
      <c r="Z75">
        <v>5</v>
      </c>
      <c r="AA75">
        <v>1</v>
      </c>
      <c r="AB75">
        <v>7</v>
      </c>
      <c r="AC75">
        <v>1</v>
      </c>
      <c r="AD75">
        <v>6</v>
      </c>
      <c r="AE75">
        <v>5</v>
      </c>
      <c r="AF75">
        <v>4</v>
      </c>
      <c r="AG75">
        <v>1</v>
      </c>
      <c r="AH75">
        <v>6</v>
      </c>
      <c r="AI75">
        <v>5</v>
      </c>
      <c r="AJ75">
        <v>1</v>
      </c>
      <c r="AK75" t="s">
        <v>877</v>
      </c>
      <c r="AL75" t="s">
        <v>878</v>
      </c>
      <c r="AM75" t="s">
        <v>879</v>
      </c>
      <c r="AN75" t="s">
        <v>880</v>
      </c>
      <c r="AO75" t="s">
        <v>881</v>
      </c>
      <c r="AP75" t="s">
        <v>882</v>
      </c>
      <c r="AQ75" t="s">
        <v>883</v>
      </c>
      <c r="AR75" t="s">
        <v>884</v>
      </c>
      <c r="AS75" t="s">
        <v>885</v>
      </c>
    </row>
    <row r="76" spans="1:45" x14ac:dyDescent="0.45">
      <c r="A76">
        <v>75</v>
      </c>
      <c r="B76">
        <v>12419</v>
      </c>
      <c r="C76" t="s">
        <v>78</v>
      </c>
      <c r="D76" t="s">
        <v>79</v>
      </c>
      <c r="E76" t="s">
        <v>74</v>
      </c>
      <c r="F76" t="s">
        <v>75</v>
      </c>
      <c r="G76" t="s">
        <v>76</v>
      </c>
      <c r="H76">
        <v>52.464608183525499</v>
      </c>
      <c r="I76">
        <v>2</v>
      </c>
      <c r="J76">
        <v>5</v>
      </c>
      <c r="K76">
        <v>8</v>
      </c>
      <c r="L76">
        <v>-3</v>
      </c>
      <c r="M76">
        <v>6</v>
      </c>
      <c r="N76">
        <v>9</v>
      </c>
      <c r="O76">
        <v>-3</v>
      </c>
      <c r="P76">
        <v>8</v>
      </c>
      <c r="Q76">
        <v>9</v>
      </c>
      <c r="R76">
        <v>-1</v>
      </c>
      <c r="S76">
        <v>7</v>
      </c>
      <c r="T76">
        <v>9</v>
      </c>
      <c r="U76">
        <v>-2</v>
      </c>
      <c r="V76">
        <v>8</v>
      </c>
      <c r="W76">
        <v>3</v>
      </c>
      <c r="X76">
        <v>5</v>
      </c>
      <c r="Y76">
        <v>7</v>
      </c>
      <c r="Z76">
        <v>3</v>
      </c>
      <c r="AA76">
        <v>4</v>
      </c>
      <c r="AB76">
        <v>6</v>
      </c>
      <c r="AC76">
        <v>2</v>
      </c>
      <c r="AD76">
        <v>4</v>
      </c>
      <c r="AE76">
        <v>4</v>
      </c>
      <c r="AF76">
        <v>2</v>
      </c>
      <c r="AG76">
        <v>2</v>
      </c>
      <c r="AH76">
        <v>7</v>
      </c>
      <c r="AI76">
        <v>6</v>
      </c>
      <c r="AJ76">
        <v>1</v>
      </c>
      <c r="AK76" t="s">
        <v>886</v>
      </c>
      <c r="AL76" t="s">
        <v>887</v>
      </c>
      <c r="AM76" t="s">
        <v>888</v>
      </c>
      <c r="AN76" t="s">
        <v>889</v>
      </c>
      <c r="AO76" t="s">
        <v>890</v>
      </c>
      <c r="AP76" t="s">
        <v>891</v>
      </c>
      <c r="AQ76" t="s">
        <v>892</v>
      </c>
      <c r="AR76" t="s">
        <v>893</v>
      </c>
      <c r="AS76" t="s">
        <v>894</v>
      </c>
    </row>
    <row r="77" spans="1:45" x14ac:dyDescent="0.45">
      <c r="A77">
        <v>76</v>
      </c>
      <c r="B77">
        <v>12420</v>
      </c>
      <c r="C77" t="s">
        <v>78</v>
      </c>
      <c r="D77" t="s">
        <v>79</v>
      </c>
      <c r="E77" t="s">
        <v>80</v>
      </c>
      <c r="F77" t="s">
        <v>191</v>
      </c>
      <c r="G77" t="s">
        <v>161</v>
      </c>
      <c r="H77">
        <v>13.707324246743351</v>
      </c>
      <c r="I77">
        <v>3</v>
      </c>
      <c r="J77">
        <v>7</v>
      </c>
      <c r="K77">
        <v>5</v>
      </c>
      <c r="L77">
        <v>2</v>
      </c>
      <c r="M77">
        <v>6</v>
      </c>
      <c r="N77">
        <v>5</v>
      </c>
      <c r="O77">
        <v>1</v>
      </c>
      <c r="P77">
        <v>8</v>
      </c>
      <c r="Q77">
        <v>5</v>
      </c>
      <c r="R77">
        <v>3</v>
      </c>
      <c r="S77">
        <v>9</v>
      </c>
      <c r="T77">
        <v>5</v>
      </c>
      <c r="U77">
        <v>4</v>
      </c>
      <c r="V77">
        <v>6</v>
      </c>
      <c r="W77">
        <v>5</v>
      </c>
      <c r="X77">
        <v>1</v>
      </c>
      <c r="Y77">
        <v>7</v>
      </c>
      <c r="Z77">
        <v>5</v>
      </c>
      <c r="AA77">
        <v>2</v>
      </c>
      <c r="AB77">
        <v>6</v>
      </c>
      <c r="AC77">
        <v>5</v>
      </c>
      <c r="AD77">
        <v>1</v>
      </c>
      <c r="AE77">
        <v>5</v>
      </c>
      <c r="AF77">
        <v>5</v>
      </c>
      <c r="AG77">
        <v>0</v>
      </c>
      <c r="AH77">
        <v>6</v>
      </c>
      <c r="AI77">
        <v>5</v>
      </c>
      <c r="AJ77">
        <v>1</v>
      </c>
      <c r="AK77" t="s">
        <v>895</v>
      </c>
      <c r="AL77" t="s">
        <v>896</v>
      </c>
      <c r="AM77" t="s">
        <v>897</v>
      </c>
      <c r="AN77" t="s">
        <v>898</v>
      </c>
      <c r="AO77" t="s">
        <v>899</v>
      </c>
      <c r="AP77" t="s">
        <v>900</v>
      </c>
      <c r="AQ77" t="s">
        <v>901</v>
      </c>
      <c r="AR77" t="s">
        <v>902</v>
      </c>
      <c r="AS77" t="s">
        <v>903</v>
      </c>
    </row>
    <row r="78" spans="1:45" x14ac:dyDescent="0.45">
      <c r="A78">
        <v>77</v>
      </c>
      <c r="B78">
        <v>12421</v>
      </c>
      <c r="C78" t="s">
        <v>72</v>
      </c>
      <c r="D78" t="s">
        <v>190</v>
      </c>
      <c r="E78" t="s">
        <v>74</v>
      </c>
      <c r="F78" t="s">
        <v>77</v>
      </c>
      <c r="G78" t="s">
        <v>76</v>
      </c>
      <c r="H78">
        <v>15.590317767582842</v>
      </c>
      <c r="I78">
        <v>2</v>
      </c>
      <c r="J78">
        <v>8</v>
      </c>
      <c r="K78">
        <v>8</v>
      </c>
      <c r="L78">
        <v>0</v>
      </c>
      <c r="M78">
        <v>7</v>
      </c>
      <c r="N78">
        <v>8</v>
      </c>
      <c r="O78">
        <v>-1</v>
      </c>
      <c r="P78">
        <v>9</v>
      </c>
      <c r="Q78">
        <v>8</v>
      </c>
      <c r="R78">
        <v>1</v>
      </c>
      <c r="S78">
        <v>8</v>
      </c>
      <c r="T78">
        <v>8</v>
      </c>
      <c r="U78">
        <v>0</v>
      </c>
      <c r="V78">
        <v>7</v>
      </c>
      <c r="W78">
        <v>9</v>
      </c>
      <c r="X78">
        <v>-2</v>
      </c>
      <c r="Y78">
        <v>6</v>
      </c>
      <c r="Z78">
        <v>7</v>
      </c>
      <c r="AA78">
        <v>-1</v>
      </c>
      <c r="AB78">
        <v>6</v>
      </c>
      <c r="AC78">
        <v>9</v>
      </c>
      <c r="AD78">
        <v>-3</v>
      </c>
      <c r="AE78">
        <v>7</v>
      </c>
      <c r="AF78">
        <v>10</v>
      </c>
      <c r="AG78">
        <v>-3</v>
      </c>
      <c r="AH78">
        <v>8</v>
      </c>
      <c r="AI78">
        <v>8</v>
      </c>
      <c r="AJ78">
        <v>0</v>
      </c>
      <c r="AK78" t="s">
        <v>904</v>
      </c>
      <c r="AL78" t="s">
        <v>905</v>
      </c>
      <c r="AM78" t="s">
        <v>906</v>
      </c>
      <c r="AN78" t="s">
        <v>907</v>
      </c>
      <c r="AO78" t="s">
        <v>908</v>
      </c>
      <c r="AP78" t="s">
        <v>909</v>
      </c>
      <c r="AQ78" t="s">
        <v>910</v>
      </c>
      <c r="AR78" t="s">
        <v>911</v>
      </c>
      <c r="AS78" t="s">
        <v>912</v>
      </c>
    </row>
    <row r="79" spans="1:45" x14ac:dyDescent="0.45">
      <c r="A79">
        <v>78</v>
      </c>
      <c r="B79">
        <v>12422</v>
      </c>
      <c r="C79" t="s">
        <v>72</v>
      </c>
      <c r="D79" t="s">
        <v>73</v>
      </c>
      <c r="E79" t="s">
        <v>74</v>
      </c>
      <c r="F79" t="s">
        <v>75</v>
      </c>
      <c r="G79" t="s">
        <v>76</v>
      </c>
      <c r="H79">
        <v>39.11859631923631</v>
      </c>
      <c r="I79">
        <v>2</v>
      </c>
      <c r="J79">
        <v>8</v>
      </c>
      <c r="K79">
        <v>8</v>
      </c>
      <c r="L79">
        <v>0</v>
      </c>
      <c r="M79">
        <v>9</v>
      </c>
      <c r="N79">
        <v>7</v>
      </c>
      <c r="O79">
        <v>2</v>
      </c>
      <c r="P79">
        <v>8</v>
      </c>
      <c r="Q79">
        <v>9</v>
      </c>
      <c r="R79">
        <v>-1</v>
      </c>
      <c r="S79">
        <v>7</v>
      </c>
      <c r="T79">
        <v>8</v>
      </c>
      <c r="U79">
        <v>-1</v>
      </c>
      <c r="V79">
        <v>8</v>
      </c>
      <c r="W79">
        <v>8</v>
      </c>
      <c r="X79">
        <v>0</v>
      </c>
      <c r="Y79">
        <v>7</v>
      </c>
      <c r="Z79">
        <v>8</v>
      </c>
      <c r="AA79">
        <v>-1</v>
      </c>
      <c r="AB79">
        <v>8</v>
      </c>
      <c r="AC79">
        <v>6</v>
      </c>
      <c r="AD79">
        <v>2</v>
      </c>
      <c r="AE79">
        <v>6</v>
      </c>
      <c r="AF79">
        <v>6</v>
      </c>
      <c r="AG79">
        <v>0</v>
      </c>
      <c r="AH79">
        <v>8</v>
      </c>
      <c r="AI79">
        <v>7</v>
      </c>
      <c r="AJ79">
        <v>1</v>
      </c>
      <c r="AK79" t="s">
        <v>913</v>
      </c>
      <c r="AL79" t="s">
        <v>914</v>
      </c>
      <c r="AM79" t="s">
        <v>915</v>
      </c>
      <c r="AN79" t="s">
        <v>916</v>
      </c>
      <c r="AO79" t="s">
        <v>917</v>
      </c>
      <c r="AP79" t="s">
        <v>918</v>
      </c>
      <c r="AQ79" t="s">
        <v>919</v>
      </c>
      <c r="AR79" t="s">
        <v>920</v>
      </c>
      <c r="AS79" t="s">
        <v>921</v>
      </c>
    </row>
    <row r="80" spans="1:45" x14ac:dyDescent="0.45">
      <c r="A80">
        <v>79</v>
      </c>
      <c r="B80">
        <v>12423</v>
      </c>
      <c r="C80" t="s">
        <v>72</v>
      </c>
      <c r="D80" t="s">
        <v>192</v>
      </c>
      <c r="E80" t="s">
        <v>74</v>
      </c>
      <c r="F80" t="s">
        <v>191</v>
      </c>
      <c r="G80" t="s">
        <v>161</v>
      </c>
      <c r="H80">
        <v>15.103633376351024</v>
      </c>
      <c r="I80">
        <v>0</v>
      </c>
      <c r="J80">
        <v>8</v>
      </c>
      <c r="K80">
        <v>6</v>
      </c>
      <c r="L80">
        <v>2</v>
      </c>
      <c r="M80">
        <v>7</v>
      </c>
      <c r="N80">
        <v>2</v>
      </c>
      <c r="O80">
        <v>5</v>
      </c>
      <c r="P80">
        <v>6</v>
      </c>
      <c r="Q80">
        <v>3</v>
      </c>
      <c r="R80">
        <v>3</v>
      </c>
      <c r="S80">
        <v>7</v>
      </c>
      <c r="T80">
        <v>2</v>
      </c>
      <c r="U80">
        <v>5</v>
      </c>
      <c r="V80">
        <v>8</v>
      </c>
      <c r="W80">
        <v>3</v>
      </c>
      <c r="X80">
        <v>5</v>
      </c>
      <c r="Y80">
        <v>6</v>
      </c>
      <c r="Z80">
        <v>7</v>
      </c>
      <c r="AA80">
        <v>-1</v>
      </c>
      <c r="AB80">
        <v>5</v>
      </c>
      <c r="AC80">
        <v>5</v>
      </c>
      <c r="AD80">
        <v>0</v>
      </c>
      <c r="AE80">
        <v>6</v>
      </c>
      <c r="AF80">
        <v>5</v>
      </c>
      <c r="AG80">
        <v>1</v>
      </c>
      <c r="AH80">
        <v>7</v>
      </c>
      <c r="AI80">
        <v>7</v>
      </c>
      <c r="AJ80">
        <v>0</v>
      </c>
      <c r="AK80" t="s">
        <v>922</v>
      </c>
      <c r="AL80" t="s">
        <v>923</v>
      </c>
      <c r="AM80" t="s">
        <v>924</v>
      </c>
      <c r="AN80" t="s">
        <v>925</v>
      </c>
      <c r="AO80" t="s">
        <v>926</v>
      </c>
      <c r="AP80" t="s">
        <v>927</v>
      </c>
      <c r="AQ80" t="s">
        <v>928</v>
      </c>
      <c r="AR80" t="s">
        <v>929</v>
      </c>
      <c r="AS80" t="s">
        <v>930</v>
      </c>
    </row>
    <row r="81" spans="1:45" x14ac:dyDescent="0.45">
      <c r="A81">
        <v>80</v>
      </c>
      <c r="B81">
        <v>12424</v>
      </c>
      <c r="C81" t="s">
        <v>78</v>
      </c>
      <c r="D81" t="s">
        <v>81</v>
      </c>
      <c r="E81" t="s">
        <v>74</v>
      </c>
      <c r="F81" t="s">
        <v>77</v>
      </c>
      <c r="G81" t="s">
        <v>76</v>
      </c>
      <c r="H81">
        <v>14.140176863895586</v>
      </c>
      <c r="I81">
        <v>0</v>
      </c>
      <c r="J81">
        <v>7</v>
      </c>
      <c r="K81">
        <v>8</v>
      </c>
      <c r="L81">
        <v>-1</v>
      </c>
      <c r="M81">
        <v>9</v>
      </c>
      <c r="N81">
        <v>8</v>
      </c>
      <c r="O81">
        <v>1</v>
      </c>
      <c r="P81">
        <v>6</v>
      </c>
      <c r="Q81">
        <v>8</v>
      </c>
      <c r="R81">
        <v>-2</v>
      </c>
      <c r="S81">
        <v>8</v>
      </c>
      <c r="T81">
        <v>8</v>
      </c>
      <c r="U81">
        <v>0</v>
      </c>
      <c r="V81">
        <v>7</v>
      </c>
      <c r="W81">
        <v>8</v>
      </c>
      <c r="X81">
        <v>-1</v>
      </c>
      <c r="Y81">
        <v>6</v>
      </c>
      <c r="Z81">
        <v>8</v>
      </c>
      <c r="AA81">
        <v>-2</v>
      </c>
      <c r="AB81">
        <v>7</v>
      </c>
      <c r="AC81">
        <v>8</v>
      </c>
      <c r="AD81">
        <v>-1</v>
      </c>
      <c r="AE81">
        <v>8</v>
      </c>
      <c r="AF81">
        <v>8</v>
      </c>
      <c r="AG81">
        <v>0</v>
      </c>
      <c r="AH81">
        <v>7</v>
      </c>
      <c r="AI81">
        <v>8</v>
      </c>
      <c r="AJ81">
        <v>-1</v>
      </c>
      <c r="AK81" t="s">
        <v>931</v>
      </c>
      <c r="AL81" t="s">
        <v>932</v>
      </c>
      <c r="AM81" t="s">
        <v>933</v>
      </c>
      <c r="AN81" t="s">
        <v>934</v>
      </c>
      <c r="AO81" t="s">
        <v>935</v>
      </c>
      <c r="AP81" t="s">
        <v>936</v>
      </c>
      <c r="AQ81" t="s">
        <v>937</v>
      </c>
      <c r="AR81" t="s">
        <v>938</v>
      </c>
      <c r="AS81" t="s">
        <v>939</v>
      </c>
    </row>
    <row r="82" spans="1:45" x14ac:dyDescent="0.45">
      <c r="A82">
        <v>81</v>
      </c>
      <c r="B82">
        <v>12425</v>
      </c>
      <c r="C82" t="s">
        <v>78</v>
      </c>
      <c r="D82" t="s">
        <v>192</v>
      </c>
      <c r="E82" t="s">
        <v>74</v>
      </c>
      <c r="F82" t="s">
        <v>75</v>
      </c>
      <c r="G82" t="s">
        <v>161</v>
      </c>
      <c r="H82">
        <v>12</v>
      </c>
      <c r="I82">
        <v>0</v>
      </c>
      <c r="J82">
        <v>8</v>
      </c>
      <c r="K82">
        <v>7</v>
      </c>
      <c r="L82">
        <v>1</v>
      </c>
      <c r="M82">
        <v>7</v>
      </c>
      <c r="N82">
        <v>7</v>
      </c>
      <c r="O82">
        <v>0</v>
      </c>
      <c r="P82">
        <v>9</v>
      </c>
      <c r="Q82">
        <v>5</v>
      </c>
      <c r="R82">
        <v>4</v>
      </c>
      <c r="S82">
        <v>8</v>
      </c>
      <c r="T82">
        <v>5</v>
      </c>
      <c r="U82">
        <v>3</v>
      </c>
      <c r="V82">
        <v>9</v>
      </c>
      <c r="W82">
        <v>6</v>
      </c>
      <c r="X82">
        <v>3</v>
      </c>
      <c r="Y82">
        <v>7</v>
      </c>
      <c r="Z82">
        <v>5</v>
      </c>
      <c r="AA82">
        <v>2</v>
      </c>
      <c r="AB82">
        <v>6</v>
      </c>
      <c r="AC82">
        <v>8</v>
      </c>
      <c r="AD82">
        <v>-2</v>
      </c>
      <c r="AE82">
        <v>5</v>
      </c>
      <c r="AF82">
        <v>6</v>
      </c>
      <c r="AG82">
        <v>-1</v>
      </c>
      <c r="AH82">
        <v>7</v>
      </c>
      <c r="AI82">
        <v>8</v>
      </c>
      <c r="AJ82">
        <v>-1</v>
      </c>
      <c r="AK82" t="s">
        <v>940</v>
      </c>
      <c r="AL82" t="s">
        <v>941</v>
      </c>
      <c r="AM82" t="s">
        <v>942</v>
      </c>
      <c r="AN82" t="s">
        <v>943</v>
      </c>
      <c r="AO82" t="s">
        <v>944</v>
      </c>
      <c r="AP82" t="s">
        <v>945</v>
      </c>
      <c r="AQ82" t="s">
        <v>946</v>
      </c>
      <c r="AR82" t="s">
        <v>947</v>
      </c>
      <c r="AS82" t="s">
        <v>948</v>
      </c>
    </row>
    <row r="83" spans="1:45" x14ac:dyDescent="0.45">
      <c r="A83">
        <v>82</v>
      </c>
      <c r="B83">
        <v>12426</v>
      </c>
      <c r="C83" t="s">
        <v>72</v>
      </c>
      <c r="D83" t="s">
        <v>192</v>
      </c>
      <c r="E83" t="s">
        <v>74</v>
      </c>
      <c r="F83" t="s">
        <v>77</v>
      </c>
      <c r="G83" t="s">
        <v>161</v>
      </c>
      <c r="H83">
        <v>15.135041924578026</v>
      </c>
      <c r="I83">
        <v>1</v>
      </c>
      <c r="J83">
        <v>7</v>
      </c>
      <c r="K83">
        <v>8</v>
      </c>
      <c r="L83">
        <v>-1</v>
      </c>
      <c r="M83">
        <v>6</v>
      </c>
      <c r="N83">
        <v>9</v>
      </c>
      <c r="O83">
        <v>-3</v>
      </c>
      <c r="P83">
        <v>8</v>
      </c>
      <c r="Q83">
        <v>5</v>
      </c>
      <c r="R83">
        <v>3</v>
      </c>
      <c r="S83">
        <v>9</v>
      </c>
      <c r="T83">
        <v>5</v>
      </c>
      <c r="U83">
        <v>4</v>
      </c>
      <c r="V83">
        <v>6</v>
      </c>
      <c r="W83">
        <v>5</v>
      </c>
      <c r="X83">
        <v>1</v>
      </c>
      <c r="Y83">
        <v>7</v>
      </c>
      <c r="Z83">
        <v>5</v>
      </c>
      <c r="AA83">
        <v>2</v>
      </c>
      <c r="AB83">
        <v>6</v>
      </c>
      <c r="AC83">
        <v>1</v>
      </c>
      <c r="AD83">
        <v>5</v>
      </c>
      <c r="AE83">
        <v>5</v>
      </c>
      <c r="AF83">
        <v>5</v>
      </c>
      <c r="AG83">
        <v>0</v>
      </c>
      <c r="AH83">
        <v>6</v>
      </c>
      <c r="AI83">
        <v>5</v>
      </c>
      <c r="AJ83">
        <v>1</v>
      </c>
      <c r="AK83" t="s">
        <v>949</v>
      </c>
      <c r="AL83" t="s">
        <v>950</v>
      </c>
      <c r="AM83" t="s">
        <v>951</v>
      </c>
      <c r="AN83" t="s">
        <v>952</v>
      </c>
      <c r="AO83" t="s">
        <v>953</v>
      </c>
      <c r="AP83" t="s">
        <v>954</v>
      </c>
      <c r="AQ83" t="s">
        <v>955</v>
      </c>
      <c r="AR83" t="s">
        <v>956</v>
      </c>
      <c r="AS83" t="s">
        <v>957</v>
      </c>
    </row>
    <row r="84" spans="1:45" x14ac:dyDescent="0.45">
      <c r="A84">
        <v>83</v>
      </c>
      <c r="B84">
        <v>12427</v>
      </c>
      <c r="C84" t="s">
        <v>72</v>
      </c>
      <c r="D84" t="s">
        <v>79</v>
      </c>
      <c r="E84" t="s">
        <v>74</v>
      </c>
      <c r="F84" t="s">
        <v>75</v>
      </c>
      <c r="G84" t="s">
        <v>76</v>
      </c>
      <c r="H84">
        <v>12.3044467206063</v>
      </c>
      <c r="I84">
        <v>2</v>
      </c>
      <c r="J84">
        <v>7</v>
      </c>
      <c r="K84">
        <v>10</v>
      </c>
      <c r="L84">
        <v>-3</v>
      </c>
      <c r="M84">
        <v>7</v>
      </c>
      <c r="N84">
        <v>8</v>
      </c>
      <c r="O84">
        <v>-1</v>
      </c>
      <c r="P84">
        <v>8</v>
      </c>
      <c r="Q84">
        <v>8</v>
      </c>
      <c r="R84">
        <v>0</v>
      </c>
      <c r="S84">
        <v>8</v>
      </c>
      <c r="T84">
        <v>7</v>
      </c>
      <c r="U84">
        <v>1</v>
      </c>
      <c r="V84">
        <v>8</v>
      </c>
      <c r="W84">
        <v>7</v>
      </c>
      <c r="X84">
        <v>1</v>
      </c>
      <c r="Y84">
        <v>8</v>
      </c>
      <c r="Z84">
        <v>6</v>
      </c>
      <c r="AA84">
        <v>2</v>
      </c>
      <c r="AB84">
        <v>8</v>
      </c>
      <c r="AC84">
        <v>7</v>
      </c>
      <c r="AD84">
        <v>1</v>
      </c>
      <c r="AE84">
        <v>6</v>
      </c>
      <c r="AF84">
        <v>6</v>
      </c>
      <c r="AG84">
        <v>0</v>
      </c>
      <c r="AH84">
        <v>7</v>
      </c>
      <c r="AI84">
        <v>8</v>
      </c>
      <c r="AJ84">
        <v>-1</v>
      </c>
      <c r="AK84" t="s">
        <v>958</v>
      </c>
      <c r="AL84" t="s">
        <v>959</v>
      </c>
      <c r="AM84" t="s">
        <v>960</v>
      </c>
      <c r="AN84" t="s">
        <v>961</v>
      </c>
      <c r="AO84" t="s">
        <v>962</v>
      </c>
      <c r="AP84" t="s">
        <v>963</v>
      </c>
      <c r="AQ84" t="s">
        <v>962</v>
      </c>
      <c r="AR84" t="s">
        <v>964</v>
      </c>
      <c r="AS84" t="s">
        <v>965</v>
      </c>
    </row>
    <row r="85" spans="1:45" x14ac:dyDescent="0.45">
      <c r="A85">
        <v>84</v>
      </c>
      <c r="B85">
        <v>12428</v>
      </c>
      <c r="C85" t="s">
        <v>72</v>
      </c>
      <c r="D85" t="s">
        <v>73</v>
      </c>
      <c r="E85" t="s">
        <v>74</v>
      </c>
      <c r="F85" t="s">
        <v>189</v>
      </c>
      <c r="G85" t="s">
        <v>76</v>
      </c>
      <c r="H85">
        <v>12.024673872801911</v>
      </c>
      <c r="I85">
        <v>1</v>
      </c>
      <c r="J85">
        <v>7</v>
      </c>
      <c r="K85">
        <v>6</v>
      </c>
      <c r="L85">
        <v>1</v>
      </c>
      <c r="M85">
        <v>8</v>
      </c>
      <c r="N85">
        <v>7</v>
      </c>
      <c r="O85">
        <v>1</v>
      </c>
      <c r="P85">
        <v>6</v>
      </c>
      <c r="Q85">
        <v>5</v>
      </c>
      <c r="R85">
        <v>1</v>
      </c>
      <c r="S85">
        <v>8</v>
      </c>
      <c r="T85">
        <v>5</v>
      </c>
      <c r="U85">
        <v>3</v>
      </c>
      <c r="V85">
        <v>6</v>
      </c>
      <c r="W85">
        <v>5</v>
      </c>
      <c r="X85">
        <v>1</v>
      </c>
      <c r="Y85">
        <v>7</v>
      </c>
      <c r="Z85">
        <v>5</v>
      </c>
      <c r="AA85">
        <v>2</v>
      </c>
      <c r="AB85">
        <v>5</v>
      </c>
      <c r="AC85">
        <v>5</v>
      </c>
      <c r="AD85">
        <v>0</v>
      </c>
      <c r="AE85">
        <v>6</v>
      </c>
      <c r="AF85">
        <v>5</v>
      </c>
      <c r="AG85">
        <v>1</v>
      </c>
      <c r="AH85">
        <v>5</v>
      </c>
      <c r="AI85">
        <v>5</v>
      </c>
      <c r="AJ85">
        <v>0</v>
      </c>
      <c r="AK85" t="s">
        <v>966</v>
      </c>
      <c r="AL85" t="s">
        <v>967</v>
      </c>
      <c r="AM85" t="s">
        <v>968</v>
      </c>
      <c r="AN85" t="s">
        <v>969</v>
      </c>
      <c r="AO85" t="s">
        <v>970</v>
      </c>
      <c r="AP85" t="s">
        <v>971</v>
      </c>
      <c r="AQ85" t="s">
        <v>972</v>
      </c>
      <c r="AR85" t="s">
        <v>973</v>
      </c>
      <c r="AS85" t="s">
        <v>974</v>
      </c>
    </row>
    <row r="86" spans="1:45" x14ac:dyDescent="0.45">
      <c r="A86">
        <v>85</v>
      </c>
      <c r="B86">
        <v>12429</v>
      </c>
      <c r="C86" t="s">
        <v>72</v>
      </c>
      <c r="D86" t="s">
        <v>79</v>
      </c>
      <c r="E86" t="s">
        <v>74</v>
      </c>
      <c r="F86" t="s">
        <v>77</v>
      </c>
      <c r="G86" t="s">
        <v>76</v>
      </c>
      <c r="H86">
        <v>14.83525377811864</v>
      </c>
      <c r="I86">
        <v>2</v>
      </c>
      <c r="J86">
        <v>7</v>
      </c>
      <c r="K86">
        <v>9</v>
      </c>
      <c r="L86">
        <v>-2</v>
      </c>
      <c r="M86">
        <v>7</v>
      </c>
      <c r="N86">
        <v>9</v>
      </c>
      <c r="O86">
        <v>-2</v>
      </c>
      <c r="P86">
        <v>6</v>
      </c>
      <c r="Q86">
        <v>8</v>
      </c>
      <c r="R86">
        <v>-2</v>
      </c>
      <c r="S86">
        <v>6</v>
      </c>
      <c r="T86">
        <v>9</v>
      </c>
      <c r="U86">
        <v>-3</v>
      </c>
      <c r="V86">
        <v>5</v>
      </c>
      <c r="W86">
        <v>9</v>
      </c>
      <c r="X86">
        <v>-4</v>
      </c>
      <c r="Y86">
        <v>5</v>
      </c>
      <c r="Z86">
        <v>9</v>
      </c>
      <c r="AA86">
        <v>-4</v>
      </c>
      <c r="AB86">
        <v>4</v>
      </c>
      <c r="AC86">
        <v>7</v>
      </c>
      <c r="AD86">
        <v>-3</v>
      </c>
      <c r="AE86">
        <v>5</v>
      </c>
      <c r="AF86">
        <v>8</v>
      </c>
      <c r="AG86">
        <v>-3</v>
      </c>
      <c r="AH86">
        <v>4</v>
      </c>
      <c r="AI86">
        <v>8</v>
      </c>
      <c r="AJ86">
        <v>-4</v>
      </c>
      <c r="AK86" t="s">
        <v>975</v>
      </c>
      <c r="AL86" t="s">
        <v>976</v>
      </c>
      <c r="AM86" t="s">
        <v>977</v>
      </c>
      <c r="AN86" t="s">
        <v>978</v>
      </c>
      <c r="AO86" t="s">
        <v>979</v>
      </c>
      <c r="AP86" t="s">
        <v>980</v>
      </c>
      <c r="AQ86" t="s">
        <v>981</v>
      </c>
      <c r="AR86" t="s">
        <v>982</v>
      </c>
      <c r="AS86" t="s">
        <v>983</v>
      </c>
    </row>
    <row r="87" spans="1:45" x14ac:dyDescent="0.45">
      <c r="A87">
        <v>86</v>
      </c>
      <c r="B87">
        <v>12430</v>
      </c>
      <c r="C87" t="s">
        <v>78</v>
      </c>
      <c r="D87" t="s">
        <v>73</v>
      </c>
      <c r="E87" t="s">
        <v>80</v>
      </c>
      <c r="F87" t="s">
        <v>77</v>
      </c>
      <c r="G87" t="s">
        <v>76</v>
      </c>
      <c r="H87">
        <v>14.195470345216716</v>
      </c>
      <c r="I87">
        <v>0</v>
      </c>
      <c r="J87">
        <v>8</v>
      </c>
      <c r="K87">
        <v>5</v>
      </c>
      <c r="L87">
        <v>3</v>
      </c>
      <c r="M87">
        <v>8</v>
      </c>
      <c r="N87">
        <v>5</v>
      </c>
      <c r="O87">
        <v>3</v>
      </c>
      <c r="P87">
        <v>9</v>
      </c>
      <c r="Q87">
        <v>10</v>
      </c>
      <c r="R87">
        <v>-1</v>
      </c>
      <c r="S87">
        <v>8</v>
      </c>
      <c r="T87">
        <v>4</v>
      </c>
      <c r="U87">
        <v>4</v>
      </c>
      <c r="V87">
        <v>7</v>
      </c>
      <c r="W87">
        <v>4</v>
      </c>
      <c r="X87">
        <v>3</v>
      </c>
      <c r="Y87">
        <v>8</v>
      </c>
      <c r="Z87">
        <v>5</v>
      </c>
      <c r="AA87">
        <v>3</v>
      </c>
      <c r="AB87">
        <v>7</v>
      </c>
      <c r="AC87">
        <v>5</v>
      </c>
      <c r="AD87">
        <v>2</v>
      </c>
      <c r="AE87">
        <v>6</v>
      </c>
      <c r="AF87">
        <v>8</v>
      </c>
      <c r="AG87">
        <v>-2</v>
      </c>
      <c r="AH87">
        <v>7</v>
      </c>
      <c r="AI87">
        <v>8</v>
      </c>
      <c r="AJ87">
        <v>-1</v>
      </c>
      <c r="AK87" t="s">
        <v>984</v>
      </c>
      <c r="AL87" t="s">
        <v>985</v>
      </c>
      <c r="AM87" t="s">
        <v>986</v>
      </c>
      <c r="AN87" t="s">
        <v>987</v>
      </c>
      <c r="AO87" t="s">
        <v>988</v>
      </c>
      <c r="AP87" t="s">
        <v>989</v>
      </c>
      <c r="AQ87" t="s">
        <v>990</v>
      </c>
      <c r="AR87" t="s">
        <v>991</v>
      </c>
      <c r="AS87" t="s">
        <v>992</v>
      </c>
    </row>
    <row r="88" spans="1:45" x14ac:dyDescent="0.45">
      <c r="A88">
        <v>87</v>
      </c>
      <c r="B88">
        <v>12431</v>
      </c>
      <c r="C88" t="s">
        <v>78</v>
      </c>
      <c r="D88" t="s">
        <v>79</v>
      </c>
      <c r="E88" t="s">
        <v>74</v>
      </c>
      <c r="F88" t="s">
        <v>77</v>
      </c>
      <c r="G88" t="s">
        <v>76</v>
      </c>
      <c r="H88">
        <v>13.88391325950928</v>
      </c>
      <c r="I88">
        <v>2</v>
      </c>
      <c r="J88">
        <v>7</v>
      </c>
      <c r="K88">
        <v>10</v>
      </c>
      <c r="L88">
        <v>-3</v>
      </c>
      <c r="M88">
        <v>8</v>
      </c>
      <c r="N88">
        <v>9</v>
      </c>
      <c r="O88">
        <v>-1</v>
      </c>
      <c r="P88">
        <v>6</v>
      </c>
      <c r="Q88">
        <v>9</v>
      </c>
      <c r="R88">
        <v>-3</v>
      </c>
      <c r="S88">
        <v>9</v>
      </c>
      <c r="T88">
        <v>9</v>
      </c>
      <c r="U88">
        <v>0</v>
      </c>
      <c r="V88">
        <v>7</v>
      </c>
      <c r="W88">
        <v>9</v>
      </c>
      <c r="X88">
        <v>-2</v>
      </c>
      <c r="Y88">
        <v>8</v>
      </c>
      <c r="Z88">
        <v>9</v>
      </c>
      <c r="AA88">
        <v>-1</v>
      </c>
      <c r="AB88">
        <v>7</v>
      </c>
      <c r="AC88">
        <v>10</v>
      </c>
      <c r="AD88">
        <v>-3</v>
      </c>
      <c r="AE88">
        <v>8</v>
      </c>
      <c r="AF88">
        <v>9</v>
      </c>
      <c r="AG88">
        <v>-1</v>
      </c>
      <c r="AH88">
        <v>6</v>
      </c>
      <c r="AI88">
        <v>10</v>
      </c>
      <c r="AJ88">
        <v>-4</v>
      </c>
      <c r="AK88" t="s">
        <v>993</v>
      </c>
      <c r="AL88" t="s">
        <v>994</v>
      </c>
      <c r="AM88" t="s">
        <v>995</v>
      </c>
      <c r="AN88" t="s">
        <v>996</v>
      </c>
      <c r="AO88" t="s">
        <v>997</v>
      </c>
      <c r="AP88" t="s">
        <v>998</v>
      </c>
      <c r="AQ88" t="s">
        <v>999</v>
      </c>
      <c r="AR88" t="s">
        <v>1000</v>
      </c>
      <c r="AS88" t="s">
        <v>1001</v>
      </c>
    </row>
    <row r="89" spans="1:45" x14ac:dyDescent="0.45">
      <c r="A89">
        <v>88</v>
      </c>
      <c r="B89">
        <v>12432</v>
      </c>
      <c r="C89" t="s">
        <v>72</v>
      </c>
      <c r="D89" t="s">
        <v>79</v>
      </c>
      <c r="E89" t="s">
        <v>74</v>
      </c>
      <c r="F89" t="s">
        <v>191</v>
      </c>
      <c r="G89" t="s">
        <v>76</v>
      </c>
      <c r="H89">
        <v>12</v>
      </c>
      <c r="I89">
        <v>2</v>
      </c>
      <c r="J89">
        <v>7</v>
      </c>
      <c r="K89">
        <v>10</v>
      </c>
      <c r="L89">
        <v>-3</v>
      </c>
      <c r="M89">
        <v>8</v>
      </c>
      <c r="N89">
        <v>10</v>
      </c>
      <c r="O89">
        <v>-2</v>
      </c>
      <c r="P89">
        <v>6</v>
      </c>
      <c r="Q89">
        <v>10</v>
      </c>
      <c r="R89">
        <v>-4</v>
      </c>
      <c r="S89">
        <v>9</v>
      </c>
      <c r="T89">
        <v>10</v>
      </c>
      <c r="U89">
        <v>-1</v>
      </c>
      <c r="V89">
        <v>7</v>
      </c>
      <c r="W89">
        <v>10</v>
      </c>
      <c r="X89">
        <v>-3</v>
      </c>
      <c r="Y89">
        <v>8</v>
      </c>
      <c r="Z89">
        <v>10</v>
      </c>
      <c r="AA89">
        <v>-2</v>
      </c>
      <c r="AB89">
        <v>7</v>
      </c>
      <c r="AC89">
        <v>10</v>
      </c>
      <c r="AD89">
        <v>-3</v>
      </c>
      <c r="AE89">
        <v>6</v>
      </c>
      <c r="AF89">
        <v>10</v>
      </c>
      <c r="AG89">
        <v>-4</v>
      </c>
      <c r="AH89">
        <v>7</v>
      </c>
      <c r="AI89">
        <v>10</v>
      </c>
      <c r="AJ89">
        <v>-3</v>
      </c>
      <c r="AK89" t="s">
        <v>1002</v>
      </c>
      <c r="AL89" t="s">
        <v>1003</v>
      </c>
      <c r="AM89" t="s">
        <v>1004</v>
      </c>
      <c r="AN89" t="s">
        <v>1005</v>
      </c>
      <c r="AO89" t="s">
        <v>1006</v>
      </c>
      <c r="AP89" t="s">
        <v>1007</v>
      </c>
      <c r="AQ89" t="s">
        <v>1008</v>
      </c>
      <c r="AR89" t="s">
        <v>1009</v>
      </c>
      <c r="AS89" t="s">
        <v>1010</v>
      </c>
    </row>
    <row r="90" spans="1:45" x14ac:dyDescent="0.45">
      <c r="A90">
        <v>89</v>
      </c>
      <c r="B90">
        <v>12433</v>
      </c>
      <c r="C90" t="s">
        <v>72</v>
      </c>
      <c r="D90" t="s">
        <v>73</v>
      </c>
      <c r="E90" t="s">
        <v>74</v>
      </c>
      <c r="F90" t="s">
        <v>189</v>
      </c>
      <c r="G90" t="s">
        <v>76</v>
      </c>
      <c r="H90">
        <v>12</v>
      </c>
      <c r="I90">
        <v>1</v>
      </c>
      <c r="J90">
        <v>4</v>
      </c>
      <c r="K90">
        <v>10</v>
      </c>
      <c r="L90">
        <v>-6</v>
      </c>
      <c r="M90">
        <v>5</v>
      </c>
      <c r="N90">
        <v>9</v>
      </c>
      <c r="O90">
        <v>-4</v>
      </c>
      <c r="P90">
        <v>8</v>
      </c>
      <c r="Q90">
        <v>9</v>
      </c>
      <c r="R90">
        <v>-1</v>
      </c>
      <c r="S90">
        <v>7</v>
      </c>
      <c r="T90">
        <v>9</v>
      </c>
      <c r="U90">
        <v>-2</v>
      </c>
      <c r="V90">
        <v>5</v>
      </c>
      <c r="W90">
        <v>10</v>
      </c>
      <c r="X90">
        <v>-5</v>
      </c>
      <c r="Y90">
        <v>6</v>
      </c>
      <c r="Z90">
        <v>9</v>
      </c>
      <c r="AA90">
        <v>-3</v>
      </c>
      <c r="AB90">
        <v>4</v>
      </c>
      <c r="AC90">
        <v>9</v>
      </c>
      <c r="AD90">
        <v>-5</v>
      </c>
      <c r="AE90">
        <v>5</v>
      </c>
      <c r="AF90">
        <v>8</v>
      </c>
      <c r="AG90">
        <v>-3</v>
      </c>
      <c r="AH90">
        <v>6</v>
      </c>
      <c r="AI90">
        <v>9</v>
      </c>
      <c r="AJ90">
        <v>-3</v>
      </c>
      <c r="AK90" t="s">
        <v>1011</v>
      </c>
      <c r="AL90" t="s">
        <v>1012</v>
      </c>
      <c r="AM90" t="s">
        <v>1013</v>
      </c>
      <c r="AN90" t="s">
        <v>1014</v>
      </c>
      <c r="AO90" t="s">
        <v>1015</v>
      </c>
      <c r="AP90" t="s">
        <v>1016</v>
      </c>
      <c r="AQ90" t="s">
        <v>1017</v>
      </c>
      <c r="AR90" t="s">
        <v>1018</v>
      </c>
      <c r="AS90" t="s">
        <v>1019</v>
      </c>
    </row>
    <row r="91" spans="1:45" x14ac:dyDescent="0.45">
      <c r="A91">
        <v>90</v>
      </c>
      <c r="B91">
        <v>12434</v>
      </c>
      <c r="C91" t="s">
        <v>72</v>
      </c>
      <c r="D91" t="s">
        <v>73</v>
      </c>
      <c r="E91" t="s">
        <v>80</v>
      </c>
      <c r="F91" t="s">
        <v>77</v>
      </c>
      <c r="G91" t="s">
        <v>76</v>
      </c>
      <c r="H91">
        <v>12</v>
      </c>
      <c r="I91">
        <v>4</v>
      </c>
      <c r="J91">
        <v>5</v>
      </c>
      <c r="K91">
        <v>6</v>
      </c>
      <c r="L91">
        <v>-1</v>
      </c>
      <c r="M91">
        <v>6</v>
      </c>
      <c r="N91">
        <v>10</v>
      </c>
      <c r="O91">
        <v>-4</v>
      </c>
      <c r="P91">
        <v>7</v>
      </c>
      <c r="Q91">
        <v>8</v>
      </c>
      <c r="R91">
        <v>-1</v>
      </c>
      <c r="S91">
        <v>8</v>
      </c>
      <c r="T91">
        <v>9</v>
      </c>
      <c r="U91">
        <v>-1</v>
      </c>
      <c r="V91">
        <v>4</v>
      </c>
      <c r="W91">
        <v>9</v>
      </c>
      <c r="X91">
        <v>-5</v>
      </c>
      <c r="Y91">
        <v>6</v>
      </c>
      <c r="Z91">
        <v>9</v>
      </c>
      <c r="AA91">
        <v>-3</v>
      </c>
      <c r="AB91">
        <v>5</v>
      </c>
      <c r="AC91">
        <v>8</v>
      </c>
      <c r="AD91">
        <v>-3</v>
      </c>
      <c r="AE91">
        <v>5</v>
      </c>
      <c r="AF91">
        <v>8</v>
      </c>
      <c r="AG91">
        <v>-3</v>
      </c>
      <c r="AH91">
        <v>6</v>
      </c>
      <c r="AI91">
        <v>9</v>
      </c>
      <c r="AJ91">
        <v>-3</v>
      </c>
      <c r="AK91" t="s">
        <v>1020</v>
      </c>
      <c r="AL91" t="s">
        <v>1021</v>
      </c>
      <c r="AM91" t="s">
        <v>1022</v>
      </c>
      <c r="AN91" t="s">
        <v>1023</v>
      </c>
      <c r="AO91" t="s">
        <v>1024</v>
      </c>
      <c r="AP91" t="s">
        <v>1025</v>
      </c>
      <c r="AQ91" t="s">
        <v>1026</v>
      </c>
      <c r="AR91" t="s">
        <v>1027</v>
      </c>
      <c r="AS91" t="s">
        <v>1028</v>
      </c>
    </row>
    <row r="92" spans="1:45" x14ac:dyDescent="0.45">
      <c r="A92">
        <v>91</v>
      </c>
      <c r="B92">
        <v>12435</v>
      </c>
      <c r="C92" t="s">
        <v>72</v>
      </c>
      <c r="D92" t="s">
        <v>73</v>
      </c>
      <c r="E92" t="s">
        <v>74</v>
      </c>
      <c r="F92" t="s">
        <v>77</v>
      </c>
      <c r="G92" t="s">
        <v>76</v>
      </c>
      <c r="H92">
        <v>12</v>
      </c>
      <c r="I92">
        <v>2</v>
      </c>
      <c r="J92">
        <v>7</v>
      </c>
      <c r="K92">
        <v>10</v>
      </c>
      <c r="L92">
        <v>-3</v>
      </c>
      <c r="M92">
        <v>6</v>
      </c>
      <c r="N92">
        <v>9</v>
      </c>
      <c r="O92">
        <v>-3</v>
      </c>
      <c r="P92">
        <v>8</v>
      </c>
      <c r="Q92">
        <v>9</v>
      </c>
      <c r="R92">
        <v>-1</v>
      </c>
      <c r="S92">
        <v>9</v>
      </c>
      <c r="T92">
        <v>9</v>
      </c>
      <c r="U92">
        <v>0</v>
      </c>
      <c r="V92">
        <v>8</v>
      </c>
      <c r="W92">
        <v>10</v>
      </c>
      <c r="X92">
        <v>-2</v>
      </c>
      <c r="Y92">
        <v>7</v>
      </c>
      <c r="Z92">
        <v>9</v>
      </c>
      <c r="AA92">
        <v>-2</v>
      </c>
      <c r="AB92">
        <v>6</v>
      </c>
      <c r="AC92">
        <v>8</v>
      </c>
      <c r="AD92">
        <v>-2</v>
      </c>
      <c r="AE92">
        <v>7</v>
      </c>
      <c r="AF92">
        <v>8</v>
      </c>
      <c r="AG92">
        <v>-1</v>
      </c>
      <c r="AH92">
        <v>8</v>
      </c>
      <c r="AI92">
        <v>10</v>
      </c>
      <c r="AJ92">
        <v>-2</v>
      </c>
      <c r="AK92" t="s">
        <v>1029</v>
      </c>
      <c r="AL92" t="s">
        <v>1030</v>
      </c>
      <c r="AM92" t="s">
        <v>1031</v>
      </c>
      <c r="AN92" t="s">
        <v>1032</v>
      </c>
      <c r="AO92" t="s">
        <v>1033</v>
      </c>
      <c r="AP92" t="s">
        <v>1034</v>
      </c>
      <c r="AQ92" t="s">
        <v>1035</v>
      </c>
      <c r="AR92" t="s">
        <v>1036</v>
      </c>
      <c r="AS92" t="s">
        <v>1037</v>
      </c>
    </row>
    <row r="93" spans="1:45" x14ac:dyDescent="0.45">
      <c r="A93">
        <v>92</v>
      </c>
      <c r="B93">
        <v>12436</v>
      </c>
      <c r="C93" t="s">
        <v>78</v>
      </c>
      <c r="D93" t="s">
        <v>73</v>
      </c>
      <c r="E93" t="s">
        <v>74</v>
      </c>
      <c r="F93" t="s">
        <v>77</v>
      </c>
      <c r="G93" t="s">
        <v>76</v>
      </c>
      <c r="H93">
        <v>12</v>
      </c>
      <c r="I93">
        <v>2</v>
      </c>
      <c r="J93">
        <v>7</v>
      </c>
      <c r="K93">
        <v>10</v>
      </c>
      <c r="L93">
        <v>-3</v>
      </c>
      <c r="M93">
        <v>6</v>
      </c>
      <c r="N93">
        <v>10</v>
      </c>
      <c r="O93">
        <v>-4</v>
      </c>
      <c r="P93">
        <v>5</v>
      </c>
      <c r="Q93">
        <v>10</v>
      </c>
      <c r="R93">
        <v>-5</v>
      </c>
      <c r="S93">
        <v>4</v>
      </c>
      <c r="T93">
        <v>10</v>
      </c>
      <c r="U93">
        <v>-6</v>
      </c>
      <c r="V93">
        <v>3</v>
      </c>
      <c r="W93">
        <v>10</v>
      </c>
      <c r="X93">
        <v>-7</v>
      </c>
      <c r="Y93">
        <v>5</v>
      </c>
      <c r="Z93">
        <v>1</v>
      </c>
      <c r="AA93">
        <v>4</v>
      </c>
      <c r="AB93">
        <v>4</v>
      </c>
      <c r="AC93">
        <v>10</v>
      </c>
      <c r="AD93">
        <v>-6</v>
      </c>
      <c r="AE93">
        <v>2</v>
      </c>
      <c r="AF93">
        <v>10</v>
      </c>
      <c r="AG93">
        <v>-8</v>
      </c>
      <c r="AH93">
        <v>3</v>
      </c>
      <c r="AI93">
        <v>10</v>
      </c>
      <c r="AJ93">
        <v>-7</v>
      </c>
      <c r="AK93" t="s">
        <v>1038</v>
      </c>
      <c r="AL93" t="s">
        <v>1039</v>
      </c>
      <c r="AM93" t="s">
        <v>1040</v>
      </c>
      <c r="AN93" t="s">
        <v>1041</v>
      </c>
      <c r="AO93" t="s">
        <v>1042</v>
      </c>
      <c r="AP93" t="s">
        <v>1043</v>
      </c>
      <c r="AQ93" t="s">
        <v>1044</v>
      </c>
      <c r="AR93" t="s">
        <v>1045</v>
      </c>
      <c r="AS93" t="s">
        <v>1046</v>
      </c>
    </row>
    <row r="94" spans="1:45" x14ac:dyDescent="0.45">
      <c r="A94">
        <v>93</v>
      </c>
      <c r="B94">
        <v>12437</v>
      </c>
      <c r="C94" t="s">
        <v>78</v>
      </c>
      <c r="D94" t="s">
        <v>73</v>
      </c>
      <c r="E94" t="s">
        <v>74</v>
      </c>
      <c r="F94" t="s">
        <v>77</v>
      </c>
      <c r="G94" t="s">
        <v>76</v>
      </c>
      <c r="H94">
        <v>32.798162109154326</v>
      </c>
      <c r="I94">
        <v>2</v>
      </c>
      <c r="J94">
        <v>6</v>
      </c>
      <c r="K94">
        <v>5</v>
      </c>
      <c r="L94">
        <v>1</v>
      </c>
      <c r="M94">
        <v>5</v>
      </c>
      <c r="N94">
        <v>8</v>
      </c>
      <c r="O94">
        <v>-3</v>
      </c>
      <c r="P94">
        <v>7</v>
      </c>
      <c r="Q94">
        <v>4</v>
      </c>
      <c r="R94">
        <v>3</v>
      </c>
      <c r="S94">
        <v>6</v>
      </c>
      <c r="T94">
        <v>9</v>
      </c>
      <c r="U94">
        <v>-3</v>
      </c>
      <c r="V94">
        <v>8</v>
      </c>
      <c r="W94">
        <v>7</v>
      </c>
      <c r="X94">
        <v>1</v>
      </c>
      <c r="Y94">
        <v>5</v>
      </c>
      <c r="Z94">
        <v>5</v>
      </c>
      <c r="AA94">
        <v>0</v>
      </c>
      <c r="AB94">
        <v>8</v>
      </c>
      <c r="AC94">
        <v>7</v>
      </c>
      <c r="AD94">
        <v>1</v>
      </c>
      <c r="AE94">
        <v>7</v>
      </c>
      <c r="AF94">
        <v>8</v>
      </c>
      <c r="AG94">
        <v>-1</v>
      </c>
      <c r="AH94">
        <v>7</v>
      </c>
      <c r="AI94">
        <v>10</v>
      </c>
      <c r="AJ94">
        <v>-3</v>
      </c>
      <c r="AK94" t="s">
        <v>1047</v>
      </c>
      <c r="AL94" t="s">
        <v>1048</v>
      </c>
      <c r="AM94" t="s">
        <v>1049</v>
      </c>
      <c r="AN94" t="s">
        <v>1050</v>
      </c>
      <c r="AO94" t="s">
        <v>1051</v>
      </c>
      <c r="AP94" t="s">
        <v>1052</v>
      </c>
      <c r="AQ94" t="s">
        <v>1053</v>
      </c>
      <c r="AR94" t="s">
        <v>1054</v>
      </c>
      <c r="AS94" t="s">
        <v>1055</v>
      </c>
    </row>
    <row r="95" spans="1:45" x14ac:dyDescent="0.45">
      <c r="A95">
        <v>94</v>
      </c>
      <c r="B95">
        <v>12438</v>
      </c>
      <c r="C95" t="s">
        <v>72</v>
      </c>
      <c r="D95" t="s">
        <v>73</v>
      </c>
      <c r="E95" t="s">
        <v>74</v>
      </c>
      <c r="F95" t="s">
        <v>75</v>
      </c>
      <c r="G95" t="s">
        <v>76</v>
      </c>
      <c r="H95">
        <v>12</v>
      </c>
      <c r="I95">
        <v>0</v>
      </c>
      <c r="J95">
        <v>7</v>
      </c>
      <c r="K95">
        <v>9</v>
      </c>
      <c r="L95">
        <v>-2</v>
      </c>
      <c r="M95">
        <v>8</v>
      </c>
      <c r="N95">
        <v>7</v>
      </c>
      <c r="O95">
        <v>1</v>
      </c>
      <c r="P95">
        <v>9</v>
      </c>
      <c r="Q95">
        <v>5</v>
      </c>
      <c r="R95">
        <v>4</v>
      </c>
      <c r="S95">
        <v>8</v>
      </c>
      <c r="T95">
        <v>7</v>
      </c>
      <c r="U95">
        <v>1</v>
      </c>
      <c r="V95">
        <v>7</v>
      </c>
      <c r="W95">
        <v>5</v>
      </c>
      <c r="X95">
        <v>2</v>
      </c>
      <c r="Y95">
        <v>6</v>
      </c>
      <c r="Z95">
        <v>8</v>
      </c>
      <c r="AA95">
        <v>-2</v>
      </c>
      <c r="AB95">
        <v>6</v>
      </c>
      <c r="AC95">
        <v>5</v>
      </c>
      <c r="AD95">
        <v>1</v>
      </c>
      <c r="AE95">
        <v>5</v>
      </c>
      <c r="AF95">
        <v>5</v>
      </c>
      <c r="AG95">
        <v>0</v>
      </c>
      <c r="AH95">
        <v>7</v>
      </c>
      <c r="AI95">
        <v>7</v>
      </c>
      <c r="AJ95">
        <v>0</v>
      </c>
      <c r="AK95" t="s">
        <v>1056</v>
      </c>
      <c r="AL95" t="s">
        <v>1057</v>
      </c>
      <c r="AM95" t="s">
        <v>1058</v>
      </c>
      <c r="AN95" t="s">
        <v>1059</v>
      </c>
      <c r="AO95" t="s">
        <v>1060</v>
      </c>
      <c r="AP95" t="s">
        <v>1061</v>
      </c>
      <c r="AQ95" t="s">
        <v>1061</v>
      </c>
      <c r="AR95" t="s">
        <v>1062</v>
      </c>
      <c r="AS95" t="s">
        <v>1063</v>
      </c>
    </row>
    <row r="96" spans="1:45" x14ac:dyDescent="0.45">
      <c r="A96">
        <v>95</v>
      </c>
      <c r="B96">
        <v>12439</v>
      </c>
      <c r="C96" t="s">
        <v>72</v>
      </c>
      <c r="D96" t="s">
        <v>79</v>
      </c>
      <c r="E96" t="s">
        <v>74</v>
      </c>
      <c r="F96" t="s">
        <v>77</v>
      </c>
      <c r="G96" t="s">
        <v>76</v>
      </c>
      <c r="H96">
        <v>33.847147653280899</v>
      </c>
      <c r="I96">
        <v>3</v>
      </c>
      <c r="J96">
        <v>7</v>
      </c>
      <c r="K96">
        <v>4</v>
      </c>
      <c r="L96">
        <v>3</v>
      </c>
      <c r="M96">
        <v>8</v>
      </c>
      <c r="N96">
        <v>6</v>
      </c>
      <c r="O96">
        <v>2</v>
      </c>
      <c r="P96">
        <v>6</v>
      </c>
      <c r="Q96">
        <v>5</v>
      </c>
      <c r="R96">
        <v>1</v>
      </c>
      <c r="S96">
        <v>9</v>
      </c>
      <c r="T96">
        <v>5</v>
      </c>
      <c r="U96">
        <v>4</v>
      </c>
      <c r="V96">
        <v>7</v>
      </c>
      <c r="W96">
        <v>4</v>
      </c>
      <c r="X96">
        <v>3</v>
      </c>
      <c r="Y96">
        <v>6</v>
      </c>
      <c r="Z96">
        <v>4</v>
      </c>
      <c r="AA96">
        <v>2</v>
      </c>
      <c r="AB96">
        <v>8</v>
      </c>
      <c r="AC96">
        <v>3</v>
      </c>
      <c r="AD96">
        <v>5</v>
      </c>
      <c r="AE96">
        <v>7</v>
      </c>
      <c r="AF96">
        <v>4</v>
      </c>
      <c r="AG96">
        <v>3</v>
      </c>
      <c r="AH96">
        <v>7</v>
      </c>
      <c r="AI96">
        <v>3</v>
      </c>
      <c r="AJ96">
        <v>4</v>
      </c>
      <c r="AK96" t="s">
        <v>1064</v>
      </c>
      <c r="AL96" t="s">
        <v>1065</v>
      </c>
      <c r="AM96" t="s">
        <v>1066</v>
      </c>
      <c r="AN96" t="s">
        <v>1067</v>
      </c>
      <c r="AO96" t="s">
        <v>1068</v>
      </c>
      <c r="AP96" t="s">
        <v>1069</v>
      </c>
      <c r="AQ96" t="s">
        <v>1070</v>
      </c>
      <c r="AR96" t="s">
        <v>1071</v>
      </c>
      <c r="AS96" t="s">
        <v>1072</v>
      </c>
    </row>
    <row r="97" spans="1:45" x14ac:dyDescent="0.45">
      <c r="A97">
        <v>96</v>
      </c>
      <c r="B97">
        <v>12440</v>
      </c>
      <c r="C97" t="s">
        <v>78</v>
      </c>
      <c r="D97" t="s">
        <v>188</v>
      </c>
      <c r="E97" t="s">
        <v>74</v>
      </c>
      <c r="F97" t="s">
        <v>77</v>
      </c>
      <c r="G97" t="s">
        <v>76</v>
      </c>
      <c r="H97">
        <v>12</v>
      </c>
      <c r="I97">
        <v>0</v>
      </c>
      <c r="J97">
        <v>7</v>
      </c>
      <c r="K97">
        <v>8</v>
      </c>
      <c r="L97">
        <v>-1</v>
      </c>
      <c r="M97">
        <v>8</v>
      </c>
      <c r="N97">
        <v>7</v>
      </c>
      <c r="O97">
        <v>1</v>
      </c>
      <c r="P97">
        <v>6</v>
      </c>
      <c r="Q97">
        <v>5</v>
      </c>
      <c r="R97">
        <v>1</v>
      </c>
      <c r="S97">
        <v>9</v>
      </c>
      <c r="T97">
        <v>7</v>
      </c>
      <c r="U97">
        <v>2</v>
      </c>
      <c r="V97">
        <v>8</v>
      </c>
      <c r="W97">
        <v>7</v>
      </c>
      <c r="X97">
        <v>1</v>
      </c>
      <c r="Y97">
        <v>9</v>
      </c>
      <c r="Z97">
        <v>5</v>
      </c>
      <c r="AA97">
        <v>4</v>
      </c>
      <c r="AB97">
        <v>8</v>
      </c>
      <c r="AC97">
        <v>5</v>
      </c>
      <c r="AD97">
        <v>3</v>
      </c>
      <c r="AE97">
        <v>7</v>
      </c>
      <c r="AF97">
        <v>7</v>
      </c>
      <c r="AG97">
        <v>0</v>
      </c>
      <c r="AH97">
        <v>8</v>
      </c>
      <c r="AI97">
        <v>7</v>
      </c>
      <c r="AJ97">
        <v>1</v>
      </c>
      <c r="AK97" t="s">
        <v>1073</v>
      </c>
      <c r="AL97" t="s">
        <v>1074</v>
      </c>
      <c r="AM97" t="s">
        <v>1075</v>
      </c>
      <c r="AN97" t="s">
        <v>1076</v>
      </c>
      <c r="AO97" t="s">
        <v>1077</v>
      </c>
      <c r="AP97" t="s">
        <v>1078</v>
      </c>
      <c r="AQ97" t="s">
        <v>1079</v>
      </c>
      <c r="AR97" t="s">
        <v>1080</v>
      </c>
      <c r="AS97" t="s">
        <v>1081</v>
      </c>
    </row>
    <row r="98" spans="1:45" x14ac:dyDescent="0.45">
      <c r="A98">
        <v>97</v>
      </c>
      <c r="B98">
        <v>12441</v>
      </c>
      <c r="C98" t="s">
        <v>72</v>
      </c>
      <c r="D98" t="s">
        <v>192</v>
      </c>
      <c r="E98" t="s">
        <v>74</v>
      </c>
      <c r="F98" t="s">
        <v>77</v>
      </c>
      <c r="G98" t="s">
        <v>161</v>
      </c>
      <c r="H98">
        <v>111.51328760485315</v>
      </c>
      <c r="I98">
        <v>4</v>
      </c>
      <c r="J98">
        <v>7</v>
      </c>
      <c r="K98">
        <v>6</v>
      </c>
      <c r="L98">
        <v>1</v>
      </c>
      <c r="M98">
        <v>8</v>
      </c>
      <c r="N98">
        <v>6</v>
      </c>
      <c r="O98">
        <v>2</v>
      </c>
      <c r="P98">
        <v>6</v>
      </c>
      <c r="Q98">
        <v>5</v>
      </c>
      <c r="R98">
        <v>1</v>
      </c>
      <c r="S98">
        <v>8</v>
      </c>
      <c r="T98">
        <v>5</v>
      </c>
      <c r="U98">
        <v>3</v>
      </c>
      <c r="V98">
        <v>7</v>
      </c>
      <c r="W98">
        <v>5</v>
      </c>
      <c r="X98">
        <v>2</v>
      </c>
      <c r="Y98">
        <v>7</v>
      </c>
      <c r="Z98">
        <v>5</v>
      </c>
      <c r="AA98">
        <v>2</v>
      </c>
      <c r="AB98">
        <v>6</v>
      </c>
      <c r="AC98">
        <v>5</v>
      </c>
      <c r="AD98">
        <v>1</v>
      </c>
      <c r="AE98">
        <v>7</v>
      </c>
      <c r="AF98">
        <v>5</v>
      </c>
      <c r="AG98">
        <v>2</v>
      </c>
      <c r="AH98">
        <v>6</v>
      </c>
      <c r="AI98">
        <v>5</v>
      </c>
      <c r="AJ98">
        <v>1</v>
      </c>
      <c r="AK98" t="s">
        <v>1082</v>
      </c>
      <c r="AL98" t="s">
        <v>1083</v>
      </c>
      <c r="AM98" t="s">
        <v>1084</v>
      </c>
      <c r="AN98" t="s">
        <v>1085</v>
      </c>
      <c r="AO98" t="s">
        <v>1086</v>
      </c>
      <c r="AP98" t="s">
        <v>1087</v>
      </c>
      <c r="AQ98" t="s">
        <v>1088</v>
      </c>
      <c r="AR98" t="s">
        <v>1089</v>
      </c>
      <c r="AS98" t="s">
        <v>1090</v>
      </c>
    </row>
    <row r="99" spans="1:45" x14ac:dyDescent="0.45">
      <c r="A99">
        <v>98</v>
      </c>
      <c r="B99">
        <v>12442</v>
      </c>
      <c r="C99" t="s">
        <v>72</v>
      </c>
      <c r="D99" t="s">
        <v>73</v>
      </c>
      <c r="E99" t="s">
        <v>80</v>
      </c>
      <c r="F99" t="s">
        <v>77</v>
      </c>
      <c r="G99" t="s">
        <v>76</v>
      </c>
      <c r="H99">
        <v>20.932553600708715</v>
      </c>
      <c r="I99">
        <v>0</v>
      </c>
      <c r="J99">
        <v>7</v>
      </c>
      <c r="K99">
        <v>8</v>
      </c>
      <c r="L99">
        <v>-1</v>
      </c>
      <c r="M99">
        <v>6</v>
      </c>
      <c r="N99">
        <v>8</v>
      </c>
      <c r="O99">
        <v>-2</v>
      </c>
      <c r="P99">
        <v>8</v>
      </c>
      <c r="Q99">
        <v>5</v>
      </c>
      <c r="R99">
        <v>3</v>
      </c>
      <c r="S99">
        <v>7</v>
      </c>
      <c r="T99">
        <v>8</v>
      </c>
      <c r="U99">
        <v>-1</v>
      </c>
      <c r="V99">
        <v>8</v>
      </c>
      <c r="W99">
        <v>6</v>
      </c>
      <c r="X99">
        <v>2</v>
      </c>
      <c r="Y99">
        <v>7</v>
      </c>
      <c r="Z99">
        <v>9</v>
      </c>
      <c r="AA99">
        <v>-2</v>
      </c>
      <c r="AB99">
        <v>6</v>
      </c>
      <c r="AC99">
        <v>5</v>
      </c>
      <c r="AD99">
        <v>1</v>
      </c>
      <c r="AE99">
        <v>5</v>
      </c>
      <c r="AF99">
        <v>7</v>
      </c>
      <c r="AG99">
        <v>-2</v>
      </c>
      <c r="AH99">
        <v>7</v>
      </c>
      <c r="AI99">
        <v>8</v>
      </c>
      <c r="AJ99">
        <v>-1</v>
      </c>
      <c r="AK99" t="s">
        <v>1091</v>
      </c>
      <c r="AL99" t="s">
        <v>1092</v>
      </c>
      <c r="AM99" t="s">
        <v>1093</v>
      </c>
      <c r="AN99" t="s">
        <v>1094</v>
      </c>
      <c r="AO99" t="s">
        <v>1095</v>
      </c>
      <c r="AP99" t="s">
        <v>1096</v>
      </c>
      <c r="AQ99" t="s">
        <v>1097</v>
      </c>
      <c r="AR99" t="s">
        <v>1098</v>
      </c>
      <c r="AS99" t="s">
        <v>1099</v>
      </c>
    </row>
    <row r="100" spans="1:45" x14ac:dyDescent="0.45">
      <c r="A100">
        <v>99</v>
      </c>
      <c r="B100">
        <v>12443</v>
      </c>
      <c r="C100" t="s">
        <v>78</v>
      </c>
      <c r="D100" t="s">
        <v>81</v>
      </c>
      <c r="E100" t="s">
        <v>74</v>
      </c>
      <c r="F100" t="s">
        <v>77</v>
      </c>
      <c r="G100" t="s">
        <v>76</v>
      </c>
      <c r="H100">
        <v>28.721568597096145</v>
      </c>
      <c r="I100">
        <v>1</v>
      </c>
      <c r="J100">
        <v>7</v>
      </c>
      <c r="K100">
        <v>6</v>
      </c>
      <c r="L100">
        <v>1</v>
      </c>
      <c r="M100">
        <v>6</v>
      </c>
      <c r="N100">
        <v>6</v>
      </c>
      <c r="O100">
        <v>0</v>
      </c>
      <c r="P100">
        <v>8</v>
      </c>
      <c r="Q100">
        <v>3</v>
      </c>
      <c r="R100">
        <v>5</v>
      </c>
      <c r="S100">
        <v>7</v>
      </c>
      <c r="T100">
        <v>6</v>
      </c>
      <c r="U100">
        <v>1</v>
      </c>
      <c r="V100">
        <v>8</v>
      </c>
      <c r="W100">
        <v>5</v>
      </c>
      <c r="X100">
        <v>3</v>
      </c>
      <c r="Y100">
        <v>7</v>
      </c>
      <c r="Z100">
        <v>6</v>
      </c>
      <c r="AA100">
        <v>1</v>
      </c>
      <c r="AB100">
        <v>6</v>
      </c>
      <c r="AC100">
        <v>5</v>
      </c>
      <c r="AD100">
        <v>1</v>
      </c>
      <c r="AE100">
        <v>5</v>
      </c>
      <c r="AF100">
        <v>6</v>
      </c>
      <c r="AG100">
        <v>-1</v>
      </c>
      <c r="AH100">
        <v>7</v>
      </c>
      <c r="AI100">
        <v>6</v>
      </c>
      <c r="AJ100">
        <v>1</v>
      </c>
      <c r="AK100" t="s">
        <v>1100</v>
      </c>
      <c r="AL100" t="s">
        <v>1101</v>
      </c>
      <c r="AM100" t="s">
        <v>1102</v>
      </c>
      <c r="AN100" t="s">
        <v>1103</v>
      </c>
      <c r="AO100" t="s">
        <v>1104</v>
      </c>
      <c r="AP100" t="s">
        <v>1105</v>
      </c>
      <c r="AQ100" t="s">
        <v>1106</v>
      </c>
      <c r="AR100" t="s">
        <v>1107</v>
      </c>
      <c r="AS100" t="s">
        <v>1108</v>
      </c>
    </row>
    <row r="101" spans="1:45" x14ac:dyDescent="0.45">
      <c r="A101">
        <v>100</v>
      </c>
      <c r="B101">
        <v>12444</v>
      </c>
      <c r="C101" t="s">
        <v>72</v>
      </c>
      <c r="D101" t="s">
        <v>192</v>
      </c>
      <c r="E101" t="s">
        <v>74</v>
      </c>
      <c r="F101" t="s">
        <v>77</v>
      </c>
      <c r="G101" t="s">
        <v>76</v>
      </c>
      <c r="H101">
        <v>12.02439855645668</v>
      </c>
      <c r="I101">
        <v>1</v>
      </c>
      <c r="J101">
        <v>7</v>
      </c>
      <c r="K101">
        <v>8</v>
      </c>
      <c r="L101">
        <v>-1</v>
      </c>
      <c r="M101">
        <v>8</v>
      </c>
      <c r="N101">
        <v>8</v>
      </c>
      <c r="O101">
        <v>0</v>
      </c>
      <c r="P101">
        <v>6</v>
      </c>
      <c r="Q101">
        <v>8</v>
      </c>
      <c r="R101">
        <v>-2</v>
      </c>
      <c r="S101">
        <v>7</v>
      </c>
      <c r="T101">
        <v>10</v>
      </c>
      <c r="U101">
        <v>-3</v>
      </c>
      <c r="V101">
        <v>8</v>
      </c>
      <c r="W101">
        <v>10</v>
      </c>
      <c r="X101">
        <v>-2</v>
      </c>
      <c r="Y101">
        <v>7</v>
      </c>
      <c r="Z101">
        <v>10</v>
      </c>
      <c r="AA101">
        <v>-3</v>
      </c>
      <c r="AB101">
        <v>6</v>
      </c>
      <c r="AC101">
        <v>10</v>
      </c>
      <c r="AD101">
        <v>-4</v>
      </c>
      <c r="AE101">
        <v>8</v>
      </c>
      <c r="AF101">
        <v>10</v>
      </c>
      <c r="AG101">
        <v>-2</v>
      </c>
      <c r="AH101">
        <v>7</v>
      </c>
      <c r="AI101">
        <v>10</v>
      </c>
      <c r="AJ101">
        <v>-3</v>
      </c>
      <c r="AK101" t="s">
        <v>1109</v>
      </c>
      <c r="AL101" t="s">
        <v>1110</v>
      </c>
      <c r="AM101" t="s">
        <v>1111</v>
      </c>
      <c r="AN101" t="s">
        <v>1112</v>
      </c>
      <c r="AO101" t="s">
        <v>1113</v>
      </c>
      <c r="AP101" t="s">
        <v>1114</v>
      </c>
      <c r="AQ101" t="s">
        <v>1115</v>
      </c>
      <c r="AR101" t="s">
        <v>1116</v>
      </c>
      <c r="AS101" t="s">
        <v>1117</v>
      </c>
    </row>
    <row r="102" spans="1:45" x14ac:dyDescent="0.45">
      <c r="A102">
        <v>101</v>
      </c>
      <c r="B102">
        <v>12445</v>
      </c>
      <c r="C102" t="s">
        <v>72</v>
      </c>
      <c r="D102" t="s">
        <v>190</v>
      </c>
      <c r="E102" t="s">
        <v>74</v>
      </c>
      <c r="F102" t="s">
        <v>75</v>
      </c>
      <c r="G102" t="s">
        <v>76</v>
      </c>
      <c r="H102">
        <v>72.010444821870379</v>
      </c>
      <c r="I102">
        <v>4</v>
      </c>
      <c r="J102">
        <v>9</v>
      </c>
      <c r="K102">
        <v>8</v>
      </c>
      <c r="L102">
        <v>1</v>
      </c>
      <c r="M102">
        <v>8</v>
      </c>
      <c r="N102">
        <v>8</v>
      </c>
      <c r="O102">
        <v>0</v>
      </c>
      <c r="P102">
        <v>7</v>
      </c>
      <c r="Q102">
        <v>7</v>
      </c>
      <c r="R102">
        <v>0</v>
      </c>
      <c r="S102">
        <v>8</v>
      </c>
      <c r="T102">
        <v>8</v>
      </c>
      <c r="U102">
        <v>0</v>
      </c>
      <c r="V102">
        <v>8</v>
      </c>
      <c r="W102">
        <v>8</v>
      </c>
      <c r="X102">
        <v>0</v>
      </c>
      <c r="Y102">
        <v>7</v>
      </c>
      <c r="Z102">
        <v>7</v>
      </c>
      <c r="AA102">
        <v>0</v>
      </c>
      <c r="AB102">
        <v>8</v>
      </c>
      <c r="AC102">
        <v>7</v>
      </c>
      <c r="AD102">
        <v>1</v>
      </c>
      <c r="AE102">
        <v>6</v>
      </c>
      <c r="AF102">
        <v>7</v>
      </c>
      <c r="AG102">
        <v>-1</v>
      </c>
      <c r="AH102">
        <v>7</v>
      </c>
      <c r="AI102">
        <v>8</v>
      </c>
      <c r="AJ102">
        <v>-1</v>
      </c>
      <c r="AK102" t="s">
        <v>1118</v>
      </c>
      <c r="AL102" t="s">
        <v>1119</v>
      </c>
      <c r="AM102" t="s">
        <v>1120</v>
      </c>
      <c r="AN102" t="s">
        <v>1121</v>
      </c>
      <c r="AO102" t="s">
        <v>1122</v>
      </c>
      <c r="AP102" t="s">
        <v>1123</v>
      </c>
      <c r="AQ102" t="s">
        <v>1124</v>
      </c>
      <c r="AR102" t="s">
        <v>1125</v>
      </c>
      <c r="AS102" t="s">
        <v>1126</v>
      </c>
    </row>
    <row r="103" spans="1:45" x14ac:dyDescent="0.45">
      <c r="A103">
        <v>102</v>
      </c>
      <c r="B103">
        <v>12446</v>
      </c>
      <c r="C103" t="s">
        <v>78</v>
      </c>
      <c r="D103" t="s">
        <v>188</v>
      </c>
      <c r="E103" t="s">
        <v>74</v>
      </c>
      <c r="F103" t="s">
        <v>77</v>
      </c>
      <c r="G103" t="s">
        <v>76</v>
      </c>
      <c r="H103">
        <v>15.171310177104186</v>
      </c>
      <c r="I103">
        <v>0</v>
      </c>
      <c r="J103">
        <v>5</v>
      </c>
      <c r="K103">
        <v>5</v>
      </c>
      <c r="L103">
        <v>0</v>
      </c>
      <c r="M103">
        <v>6</v>
      </c>
      <c r="N103">
        <v>5</v>
      </c>
      <c r="O103">
        <v>1</v>
      </c>
      <c r="P103">
        <v>4</v>
      </c>
      <c r="Q103">
        <v>5</v>
      </c>
      <c r="R103">
        <v>-1</v>
      </c>
      <c r="S103">
        <v>5</v>
      </c>
      <c r="T103">
        <v>5</v>
      </c>
      <c r="U103">
        <v>0</v>
      </c>
      <c r="V103">
        <v>7</v>
      </c>
      <c r="W103">
        <v>5</v>
      </c>
      <c r="X103">
        <v>2</v>
      </c>
      <c r="Y103">
        <v>6</v>
      </c>
      <c r="Z103">
        <v>5</v>
      </c>
      <c r="AA103">
        <v>1</v>
      </c>
      <c r="AB103">
        <v>5</v>
      </c>
      <c r="AC103">
        <v>5</v>
      </c>
      <c r="AD103">
        <v>0</v>
      </c>
      <c r="AE103">
        <v>4</v>
      </c>
      <c r="AF103">
        <v>5</v>
      </c>
      <c r="AG103">
        <v>-1</v>
      </c>
      <c r="AH103">
        <v>5</v>
      </c>
      <c r="AI103">
        <v>5</v>
      </c>
      <c r="AJ103">
        <v>0</v>
      </c>
      <c r="AK103" t="s">
        <v>1127</v>
      </c>
      <c r="AL103" t="s">
        <v>1128</v>
      </c>
      <c r="AM103" t="s">
        <v>1129</v>
      </c>
      <c r="AN103" t="s">
        <v>1130</v>
      </c>
      <c r="AO103" t="s">
        <v>1131</v>
      </c>
      <c r="AP103" t="s">
        <v>1132</v>
      </c>
      <c r="AQ103" t="s">
        <v>1133</v>
      </c>
      <c r="AR103" t="s">
        <v>1134</v>
      </c>
      <c r="AS103" t="s">
        <v>1135</v>
      </c>
    </row>
    <row r="104" spans="1:45" x14ac:dyDescent="0.45">
      <c r="A104">
        <v>103</v>
      </c>
      <c r="B104">
        <v>12447</v>
      </c>
      <c r="C104" t="s">
        <v>72</v>
      </c>
      <c r="D104" t="s">
        <v>192</v>
      </c>
      <c r="E104" t="s">
        <v>74</v>
      </c>
      <c r="F104" t="s">
        <v>77</v>
      </c>
      <c r="G104" t="s">
        <v>76</v>
      </c>
      <c r="H104">
        <v>42.613387938153792</v>
      </c>
      <c r="I104">
        <v>2</v>
      </c>
      <c r="J104">
        <v>7</v>
      </c>
      <c r="K104">
        <v>8</v>
      </c>
      <c r="L104">
        <v>-1</v>
      </c>
      <c r="M104">
        <v>6</v>
      </c>
      <c r="N104">
        <v>8</v>
      </c>
      <c r="O104">
        <v>-2</v>
      </c>
      <c r="P104">
        <v>8</v>
      </c>
      <c r="Q104">
        <v>5</v>
      </c>
      <c r="R104">
        <v>3</v>
      </c>
      <c r="S104">
        <v>7</v>
      </c>
      <c r="T104">
        <v>8</v>
      </c>
      <c r="U104">
        <v>-1</v>
      </c>
      <c r="V104">
        <v>8</v>
      </c>
      <c r="W104">
        <v>5</v>
      </c>
      <c r="X104">
        <v>3</v>
      </c>
      <c r="Y104">
        <v>6</v>
      </c>
      <c r="Z104">
        <v>5</v>
      </c>
      <c r="AA104">
        <v>1</v>
      </c>
      <c r="AB104">
        <v>7</v>
      </c>
      <c r="AC104">
        <v>6</v>
      </c>
      <c r="AD104">
        <v>1</v>
      </c>
      <c r="AE104">
        <v>5</v>
      </c>
      <c r="AF104">
        <v>6</v>
      </c>
      <c r="AG104">
        <v>-1</v>
      </c>
      <c r="AH104">
        <v>7</v>
      </c>
      <c r="AI104">
        <v>5</v>
      </c>
      <c r="AJ104">
        <v>2</v>
      </c>
      <c r="AK104" t="s">
        <v>1136</v>
      </c>
      <c r="AL104" t="s">
        <v>1137</v>
      </c>
      <c r="AM104" t="s">
        <v>1138</v>
      </c>
      <c r="AN104" t="s">
        <v>1139</v>
      </c>
      <c r="AO104" t="s">
        <v>1140</v>
      </c>
      <c r="AP104" t="s">
        <v>1141</v>
      </c>
      <c r="AQ104" t="s">
        <v>1142</v>
      </c>
      <c r="AR104" t="s">
        <v>1143</v>
      </c>
      <c r="AS104" t="s">
        <v>1144</v>
      </c>
    </row>
    <row r="105" spans="1:45" x14ac:dyDescent="0.45">
      <c r="A105">
        <v>104</v>
      </c>
      <c r="B105">
        <v>12448</v>
      </c>
      <c r="C105" t="s">
        <v>78</v>
      </c>
      <c r="D105" t="s">
        <v>73</v>
      </c>
      <c r="E105" t="s">
        <v>74</v>
      </c>
      <c r="F105" t="s">
        <v>77</v>
      </c>
      <c r="G105" t="s">
        <v>76</v>
      </c>
      <c r="H105">
        <v>20.849608677786225</v>
      </c>
      <c r="I105">
        <v>0</v>
      </c>
      <c r="J105">
        <v>7</v>
      </c>
      <c r="K105">
        <v>6</v>
      </c>
      <c r="L105">
        <v>1</v>
      </c>
      <c r="M105">
        <v>8</v>
      </c>
      <c r="N105">
        <v>7</v>
      </c>
      <c r="O105">
        <v>1</v>
      </c>
      <c r="P105">
        <v>6</v>
      </c>
      <c r="Q105">
        <v>6</v>
      </c>
      <c r="R105">
        <v>0</v>
      </c>
      <c r="S105">
        <v>8</v>
      </c>
      <c r="T105">
        <v>8</v>
      </c>
      <c r="U105">
        <v>0</v>
      </c>
      <c r="V105">
        <v>6</v>
      </c>
      <c r="W105">
        <v>6</v>
      </c>
      <c r="X105">
        <v>0</v>
      </c>
      <c r="Y105">
        <v>7</v>
      </c>
      <c r="Z105">
        <v>7</v>
      </c>
      <c r="AA105">
        <v>0</v>
      </c>
      <c r="AB105">
        <v>6</v>
      </c>
      <c r="AC105">
        <v>6</v>
      </c>
      <c r="AD105">
        <v>0</v>
      </c>
      <c r="AE105">
        <v>7</v>
      </c>
      <c r="AF105">
        <v>6</v>
      </c>
      <c r="AG105">
        <v>1</v>
      </c>
      <c r="AH105">
        <v>8</v>
      </c>
      <c r="AI105">
        <v>7</v>
      </c>
      <c r="AJ105">
        <v>1</v>
      </c>
      <c r="AK105" t="s">
        <v>1145</v>
      </c>
      <c r="AL105" t="s">
        <v>1146</v>
      </c>
      <c r="AM105" t="s">
        <v>1147</v>
      </c>
      <c r="AN105" t="s">
        <v>1148</v>
      </c>
      <c r="AO105" t="s">
        <v>1149</v>
      </c>
      <c r="AP105" t="s">
        <v>1150</v>
      </c>
      <c r="AQ105" t="s">
        <v>1151</v>
      </c>
      <c r="AR105" t="s">
        <v>1152</v>
      </c>
      <c r="AS105" t="s">
        <v>1153</v>
      </c>
    </row>
    <row r="106" spans="1:45" x14ac:dyDescent="0.45">
      <c r="A106">
        <v>105</v>
      </c>
      <c r="B106">
        <v>12449</v>
      </c>
      <c r="C106" t="s">
        <v>78</v>
      </c>
      <c r="D106" t="s">
        <v>81</v>
      </c>
      <c r="E106" t="s">
        <v>74</v>
      </c>
      <c r="F106" t="s">
        <v>77</v>
      </c>
      <c r="G106" t="s">
        <v>76</v>
      </c>
      <c r="H106">
        <v>14.730034307049822</v>
      </c>
      <c r="I106">
        <v>1</v>
      </c>
      <c r="J106">
        <v>7</v>
      </c>
      <c r="K106">
        <v>9</v>
      </c>
      <c r="L106">
        <v>-2</v>
      </c>
      <c r="M106">
        <v>6</v>
      </c>
      <c r="N106">
        <v>10</v>
      </c>
      <c r="O106">
        <v>-4</v>
      </c>
      <c r="P106">
        <v>8</v>
      </c>
      <c r="Q106">
        <v>8</v>
      </c>
      <c r="R106">
        <v>0</v>
      </c>
      <c r="S106">
        <v>7</v>
      </c>
      <c r="T106">
        <v>8</v>
      </c>
      <c r="U106">
        <v>-1</v>
      </c>
      <c r="V106">
        <v>8</v>
      </c>
      <c r="W106">
        <v>9</v>
      </c>
      <c r="X106">
        <v>-1</v>
      </c>
      <c r="Y106">
        <v>7</v>
      </c>
      <c r="Z106">
        <v>9</v>
      </c>
      <c r="AA106">
        <v>-2</v>
      </c>
      <c r="AB106">
        <v>6</v>
      </c>
      <c r="AC106">
        <v>8</v>
      </c>
      <c r="AD106">
        <v>-2</v>
      </c>
      <c r="AE106">
        <v>5</v>
      </c>
      <c r="AF106">
        <v>6</v>
      </c>
      <c r="AG106">
        <v>-1</v>
      </c>
      <c r="AH106">
        <v>6</v>
      </c>
      <c r="AI106">
        <v>9</v>
      </c>
      <c r="AJ106">
        <v>-3</v>
      </c>
      <c r="AK106" t="s">
        <v>1154</v>
      </c>
      <c r="AL106" t="s">
        <v>1155</v>
      </c>
      <c r="AM106" t="s">
        <v>1156</v>
      </c>
      <c r="AN106" t="s">
        <v>1157</v>
      </c>
      <c r="AO106" t="s">
        <v>1158</v>
      </c>
      <c r="AP106" t="s">
        <v>1159</v>
      </c>
      <c r="AQ106" t="s">
        <v>1160</v>
      </c>
      <c r="AR106" t="s">
        <v>1161</v>
      </c>
      <c r="AS106" t="s">
        <v>1162</v>
      </c>
    </row>
    <row r="107" spans="1:45" x14ac:dyDescent="0.45">
      <c r="A107">
        <v>106</v>
      </c>
      <c r="B107">
        <v>12450</v>
      </c>
      <c r="C107" t="s">
        <v>72</v>
      </c>
      <c r="D107" t="s">
        <v>81</v>
      </c>
      <c r="E107" t="s">
        <v>74</v>
      </c>
      <c r="F107" t="s">
        <v>77</v>
      </c>
      <c r="G107" t="s">
        <v>76</v>
      </c>
      <c r="H107">
        <v>12</v>
      </c>
      <c r="I107">
        <v>0</v>
      </c>
      <c r="J107">
        <v>8</v>
      </c>
      <c r="K107">
        <v>10</v>
      </c>
      <c r="L107">
        <v>-2</v>
      </c>
      <c r="M107">
        <v>7</v>
      </c>
      <c r="N107">
        <v>5</v>
      </c>
      <c r="O107">
        <v>2</v>
      </c>
      <c r="P107">
        <v>6</v>
      </c>
      <c r="Q107">
        <v>8</v>
      </c>
      <c r="R107">
        <v>-2</v>
      </c>
      <c r="S107">
        <v>7</v>
      </c>
      <c r="T107">
        <v>8</v>
      </c>
      <c r="U107">
        <v>-1</v>
      </c>
      <c r="V107">
        <v>6</v>
      </c>
      <c r="W107">
        <v>10</v>
      </c>
      <c r="X107">
        <v>-4</v>
      </c>
      <c r="Y107">
        <v>7</v>
      </c>
      <c r="Z107">
        <v>10</v>
      </c>
      <c r="AA107">
        <v>-3</v>
      </c>
      <c r="AB107">
        <v>6</v>
      </c>
      <c r="AC107">
        <v>10</v>
      </c>
      <c r="AD107">
        <v>-4</v>
      </c>
      <c r="AE107">
        <v>7</v>
      </c>
      <c r="AF107">
        <v>10</v>
      </c>
      <c r="AG107">
        <v>-3</v>
      </c>
      <c r="AH107">
        <v>8</v>
      </c>
      <c r="AI107">
        <v>10</v>
      </c>
      <c r="AJ107">
        <v>-2</v>
      </c>
      <c r="AK107" t="s">
        <v>1163</v>
      </c>
      <c r="AL107" t="s">
        <v>1164</v>
      </c>
      <c r="AM107" t="s">
        <v>1165</v>
      </c>
      <c r="AN107" t="s">
        <v>1166</v>
      </c>
      <c r="AO107" t="s">
        <v>1167</v>
      </c>
      <c r="AP107" t="s">
        <v>1168</v>
      </c>
      <c r="AQ107" t="s">
        <v>1169</v>
      </c>
      <c r="AR107" t="s">
        <v>1170</v>
      </c>
      <c r="AS107" t="s">
        <v>1171</v>
      </c>
    </row>
    <row r="108" spans="1:45" x14ac:dyDescent="0.45">
      <c r="A108">
        <v>107</v>
      </c>
      <c r="B108">
        <v>12451</v>
      </c>
      <c r="C108" t="s">
        <v>72</v>
      </c>
      <c r="D108" t="s">
        <v>79</v>
      </c>
      <c r="E108" t="s">
        <v>74</v>
      </c>
      <c r="F108" t="s">
        <v>77</v>
      </c>
      <c r="G108" t="s">
        <v>76</v>
      </c>
      <c r="H108">
        <v>28.517515336086191</v>
      </c>
      <c r="I108">
        <v>1</v>
      </c>
      <c r="J108">
        <v>7</v>
      </c>
      <c r="K108">
        <v>7</v>
      </c>
      <c r="L108">
        <v>0</v>
      </c>
      <c r="M108">
        <v>8</v>
      </c>
      <c r="N108">
        <v>7</v>
      </c>
      <c r="O108">
        <v>1</v>
      </c>
      <c r="P108">
        <v>6</v>
      </c>
      <c r="Q108">
        <v>7</v>
      </c>
      <c r="R108">
        <v>-1</v>
      </c>
      <c r="S108">
        <v>9</v>
      </c>
      <c r="T108">
        <v>7</v>
      </c>
      <c r="U108">
        <v>2</v>
      </c>
      <c r="V108">
        <v>7</v>
      </c>
      <c r="W108">
        <v>7</v>
      </c>
      <c r="X108">
        <v>0</v>
      </c>
      <c r="Y108">
        <v>8</v>
      </c>
      <c r="Z108">
        <v>7</v>
      </c>
      <c r="AA108">
        <v>1</v>
      </c>
      <c r="AB108">
        <v>7</v>
      </c>
      <c r="AC108">
        <v>7</v>
      </c>
      <c r="AD108">
        <v>0</v>
      </c>
      <c r="AE108">
        <v>6</v>
      </c>
      <c r="AF108">
        <v>7</v>
      </c>
      <c r="AG108">
        <v>-1</v>
      </c>
      <c r="AH108">
        <v>8</v>
      </c>
      <c r="AI108">
        <v>8</v>
      </c>
      <c r="AJ108">
        <v>0</v>
      </c>
      <c r="AK108" t="s">
        <v>1172</v>
      </c>
      <c r="AL108" t="s">
        <v>1173</v>
      </c>
      <c r="AM108" t="s">
        <v>1174</v>
      </c>
      <c r="AN108" t="s">
        <v>1175</v>
      </c>
      <c r="AO108" t="s">
        <v>1176</v>
      </c>
      <c r="AP108" t="s">
        <v>1177</v>
      </c>
      <c r="AQ108" t="s">
        <v>1178</v>
      </c>
      <c r="AR108" t="s">
        <v>1179</v>
      </c>
      <c r="AS108" t="s">
        <v>1180</v>
      </c>
    </row>
    <row r="109" spans="1:45" x14ac:dyDescent="0.45">
      <c r="A109">
        <v>108</v>
      </c>
      <c r="B109">
        <v>12452</v>
      </c>
      <c r="C109" t="s">
        <v>72</v>
      </c>
      <c r="D109" t="s">
        <v>79</v>
      </c>
      <c r="E109" t="s">
        <v>74</v>
      </c>
      <c r="F109" t="s">
        <v>77</v>
      </c>
      <c r="G109" t="s">
        <v>76</v>
      </c>
      <c r="H109">
        <v>16.635438384955165</v>
      </c>
      <c r="I109">
        <v>1</v>
      </c>
      <c r="J109">
        <v>8</v>
      </c>
      <c r="K109">
        <v>5</v>
      </c>
      <c r="L109">
        <v>3</v>
      </c>
      <c r="M109">
        <v>7</v>
      </c>
      <c r="N109">
        <v>10</v>
      </c>
      <c r="O109">
        <v>-3</v>
      </c>
      <c r="P109">
        <v>8</v>
      </c>
      <c r="Q109">
        <v>5</v>
      </c>
      <c r="R109">
        <v>3</v>
      </c>
      <c r="S109">
        <v>7</v>
      </c>
      <c r="T109">
        <v>5</v>
      </c>
      <c r="U109">
        <v>2</v>
      </c>
      <c r="V109">
        <v>6</v>
      </c>
      <c r="W109">
        <v>5</v>
      </c>
      <c r="X109">
        <v>1</v>
      </c>
      <c r="Y109">
        <v>7</v>
      </c>
      <c r="Z109">
        <v>5</v>
      </c>
      <c r="AA109">
        <v>2</v>
      </c>
      <c r="AB109">
        <v>6</v>
      </c>
      <c r="AC109">
        <v>8</v>
      </c>
      <c r="AD109">
        <v>-2</v>
      </c>
      <c r="AE109">
        <v>5</v>
      </c>
      <c r="AF109">
        <v>5</v>
      </c>
      <c r="AG109">
        <v>0</v>
      </c>
      <c r="AH109">
        <v>7</v>
      </c>
      <c r="AI109">
        <v>6</v>
      </c>
      <c r="AJ109">
        <v>1</v>
      </c>
      <c r="AK109" t="s">
        <v>1181</v>
      </c>
      <c r="AL109" t="s">
        <v>1182</v>
      </c>
      <c r="AM109" t="s">
        <v>1183</v>
      </c>
      <c r="AN109" t="s">
        <v>1184</v>
      </c>
      <c r="AO109" t="s">
        <v>1185</v>
      </c>
      <c r="AP109" t="s">
        <v>1186</v>
      </c>
      <c r="AQ109" t="s">
        <v>1187</v>
      </c>
      <c r="AR109" t="s">
        <v>1188</v>
      </c>
      <c r="AS109" t="s">
        <v>1189</v>
      </c>
    </row>
    <row r="110" spans="1:45" x14ac:dyDescent="0.45">
      <c r="A110">
        <v>109</v>
      </c>
      <c r="B110">
        <v>12453</v>
      </c>
      <c r="C110" t="s">
        <v>72</v>
      </c>
      <c r="D110" t="s">
        <v>79</v>
      </c>
      <c r="E110" t="s">
        <v>74</v>
      </c>
      <c r="F110" t="s">
        <v>77</v>
      </c>
      <c r="G110" t="s">
        <v>76</v>
      </c>
      <c r="H110">
        <v>14.883680992411993</v>
      </c>
      <c r="I110">
        <v>1</v>
      </c>
      <c r="J110">
        <v>8</v>
      </c>
      <c r="K110">
        <v>10</v>
      </c>
      <c r="L110">
        <v>-2</v>
      </c>
      <c r="M110">
        <v>9</v>
      </c>
      <c r="N110">
        <v>10</v>
      </c>
      <c r="O110">
        <v>-1</v>
      </c>
      <c r="P110">
        <v>7</v>
      </c>
      <c r="Q110">
        <v>10</v>
      </c>
      <c r="R110">
        <v>-3</v>
      </c>
      <c r="S110">
        <v>8</v>
      </c>
      <c r="T110">
        <v>10</v>
      </c>
      <c r="U110">
        <v>-2</v>
      </c>
      <c r="V110">
        <v>7</v>
      </c>
      <c r="W110">
        <v>10</v>
      </c>
      <c r="X110">
        <v>-3</v>
      </c>
      <c r="Y110">
        <v>6</v>
      </c>
      <c r="Z110">
        <v>10</v>
      </c>
      <c r="AA110">
        <v>-4</v>
      </c>
      <c r="AB110">
        <v>7</v>
      </c>
      <c r="AC110">
        <v>10</v>
      </c>
      <c r="AD110">
        <v>-3</v>
      </c>
      <c r="AE110">
        <v>5</v>
      </c>
      <c r="AF110">
        <v>10</v>
      </c>
      <c r="AG110">
        <v>-5</v>
      </c>
      <c r="AH110">
        <v>7</v>
      </c>
      <c r="AI110">
        <v>10</v>
      </c>
      <c r="AJ110">
        <v>-3</v>
      </c>
      <c r="AK110" t="s">
        <v>1190</v>
      </c>
      <c r="AL110" t="s">
        <v>1191</v>
      </c>
      <c r="AM110" t="s">
        <v>1192</v>
      </c>
      <c r="AN110" t="s">
        <v>1193</v>
      </c>
      <c r="AO110" t="s">
        <v>1194</v>
      </c>
      <c r="AP110" t="s">
        <v>1195</v>
      </c>
      <c r="AQ110" t="s">
        <v>1196</v>
      </c>
      <c r="AR110" t="s">
        <v>1197</v>
      </c>
      <c r="AS110" t="s">
        <v>1198</v>
      </c>
    </row>
    <row r="111" spans="1:45" x14ac:dyDescent="0.45">
      <c r="A111">
        <v>110</v>
      </c>
      <c r="B111">
        <v>12454</v>
      </c>
      <c r="C111" t="s">
        <v>78</v>
      </c>
      <c r="D111" t="s">
        <v>73</v>
      </c>
      <c r="E111" t="s">
        <v>74</v>
      </c>
      <c r="F111" t="s">
        <v>77</v>
      </c>
      <c r="G111" t="s">
        <v>76</v>
      </c>
      <c r="H111">
        <v>58.525058070727127</v>
      </c>
      <c r="I111">
        <v>2</v>
      </c>
      <c r="J111">
        <v>7</v>
      </c>
      <c r="K111">
        <v>7</v>
      </c>
      <c r="L111">
        <v>0</v>
      </c>
      <c r="M111">
        <v>8</v>
      </c>
      <c r="N111">
        <v>6</v>
      </c>
      <c r="O111">
        <v>2</v>
      </c>
      <c r="P111">
        <v>9</v>
      </c>
      <c r="Q111">
        <v>8</v>
      </c>
      <c r="R111">
        <v>1</v>
      </c>
      <c r="S111">
        <v>8</v>
      </c>
      <c r="T111">
        <v>8</v>
      </c>
      <c r="U111">
        <v>0</v>
      </c>
      <c r="V111">
        <v>9</v>
      </c>
      <c r="W111">
        <v>7</v>
      </c>
      <c r="X111">
        <v>2</v>
      </c>
      <c r="Y111">
        <v>7</v>
      </c>
      <c r="Z111">
        <v>6</v>
      </c>
      <c r="AA111">
        <v>1</v>
      </c>
      <c r="AB111">
        <v>9</v>
      </c>
      <c r="AC111">
        <v>5</v>
      </c>
      <c r="AD111">
        <v>4</v>
      </c>
      <c r="AE111">
        <v>6</v>
      </c>
      <c r="AF111">
        <v>5</v>
      </c>
      <c r="AG111">
        <v>1</v>
      </c>
      <c r="AH111">
        <v>8</v>
      </c>
      <c r="AI111">
        <v>8</v>
      </c>
      <c r="AJ111">
        <v>0</v>
      </c>
      <c r="AK111" t="s">
        <v>1199</v>
      </c>
      <c r="AL111" t="s">
        <v>1200</v>
      </c>
      <c r="AM111" t="s">
        <v>1201</v>
      </c>
      <c r="AN111" t="s">
        <v>1202</v>
      </c>
      <c r="AO111" t="s">
        <v>1203</v>
      </c>
      <c r="AP111" t="s">
        <v>1204</v>
      </c>
      <c r="AQ111" t="s">
        <v>1205</v>
      </c>
      <c r="AR111" t="s">
        <v>1206</v>
      </c>
      <c r="AS111" t="s">
        <v>1207</v>
      </c>
    </row>
    <row r="112" spans="1:45" x14ac:dyDescent="0.45">
      <c r="A112">
        <v>111</v>
      </c>
      <c r="B112">
        <v>12455</v>
      </c>
      <c r="C112" t="s">
        <v>78</v>
      </c>
      <c r="D112" t="s">
        <v>190</v>
      </c>
      <c r="E112" t="s">
        <v>74</v>
      </c>
      <c r="F112" t="s">
        <v>77</v>
      </c>
      <c r="G112" t="s">
        <v>76</v>
      </c>
      <c r="H112">
        <v>25.493820036727968</v>
      </c>
      <c r="I112">
        <v>1</v>
      </c>
      <c r="J112">
        <v>6</v>
      </c>
      <c r="K112">
        <v>8</v>
      </c>
      <c r="L112">
        <v>-2</v>
      </c>
      <c r="M112">
        <v>5</v>
      </c>
      <c r="N112">
        <v>8</v>
      </c>
      <c r="O112">
        <v>-3</v>
      </c>
      <c r="P112">
        <v>8</v>
      </c>
      <c r="Q112">
        <v>6</v>
      </c>
      <c r="R112">
        <v>2</v>
      </c>
      <c r="S112">
        <v>7</v>
      </c>
      <c r="T112">
        <v>7</v>
      </c>
      <c r="U112">
        <v>0</v>
      </c>
      <c r="V112">
        <v>6</v>
      </c>
      <c r="W112">
        <v>6</v>
      </c>
      <c r="X112">
        <v>0</v>
      </c>
      <c r="Y112">
        <v>7</v>
      </c>
      <c r="Z112">
        <v>7</v>
      </c>
      <c r="AA112">
        <v>0</v>
      </c>
      <c r="AB112">
        <v>6</v>
      </c>
      <c r="AC112">
        <v>5</v>
      </c>
      <c r="AD112">
        <v>1</v>
      </c>
      <c r="AE112">
        <v>5</v>
      </c>
      <c r="AF112">
        <v>5</v>
      </c>
      <c r="AG112">
        <v>0</v>
      </c>
      <c r="AH112">
        <v>6</v>
      </c>
      <c r="AI112">
        <v>5</v>
      </c>
      <c r="AJ112">
        <v>1</v>
      </c>
      <c r="AK112" t="s">
        <v>1208</v>
      </c>
      <c r="AL112" t="s">
        <v>1209</v>
      </c>
      <c r="AM112" t="s">
        <v>1210</v>
      </c>
      <c r="AN112" t="s">
        <v>1211</v>
      </c>
      <c r="AO112" t="s">
        <v>1212</v>
      </c>
      <c r="AP112" t="s">
        <v>1213</v>
      </c>
      <c r="AQ112" t="s">
        <v>1214</v>
      </c>
      <c r="AR112" t="s">
        <v>1215</v>
      </c>
      <c r="AS112" t="s">
        <v>1216</v>
      </c>
    </row>
    <row r="113" spans="1:45" x14ac:dyDescent="0.45">
      <c r="A113">
        <v>112</v>
      </c>
      <c r="B113">
        <v>12456</v>
      </c>
      <c r="C113" t="s">
        <v>72</v>
      </c>
      <c r="D113" t="s">
        <v>79</v>
      </c>
      <c r="E113" t="s">
        <v>74</v>
      </c>
      <c r="F113" t="s">
        <v>77</v>
      </c>
      <c r="G113" t="s">
        <v>76</v>
      </c>
      <c r="H113">
        <v>20.609619001907113</v>
      </c>
      <c r="I113">
        <v>2</v>
      </c>
      <c r="J113">
        <v>6</v>
      </c>
      <c r="K113">
        <v>7</v>
      </c>
      <c r="L113">
        <v>-1</v>
      </c>
      <c r="M113">
        <v>7</v>
      </c>
      <c r="N113">
        <v>8</v>
      </c>
      <c r="O113">
        <v>-1</v>
      </c>
      <c r="P113">
        <v>6</v>
      </c>
      <c r="Q113">
        <v>8</v>
      </c>
      <c r="R113">
        <v>-2</v>
      </c>
      <c r="S113">
        <v>8</v>
      </c>
      <c r="T113">
        <v>8</v>
      </c>
      <c r="U113">
        <v>0</v>
      </c>
      <c r="V113">
        <v>7</v>
      </c>
      <c r="W113">
        <v>8</v>
      </c>
      <c r="X113">
        <v>-1</v>
      </c>
      <c r="Y113">
        <v>6</v>
      </c>
      <c r="Z113">
        <v>8</v>
      </c>
      <c r="AA113">
        <v>-2</v>
      </c>
      <c r="AB113">
        <v>7</v>
      </c>
      <c r="AC113">
        <v>8</v>
      </c>
      <c r="AD113">
        <v>-1</v>
      </c>
      <c r="AE113">
        <v>6</v>
      </c>
      <c r="AF113">
        <v>8</v>
      </c>
      <c r="AG113">
        <v>-2</v>
      </c>
      <c r="AH113">
        <v>5</v>
      </c>
      <c r="AI113">
        <v>8</v>
      </c>
      <c r="AJ113">
        <v>-3</v>
      </c>
      <c r="AK113" t="s">
        <v>1217</v>
      </c>
      <c r="AL113" t="s">
        <v>1218</v>
      </c>
      <c r="AM113" t="s">
        <v>1219</v>
      </c>
      <c r="AN113" t="s">
        <v>1220</v>
      </c>
      <c r="AO113" t="s">
        <v>1221</v>
      </c>
      <c r="AP113" t="s">
        <v>1222</v>
      </c>
      <c r="AQ113" t="s">
        <v>1223</v>
      </c>
      <c r="AR113" t="s">
        <v>1224</v>
      </c>
      <c r="AS113" t="s">
        <v>1225</v>
      </c>
    </row>
    <row r="114" spans="1:45" x14ac:dyDescent="0.45">
      <c r="A114">
        <v>113</v>
      </c>
      <c r="B114">
        <v>12457</v>
      </c>
      <c r="C114" t="s">
        <v>72</v>
      </c>
      <c r="D114" t="s">
        <v>73</v>
      </c>
      <c r="E114" t="s">
        <v>74</v>
      </c>
      <c r="F114" t="s">
        <v>77</v>
      </c>
      <c r="G114" t="s">
        <v>76</v>
      </c>
      <c r="H114">
        <v>12</v>
      </c>
      <c r="I114">
        <v>3</v>
      </c>
      <c r="J114">
        <v>7</v>
      </c>
      <c r="K114">
        <v>1</v>
      </c>
      <c r="L114">
        <v>6</v>
      </c>
      <c r="M114">
        <v>8</v>
      </c>
      <c r="N114">
        <v>1</v>
      </c>
      <c r="O114">
        <v>7</v>
      </c>
      <c r="P114">
        <v>6</v>
      </c>
      <c r="Q114">
        <v>1</v>
      </c>
      <c r="R114">
        <v>5</v>
      </c>
      <c r="S114">
        <v>8</v>
      </c>
      <c r="T114">
        <v>1</v>
      </c>
      <c r="U114">
        <v>7</v>
      </c>
      <c r="V114">
        <v>7</v>
      </c>
      <c r="W114">
        <v>1</v>
      </c>
      <c r="X114">
        <v>6</v>
      </c>
      <c r="Y114">
        <v>7</v>
      </c>
      <c r="Z114">
        <v>1</v>
      </c>
      <c r="AA114">
        <v>6</v>
      </c>
      <c r="AB114">
        <v>6</v>
      </c>
      <c r="AC114">
        <v>1</v>
      </c>
      <c r="AD114">
        <v>5</v>
      </c>
      <c r="AE114">
        <v>7</v>
      </c>
      <c r="AF114">
        <v>1</v>
      </c>
      <c r="AG114">
        <v>6</v>
      </c>
      <c r="AH114">
        <v>8</v>
      </c>
      <c r="AI114">
        <v>1</v>
      </c>
      <c r="AJ114">
        <v>7</v>
      </c>
      <c r="AK114" t="s">
        <v>1226</v>
      </c>
      <c r="AL114" t="s">
        <v>1227</v>
      </c>
      <c r="AM114" t="s">
        <v>1228</v>
      </c>
      <c r="AN114" t="s">
        <v>1229</v>
      </c>
      <c r="AO114" t="s">
        <v>1230</v>
      </c>
      <c r="AP114" t="s">
        <v>1231</v>
      </c>
      <c r="AQ114" t="s">
        <v>1232</v>
      </c>
      <c r="AR114" t="s">
        <v>1233</v>
      </c>
      <c r="AS114" t="s">
        <v>1234</v>
      </c>
    </row>
    <row r="115" spans="1:45" x14ac:dyDescent="0.45">
      <c r="A115">
        <v>114</v>
      </c>
      <c r="B115">
        <v>12458</v>
      </c>
      <c r="C115" t="s">
        <v>72</v>
      </c>
      <c r="D115" t="s">
        <v>79</v>
      </c>
      <c r="E115" t="s">
        <v>74</v>
      </c>
      <c r="F115" t="s">
        <v>77</v>
      </c>
      <c r="G115" t="s">
        <v>76</v>
      </c>
      <c r="H115">
        <v>18.479963422825136</v>
      </c>
      <c r="I115">
        <v>4</v>
      </c>
      <c r="J115">
        <v>7</v>
      </c>
      <c r="K115">
        <v>10</v>
      </c>
      <c r="L115">
        <v>-3</v>
      </c>
      <c r="M115">
        <v>8</v>
      </c>
      <c r="N115">
        <v>10</v>
      </c>
      <c r="O115">
        <v>-2</v>
      </c>
      <c r="P115">
        <v>9</v>
      </c>
      <c r="Q115">
        <v>10</v>
      </c>
      <c r="R115">
        <v>-1</v>
      </c>
      <c r="S115">
        <v>8</v>
      </c>
      <c r="T115">
        <v>10</v>
      </c>
      <c r="U115">
        <v>-2</v>
      </c>
      <c r="V115">
        <v>6</v>
      </c>
      <c r="W115">
        <v>10</v>
      </c>
      <c r="X115">
        <v>-4</v>
      </c>
      <c r="Y115">
        <v>7</v>
      </c>
      <c r="Z115">
        <v>10</v>
      </c>
      <c r="AA115">
        <v>-3</v>
      </c>
      <c r="AB115">
        <v>5</v>
      </c>
      <c r="AC115">
        <v>10</v>
      </c>
      <c r="AD115">
        <v>-5</v>
      </c>
      <c r="AE115">
        <v>6</v>
      </c>
      <c r="AF115">
        <v>10</v>
      </c>
      <c r="AG115">
        <v>-4</v>
      </c>
      <c r="AH115">
        <v>7</v>
      </c>
      <c r="AI115">
        <v>10</v>
      </c>
      <c r="AJ115">
        <v>-3</v>
      </c>
      <c r="AK115" t="s">
        <v>1235</v>
      </c>
      <c r="AL115" t="s">
        <v>1236</v>
      </c>
      <c r="AM115" t="s">
        <v>1237</v>
      </c>
      <c r="AN115" t="s">
        <v>1238</v>
      </c>
      <c r="AO115" t="s">
        <v>1239</v>
      </c>
      <c r="AP115" t="s">
        <v>1240</v>
      </c>
      <c r="AQ115" t="s">
        <v>1241</v>
      </c>
      <c r="AR115" t="s">
        <v>1242</v>
      </c>
      <c r="AS115" t="s">
        <v>1243</v>
      </c>
    </row>
    <row r="116" spans="1:45" x14ac:dyDescent="0.45">
      <c r="A116">
        <v>115</v>
      </c>
      <c r="B116">
        <v>12459</v>
      </c>
      <c r="C116" t="s">
        <v>72</v>
      </c>
      <c r="D116" t="s">
        <v>79</v>
      </c>
      <c r="E116" t="s">
        <v>74</v>
      </c>
      <c r="F116" t="s">
        <v>75</v>
      </c>
      <c r="G116" t="s">
        <v>76</v>
      </c>
      <c r="H116">
        <v>13.627736245856385</v>
      </c>
      <c r="I116">
        <v>4</v>
      </c>
      <c r="J116">
        <v>7</v>
      </c>
      <c r="K116">
        <v>1</v>
      </c>
      <c r="L116">
        <v>6</v>
      </c>
      <c r="M116">
        <v>6</v>
      </c>
      <c r="N116">
        <v>1</v>
      </c>
      <c r="O116">
        <v>5</v>
      </c>
      <c r="P116">
        <v>8</v>
      </c>
      <c r="Q116">
        <v>1</v>
      </c>
      <c r="R116">
        <v>7</v>
      </c>
      <c r="S116">
        <v>9</v>
      </c>
      <c r="T116">
        <v>1</v>
      </c>
      <c r="U116">
        <v>8</v>
      </c>
      <c r="V116">
        <v>8</v>
      </c>
      <c r="W116">
        <v>1</v>
      </c>
      <c r="X116">
        <v>7</v>
      </c>
      <c r="Y116">
        <v>7</v>
      </c>
      <c r="Z116">
        <v>1</v>
      </c>
      <c r="AA116">
        <v>6</v>
      </c>
      <c r="AB116">
        <v>6</v>
      </c>
      <c r="AC116">
        <v>1</v>
      </c>
      <c r="AD116">
        <v>5</v>
      </c>
      <c r="AE116">
        <v>5</v>
      </c>
      <c r="AF116">
        <v>1</v>
      </c>
      <c r="AG116">
        <v>4</v>
      </c>
      <c r="AH116">
        <v>7</v>
      </c>
      <c r="AI116">
        <v>1</v>
      </c>
      <c r="AJ116">
        <v>6</v>
      </c>
      <c r="AK116" t="s">
        <v>1244</v>
      </c>
      <c r="AL116" t="s">
        <v>1245</v>
      </c>
      <c r="AM116" t="s">
        <v>1246</v>
      </c>
      <c r="AN116" t="s">
        <v>1247</v>
      </c>
      <c r="AO116" t="s">
        <v>1248</v>
      </c>
      <c r="AP116" t="s">
        <v>1249</v>
      </c>
      <c r="AQ116" t="s">
        <v>1250</v>
      </c>
      <c r="AR116" t="s">
        <v>1251</v>
      </c>
      <c r="AS116" t="s">
        <v>1252</v>
      </c>
    </row>
    <row r="117" spans="1:45" x14ac:dyDescent="0.45">
      <c r="A117">
        <v>116</v>
      </c>
      <c r="B117">
        <v>12460</v>
      </c>
      <c r="C117" t="s">
        <v>72</v>
      </c>
      <c r="D117" t="s">
        <v>79</v>
      </c>
      <c r="E117" t="s">
        <v>74</v>
      </c>
      <c r="F117" t="s">
        <v>75</v>
      </c>
      <c r="G117" t="s">
        <v>76</v>
      </c>
      <c r="H117">
        <v>15.764306891880848</v>
      </c>
      <c r="I117">
        <v>0</v>
      </c>
      <c r="J117">
        <v>8</v>
      </c>
      <c r="K117">
        <v>9</v>
      </c>
      <c r="L117">
        <v>-1</v>
      </c>
      <c r="M117">
        <v>7</v>
      </c>
      <c r="N117">
        <v>9</v>
      </c>
      <c r="O117">
        <v>-2</v>
      </c>
      <c r="P117">
        <v>6</v>
      </c>
      <c r="Q117">
        <v>9</v>
      </c>
      <c r="R117">
        <v>-3</v>
      </c>
      <c r="S117">
        <v>7</v>
      </c>
      <c r="T117">
        <v>9</v>
      </c>
      <c r="U117">
        <v>-2</v>
      </c>
      <c r="V117">
        <v>7</v>
      </c>
      <c r="W117">
        <v>9</v>
      </c>
      <c r="X117">
        <v>-2</v>
      </c>
      <c r="Y117">
        <v>8</v>
      </c>
      <c r="Z117">
        <v>9</v>
      </c>
      <c r="AA117">
        <v>-1</v>
      </c>
      <c r="AB117">
        <v>6</v>
      </c>
      <c r="AC117">
        <v>9</v>
      </c>
      <c r="AD117">
        <v>-3</v>
      </c>
      <c r="AE117">
        <v>7</v>
      </c>
      <c r="AF117">
        <v>8</v>
      </c>
      <c r="AG117">
        <v>-1</v>
      </c>
      <c r="AH117">
        <v>8</v>
      </c>
      <c r="AI117">
        <v>9</v>
      </c>
      <c r="AJ117">
        <v>-1</v>
      </c>
      <c r="AK117" t="s">
        <v>1253</v>
      </c>
      <c r="AL117" t="s">
        <v>1254</v>
      </c>
      <c r="AM117" t="s">
        <v>1255</v>
      </c>
      <c r="AN117" t="s">
        <v>1256</v>
      </c>
      <c r="AO117" t="s">
        <v>1257</v>
      </c>
      <c r="AP117" t="s">
        <v>1258</v>
      </c>
      <c r="AQ117" t="s">
        <v>1259</v>
      </c>
      <c r="AR117" t="s">
        <v>1260</v>
      </c>
      <c r="AS117" t="s">
        <v>1261</v>
      </c>
    </row>
    <row r="118" spans="1:45" x14ac:dyDescent="0.45">
      <c r="A118">
        <v>117</v>
      </c>
      <c r="B118">
        <v>12461</v>
      </c>
      <c r="C118" t="s">
        <v>72</v>
      </c>
      <c r="D118" t="s">
        <v>79</v>
      </c>
      <c r="E118" t="s">
        <v>74</v>
      </c>
      <c r="F118" t="s">
        <v>77</v>
      </c>
      <c r="G118" t="s">
        <v>76</v>
      </c>
      <c r="H118">
        <v>55.109305365447113</v>
      </c>
      <c r="I118">
        <v>0</v>
      </c>
      <c r="J118">
        <v>7</v>
      </c>
      <c r="K118">
        <v>8</v>
      </c>
      <c r="L118">
        <v>-1</v>
      </c>
      <c r="M118">
        <v>8</v>
      </c>
      <c r="N118">
        <v>9</v>
      </c>
      <c r="O118">
        <v>-1</v>
      </c>
      <c r="P118">
        <v>9</v>
      </c>
      <c r="Q118">
        <v>8</v>
      </c>
      <c r="R118">
        <v>1</v>
      </c>
      <c r="S118">
        <v>7</v>
      </c>
      <c r="T118">
        <v>6</v>
      </c>
      <c r="U118">
        <v>1</v>
      </c>
      <c r="V118">
        <v>6</v>
      </c>
      <c r="W118">
        <v>8</v>
      </c>
      <c r="X118">
        <v>-2</v>
      </c>
      <c r="Y118">
        <v>5</v>
      </c>
      <c r="Z118">
        <v>8</v>
      </c>
      <c r="AA118">
        <v>-3</v>
      </c>
      <c r="AB118">
        <v>7</v>
      </c>
      <c r="AC118">
        <v>8</v>
      </c>
      <c r="AD118">
        <v>-1</v>
      </c>
      <c r="AE118">
        <v>5</v>
      </c>
      <c r="AF118">
        <v>8</v>
      </c>
      <c r="AG118">
        <v>-3</v>
      </c>
      <c r="AH118">
        <v>6</v>
      </c>
      <c r="AI118">
        <v>6</v>
      </c>
      <c r="AJ118">
        <v>0</v>
      </c>
      <c r="AK118" t="s">
        <v>1262</v>
      </c>
      <c r="AL118" t="s">
        <v>1263</v>
      </c>
      <c r="AM118" t="s">
        <v>1264</v>
      </c>
      <c r="AN118" t="s">
        <v>1265</v>
      </c>
      <c r="AO118" t="s">
        <v>1266</v>
      </c>
      <c r="AP118" t="s">
        <v>1267</v>
      </c>
      <c r="AQ118" t="s">
        <v>1268</v>
      </c>
      <c r="AR118" t="s">
        <v>1269</v>
      </c>
      <c r="AS118" t="s">
        <v>1270</v>
      </c>
    </row>
    <row r="119" spans="1:45" x14ac:dyDescent="0.45">
      <c r="A119">
        <v>118</v>
      </c>
      <c r="B119">
        <v>12462</v>
      </c>
      <c r="C119" t="s">
        <v>78</v>
      </c>
      <c r="D119" t="s">
        <v>73</v>
      </c>
      <c r="E119" t="s">
        <v>74</v>
      </c>
      <c r="F119" t="s">
        <v>75</v>
      </c>
      <c r="G119" t="s">
        <v>76</v>
      </c>
      <c r="H119">
        <v>32.303049665570924</v>
      </c>
      <c r="I119">
        <v>1</v>
      </c>
      <c r="J119">
        <v>7</v>
      </c>
      <c r="K119">
        <v>4</v>
      </c>
      <c r="L119">
        <v>3</v>
      </c>
      <c r="M119">
        <v>8</v>
      </c>
      <c r="N119">
        <v>1</v>
      </c>
      <c r="O119">
        <v>7</v>
      </c>
      <c r="P119">
        <v>6</v>
      </c>
      <c r="Q119">
        <v>1</v>
      </c>
      <c r="R119">
        <v>5</v>
      </c>
      <c r="S119">
        <v>8</v>
      </c>
      <c r="T119">
        <v>5</v>
      </c>
      <c r="U119">
        <v>3</v>
      </c>
      <c r="V119">
        <v>7</v>
      </c>
      <c r="W119">
        <v>1</v>
      </c>
      <c r="X119">
        <v>6</v>
      </c>
      <c r="Y119">
        <v>6</v>
      </c>
      <c r="Z119">
        <v>3</v>
      </c>
      <c r="AA119">
        <v>3</v>
      </c>
      <c r="AB119">
        <v>5</v>
      </c>
      <c r="AC119">
        <v>1</v>
      </c>
      <c r="AD119">
        <v>4</v>
      </c>
      <c r="AE119">
        <v>6</v>
      </c>
      <c r="AF119">
        <v>1</v>
      </c>
      <c r="AG119">
        <v>5</v>
      </c>
      <c r="AH119">
        <v>7</v>
      </c>
      <c r="AI119">
        <v>5</v>
      </c>
      <c r="AJ119">
        <v>2</v>
      </c>
      <c r="AK119" t="s">
        <v>1271</v>
      </c>
      <c r="AL119" t="s">
        <v>1272</v>
      </c>
      <c r="AM119" t="s">
        <v>1273</v>
      </c>
      <c r="AN119" t="s">
        <v>1274</v>
      </c>
      <c r="AO119" t="s">
        <v>1275</v>
      </c>
      <c r="AP119" t="s">
        <v>1276</v>
      </c>
      <c r="AQ119" t="s">
        <v>1277</v>
      </c>
      <c r="AR119" t="s">
        <v>1278</v>
      </c>
      <c r="AS119" t="s">
        <v>1279</v>
      </c>
    </row>
    <row r="120" spans="1:45" x14ac:dyDescent="0.45">
      <c r="A120">
        <v>119</v>
      </c>
      <c r="B120">
        <v>12463</v>
      </c>
      <c r="C120" t="s">
        <v>72</v>
      </c>
      <c r="D120" t="s">
        <v>192</v>
      </c>
      <c r="E120" t="s">
        <v>74</v>
      </c>
      <c r="F120" t="s">
        <v>77</v>
      </c>
      <c r="G120" t="s">
        <v>76</v>
      </c>
      <c r="H120">
        <v>54.417220266336805</v>
      </c>
      <c r="I120">
        <v>4</v>
      </c>
      <c r="J120">
        <v>6</v>
      </c>
      <c r="K120">
        <v>8</v>
      </c>
      <c r="L120">
        <v>-2</v>
      </c>
      <c r="M120">
        <v>7</v>
      </c>
      <c r="N120">
        <v>8</v>
      </c>
      <c r="O120">
        <v>-1</v>
      </c>
      <c r="P120">
        <v>6</v>
      </c>
      <c r="Q120">
        <v>6</v>
      </c>
      <c r="R120">
        <v>0</v>
      </c>
      <c r="S120">
        <v>5</v>
      </c>
      <c r="T120">
        <v>9</v>
      </c>
      <c r="U120">
        <v>-4</v>
      </c>
      <c r="V120">
        <v>7</v>
      </c>
      <c r="W120">
        <v>8</v>
      </c>
      <c r="X120">
        <v>-1</v>
      </c>
      <c r="Y120">
        <v>8</v>
      </c>
      <c r="Z120">
        <v>7</v>
      </c>
      <c r="AA120">
        <v>1</v>
      </c>
      <c r="AB120">
        <v>6</v>
      </c>
      <c r="AC120">
        <v>7</v>
      </c>
      <c r="AD120">
        <v>-1</v>
      </c>
      <c r="AE120">
        <v>7</v>
      </c>
      <c r="AF120">
        <v>7</v>
      </c>
      <c r="AG120">
        <v>0</v>
      </c>
      <c r="AH120">
        <v>8</v>
      </c>
      <c r="AI120">
        <v>7</v>
      </c>
      <c r="AJ120">
        <v>1</v>
      </c>
      <c r="AK120" t="s">
        <v>216</v>
      </c>
      <c r="AL120" t="s">
        <v>216</v>
      </c>
      <c r="AM120" t="s">
        <v>216</v>
      </c>
      <c r="AN120" t="s">
        <v>216</v>
      </c>
      <c r="AO120" t="s">
        <v>216</v>
      </c>
      <c r="AP120" t="s">
        <v>216</v>
      </c>
      <c r="AQ120" t="s">
        <v>216</v>
      </c>
      <c r="AR120" t="s">
        <v>216</v>
      </c>
      <c r="AS120" t="s">
        <v>216</v>
      </c>
    </row>
    <row r="121" spans="1:45" x14ac:dyDescent="0.45">
      <c r="A121">
        <v>120</v>
      </c>
      <c r="B121">
        <v>12464</v>
      </c>
      <c r="C121" t="s">
        <v>72</v>
      </c>
      <c r="D121" t="s">
        <v>79</v>
      </c>
      <c r="E121" t="s">
        <v>80</v>
      </c>
      <c r="F121" t="s">
        <v>77</v>
      </c>
      <c r="G121" t="s">
        <v>76</v>
      </c>
      <c r="H121">
        <v>24.420304051526717</v>
      </c>
      <c r="I121">
        <v>3</v>
      </c>
      <c r="J121">
        <v>8</v>
      </c>
      <c r="K121">
        <v>6</v>
      </c>
      <c r="L121">
        <v>2</v>
      </c>
      <c r="M121">
        <v>7</v>
      </c>
      <c r="N121">
        <v>6</v>
      </c>
      <c r="O121">
        <v>1</v>
      </c>
      <c r="P121">
        <v>6</v>
      </c>
      <c r="Q121">
        <v>6</v>
      </c>
      <c r="R121">
        <v>0</v>
      </c>
      <c r="S121">
        <v>6</v>
      </c>
      <c r="T121">
        <v>6</v>
      </c>
      <c r="U121">
        <v>0</v>
      </c>
      <c r="V121">
        <v>8</v>
      </c>
      <c r="W121">
        <v>6</v>
      </c>
      <c r="X121">
        <v>2</v>
      </c>
      <c r="Y121">
        <v>7</v>
      </c>
      <c r="Z121">
        <v>6</v>
      </c>
      <c r="AA121">
        <v>1</v>
      </c>
      <c r="AB121">
        <v>8</v>
      </c>
      <c r="AC121">
        <v>6</v>
      </c>
      <c r="AD121">
        <v>2</v>
      </c>
      <c r="AE121">
        <v>6</v>
      </c>
      <c r="AF121">
        <v>6</v>
      </c>
      <c r="AG121">
        <v>0</v>
      </c>
      <c r="AI121">
        <v>6</v>
      </c>
      <c r="AK121" t="s">
        <v>1280</v>
      </c>
      <c r="AL121" t="s">
        <v>1281</v>
      </c>
      <c r="AM121" t="s">
        <v>1282</v>
      </c>
      <c r="AN121" t="s">
        <v>1283</v>
      </c>
      <c r="AO121" t="s">
        <v>1284</v>
      </c>
      <c r="AP121" t="s">
        <v>1285</v>
      </c>
      <c r="AQ121" t="s">
        <v>1286</v>
      </c>
      <c r="AR121" t="s">
        <v>1287</v>
      </c>
      <c r="AS121" t="s">
        <v>216</v>
      </c>
    </row>
    <row r="122" spans="1:45" x14ac:dyDescent="0.45">
      <c r="A122">
        <v>121</v>
      </c>
      <c r="B122">
        <v>12465</v>
      </c>
      <c r="C122" t="s">
        <v>78</v>
      </c>
      <c r="D122" t="s">
        <v>190</v>
      </c>
      <c r="E122" t="s">
        <v>74</v>
      </c>
      <c r="F122" t="s">
        <v>75</v>
      </c>
      <c r="G122" t="s">
        <v>161</v>
      </c>
      <c r="H122">
        <v>190.93869660954104</v>
      </c>
      <c r="I122">
        <v>4</v>
      </c>
      <c r="J122">
        <v>6</v>
      </c>
      <c r="K122">
        <v>1</v>
      </c>
      <c r="L122">
        <v>5</v>
      </c>
      <c r="M122">
        <v>5</v>
      </c>
      <c r="N122">
        <v>1</v>
      </c>
      <c r="O122">
        <v>4</v>
      </c>
      <c r="P122">
        <v>8</v>
      </c>
      <c r="Q122">
        <v>1</v>
      </c>
      <c r="R122">
        <v>7</v>
      </c>
      <c r="S122">
        <v>7</v>
      </c>
      <c r="T122">
        <v>5</v>
      </c>
      <c r="U122">
        <v>2</v>
      </c>
      <c r="V122">
        <v>8</v>
      </c>
      <c r="W122">
        <v>1</v>
      </c>
      <c r="X122">
        <v>7</v>
      </c>
      <c r="Y122">
        <v>6</v>
      </c>
      <c r="Z122">
        <v>1</v>
      </c>
      <c r="AA122">
        <v>5</v>
      </c>
      <c r="AB122">
        <v>7</v>
      </c>
      <c r="AC122">
        <v>1</v>
      </c>
      <c r="AD122">
        <v>6</v>
      </c>
      <c r="AE122">
        <v>5</v>
      </c>
      <c r="AF122">
        <v>1</v>
      </c>
      <c r="AG122">
        <v>4</v>
      </c>
      <c r="AH122">
        <v>7</v>
      </c>
      <c r="AI122">
        <v>5</v>
      </c>
      <c r="AJ122">
        <v>2</v>
      </c>
      <c r="AK122" t="s">
        <v>1288</v>
      </c>
      <c r="AL122" t="s">
        <v>1289</v>
      </c>
      <c r="AM122" t="s">
        <v>1290</v>
      </c>
      <c r="AN122" t="s">
        <v>218</v>
      </c>
      <c r="AO122" t="s">
        <v>1291</v>
      </c>
      <c r="AP122" t="s">
        <v>1292</v>
      </c>
      <c r="AQ122" t="s">
        <v>1293</v>
      </c>
      <c r="AR122" t="s">
        <v>1294</v>
      </c>
      <c r="AS122" t="s">
        <v>1295</v>
      </c>
    </row>
    <row r="123" spans="1:45" x14ac:dyDescent="0.45">
      <c r="A123">
        <v>122</v>
      </c>
      <c r="B123">
        <v>12466</v>
      </c>
      <c r="C123" t="s">
        <v>78</v>
      </c>
      <c r="D123" t="s">
        <v>79</v>
      </c>
      <c r="E123" t="s">
        <v>74</v>
      </c>
      <c r="F123" t="s">
        <v>77</v>
      </c>
      <c r="G123" t="s">
        <v>76</v>
      </c>
      <c r="H123">
        <v>216.9380314138582</v>
      </c>
      <c r="I123">
        <v>0</v>
      </c>
      <c r="J123">
        <v>6</v>
      </c>
      <c r="K123">
        <v>4</v>
      </c>
      <c r="L123">
        <v>2</v>
      </c>
      <c r="M123">
        <v>7</v>
      </c>
      <c r="N123">
        <v>4</v>
      </c>
      <c r="O123">
        <v>3</v>
      </c>
      <c r="P123">
        <v>5</v>
      </c>
      <c r="Q123">
        <v>2</v>
      </c>
      <c r="R123">
        <v>3</v>
      </c>
      <c r="S123">
        <v>8</v>
      </c>
      <c r="T123">
        <v>5</v>
      </c>
      <c r="U123">
        <v>3</v>
      </c>
      <c r="V123">
        <v>7</v>
      </c>
      <c r="W123">
        <v>1</v>
      </c>
      <c r="X123">
        <v>6</v>
      </c>
      <c r="Y123">
        <v>8</v>
      </c>
      <c r="Z123">
        <v>1</v>
      </c>
      <c r="AA123">
        <v>7</v>
      </c>
      <c r="AB123">
        <v>6</v>
      </c>
      <c r="AC123">
        <v>1</v>
      </c>
      <c r="AD123">
        <v>5</v>
      </c>
      <c r="AE123">
        <v>7</v>
      </c>
      <c r="AF123">
        <v>4</v>
      </c>
      <c r="AG123">
        <v>3</v>
      </c>
      <c r="AH123">
        <v>7</v>
      </c>
      <c r="AI123">
        <v>4</v>
      </c>
      <c r="AJ123">
        <v>3</v>
      </c>
      <c r="AK123" t="s">
        <v>1296</v>
      </c>
      <c r="AL123" t="s">
        <v>1297</v>
      </c>
      <c r="AM123" t="s">
        <v>1298</v>
      </c>
      <c r="AN123" t="s">
        <v>1299</v>
      </c>
      <c r="AO123" t="s">
        <v>1300</v>
      </c>
      <c r="AP123" t="s">
        <v>1301</v>
      </c>
      <c r="AQ123" t="s">
        <v>1302</v>
      </c>
      <c r="AR123" t="s">
        <v>1303</v>
      </c>
      <c r="AS123" t="s">
        <v>1304</v>
      </c>
    </row>
    <row r="124" spans="1:45" x14ac:dyDescent="0.45">
      <c r="A124">
        <v>123</v>
      </c>
      <c r="B124">
        <v>12467</v>
      </c>
      <c r="C124" t="s">
        <v>72</v>
      </c>
      <c r="D124" t="s">
        <v>188</v>
      </c>
      <c r="E124" t="s">
        <v>74</v>
      </c>
      <c r="F124" t="s">
        <v>77</v>
      </c>
      <c r="G124" t="s">
        <v>76</v>
      </c>
      <c r="H124">
        <v>12</v>
      </c>
      <c r="I124">
        <v>0</v>
      </c>
      <c r="J124">
        <v>6</v>
      </c>
      <c r="K124">
        <v>7</v>
      </c>
      <c r="L124">
        <v>-1</v>
      </c>
      <c r="M124">
        <v>7</v>
      </c>
      <c r="N124">
        <v>7</v>
      </c>
      <c r="O124">
        <v>0</v>
      </c>
      <c r="P124">
        <v>8</v>
      </c>
      <c r="Q124">
        <v>7</v>
      </c>
      <c r="R124">
        <v>1</v>
      </c>
      <c r="S124">
        <v>7</v>
      </c>
      <c r="T124">
        <v>7</v>
      </c>
      <c r="U124">
        <v>0</v>
      </c>
      <c r="V124">
        <v>8</v>
      </c>
      <c r="W124">
        <v>7</v>
      </c>
      <c r="X124">
        <v>1</v>
      </c>
      <c r="Y124">
        <v>6</v>
      </c>
      <c r="Z124">
        <v>7</v>
      </c>
      <c r="AA124">
        <v>-1</v>
      </c>
      <c r="AB124">
        <v>7</v>
      </c>
      <c r="AC124">
        <v>7</v>
      </c>
      <c r="AD124">
        <v>0</v>
      </c>
      <c r="AE124">
        <v>8</v>
      </c>
      <c r="AF124">
        <v>7</v>
      </c>
      <c r="AG124">
        <v>1</v>
      </c>
      <c r="AH124">
        <v>7</v>
      </c>
      <c r="AI124">
        <v>8</v>
      </c>
      <c r="AJ124">
        <v>-1</v>
      </c>
      <c r="AK124" t="s">
        <v>1305</v>
      </c>
      <c r="AL124" t="s">
        <v>1306</v>
      </c>
      <c r="AM124" t="s">
        <v>1307</v>
      </c>
      <c r="AN124" t="s">
        <v>1308</v>
      </c>
      <c r="AO124" t="s">
        <v>1309</v>
      </c>
      <c r="AP124" t="s">
        <v>1310</v>
      </c>
      <c r="AQ124" t="s">
        <v>1311</v>
      </c>
      <c r="AR124" t="s">
        <v>1312</v>
      </c>
      <c r="AS124" t="s">
        <v>1313</v>
      </c>
    </row>
    <row r="125" spans="1:45" x14ac:dyDescent="0.45">
      <c r="A125">
        <v>124</v>
      </c>
      <c r="B125">
        <v>12468</v>
      </c>
      <c r="C125" t="s">
        <v>72</v>
      </c>
      <c r="D125" t="s">
        <v>190</v>
      </c>
      <c r="E125" t="s">
        <v>74</v>
      </c>
      <c r="F125" t="s">
        <v>75</v>
      </c>
      <c r="G125" t="s">
        <v>76</v>
      </c>
      <c r="H125">
        <v>41.480798696452553</v>
      </c>
      <c r="I125">
        <v>1</v>
      </c>
      <c r="J125">
        <v>6</v>
      </c>
      <c r="K125">
        <v>10</v>
      </c>
      <c r="L125">
        <v>-4</v>
      </c>
      <c r="M125">
        <v>6</v>
      </c>
      <c r="N125">
        <v>9</v>
      </c>
      <c r="O125">
        <v>-3</v>
      </c>
      <c r="P125">
        <v>8</v>
      </c>
      <c r="Q125">
        <v>10</v>
      </c>
      <c r="R125">
        <v>-2</v>
      </c>
      <c r="S125">
        <v>8</v>
      </c>
      <c r="T125">
        <v>10</v>
      </c>
      <c r="U125">
        <v>-2</v>
      </c>
      <c r="V125">
        <v>7</v>
      </c>
      <c r="W125">
        <v>10</v>
      </c>
      <c r="X125">
        <v>-3</v>
      </c>
      <c r="Y125">
        <v>8</v>
      </c>
      <c r="Z125">
        <v>8</v>
      </c>
      <c r="AA125">
        <v>0</v>
      </c>
      <c r="AB125">
        <v>6</v>
      </c>
      <c r="AC125">
        <v>9</v>
      </c>
      <c r="AD125">
        <v>-3</v>
      </c>
      <c r="AE125">
        <v>7</v>
      </c>
      <c r="AF125">
        <v>9</v>
      </c>
      <c r="AG125">
        <v>-2</v>
      </c>
      <c r="AH125">
        <v>7</v>
      </c>
      <c r="AI125">
        <v>9</v>
      </c>
      <c r="AJ125">
        <v>-2</v>
      </c>
      <c r="AK125" t="s">
        <v>1314</v>
      </c>
      <c r="AL125" t="s">
        <v>1315</v>
      </c>
      <c r="AM125" t="s">
        <v>1316</v>
      </c>
      <c r="AN125" t="s">
        <v>1317</v>
      </c>
      <c r="AO125" t="s">
        <v>1318</v>
      </c>
      <c r="AP125" t="s">
        <v>1319</v>
      </c>
      <c r="AQ125" t="s">
        <v>1320</v>
      </c>
      <c r="AR125" t="s">
        <v>1321</v>
      </c>
      <c r="AS125" t="s">
        <v>1322</v>
      </c>
    </row>
    <row r="126" spans="1:45" x14ac:dyDescent="0.45">
      <c r="A126">
        <v>125</v>
      </c>
      <c r="B126">
        <v>12469</v>
      </c>
      <c r="C126" t="s">
        <v>72</v>
      </c>
      <c r="D126" t="s">
        <v>188</v>
      </c>
      <c r="E126" t="s">
        <v>74</v>
      </c>
      <c r="F126" t="s">
        <v>77</v>
      </c>
      <c r="G126" t="s">
        <v>76</v>
      </c>
      <c r="H126">
        <v>12.055014978250577</v>
      </c>
      <c r="I126">
        <v>2</v>
      </c>
      <c r="J126">
        <v>5</v>
      </c>
      <c r="K126">
        <v>10</v>
      </c>
      <c r="L126">
        <v>-5</v>
      </c>
      <c r="M126">
        <v>6</v>
      </c>
      <c r="N126">
        <v>10</v>
      </c>
      <c r="O126">
        <v>-4</v>
      </c>
      <c r="P126">
        <v>8</v>
      </c>
      <c r="Q126">
        <v>10</v>
      </c>
      <c r="R126">
        <v>-2</v>
      </c>
      <c r="S126">
        <v>7</v>
      </c>
      <c r="T126">
        <v>10</v>
      </c>
      <c r="U126">
        <v>-3</v>
      </c>
      <c r="V126">
        <v>6</v>
      </c>
      <c r="W126">
        <v>10</v>
      </c>
      <c r="X126">
        <v>-4</v>
      </c>
      <c r="Y126">
        <v>5</v>
      </c>
      <c r="Z126">
        <v>10</v>
      </c>
      <c r="AA126">
        <v>-5</v>
      </c>
      <c r="AB126">
        <v>4</v>
      </c>
      <c r="AC126">
        <v>10</v>
      </c>
      <c r="AD126">
        <v>-6</v>
      </c>
      <c r="AE126">
        <v>5</v>
      </c>
      <c r="AF126">
        <v>10</v>
      </c>
      <c r="AG126">
        <v>-5</v>
      </c>
      <c r="AH126">
        <v>7</v>
      </c>
      <c r="AI126">
        <v>10</v>
      </c>
      <c r="AJ126">
        <v>-3</v>
      </c>
      <c r="AK126" t="s">
        <v>1323</v>
      </c>
      <c r="AL126" t="s">
        <v>1324</v>
      </c>
      <c r="AM126" t="s">
        <v>1325</v>
      </c>
      <c r="AN126" t="s">
        <v>1326</v>
      </c>
      <c r="AO126" t="s">
        <v>1327</v>
      </c>
      <c r="AP126" t="s">
        <v>1328</v>
      </c>
      <c r="AQ126" t="s">
        <v>1329</v>
      </c>
      <c r="AR126" t="s">
        <v>1330</v>
      </c>
      <c r="AS126" t="s">
        <v>1331</v>
      </c>
    </row>
    <row r="127" spans="1:45" x14ac:dyDescent="0.45">
      <c r="A127">
        <v>126</v>
      </c>
      <c r="B127">
        <v>12470</v>
      </c>
      <c r="C127" t="s">
        <v>78</v>
      </c>
      <c r="D127" t="s">
        <v>81</v>
      </c>
      <c r="E127" t="s">
        <v>74</v>
      </c>
      <c r="F127" t="s">
        <v>77</v>
      </c>
      <c r="G127" t="s">
        <v>76</v>
      </c>
      <c r="H127">
        <v>28.406554438717116</v>
      </c>
      <c r="I127">
        <v>0</v>
      </c>
      <c r="J127">
        <v>7</v>
      </c>
      <c r="K127">
        <v>8</v>
      </c>
      <c r="L127">
        <v>-1</v>
      </c>
      <c r="M127">
        <v>8</v>
      </c>
      <c r="N127">
        <v>8</v>
      </c>
      <c r="O127">
        <v>0</v>
      </c>
      <c r="P127">
        <v>9</v>
      </c>
      <c r="Q127">
        <v>5</v>
      </c>
      <c r="R127">
        <v>4</v>
      </c>
      <c r="S127">
        <v>8</v>
      </c>
      <c r="T127">
        <v>8</v>
      </c>
      <c r="U127">
        <v>0</v>
      </c>
      <c r="V127">
        <v>9</v>
      </c>
      <c r="W127">
        <v>8</v>
      </c>
      <c r="X127">
        <v>1</v>
      </c>
      <c r="Y127">
        <v>7</v>
      </c>
      <c r="Z127">
        <v>8</v>
      </c>
      <c r="AA127">
        <v>-1</v>
      </c>
      <c r="AB127">
        <v>8</v>
      </c>
      <c r="AC127">
        <v>7</v>
      </c>
      <c r="AD127">
        <v>1</v>
      </c>
      <c r="AE127">
        <v>6</v>
      </c>
      <c r="AF127">
        <v>7</v>
      </c>
      <c r="AG127">
        <v>-1</v>
      </c>
      <c r="AI127">
        <v>8</v>
      </c>
      <c r="AK127" t="s">
        <v>1332</v>
      </c>
      <c r="AL127" t="s">
        <v>1333</v>
      </c>
      <c r="AM127" t="s">
        <v>1334</v>
      </c>
      <c r="AN127" t="s">
        <v>1335</v>
      </c>
      <c r="AO127" t="s">
        <v>1336</v>
      </c>
      <c r="AP127" t="s">
        <v>1337</v>
      </c>
      <c r="AQ127" t="s">
        <v>1338</v>
      </c>
      <c r="AR127" t="s">
        <v>1339</v>
      </c>
      <c r="AS127" t="s">
        <v>216</v>
      </c>
    </row>
    <row r="128" spans="1:45" x14ac:dyDescent="0.45">
      <c r="A128">
        <v>127</v>
      </c>
      <c r="B128">
        <v>12471</v>
      </c>
      <c r="C128" t="s">
        <v>72</v>
      </c>
      <c r="D128" t="s">
        <v>79</v>
      </c>
      <c r="E128" t="s">
        <v>74</v>
      </c>
      <c r="F128" t="s">
        <v>77</v>
      </c>
      <c r="G128" t="s">
        <v>76</v>
      </c>
      <c r="H128">
        <v>198.64462478714378</v>
      </c>
      <c r="I128">
        <v>4</v>
      </c>
      <c r="J128">
        <v>7</v>
      </c>
      <c r="K128">
        <v>1</v>
      </c>
      <c r="L128">
        <v>6</v>
      </c>
      <c r="M128">
        <v>8</v>
      </c>
      <c r="N128">
        <v>1</v>
      </c>
      <c r="O128">
        <v>7</v>
      </c>
      <c r="P128">
        <v>9</v>
      </c>
      <c r="Q128">
        <v>1</v>
      </c>
      <c r="R128">
        <v>8</v>
      </c>
      <c r="S128">
        <v>8</v>
      </c>
      <c r="T128">
        <v>5</v>
      </c>
      <c r="U128">
        <v>3</v>
      </c>
      <c r="V128">
        <v>9</v>
      </c>
      <c r="W128">
        <v>1</v>
      </c>
      <c r="X128">
        <v>8</v>
      </c>
      <c r="Y128">
        <v>7</v>
      </c>
      <c r="Z128">
        <v>1</v>
      </c>
      <c r="AA128">
        <v>6</v>
      </c>
      <c r="AB128">
        <v>8</v>
      </c>
      <c r="AC128">
        <v>1</v>
      </c>
      <c r="AD128">
        <v>7</v>
      </c>
      <c r="AE128">
        <v>6</v>
      </c>
      <c r="AF128">
        <v>5</v>
      </c>
      <c r="AG128">
        <v>1</v>
      </c>
      <c r="AH128">
        <v>5</v>
      </c>
      <c r="AI128">
        <v>5</v>
      </c>
      <c r="AJ128">
        <v>0</v>
      </c>
      <c r="AK128" t="s">
        <v>1340</v>
      </c>
      <c r="AL128" t="s">
        <v>1341</v>
      </c>
      <c r="AM128" t="s">
        <v>1342</v>
      </c>
      <c r="AN128" t="s">
        <v>1343</v>
      </c>
      <c r="AO128" t="s">
        <v>1344</v>
      </c>
      <c r="AP128" t="s">
        <v>1345</v>
      </c>
      <c r="AQ128" t="s">
        <v>1346</v>
      </c>
      <c r="AR128" t="s">
        <v>1347</v>
      </c>
      <c r="AS128" t="s">
        <v>1348</v>
      </c>
    </row>
    <row r="129" spans="1:45" x14ac:dyDescent="0.45">
      <c r="A129">
        <v>128</v>
      </c>
      <c r="B129">
        <v>12472</v>
      </c>
      <c r="C129" t="s">
        <v>78</v>
      </c>
      <c r="D129" t="s">
        <v>190</v>
      </c>
      <c r="E129" t="s">
        <v>74</v>
      </c>
      <c r="F129" t="s">
        <v>77</v>
      </c>
      <c r="G129" t="s">
        <v>76</v>
      </c>
      <c r="H129">
        <v>117.90727278959787</v>
      </c>
      <c r="I129">
        <v>4</v>
      </c>
      <c r="J129">
        <v>6</v>
      </c>
      <c r="K129">
        <v>6</v>
      </c>
      <c r="L129">
        <v>0</v>
      </c>
      <c r="M129">
        <v>7</v>
      </c>
      <c r="N129">
        <v>6</v>
      </c>
      <c r="O129">
        <v>1</v>
      </c>
      <c r="P129">
        <v>8</v>
      </c>
      <c r="Q129">
        <v>6</v>
      </c>
      <c r="R129">
        <v>2</v>
      </c>
      <c r="S129">
        <v>9</v>
      </c>
      <c r="T129">
        <v>8</v>
      </c>
      <c r="U129">
        <v>1</v>
      </c>
      <c r="V129">
        <v>7</v>
      </c>
      <c r="W129">
        <v>6</v>
      </c>
      <c r="X129">
        <v>1</v>
      </c>
      <c r="Y129">
        <v>8</v>
      </c>
      <c r="Z129">
        <v>3</v>
      </c>
      <c r="AA129">
        <v>5</v>
      </c>
      <c r="AB129">
        <v>6</v>
      </c>
      <c r="AC129">
        <v>5</v>
      </c>
      <c r="AD129">
        <v>1</v>
      </c>
      <c r="AE129">
        <v>5</v>
      </c>
      <c r="AF129">
        <v>5</v>
      </c>
      <c r="AG129">
        <v>0</v>
      </c>
      <c r="AH129">
        <v>7</v>
      </c>
      <c r="AI129">
        <v>4</v>
      </c>
      <c r="AJ129">
        <v>3</v>
      </c>
      <c r="AK129" t="s">
        <v>1349</v>
      </c>
      <c r="AL129" t="s">
        <v>1350</v>
      </c>
      <c r="AM129" t="s">
        <v>1351</v>
      </c>
      <c r="AN129" t="s">
        <v>1352</v>
      </c>
      <c r="AO129" t="s">
        <v>1353</v>
      </c>
      <c r="AP129" t="s">
        <v>1354</v>
      </c>
      <c r="AQ129" t="s">
        <v>1355</v>
      </c>
      <c r="AR129" t="s">
        <v>1356</v>
      </c>
      <c r="AS129" t="s">
        <v>1357</v>
      </c>
    </row>
    <row r="130" spans="1:45" x14ac:dyDescent="0.45">
      <c r="A130">
        <v>129</v>
      </c>
      <c r="B130">
        <v>12473</v>
      </c>
      <c r="C130" t="s">
        <v>78</v>
      </c>
      <c r="D130" t="s">
        <v>190</v>
      </c>
      <c r="E130" t="s">
        <v>74</v>
      </c>
      <c r="F130" t="s">
        <v>75</v>
      </c>
      <c r="G130" t="s">
        <v>76</v>
      </c>
      <c r="H130">
        <v>123.77938844694197</v>
      </c>
      <c r="I130">
        <v>3</v>
      </c>
      <c r="J130">
        <v>6</v>
      </c>
      <c r="K130">
        <v>6</v>
      </c>
      <c r="L130">
        <v>0</v>
      </c>
      <c r="M130">
        <v>7</v>
      </c>
      <c r="N130">
        <v>6</v>
      </c>
      <c r="O130">
        <v>1</v>
      </c>
      <c r="P130">
        <v>5</v>
      </c>
      <c r="Q130">
        <v>4</v>
      </c>
      <c r="R130">
        <v>1</v>
      </c>
      <c r="S130">
        <v>4</v>
      </c>
      <c r="T130">
        <v>5</v>
      </c>
      <c r="U130">
        <v>-1</v>
      </c>
      <c r="V130">
        <v>8</v>
      </c>
      <c r="W130">
        <v>5</v>
      </c>
      <c r="X130">
        <v>3</v>
      </c>
      <c r="Y130">
        <v>6</v>
      </c>
      <c r="Z130">
        <v>1</v>
      </c>
      <c r="AA130">
        <v>5</v>
      </c>
      <c r="AB130">
        <v>5</v>
      </c>
      <c r="AC130">
        <v>5</v>
      </c>
      <c r="AD130">
        <v>0</v>
      </c>
      <c r="AE130">
        <v>6</v>
      </c>
      <c r="AF130">
        <v>4</v>
      </c>
      <c r="AG130">
        <v>2</v>
      </c>
      <c r="AH130">
        <v>7</v>
      </c>
      <c r="AI130">
        <v>5</v>
      </c>
      <c r="AJ130">
        <v>2</v>
      </c>
      <c r="AK130" t="s">
        <v>1358</v>
      </c>
      <c r="AL130" t="s">
        <v>1359</v>
      </c>
      <c r="AM130" t="s">
        <v>1360</v>
      </c>
      <c r="AN130" t="s">
        <v>1361</v>
      </c>
      <c r="AO130" t="s">
        <v>1362</v>
      </c>
      <c r="AP130" t="s">
        <v>1363</v>
      </c>
      <c r="AQ130" t="s">
        <v>1364</v>
      </c>
      <c r="AR130" t="s">
        <v>1365</v>
      </c>
      <c r="AS130" t="s">
        <v>1366</v>
      </c>
    </row>
    <row r="131" spans="1:45" x14ac:dyDescent="0.45">
      <c r="A131">
        <v>130</v>
      </c>
      <c r="B131">
        <v>12474</v>
      </c>
      <c r="C131" t="s">
        <v>72</v>
      </c>
      <c r="D131" t="s">
        <v>192</v>
      </c>
      <c r="E131" t="s">
        <v>74</v>
      </c>
      <c r="F131" t="s">
        <v>75</v>
      </c>
      <c r="G131" t="s">
        <v>76</v>
      </c>
      <c r="H131">
        <v>76.963883500430342</v>
      </c>
      <c r="I131">
        <v>2</v>
      </c>
      <c r="J131">
        <v>8</v>
      </c>
      <c r="K131">
        <v>5</v>
      </c>
      <c r="L131">
        <v>3</v>
      </c>
      <c r="M131">
        <v>7</v>
      </c>
      <c r="N131">
        <v>5</v>
      </c>
      <c r="O131">
        <v>2</v>
      </c>
      <c r="P131">
        <v>9</v>
      </c>
      <c r="Q131">
        <v>1</v>
      </c>
      <c r="R131">
        <v>8</v>
      </c>
      <c r="S131">
        <v>8</v>
      </c>
      <c r="T131">
        <v>4</v>
      </c>
      <c r="U131">
        <v>4</v>
      </c>
      <c r="V131">
        <v>6</v>
      </c>
      <c r="W131">
        <v>2</v>
      </c>
      <c r="X131">
        <v>4</v>
      </c>
      <c r="Y131">
        <v>7</v>
      </c>
      <c r="Z131">
        <v>1</v>
      </c>
      <c r="AA131">
        <v>6</v>
      </c>
      <c r="AB131">
        <v>6</v>
      </c>
      <c r="AC131">
        <v>1</v>
      </c>
      <c r="AD131">
        <v>5</v>
      </c>
      <c r="AE131">
        <v>5</v>
      </c>
      <c r="AF131">
        <v>1</v>
      </c>
      <c r="AG131">
        <v>4</v>
      </c>
      <c r="AH131">
        <v>7</v>
      </c>
      <c r="AI131">
        <v>5</v>
      </c>
      <c r="AJ131">
        <v>2</v>
      </c>
      <c r="AK131" t="s">
        <v>1367</v>
      </c>
      <c r="AL131" t="s">
        <v>1368</v>
      </c>
      <c r="AM131" t="s">
        <v>1369</v>
      </c>
      <c r="AN131" t="s">
        <v>1370</v>
      </c>
      <c r="AO131" t="s">
        <v>1371</v>
      </c>
      <c r="AP131" t="s">
        <v>1372</v>
      </c>
      <c r="AQ131" t="s">
        <v>1373</v>
      </c>
      <c r="AR131" t="s">
        <v>1374</v>
      </c>
      <c r="AS131" t="s">
        <v>1375</v>
      </c>
    </row>
    <row r="132" spans="1:45" x14ac:dyDescent="0.45">
      <c r="A132">
        <v>131</v>
      </c>
      <c r="B132">
        <v>12475</v>
      </c>
      <c r="C132" t="s">
        <v>72</v>
      </c>
      <c r="D132" t="s">
        <v>73</v>
      </c>
      <c r="E132" t="s">
        <v>74</v>
      </c>
      <c r="F132" t="s">
        <v>75</v>
      </c>
      <c r="G132" t="s">
        <v>76</v>
      </c>
      <c r="H132">
        <v>83.111831894022401</v>
      </c>
      <c r="I132">
        <v>1</v>
      </c>
      <c r="J132">
        <v>7</v>
      </c>
      <c r="K132">
        <v>8</v>
      </c>
      <c r="L132">
        <v>-1</v>
      </c>
      <c r="M132">
        <v>8</v>
      </c>
      <c r="N132">
        <v>9</v>
      </c>
      <c r="O132">
        <v>-1</v>
      </c>
      <c r="P132">
        <v>6</v>
      </c>
      <c r="Q132">
        <v>5</v>
      </c>
      <c r="R132">
        <v>1</v>
      </c>
      <c r="S132">
        <v>8</v>
      </c>
      <c r="T132">
        <v>5</v>
      </c>
      <c r="U132">
        <v>3</v>
      </c>
      <c r="V132">
        <v>6</v>
      </c>
      <c r="W132">
        <v>5</v>
      </c>
      <c r="X132">
        <v>1</v>
      </c>
      <c r="Y132">
        <v>7</v>
      </c>
      <c r="Z132">
        <v>4</v>
      </c>
      <c r="AA132">
        <v>3</v>
      </c>
      <c r="AB132">
        <v>6</v>
      </c>
      <c r="AC132">
        <v>5</v>
      </c>
      <c r="AD132">
        <v>1</v>
      </c>
      <c r="AE132">
        <v>7</v>
      </c>
      <c r="AF132">
        <v>5</v>
      </c>
      <c r="AG132">
        <v>2</v>
      </c>
      <c r="AH132">
        <v>7</v>
      </c>
      <c r="AI132">
        <v>5</v>
      </c>
      <c r="AJ132">
        <v>2</v>
      </c>
      <c r="AK132" t="s">
        <v>1376</v>
      </c>
      <c r="AL132" t="s">
        <v>1377</v>
      </c>
      <c r="AM132" t="s">
        <v>1378</v>
      </c>
      <c r="AN132" t="s">
        <v>1379</v>
      </c>
      <c r="AO132" t="s">
        <v>1380</v>
      </c>
      <c r="AP132" t="s">
        <v>1381</v>
      </c>
      <c r="AQ132" t="s">
        <v>1382</v>
      </c>
      <c r="AR132" t="s">
        <v>1383</v>
      </c>
      <c r="AS132" t="s">
        <v>1384</v>
      </c>
    </row>
    <row r="133" spans="1:45" x14ac:dyDescent="0.45">
      <c r="A133">
        <v>132</v>
      </c>
      <c r="B133">
        <v>12476</v>
      </c>
      <c r="C133" t="s">
        <v>78</v>
      </c>
      <c r="D133" t="s">
        <v>188</v>
      </c>
      <c r="E133" t="s">
        <v>74</v>
      </c>
      <c r="F133" t="s">
        <v>77</v>
      </c>
      <c r="G133" t="s">
        <v>76</v>
      </c>
      <c r="H133">
        <v>12.677340809925916</v>
      </c>
      <c r="I133">
        <v>0</v>
      </c>
      <c r="J133">
        <v>8</v>
      </c>
      <c r="K133">
        <v>9</v>
      </c>
      <c r="L133">
        <v>-1</v>
      </c>
      <c r="M133">
        <v>9</v>
      </c>
      <c r="N133">
        <v>9</v>
      </c>
      <c r="O133">
        <v>0</v>
      </c>
      <c r="P133">
        <v>7</v>
      </c>
      <c r="Q133">
        <v>9</v>
      </c>
      <c r="R133">
        <v>-2</v>
      </c>
      <c r="S133">
        <v>8</v>
      </c>
      <c r="T133">
        <v>9</v>
      </c>
      <c r="U133">
        <v>-1</v>
      </c>
      <c r="V133">
        <v>7</v>
      </c>
      <c r="W133">
        <v>7</v>
      </c>
      <c r="X133">
        <v>0</v>
      </c>
      <c r="Y133">
        <v>8</v>
      </c>
      <c r="Z133">
        <v>10</v>
      </c>
      <c r="AA133">
        <v>-2</v>
      </c>
      <c r="AB133">
        <v>7</v>
      </c>
      <c r="AC133">
        <v>5</v>
      </c>
      <c r="AD133">
        <v>2</v>
      </c>
      <c r="AE133">
        <v>6</v>
      </c>
      <c r="AF133">
        <v>5</v>
      </c>
      <c r="AG133">
        <v>1</v>
      </c>
      <c r="AH133">
        <v>8</v>
      </c>
      <c r="AI133">
        <v>9</v>
      </c>
      <c r="AJ133">
        <v>-1</v>
      </c>
      <c r="AK133" t="s">
        <v>1385</v>
      </c>
      <c r="AL133" t="s">
        <v>1386</v>
      </c>
      <c r="AM133" t="s">
        <v>1387</v>
      </c>
      <c r="AN133" t="s">
        <v>1388</v>
      </c>
      <c r="AO133" t="s">
        <v>1389</v>
      </c>
      <c r="AP133" t="s">
        <v>1390</v>
      </c>
      <c r="AQ133" t="s">
        <v>1391</v>
      </c>
      <c r="AR133" t="s">
        <v>1392</v>
      </c>
      <c r="AS133" t="s">
        <v>1393</v>
      </c>
    </row>
    <row r="134" spans="1:45" x14ac:dyDescent="0.45">
      <c r="A134">
        <v>133</v>
      </c>
      <c r="B134">
        <v>12477</v>
      </c>
      <c r="C134" t="s">
        <v>78</v>
      </c>
      <c r="D134" t="s">
        <v>81</v>
      </c>
      <c r="E134" t="s">
        <v>74</v>
      </c>
      <c r="F134" t="s">
        <v>189</v>
      </c>
      <c r="G134" t="s">
        <v>76</v>
      </c>
      <c r="H134">
        <v>42.030908308466138</v>
      </c>
      <c r="I134">
        <v>0</v>
      </c>
      <c r="J134">
        <v>7</v>
      </c>
      <c r="K134">
        <v>5</v>
      </c>
      <c r="L134">
        <v>2</v>
      </c>
      <c r="M134">
        <v>8</v>
      </c>
      <c r="N134">
        <v>5</v>
      </c>
      <c r="O134">
        <v>3</v>
      </c>
      <c r="P134">
        <v>6</v>
      </c>
      <c r="Q134">
        <v>5</v>
      </c>
      <c r="R134">
        <v>1</v>
      </c>
      <c r="S134">
        <v>8</v>
      </c>
      <c r="T134">
        <v>5</v>
      </c>
      <c r="U134">
        <v>3</v>
      </c>
      <c r="V134">
        <v>6</v>
      </c>
      <c r="W134">
        <v>5</v>
      </c>
      <c r="X134">
        <v>1</v>
      </c>
      <c r="Y134">
        <v>9</v>
      </c>
      <c r="Z134">
        <v>5</v>
      </c>
      <c r="AA134">
        <v>4</v>
      </c>
      <c r="AB134">
        <v>7</v>
      </c>
      <c r="AC134">
        <v>5</v>
      </c>
      <c r="AD134">
        <v>2</v>
      </c>
      <c r="AE134">
        <v>6</v>
      </c>
      <c r="AF134">
        <v>5</v>
      </c>
      <c r="AG134">
        <v>1</v>
      </c>
      <c r="AH134">
        <v>8</v>
      </c>
      <c r="AI134">
        <v>5</v>
      </c>
      <c r="AJ134">
        <v>3</v>
      </c>
      <c r="AK134" t="s">
        <v>1394</v>
      </c>
      <c r="AL134" t="s">
        <v>1395</v>
      </c>
      <c r="AM134" t="s">
        <v>1396</v>
      </c>
      <c r="AN134" t="s">
        <v>1397</v>
      </c>
      <c r="AO134" t="s">
        <v>1398</v>
      </c>
      <c r="AP134" t="s">
        <v>1399</v>
      </c>
      <c r="AQ134" t="s">
        <v>1400</v>
      </c>
      <c r="AR134" t="s">
        <v>1401</v>
      </c>
      <c r="AS134" t="s">
        <v>1402</v>
      </c>
    </row>
    <row r="135" spans="1:45" x14ac:dyDescent="0.45">
      <c r="A135">
        <v>134</v>
      </c>
      <c r="B135">
        <v>12478</v>
      </c>
      <c r="C135" t="s">
        <v>72</v>
      </c>
      <c r="D135" t="s">
        <v>188</v>
      </c>
      <c r="E135" t="s">
        <v>74</v>
      </c>
      <c r="F135" t="s">
        <v>77</v>
      </c>
      <c r="G135" t="s">
        <v>76</v>
      </c>
      <c r="H135">
        <v>19.566114812780143</v>
      </c>
      <c r="I135">
        <v>0</v>
      </c>
      <c r="J135">
        <v>7</v>
      </c>
      <c r="K135">
        <v>9</v>
      </c>
      <c r="L135">
        <v>-2</v>
      </c>
      <c r="M135">
        <v>8</v>
      </c>
      <c r="N135">
        <v>9</v>
      </c>
      <c r="O135">
        <v>-1</v>
      </c>
      <c r="P135">
        <v>6</v>
      </c>
      <c r="Q135">
        <v>5</v>
      </c>
      <c r="R135">
        <v>1</v>
      </c>
      <c r="S135">
        <v>7</v>
      </c>
      <c r="T135">
        <v>9</v>
      </c>
      <c r="U135">
        <v>-2</v>
      </c>
      <c r="V135">
        <v>6</v>
      </c>
      <c r="W135">
        <v>8</v>
      </c>
      <c r="X135">
        <v>-2</v>
      </c>
      <c r="Y135">
        <v>8</v>
      </c>
      <c r="Z135">
        <v>10</v>
      </c>
      <c r="AA135">
        <v>-2</v>
      </c>
      <c r="AB135">
        <v>7</v>
      </c>
      <c r="AC135">
        <v>5</v>
      </c>
      <c r="AD135">
        <v>2</v>
      </c>
      <c r="AE135">
        <v>6</v>
      </c>
      <c r="AF135">
        <v>5</v>
      </c>
      <c r="AG135">
        <v>1</v>
      </c>
      <c r="AH135">
        <v>5</v>
      </c>
      <c r="AI135">
        <v>7</v>
      </c>
      <c r="AJ135">
        <v>-2</v>
      </c>
      <c r="AK135" t="s">
        <v>1403</v>
      </c>
      <c r="AL135" t="s">
        <v>1404</v>
      </c>
      <c r="AM135" t="s">
        <v>1405</v>
      </c>
      <c r="AN135" t="s">
        <v>1406</v>
      </c>
      <c r="AO135" t="s">
        <v>1407</v>
      </c>
      <c r="AP135" t="s">
        <v>1408</v>
      </c>
      <c r="AQ135" t="s">
        <v>1409</v>
      </c>
      <c r="AR135" t="s">
        <v>1410</v>
      </c>
      <c r="AS135" t="s">
        <v>1411</v>
      </c>
    </row>
    <row r="136" spans="1:45" x14ac:dyDescent="0.45">
      <c r="A136">
        <v>135</v>
      </c>
      <c r="B136">
        <v>12479</v>
      </c>
      <c r="C136" t="s">
        <v>78</v>
      </c>
      <c r="D136" t="s">
        <v>188</v>
      </c>
      <c r="E136" t="s">
        <v>74</v>
      </c>
      <c r="F136" t="s">
        <v>77</v>
      </c>
      <c r="G136" t="s">
        <v>76</v>
      </c>
      <c r="H136">
        <v>14.048329736593841</v>
      </c>
      <c r="I136">
        <v>0</v>
      </c>
      <c r="J136">
        <v>7</v>
      </c>
      <c r="K136">
        <v>5</v>
      </c>
      <c r="L136">
        <v>2</v>
      </c>
      <c r="M136">
        <v>8</v>
      </c>
      <c r="N136">
        <v>5</v>
      </c>
      <c r="O136">
        <v>3</v>
      </c>
      <c r="P136">
        <v>6</v>
      </c>
      <c r="Q136">
        <v>5</v>
      </c>
      <c r="R136">
        <v>1</v>
      </c>
      <c r="S136">
        <v>9</v>
      </c>
      <c r="T136">
        <v>6</v>
      </c>
      <c r="U136">
        <v>3</v>
      </c>
      <c r="V136">
        <v>8</v>
      </c>
      <c r="W136">
        <v>6</v>
      </c>
      <c r="X136">
        <v>2</v>
      </c>
      <c r="Y136">
        <v>7</v>
      </c>
      <c r="Z136">
        <v>6</v>
      </c>
      <c r="AA136">
        <v>1</v>
      </c>
      <c r="AB136">
        <v>8</v>
      </c>
      <c r="AC136">
        <v>6</v>
      </c>
      <c r="AD136">
        <v>2</v>
      </c>
      <c r="AE136">
        <v>6</v>
      </c>
      <c r="AF136">
        <v>6</v>
      </c>
      <c r="AG136">
        <v>0</v>
      </c>
      <c r="AH136">
        <v>7</v>
      </c>
      <c r="AI136">
        <v>6</v>
      </c>
      <c r="AJ136">
        <v>1</v>
      </c>
      <c r="AK136" t="s">
        <v>1412</v>
      </c>
      <c r="AL136" t="s">
        <v>1413</v>
      </c>
      <c r="AM136" t="s">
        <v>1414</v>
      </c>
      <c r="AN136" t="s">
        <v>1415</v>
      </c>
      <c r="AO136" t="s">
        <v>1416</v>
      </c>
      <c r="AP136" t="s">
        <v>1417</v>
      </c>
      <c r="AQ136" t="s">
        <v>1418</v>
      </c>
      <c r="AR136" t="s">
        <v>1419</v>
      </c>
      <c r="AS136" t="s">
        <v>1420</v>
      </c>
    </row>
    <row r="137" spans="1:45" x14ac:dyDescent="0.45">
      <c r="A137">
        <v>136</v>
      </c>
      <c r="B137">
        <v>12480</v>
      </c>
      <c r="C137" t="s">
        <v>72</v>
      </c>
      <c r="D137" t="s">
        <v>192</v>
      </c>
      <c r="E137" t="s">
        <v>74</v>
      </c>
      <c r="F137" t="s">
        <v>77</v>
      </c>
      <c r="G137" t="s">
        <v>161</v>
      </c>
      <c r="H137">
        <v>12</v>
      </c>
      <c r="I137">
        <v>0</v>
      </c>
      <c r="J137">
        <v>8</v>
      </c>
      <c r="K137">
        <v>8</v>
      </c>
      <c r="L137">
        <v>0</v>
      </c>
      <c r="M137">
        <v>7</v>
      </c>
      <c r="N137">
        <v>8</v>
      </c>
      <c r="O137">
        <v>-1</v>
      </c>
      <c r="P137">
        <v>9</v>
      </c>
      <c r="Q137">
        <v>8</v>
      </c>
      <c r="R137">
        <v>1</v>
      </c>
      <c r="S137">
        <v>8</v>
      </c>
      <c r="T137">
        <v>8</v>
      </c>
      <c r="U137">
        <v>0</v>
      </c>
      <c r="V137">
        <v>7</v>
      </c>
      <c r="W137">
        <v>10</v>
      </c>
      <c r="X137">
        <v>-3</v>
      </c>
      <c r="Y137">
        <v>8</v>
      </c>
      <c r="Z137">
        <v>10</v>
      </c>
      <c r="AA137">
        <v>-2</v>
      </c>
      <c r="AB137">
        <v>7</v>
      </c>
      <c r="AC137">
        <v>10</v>
      </c>
      <c r="AD137">
        <v>-3</v>
      </c>
      <c r="AE137">
        <v>6</v>
      </c>
      <c r="AF137">
        <v>10</v>
      </c>
      <c r="AG137">
        <v>-4</v>
      </c>
      <c r="AH137">
        <v>8</v>
      </c>
      <c r="AI137">
        <v>10</v>
      </c>
      <c r="AJ137">
        <v>-2</v>
      </c>
      <c r="AK137" t="s">
        <v>1421</v>
      </c>
      <c r="AL137" t="s">
        <v>1422</v>
      </c>
      <c r="AM137" t="s">
        <v>1423</v>
      </c>
      <c r="AN137" t="s">
        <v>1424</v>
      </c>
      <c r="AO137" t="s">
        <v>1425</v>
      </c>
      <c r="AP137" t="s">
        <v>1426</v>
      </c>
      <c r="AQ137" t="s">
        <v>1427</v>
      </c>
      <c r="AR137" t="s">
        <v>1428</v>
      </c>
      <c r="AS137" t="s">
        <v>1429</v>
      </c>
    </row>
    <row r="138" spans="1:45" x14ac:dyDescent="0.45">
      <c r="A138">
        <v>137</v>
      </c>
      <c r="B138">
        <v>12481</v>
      </c>
      <c r="C138" t="s">
        <v>78</v>
      </c>
      <c r="D138" t="s">
        <v>190</v>
      </c>
      <c r="E138" t="s">
        <v>74</v>
      </c>
      <c r="F138" t="s">
        <v>77</v>
      </c>
      <c r="G138" t="s">
        <v>76</v>
      </c>
      <c r="H138">
        <v>135.68484840159198</v>
      </c>
      <c r="I138">
        <v>4</v>
      </c>
      <c r="J138">
        <v>6</v>
      </c>
      <c r="K138">
        <v>8</v>
      </c>
      <c r="L138">
        <v>-2</v>
      </c>
      <c r="M138">
        <v>5</v>
      </c>
      <c r="N138">
        <v>8</v>
      </c>
      <c r="O138">
        <v>-3</v>
      </c>
      <c r="P138">
        <v>4</v>
      </c>
      <c r="Q138">
        <v>8</v>
      </c>
      <c r="R138">
        <v>-4</v>
      </c>
      <c r="S138">
        <v>7</v>
      </c>
      <c r="T138">
        <v>8</v>
      </c>
      <c r="U138">
        <v>-1</v>
      </c>
      <c r="V138">
        <v>5</v>
      </c>
      <c r="W138">
        <v>8</v>
      </c>
      <c r="X138">
        <v>-3</v>
      </c>
      <c r="Y138">
        <v>8</v>
      </c>
      <c r="Z138">
        <v>8</v>
      </c>
      <c r="AA138">
        <v>0</v>
      </c>
      <c r="AB138">
        <v>5</v>
      </c>
      <c r="AC138">
        <v>5</v>
      </c>
      <c r="AD138">
        <v>0</v>
      </c>
      <c r="AE138">
        <v>4</v>
      </c>
      <c r="AF138">
        <v>7</v>
      </c>
      <c r="AG138">
        <v>-3</v>
      </c>
      <c r="AH138">
        <v>6</v>
      </c>
      <c r="AI138">
        <v>8</v>
      </c>
      <c r="AJ138">
        <v>-2</v>
      </c>
      <c r="AK138" t="s">
        <v>1430</v>
      </c>
      <c r="AL138" t="s">
        <v>1431</v>
      </c>
      <c r="AM138" t="s">
        <v>1432</v>
      </c>
      <c r="AN138" t="s">
        <v>1433</v>
      </c>
      <c r="AO138" t="s">
        <v>1434</v>
      </c>
      <c r="AP138" t="s">
        <v>1435</v>
      </c>
      <c r="AQ138" t="s">
        <v>1436</v>
      </c>
      <c r="AR138" t="s">
        <v>1437</v>
      </c>
      <c r="AS138" t="s">
        <v>1438</v>
      </c>
    </row>
    <row r="139" spans="1:45" x14ac:dyDescent="0.45">
      <c r="A139">
        <v>138</v>
      </c>
      <c r="B139">
        <v>12482</v>
      </c>
      <c r="C139" t="s">
        <v>72</v>
      </c>
      <c r="D139" t="s">
        <v>81</v>
      </c>
      <c r="E139" t="s">
        <v>74</v>
      </c>
      <c r="F139" t="s">
        <v>75</v>
      </c>
      <c r="G139" t="s">
        <v>76</v>
      </c>
      <c r="H139">
        <v>14.139724413877779</v>
      </c>
      <c r="I139">
        <v>0</v>
      </c>
      <c r="J139">
        <v>7</v>
      </c>
      <c r="K139">
        <v>8</v>
      </c>
      <c r="L139">
        <v>-1</v>
      </c>
      <c r="M139">
        <v>6</v>
      </c>
      <c r="N139">
        <v>9</v>
      </c>
      <c r="O139">
        <v>-3</v>
      </c>
      <c r="P139">
        <v>8</v>
      </c>
      <c r="Q139">
        <v>7</v>
      </c>
      <c r="R139">
        <v>1</v>
      </c>
      <c r="S139">
        <v>9</v>
      </c>
      <c r="T139">
        <v>7</v>
      </c>
      <c r="U139">
        <v>2</v>
      </c>
      <c r="V139">
        <v>6</v>
      </c>
      <c r="W139">
        <v>6</v>
      </c>
      <c r="X139">
        <v>0</v>
      </c>
      <c r="Y139">
        <v>8</v>
      </c>
      <c r="Z139">
        <v>6</v>
      </c>
      <c r="AA139">
        <v>2</v>
      </c>
      <c r="AB139">
        <v>7</v>
      </c>
      <c r="AC139">
        <v>2</v>
      </c>
      <c r="AD139">
        <v>5</v>
      </c>
      <c r="AE139">
        <v>6</v>
      </c>
      <c r="AF139">
        <v>5</v>
      </c>
      <c r="AG139">
        <v>1</v>
      </c>
      <c r="AH139">
        <v>7</v>
      </c>
      <c r="AI139">
        <v>6</v>
      </c>
      <c r="AJ139">
        <v>1</v>
      </c>
      <c r="AK139" t="s">
        <v>1439</v>
      </c>
      <c r="AL139" t="s">
        <v>1440</v>
      </c>
      <c r="AM139" t="s">
        <v>1441</v>
      </c>
      <c r="AN139" t="s">
        <v>1442</v>
      </c>
      <c r="AO139" t="s">
        <v>1443</v>
      </c>
      <c r="AP139" t="s">
        <v>1444</v>
      </c>
      <c r="AQ139" t="s">
        <v>1445</v>
      </c>
      <c r="AR139" t="s">
        <v>1446</v>
      </c>
      <c r="AS139" t="s">
        <v>1447</v>
      </c>
    </row>
    <row r="140" spans="1:45" x14ac:dyDescent="0.45">
      <c r="A140">
        <v>139</v>
      </c>
      <c r="B140">
        <v>12483</v>
      </c>
      <c r="C140" t="s">
        <v>72</v>
      </c>
      <c r="D140" t="s">
        <v>79</v>
      </c>
      <c r="E140" t="s">
        <v>74</v>
      </c>
      <c r="F140" t="s">
        <v>75</v>
      </c>
      <c r="G140" t="s">
        <v>76</v>
      </c>
      <c r="H140">
        <v>158.4554792969042</v>
      </c>
      <c r="I140">
        <v>2</v>
      </c>
      <c r="J140">
        <v>8</v>
      </c>
      <c r="K140">
        <v>5</v>
      </c>
      <c r="L140">
        <v>3</v>
      </c>
      <c r="M140">
        <v>9</v>
      </c>
      <c r="N140">
        <v>4</v>
      </c>
      <c r="O140">
        <v>5</v>
      </c>
      <c r="P140">
        <v>7</v>
      </c>
      <c r="Q140">
        <v>7</v>
      </c>
      <c r="R140">
        <v>0</v>
      </c>
      <c r="S140">
        <v>8</v>
      </c>
      <c r="T140">
        <v>6</v>
      </c>
      <c r="U140">
        <v>2</v>
      </c>
      <c r="V140">
        <v>7</v>
      </c>
      <c r="W140">
        <v>3</v>
      </c>
      <c r="X140">
        <v>4</v>
      </c>
      <c r="Y140">
        <v>6</v>
      </c>
      <c r="Z140">
        <v>4</v>
      </c>
      <c r="AA140">
        <v>2</v>
      </c>
      <c r="AB140">
        <v>7</v>
      </c>
      <c r="AC140">
        <v>4</v>
      </c>
      <c r="AD140">
        <v>3</v>
      </c>
      <c r="AE140">
        <v>6</v>
      </c>
      <c r="AF140">
        <v>5</v>
      </c>
      <c r="AG140">
        <v>1</v>
      </c>
      <c r="AH140">
        <v>7</v>
      </c>
      <c r="AI140">
        <v>5</v>
      </c>
      <c r="AJ140">
        <v>2</v>
      </c>
      <c r="AK140" t="s">
        <v>1448</v>
      </c>
      <c r="AL140" t="s">
        <v>1449</v>
      </c>
      <c r="AM140" t="s">
        <v>1450</v>
      </c>
      <c r="AN140" t="s">
        <v>1451</v>
      </c>
      <c r="AO140" t="s">
        <v>1452</v>
      </c>
      <c r="AP140" t="s">
        <v>1453</v>
      </c>
      <c r="AQ140" t="s">
        <v>1454</v>
      </c>
      <c r="AR140" t="s">
        <v>1455</v>
      </c>
      <c r="AS140" t="s">
        <v>1456</v>
      </c>
    </row>
    <row r="141" spans="1:45" x14ac:dyDescent="0.45">
      <c r="A141">
        <v>140</v>
      </c>
      <c r="B141">
        <v>12484</v>
      </c>
      <c r="C141" t="s">
        <v>72</v>
      </c>
      <c r="D141" t="s">
        <v>73</v>
      </c>
      <c r="E141" t="s">
        <v>74</v>
      </c>
      <c r="F141" t="s">
        <v>77</v>
      </c>
      <c r="G141" t="s">
        <v>76</v>
      </c>
      <c r="H141">
        <v>26.307433001153747</v>
      </c>
      <c r="I141">
        <v>1</v>
      </c>
      <c r="J141">
        <v>8</v>
      </c>
      <c r="K141">
        <v>10</v>
      </c>
      <c r="L141">
        <v>-2</v>
      </c>
      <c r="M141">
        <v>7</v>
      </c>
      <c r="N141">
        <v>9</v>
      </c>
      <c r="O141">
        <v>-2</v>
      </c>
      <c r="P141">
        <v>9</v>
      </c>
      <c r="Q141">
        <v>9</v>
      </c>
      <c r="R141">
        <v>0</v>
      </c>
      <c r="S141">
        <v>8</v>
      </c>
      <c r="T141">
        <v>9</v>
      </c>
      <c r="U141">
        <v>-1</v>
      </c>
      <c r="V141">
        <v>7</v>
      </c>
      <c r="W141">
        <v>8</v>
      </c>
      <c r="X141">
        <v>-1</v>
      </c>
      <c r="Y141">
        <v>8</v>
      </c>
      <c r="Z141">
        <v>8</v>
      </c>
      <c r="AA141">
        <v>0</v>
      </c>
      <c r="AB141">
        <v>7</v>
      </c>
      <c r="AC141">
        <v>8</v>
      </c>
      <c r="AD141">
        <v>-1</v>
      </c>
      <c r="AE141">
        <v>8</v>
      </c>
      <c r="AF141">
        <v>8</v>
      </c>
      <c r="AG141">
        <v>0</v>
      </c>
      <c r="AH141">
        <v>7</v>
      </c>
      <c r="AI141">
        <v>10</v>
      </c>
      <c r="AJ141">
        <v>-3</v>
      </c>
      <c r="AK141" t="s">
        <v>1457</v>
      </c>
      <c r="AL141" t="s">
        <v>1458</v>
      </c>
      <c r="AM141" t="s">
        <v>1459</v>
      </c>
      <c r="AN141" t="s">
        <v>1460</v>
      </c>
      <c r="AO141" t="s">
        <v>1461</v>
      </c>
      <c r="AP141" t="s">
        <v>1462</v>
      </c>
      <c r="AQ141" t="s">
        <v>1463</v>
      </c>
      <c r="AR141" t="s">
        <v>1464</v>
      </c>
      <c r="AS141" t="s">
        <v>1465</v>
      </c>
    </row>
    <row r="142" spans="1:45" x14ac:dyDescent="0.45">
      <c r="A142">
        <v>141</v>
      </c>
      <c r="B142">
        <v>12485</v>
      </c>
      <c r="C142" t="s">
        <v>78</v>
      </c>
      <c r="D142" t="s">
        <v>73</v>
      </c>
      <c r="E142" t="s">
        <v>74</v>
      </c>
      <c r="F142" t="s">
        <v>77</v>
      </c>
      <c r="G142" t="s">
        <v>76</v>
      </c>
      <c r="H142">
        <v>24.022720572137843</v>
      </c>
      <c r="I142">
        <v>1</v>
      </c>
      <c r="J142">
        <v>8</v>
      </c>
      <c r="K142">
        <v>8</v>
      </c>
      <c r="L142">
        <v>0</v>
      </c>
      <c r="M142">
        <v>7</v>
      </c>
      <c r="N142">
        <v>7</v>
      </c>
      <c r="O142">
        <v>0</v>
      </c>
      <c r="P142">
        <v>9</v>
      </c>
      <c r="Q142">
        <v>6</v>
      </c>
      <c r="R142">
        <v>3</v>
      </c>
      <c r="S142">
        <v>8</v>
      </c>
      <c r="T142">
        <v>6</v>
      </c>
      <c r="U142">
        <v>2</v>
      </c>
      <c r="V142">
        <v>7</v>
      </c>
      <c r="W142">
        <v>5</v>
      </c>
      <c r="X142">
        <v>2</v>
      </c>
      <c r="Y142">
        <v>6</v>
      </c>
      <c r="Z142">
        <v>5</v>
      </c>
      <c r="AA142">
        <v>1</v>
      </c>
      <c r="AB142">
        <v>6</v>
      </c>
      <c r="AC142">
        <v>3</v>
      </c>
      <c r="AD142">
        <v>3</v>
      </c>
      <c r="AE142">
        <v>7</v>
      </c>
      <c r="AF142">
        <v>3</v>
      </c>
      <c r="AG142">
        <v>4</v>
      </c>
      <c r="AH142">
        <v>8</v>
      </c>
      <c r="AI142">
        <v>5</v>
      </c>
      <c r="AJ142">
        <v>3</v>
      </c>
      <c r="AK142" t="s">
        <v>1466</v>
      </c>
      <c r="AL142" t="s">
        <v>1467</v>
      </c>
      <c r="AM142" t="s">
        <v>1468</v>
      </c>
      <c r="AN142" t="s">
        <v>1469</v>
      </c>
      <c r="AO142" t="s">
        <v>1470</v>
      </c>
      <c r="AP142" t="s">
        <v>1471</v>
      </c>
      <c r="AQ142" t="s">
        <v>1472</v>
      </c>
      <c r="AR142" t="s">
        <v>1473</v>
      </c>
      <c r="AS142" t="s">
        <v>1474</v>
      </c>
    </row>
    <row r="143" spans="1:45" x14ac:dyDescent="0.45">
      <c r="A143">
        <v>142</v>
      </c>
      <c r="B143">
        <v>12486</v>
      </c>
      <c r="C143" t="s">
        <v>78</v>
      </c>
      <c r="D143" t="s">
        <v>79</v>
      </c>
      <c r="E143" t="s">
        <v>74</v>
      </c>
      <c r="F143" t="s">
        <v>75</v>
      </c>
      <c r="G143" t="s">
        <v>76</v>
      </c>
      <c r="H143">
        <v>12</v>
      </c>
      <c r="I143">
        <v>1</v>
      </c>
      <c r="J143">
        <v>7</v>
      </c>
      <c r="K143">
        <v>5</v>
      </c>
      <c r="L143">
        <v>2</v>
      </c>
      <c r="M143">
        <v>8</v>
      </c>
      <c r="N143">
        <v>6</v>
      </c>
      <c r="O143">
        <v>2</v>
      </c>
      <c r="P143">
        <v>9</v>
      </c>
      <c r="Q143">
        <v>5</v>
      </c>
      <c r="R143">
        <v>4</v>
      </c>
      <c r="S143">
        <v>8</v>
      </c>
      <c r="T143">
        <v>7</v>
      </c>
      <c r="U143">
        <v>1</v>
      </c>
      <c r="V143">
        <v>6</v>
      </c>
      <c r="W143">
        <v>6</v>
      </c>
      <c r="X143">
        <v>0</v>
      </c>
      <c r="Y143">
        <v>8</v>
      </c>
      <c r="Z143">
        <v>6</v>
      </c>
      <c r="AA143">
        <v>2</v>
      </c>
      <c r="AB143">
        <v>6</v>
      </c>
      <c r="AC143">
        <v>6</v>
      </c>
      <c r="AD143">
        <v>0</v>
      </c>
      <c r="AE143">
        <v>7</v>
      </c>
      <c r="AF143">
        <v>7</v>
      </c>
      <c r="AG143">
        <v>0</v>
      </c>
      <c r="AH143">
        <v>8</v>
      </c>
      <c r="AI143">
        <v>7</v>
      </c>
      <c r="AJ143">
        <v>1</v>
      </c>
      <c r="AK143" t="s">
        <v>1475</v>
      </c>
      <c r="AL143" t="s">
        <v>1476</v>
      </c>
      <c r="AM143" t="s">
        <v>1477</v>
      </c>
      <c r="AN143" t="s">
        <v>1478</v>
      </c>
      <c r="AO143" t="s">
        <v>1479</v>
      </c>
      <c r="AP143" t="s">
        <v>1480</v>
      </c>
      <c r="AQ143" t="s">
        <v>1481</v>
      </c>
      <c r="AR143" t="s">
        <v>1482</v>
      </c>
      <c r="AS143" t="s">
        <v>1483</v>
      </c>
    </row>
    <row r="144" spans="1:45" x14ac:dyDescent="0.45">
      <c r="A144">
        <v>143</v>
      </c>
      <c r="B144">
        <v>12487</v>
      </c>
      <c r="C144" t="s">
        <v>78</v>
      </c>
      <c r="D144" t="s">
        <v>73</v>
      </c>
      <c r="E144" t="s">
        <v>74</v>
      </c>
      <c r="F144" t="s">
        <v>75</v>
      </c>
      <c r="G144" t="s">
        <v>76</v>
      </c>
      <c r="H144">
        <v>134.0319560403963</v>
      </c>
      <c r="I144">
        <v>0</v>
      </c>
      <c r="J144">
        <v>8</v>
      </c>
      <c r="K144">
        <v>1</v>
      </c>
      <c r="L144">
        <v>7</v>
      </c>
      <c r="M144">
        <v>9</v>
      </c>
      <c r="N144">
        <v>1</v>
      </c>
      <c r="O144">
        <v>8</v>
      </c>
      <c r="P144">
        <v>7</v>
      </c>
      <c r="Q144">
        <v>8</v>
      </c>
      <c r="R144">
        <v>-1</v>
      </c>
      <c r="S144">
        <v>8</v>
      </c>
      <c r="T144">
        <v>8</v>
      </c>
      <c r="U144">
        <v>0</v>
      </c>
      <c r="V144">
        <v>7</v>
      </c>
      <c r="W144">
        <v>8</v>
      </c>
      <c r="X144">
        <v>-1</v>
      </c>
      <c r="Y144">
        <v>8</v>
      </c>
      <c r="Z144">
        <v>8</v>
      </c>
      <c r="AA144">
        <v>0</v>
      </c>
      <c r="AB144">
        <v>7</v>
      </c>
      <c r="AC144">
        <v>8</v>
      </c>
      <c r="AD144">
        <v>-1</v>
      </c>
      <c r="AE144">
        <v>8</v>
      </c>
      <c r="AF144">
        <v>8</v>
      </c>
      <c r="AG144">
        <v>0</v>
      </c>
      <c r="AH144">
        <v>7</v>
      </c>
      <c r="AI144">
        <v>8</v>
      </c>
      <c r="AJ144">
        <v>-1</v>
      </c>
      <c r="AK144" t="s">
        <v>1484</v>
      </c>
      <c r="AL144" t="s">
        <v>1485</v>
      </c>
      <c r="AM144" t="s">
        <v>1486</v>
      </c>
      <c r="AN144" t="s">
        <v>1487</v>
      </c>
      <c r="AO144" t="s">
        <v>1488</v>
      </c>
      <c r="AP144" t="s">
        <v>1489</v>
      </c>
      <c r="AQ144" t="s">
        <v>1490</v>
      </c>
      <c r="AR144" t="s">
        <v>1491</v>
      </c>
      <c r="AS144" t="s">
        <v>1492</v>
      </c>
    </row>
    <row r="145" spans="1:45" x14ac:dyDescent="0.45">
      <c r="A145">
        <v>144</v>
      </c>
      <c r="B145">
        <v>12488</v>
      </c>
      <c r="C145" t="s">
        <v>72</v>
      </c>
      <c r="D145" t="s">
        <v>190</v>
      </c>
      <c r="E145" t="s">
        <v>74</v>
      </c>
      <c r="F145" t="s">
        <v>77</v>
      </c>
      <c r="G145" t="s">
        <v>76</v>
      </c>
      <c r="H145">
        <v>56.781792561316756</v>
      </c>
      <c r="I145">
        <v>2</v>
      </c>
      <c r="J145">
        <v>7</v>
      </c>
      <c r="K145">
        <v>9</v>
      </c>
      <c r="L145">
        <v>-2</v>
      </c>
      <c r="M145">
        <v>8</v>
      </c>
      <c r="N145">
        <v>9</v>
      </c>
      <c r="O145">
        <v>-1</v>
      </c>
      <c r="P145">
        <v>6</v>
      </c>
      <c r="Q145">
        <v>9</v>
      </c>
      <c r="R145">
        <v>-3</v>
      </c>
      <c r="S145">
        <v>8</v>
      </c>
      <c r="T145">
        <v>9</v>
      </c>
      <c r="U145">
        <v>-1</v>
      </c>
      <c r="V145">
        <v>7</v>
      </c>
      <c r="W145">
        <v>10</v>
      </c>
      <c r="X145">
        <v>-3</v>
      </c>
      <c r="Y145">
        <v>8</v>
      </c>
      <c r="Z145">
        <v>5</v>
      </c>
      <c r="AA145">
        <v>3</v>
      </c>
      <c r="AB145">
        <v>6</v>
      </c>
      <c r="AC145">
        <v>9</v>
      </c>
      <c r="AD145">
        <v>-3</v>
      </c>
      <c r="AE145">
        <v>7</v>
      </c>
      <c r="AF145">
        <v>9</v>
      </c>
      <c r="AG145">
        <v>-2</v>
      </c>
      <c r="AH145">
        <v>7</v>
      </c>
      <c r="AI145">
        <v>10</v>
      </c>
      <c r="AJ145">
        <v>-3</v>
      </c>
      <c r="AK145" t="s">
        <v>1493</v>
      </c>
      <c r="AL145" t="s">
        <v>1494</v>
      </c>
      <c r="AM145" t="s">
        <v>1495</v>
      </c>
      <c r="AN145" t="s">
        <v>1496</v>
      </c>
      <c r="AO145" t="s">
        <v>1497</v>
      </c>
      <c r="AP145" t="s">
        <v>1498</v>
      </c>
      <c r="AQ145" t="s">
        <v>1499</v>
      </c>
      <c r="AR145" t="s">
        <v>1500</v>
      </c>
      <c r="AS145" t="s">
        <v>1501</v>
      </c>
    </row>
    <row r="146" spans="1:45" x14ac:dyDescent="0.45">
      <c r="A146">
        <v>145</v>
      </c>
      <c r="B146">
        <v>12489</v>
      </c>
      <c r="C146" t="s">
        <v>72</v>
      </c>
      <c r="D146" t="s">
        <v>79</v>
      </c>
      <c r="E146" t="s">
        <v>74</v>
      </c>
      <c r="F146" t="s">
        <v>77</v>
      </c>
      <c r="G146" t="s">
        <v>76</v>
      </c>
      <c r="H146">
        <v>61.32628134005131</v>
      </c>
      <c r="I146">
        <v>2</v>
      </c>
      <c r="J146">
        <v>5</v>
      </c>
      <c r="K146">
        <v>10</v>
      </c>
      <c r="L146">
        <v>-5</v>
      </c>
      <c r="M146">
        <v>6</v>
      </c>
      <c r="N146">
        <v>10</v>
      </c>
      <c r="O146">
        <v>-4</v>
      </c>
      <c r="P146">
        <v>7</v>
      </c>
      <c r="Q146">
        <v>9</v>
      </c>
      <c r="R146">
        <v>-2</v>
      </c>
      <c r="S146">
        <v>8</v>
      </c>
      <c r="T146">
        <v>6</v>
      </c>
      <c r="U146">
        <v>2</v>
      </c>
      <c r="V146">
        <v>7</v>
      </c>
      <c r="W146">
        <v>6</v>
      </c>
      <c r="X146">
        <v>1</v>
      </c>
      <c r="Y146">
        <v>8</v>
      </c>
      <c r="Z146">
        <v>3</v>
      </c>
      <c r="AA146">
        <v>5</v>
      </c>
      <c r="AB146">
        <v>6</v>
      </c>
      <c r="AC146">
        <v>5</v>
      </c>
      <c r="AD146">
        <v>1</v>
      </c>
      <c r="AE146">
        <v>5</v>
      </c>
      <c r="AF146">
        <v>5</v>
      </c>
      <c r="AG146">
        <v>0</v>
      </c>
      <c r="AH146">
        <v>6</v>
      </c>
      <c r="AI146">
        <v>1</v>
      </c>
      <c r="AJ146">
        <v>5</v>
      </c>
      <c r="AK146" t="s">
        <v>1502</v>
      </c>
      <c r="AL146" t="s">
        <v>1503</v>
      </c>
      <c r="AM146" t="s">
        <v>1504</v>
      </c>
      <c r="AN146" t="s">
        <v>1505</v>
      </c>
      <c r="AO146" t="s">
        <v>1506</v>
      </c>
      <c r="AP146" t="s">
        <v>1507</v>
      </c>
      <c r="AQ146" t="s">
        <v>1508</v>
      </c>
      <c r="AR146" t="s">
        <v>1509</v>
      </c>
      <c r="AS146" t="s">
        <v>1510</v>
      </c>
    </row>
    <row r="147" spans="1:45" x14ac:dyDescent="0.45">
      <c r="A147">
        <v>146</v>
      </c>
      <c r="B147">
        <v>12490</v>
      </c>
      <c r="C147" t="s">
        <v>72</v>
      </c>
      <c r="D147" t="s">
        <v>79</v>
      </c>
      <c r="E147" t="s">
        <v>74</v>
      </c>
      <c r="F147" t="s">
        <v>77</v>
      </c>
      <c r="G147" t="s">
        <v>76</v>
      </c>
      <c r="H147">
        <v>99.835798257129966</v>
      </c>
      <c r="I147">
        <v>3</v>
      </c>
      <c r="J147">
        <v>7</v>
      </c>
      <c r="K147">
        <v>8</v>
      </c>
      <c r="L147">
        <v>-1</v>
      </c>
      <c r="M147">
        <v>6</v>
      </c>
      <c r="N147">
        <v>8</v>
      </c>
      <c r="O147">
        <v>-2</v>
      </c>
      <c r="P147">
        <v>8</v>
      </c>
      <c r="Q147">
        <v>5</v>
      </c>
      <c r="R147">
        <v>3</v>
      </c>
      <c r="S147">
        <v>9</v>
      </c>
      <c r="T147">
        <v>5</v>
      </c>
      <c r="U147">
        <v>4</v>
      </c>
      <c r="V147">
        <v>7</v>
      </c>
      <c r="W147">
        <v>5</v>
      </c>
      <c r="X147">
        <v>2</v>
      </c>
      <c r="Y147">
        <v>8</v>
      </c>
      <c r="Z147">
        <v>3</v>
      </c>
      <c r="AA147">
        <v>5</v>
      </c>
      <c r="AB147">
        <v>6</v>
      </c>
      <c r="AC147">
        <v>5</v>
      </c>
      <c r="AD147">
        <v>1</v>
      </c>
      <c r="AE147">
        <v>7</v>
      </c>
      <c r="AF147">
        <v>5</v>
      </c>
      <c r="AG147">
        <v>2</v>
      </c>
      <c r="AH147">
        <v>8</v>
      </c>
      <c r="AI147">
        <v>5</v>
      </c>
      <c r="AJ147">
        <v>3</v>
      </c>
      <c r="AK147" t="s">
        <v>1511</v>
      </c>
      <c r="AL147" t="s">
        <v>1512</v>
      </c>
      <c r="AM147" t="s">
        <v>1513</v>
      </c>
      <c r="AN147" t="s">
        <v>1514</v>
      </c>
      <c r="AO147" t="s">
        <v>1515</v>
      </c>
      <c r="AP147" t="s">
        <v>1516</v>
      </c>
      <c r="AQ147" t="s">
        <v>1517</v>
      </c>
      <c r="AR147" t="s">
        <v>1518</v>
      </c>
      <c r="AS147" t="s">
        <v>1519</v>
      </c>
    </row>
    <row r="148" spans="1:45" x14ac:dyDescent="0.45">
      <c r="A148">
        <v>147</v>
      </c>
      <c r="B148">
        <v>12491</v>
      </c>
      <c r="C148" t="s">
        <v>72</v>
      </c>
      <c r="D148" t="s">
        <v>192</v>
      </c>
      <c r="E148" t="s">
        <v>74</v>
      </c>
      <c r="F148" t="s">
        <v>75</v>
      </c>
      <c r="G148" t="s">
        <v>76</v>
      </c>
      <c r="H148">
        <v>226.77125660149903</v>
      </c>
      <c r="I148">
        <v>0</v>
      </c>
      <c r="J148">
        <v>7</v>
      </c>
      <c r="K148">
        <v>7</v>
      </c>
      <c r="L148">
        <v>0</v>
      </c>
      <c r="M148">
        <v>8</v>
      </c>
      <c r="N148">
        <v>7</v>
      </c>
      <c r="O148">
        <v>1</v>
      </c>
      <c r="P148">
        <v>6</v>
      </c>
      <c r="Q148">
        <v>1</v>
      </c>
      <c r="R148">
        <v>5</v>
      </c>
      <c r="S148">
        <v>7</v>
      </c>
      <c r="T148">
        <v>6</v>
      </c>
      <c r="U148">
        <v>1</v>
      </c>
      <c r="V148">
        <v>8</v>
      </c>
      <c r="W148">
        <v>3</v>
      </c>
      <c r="X148">
        <v>5</v>
      </c>
      <c r="Y148">
        <v>9</v>
      </c>
      <c r="Z148">
        <v>5</v>
      </c>
      <c r="AA148">
        <v>4</v>
      </c>
      <c r="AB148">
        <v>7</v>
      </c>
      <c r="AC148">
        <v>1</v>
      </c>
      <c r="AD148">
        <v>6</v>
      </c>
      <c r="AE148">
        <v>6</v>
      </c>
      <c r="AF148">
        <v>4</v>
      </c>
      <c r="AG148">
        <v>2</v>
      </c>
      <c r="AH148">
        <v>7</v>
      </c>
      <c r="AI148">
        <v>5</v>
      </c>
      <c r="AJ148">
        <v>2</v>
      </c>
      <c r="AK148" t="s">
        <v>1520</v>
      </c>
      <c r="AL148" t="s">
        <v>1521</v>
      </c>
      <c r="AM148" t="s">
        <v>1522</v>
      </c>
      <c r="AN148" t="s">
        <v>1523</v>
      </c>
      <c r="AO148" t="s">
        <v>1524</v>
      </c>
      <c r="AP148" t="s">
        <v>1525</v>
      </c>
      <c r="AQ148" t="s">
        <v>1526</v>
      </c>
      <c r="AR148" t="s">
        <v>1527</v>
      </c>
      <c r="AS148" t="s">
        <v>1528</v>
      </c>
    </row>
    <row r="149" spans="1:45" x14ac:dyDescent="0.45">
      <c r="A149">
        <v>148</v>
      </c>
      <c r="B149">
        <v>12492</v>
      </c>
      <c r="C149" t="s">
        <v>78</v>
      </c>
      <c r="D149" t="s">
        <v>81</v>
      </c>
      <c r="E149" t="s">
        <v>74</v>
      </c>
      <c r="F149" t="s">
        <v>77</v>
      </c>
      <c r="G149" t="s">
        <v>76</v>
      </c>
      <c r="H149">
        <v>20.524355056803518</v>
      </c>
      <c r="I149">
        <v>0</v>
      </c>
      <c r="J149">
        <v>8</v>
      </c>
      <c r="K149">
        <v>6</v>
      </c>
      <c r="L149">
        <v>2</v>
      </c>
      <c r="M149">
        <v>7</v>
      </c>
      <c r="N149">
        <v>6</v>
      </c>
      <c r="O149">
        <v>1</v>
      </c>
      <c r="P149">
        <v>9</v>
      </c>
      <c r="Q149">
        <v>5</v>
      </c>
      <c r="R149">
        <v>4</v>
      </c>
      <c r="S149">
        <v>8</v>
      </c>
      <c r="T149">
        <v>7</v>
      </c>
      <c r="U149">
        <v>1</v>
      </c>
      <c r="V149">
        <v>7</v>
      </c>
      <c r="W149">
        <v>5</v>
      </c>
      <c r="X149">
        <v>2</v>
      </c>
      <c r="Y149">
        <v>6</v>
      </c>
      <c r="Z149">
        <v>7</v>
      </c>
      <c r="AA149">
        <v>-1</v>
      </c>
      <c r="AB149">
        <v>5</v>
      </c>
      <c r="AC149">
        <v>5</v>
      </c>
      <c r="AD149">
        <v>0</v>
      </c>
      <c r="AE149">
        <v>7</v>
      </c>
      <c r="AF149">
        <v>6</v>
      </c>
      <c r="AG149">
        <v>1</v>
      </c>
      <c r="AH149">
        <v>6</v>
      </c>
      <c r="AI149">
        <v>7</v>
      </c>
      <c r="AJ149">
        <v>-1</v>
      </c>
      <c r="AK149" t="s">
        <v>1529</v>
      </c>
      <c r="AL149" t="s">
        <v>1530</v>
      </c>
      <c r="AM149" t="s">
        <v>1531</v>
      </c>
      <c r="AN149" t="s">
        <v>1532</v>
      </c>
      <c r="AO149" t="s">
        <v>1533</v>
      </c>
      <c r="AP149" t="s">
        <v>1534</v>
      </c>
      <c r="AQ149" t="s">
        <v>1535</v>
      </c>
      <c r="AR149" t="s">
        <v>1536</v>
      </c>
      <c r="AS149" t="s">
        <v>1537</v>
      </c>
    </row>
    <row r="150" spans="1:45" x14ac:dyDescent="0.45">
      <c r="A150">
        <v>149</v>
      </c>
      <c r="B150">
        <v>12493</v>
      </c>
      <c r="C150" t="s">
        <v>72</v>
      </c>
      <c r="D150" t="s">
        <v>79</v>
      </c>
      <c r="E150" t="s">
        <v>74</v>
      </c>
      <c r="F150" t="s">
        <v>77</v>
      </c>
      <c r="G150" t="s">
        <v>76</v>
      </c>
      <c r="H150">
        <v>102.0682683494535</v>
      </c>
      <c r="I150">
        <v>3</v>
      </c>
      <c r="J150">
        <v>7</v>
      </c>
      <c r="K150">
        <v>10</v>
      </c>
      <c r="L150">
        <v>-3</v>
      </c>
      <c r="M150">
        <v>8</v>
      </c>
      <c r="N150">
        <v>10</v>
      </c>
      <c r="O150">
        <v>-2</v>
      </c>
      <c r="P150">
        <v>6</v>
      </c>
      <c r="Q150">
        <v>7</v>
      </c>
      <c r="R150">
        <v>-1</v>
      </c>
      <c r="S150">
        <v>9</v>
      </c>
      <c r="T150">
        <v>8</v>
      </c>
      <c r="U150">
        <v>1</v>
      </c>
      <c r="V150">
        <v>5</v>
      </c>
      <c r="W150">
        <v>8</v>
      </c>
      <c r="X150">
        <v>-3</v>
      </c>
      <c r="Y150">
        <v>7</v>
      </c>
      <c r="Z150">
        <v>4</v>
      </c>
      <c r="AA150">
        <v>3</v>
      </c>
      <c r="AB150">
        <v>5</v>
      </c>
      <c r="AC150">
        <v>1</v>
      </c>
      <c r="AD150">
        <v>4</v>
      </c>
      <c r="AE150">
        <v>6</v>
      </c>
      <c r="AF150">
        <v>3</v>
      </c>
      <c r="AG150">
        <v>3</v>
      </c>
      <c r="AH150">
        <v>6</v>
      </c>
      <c r="AI150">
        <v>6</v>
      </c>
      <c r="AJ150">
        <v>0</v>
      </c>
      <c r="AK150" t="s">
        <v>1538</v>
      </c>
      <c r="AL150" t="s">
        <v>1539</v>
      </c>
      <c r="AM150" t="s">
        <v>1540</v>
      </c>
      <c r="AN150" t="s">
        <v>1541</v>
      </c>
      <c r="AO150" t="s">
        <v>1542</v>
      </c>
      <c r="AP150" t="s">
        <v>1543</v>
      </c>
      <c r="AQ150" t="s">
        <v>1544</v>
      </c>
      <c r="AR150" t="s">
        <v>1545</v>
      </c>
      <c r="AS150" t="s">
        <v>1546</v>
      </c>
    </row>
    <row r="151" spans="1:45" x14ac:dyDescent="0.45">
      <c r="A151">
        <v>150</v>
      </c>
      <c r="B151">
        <v>12494</v>
      </c>
      <c r="C151" t="s">
        <v>72</v>
      </c>
      <c r="D151" t="s">
        <v>79</v>
      </c>
      <c r="E151" t="s">
        <v>74</v>
      </c>
      <c r="F151" t="s">
        <v>77</v>
      </c>
      <c r="G151" t="s">
        <v>76</v>
      </c>
      <c r="H151">
        <v>50.068690773472348</v>
      </c>
      <c r="I151">
        <v>2</v>
      </c>
      <c r="J151">
        <v>7</v>
      </c>
      <c r="K151">
        <v>7</v>
      </c>
      <c r="L151">
        <v>0</v>
      </c>
      <c r="M151">
        <v>6</v>
      </c>
      <c r="N151">
        <v>10</v>
      </c>
      <c r="O151">
        <v>-4</v>
      </c>
      <c r="P151">
        <v>9</v>
      </c>
      <c r="Q151">
        <v>5</v>
      </c>
      <c r="R151">
        <v>4</v>
      </c>
      <c r="S151">
        <v>8</v>
      </c>
      <c r="T151">
        <v>7</v>
      </c>
      <c r="U151">
        <v>1</v>
      </c>
      <c r="V151">
        <v>5</v>
      </c>
      <c r="W151">
        <v>7</v>
      </c>
      <c r="X151">
        <v>-2</v>
      </c>
      <c r="Y151">
        <v>6</v>
      </c>
      <c r="Z151">
        <v>7</v>
      </c>
      <c r="AA151">
        <v>-1</v>
      </c>
      <c r="AB151">
        <v>4</v>
      </c>
      <c r="AC151">
        <v>7</v>
      </c>
      <c r="AD151">
        <v>-3</v>
      </c>
      <c r="AE151">
        <v>5</v>
      </c>
      <c r="AF151">
        <v>7</v>
      </c>
      <c r="AG151">
        <v>-2</v>
      </c>
      <c r="AH151">
        <v>8</v>
      </c>
      <c r="AI151">
        <v>10</v>
      </c>
      <c r="AJ151">
        <v>-2</v>
      </c>
      <c r="AK151" t="s">
        <v>1547</v>
      </c>
      <c r="AL151" t="s">
        <v>1548</v>
      </c>
      <c r="AM151" t="s">
        <v>1549</v>
      </c>
      <c r="AN151" t="s">
        <v>1550</v>
      </c>
      <c r="AO151" t="s">
        <v>1551</v>
      </c>
      <c r="AP151" t="s">
        <v>1552</v>
      </c>
      <c r="AQ151" t="s">
        <v>1553</v>
      </c>
      <c r="AR151" t="s">
        <v>1554</v>
      </c>
      <c r="AS151" t="s">
        <v>1555</v>
      </c>
    </row>
    <row r="152" spans="1:45" x14ac:dyDescent="0.45">
      <c r="A152">
        <v>151</v>
      </c>
      <c r="B152">
        <v>12495</v>
      </c>
      <c r="C152" t="s">
        <v>72</v>
      </c>
      <c r="D152" t="s">
        <v>73</v>
      </c>
      <c r="E152" t="s">
        <v>74</v>
      </c>
      <c r="F152" t="s">
        <v>77</v>
      </c>
      <c r="G152" t="s">
        <v>76</v>
      </c>
      <c r="H152">
        <v>88.487498038856671</v>
      </c>
      <c r="I152">
        <v>2</v>
      </c>
      <c r="J152">
        <v>7</v>
      </c>
      <c r="K152">
        <v>8</v>
      </c>
      <c r="L152">
        <v>-1</v>
      </c>
      <c r="M152">
        <v>6</v>
      </c>
      <c r="N152">
        <v>8</v>
      </c>
      <c r="O152">
        <v>-2</v>
      </c>
      <c r="P152">
        <v>8</v>
      </c>
      <c r="Q152">
        <v>8</v>
      </c>
      <c r="R152">
        <v>0</v>
      </c>
      <c r="S152">
        <v>9</v>
      </c>
      <c r="T152">
        <v>8</v>
      </c>
      <c r="U152">
        <v>1</v>
      </c>
      <c r="V152">
        <v>7</v>
      </c>
      <c r="W152">
        <v>8</v>
      </c>
      <c r="X152">
        <v>-1</v>
      </c>
      <c r="Y152">
        <v>8</v>
      </c>
      <c r="Z152">
        <v>8</v>
      </c>
      <c r="AA152">
        <v>0</v>
      </c>
      <c r="AB152">
        <v>7</v>
      </c>
      <c r="AC152">
        <v>8</v>
      </c>
      <c r="AD152">
        <v>-1</v>
      </c>
      <c r="AE152">
        <v>6</v>
      </c>
      <c r="AF152">
        <v>8</v>
      </c>
      <c r="AG152">
        <v>-2</v>
      </c>
      <c r="AH152">
        <v>7</v>
      </c>
      <c r="AI152">
        <v>8</v>
      </c>
      <c r="AJ152">
        <v>-1</v>
      </c>
      <c r="AK152" t="s">
        <v>1556</v>
      </c>
      <c r="AL152" t="s">
        <v>1557</v>
      </c>
      <c r="AM152" t="s">
        <v>1558</v>
      </c>
      <c r="AN152" t="s">
        <v>1559</v>
      </c>
      <c r="AO152" t="s">
        <v>1560</v>
      </c>
      <c r="AP152" t="s">
        <v>1561</v>
      </c>
      <c r="AQ152" t="s">
        <v>1562</v>
      </c>
      <c r="AR152" t="s">
        <v>1563</v>
      </c>
      <c r="AS152" t="s">
        <v>1564</v>
      </c>
    </row>
    <row r="153" spans="1:45" x14ac:dyDescent="0.45">
      <c r="A153">
        <v>152</v>
      </c>
      <c r="B153">
        <v>12496</v>
      </c>
      <c r="C153" t="s">
        <v>72</v>
      </c>
      <c r="D153" t="s">
        <v>79</v>
      </c>
      <c r="E153" t="s">
        <v>74</v>
      </c>
      <c r="F153" t="s">
        <v>75</v>
      </c>
      <c r="G153" t="s">
        <v>76</v>
      </c>
      <c r="H153">
        <v>74.109147590656349</v>
      </c>
      <c r="I153">
        <v>2</v>
      </c>
      <c r="J153">
        <v>9</v>
      </c>
      <c r="K153">
        <v>10</v>
      </c>
      <c r="L153">
        <v>-1</v>
      </c>
      <c r="M153">
        <v>8</v>
      </c>
      <c r="N153">
        <v>10</v>
      </c>
      <c r="O153">
        <v>-2</v>
      </c>
      <c r="P153">
        <v>8</v>
      </c>
      <c r="Q153">
        <v>10</v>
      </c>
      <c r="R153">
        <v>-2</v>
      </c>
      <c r="S153">
        <v>7</v>
      </c>
      <c r="T153">
        <v>10</v>
      </c>
      <c r="U153">
        <v>-3</v>
      </c>
      <c r="V153">
        <v>8</v>
      </c>
      <c r="W153">
        <v>10</v>
      </c>
      <c r="X153">
        <v>-2</v>
      </c>
      <c r="Y153">
        <v>7</v>
      </c>
      <c r="Z153">
        <v>10</v>
      </c>
      <c r="AA153">
        <v>-3</v>
      </c>
      <c r="AB153">
        <v>8</v>
      </c>
      <c r="AC153">
        <v>10</v>
      </c>
      <c r="AD153">
        <v>-2</v>
      </c>
      <c r="AE153">
        <v>6</v>
      </c>
      <c r="AF153">
        <v>10</v>
      </c>
      <c r="AG153">
        <v>-4</v>
      </c>
      <c r="AH153">
        <v>8</v>
      </c>
      <c r="AI153">
        <v>10</v>
      </c>
      <c r="AJ153">
        <v>-2</v>
      </c>
      <c r="AK153" t="s">
        <v>1565</v>
      </c>
      <c r="AL153" t="s">
        <v>1566</v>
      </c>
      <c r="AM153" t="s">
        <v>1567</v>
      </c>
      <c r="AN153" t="s">
        <v>1568</v>
      </c>
      <c r="AO153" t="s">
        <v>1569</v>
      </c>
      <c r="AP153" t="s">
        <v>1570</v>
      </c>
      <c r="AQ153" t="s">
        <v>1571</v>
      </c>
      <c r="AR153" t="s">
        <v>1572</v>
      </c>
      <c r="AS153" t="s">
        <v>1573</v>
      </c>
    </row>
    <row r="154" spans="1:45" x14ac:dyDescent="0.45">
      <c r="A154">
        <v>153</v>
      </c>
      <c r="B154">
        <v>12497</v>
      </c>
      <c r="C154" t="s">
        <v>78</v>
      </c>
      <c r="D154" t="s">
        <v>73</v>
      </c>
      <c r="E154" t="s">
        <v>74</v>
      </c>
      <c r="F154" t="s">
        <v>77</v>
      </c>
      <c r="G154" t="s">
        <v>76</v>
      </c>
      <c r="H154">
        <v>12</v>
      </c>
      <c r="I154">
        <v>1</v>
      </c>
      <c r="J154">
        <v>7</v>
      </c>
      <c r="K154">
        <v>7</v>
      </c>
      <c r="L154">
        <v>0</v>
      </c>
      <c r="M154">
        <v>8</v>
      </c>
      <c r="N154">
        <v>7</v>
      </c>
      <c r="O154">
        <v>1</v>
      </c>
      <c r="P154">
        <v>7</v>
      </c>
      <c r="Q154">
        <v>5</v>
      </c>
      <c r="R154">
        <v>2</v>
      </c>
      <c r="S154">
        <v>8</v>
      </c>
      <c r="T154">
        <v>7</v>
      </c>
      <c r="U154">
        <v>1</v>
      </c>
      <c r="V154">
        <v>7</v>
      </c>
      <c r="W154">
        <v>7</v>
      </c>
      <c r="X154">
        <v>0</v>
      </c>
      <c r="Y154">
        <v>6</v>
      </c>
      <c r="Z154">
        <v>7</v>
      </c>
      <c r="AA154">
        <v>-1</v>
      </c>
      <c r="AB154">
        <v>7</v>
      </c>
      <c r="AC154">
        <v>7</v>
      </c>
      <c r="AD154">
        <v>0</v>
      </c>
      <c r="AE154">
        <v>6</v>
      </c>
      <c r="AF154">
        <v>7</v>
      </c>
      <c r="AG154">
        <v>-1</v>
      </c>
      <c r="AH154">
        <v>7</v>
      </c>
      <c r="AI154">
        <v>7</v>
      </c>
      <c r="AJ154">
        <v>0</v>
      </c>
      <c r="AK154" t="s">
        <v>1574</v>
      </c>
      <c r="AL154" t="s">
        <v>1575</v>
      </c>
      <c r="AM154" t="s">
        <v>1576</v>
      </c>
      <c r="AN154" t="s">
        <v>1577</v>
      </c>
      <c r="AO154" t="s">
        <v>1578</v>
      </c>
      <c r="AP154" t="s">
        <v>1579</v>
      </c>
      <c r="AQ154" t="s">
        <v>1580</v>
      </c>
      <c r="AR154" t="s">
        <v>1581</v>
      </c>
      <c r="AS154" t="s">
        <v>1582</v>
      </c>
    </row>
    <row r="155" spans="1:45" x14ac:dyDescent="0.45">
      <c r="A155">
        <v>154</v>
      </c>
      <c r="B155">
        <v>12498</v>
      </c>
      <c r="C155" t="s">
        <v>72</v>
      </c>
      <c r="D155" t="s">
        <v>81</v>
      </c>
      <c r="E155" t="s">
        <v>74</v>
      </c>
      <c r="F155" t="s">
        <v>77</v>
      </c>
      <c r="G155" t="s">
        <v>76</v>
      </c>
      <c r="H155">
        <v>12</v>
      </c>
      <c r="I155">
        <v>2</v>
      </c>
      <c r="J155">
        <v>6</v>
      </c>
      <c r="K155">
        <v>7</v>
      </c>
      <c r="L155">
        <v>-1</v>
      </c>
      <c r="M155">
        <v>7</v>
      </c>
      <c r="N155">
        <v>8</v>
      </c>
      <c r="O155">
        <v>-1</v>
      </c>
      <c r="P155">
        <v>9</v>
      </c>
      <c r="Q155">
        <v>8</v>
      </c>
      <c r="R155">
        <v>1</v>
      </c>
      <c r="S155">
        <v>8</v>
      </c>
      <c r="T155">
        <v>8</v>
      </c>
      <c r="U155">
        <v>0</v>
      </c>
      <c r="V155">
        <v>6</v>
      </c>
      <c r="W155">
        <v>6</v>
      </c>
      <c r="X155">
        <v>0</v>
      </c>
      <c r="Y155">
        <v>7</v>
      </c>
      <c r="Z155">
        <v>8</v>
      </c>
      <c r="AA155">
        <v>-1</v>
      </c>
      <c r="AB155">
        <v>6</v>
      </c>
      <c r="AC155">
        <v>5</v>
      </c>
      <c r="AD155">
        <v>1</v>
      </c>
      <c r="AE155">
        <v>5</v>
      </c>
      <c r="AF155">
        <v>8</v>
      </c>
      <c r="AG155">
        <v>-3</v>
      </c>
      <c r="AH155">
        <v>7</v>
      </c>
      <c r="AI155">
        <v>8</v>
      </c>
      <c r="AJ155">
        <v>-1</v>
      </c>
      <c r="AK155" t="s">
        <v>1583</v>
      </c>
      <c r="AL155" t="s">
        <v>1584</v>
      </c>
      <c r="AM155" t="s">
        <v>1585</v>
      </c>
      <c r="AN155" t="s">
        <v>1586</v>
      </c>
      <c r="AO155" t="s">
        <v>1587</v>
      </c>
      <c r="AP155" t="s">
        <v>1588</v>
      </c>
      <c r="AQ155" t="s">
        <v>1589</v>
      </c>
      <c r="AR155" t="s">
        <v>1590</v>
      </c>
      <c r="AS155" t="s">
        <v>1591</v>
      </c>
    </row>
    <row r="156" spans="1:45" x14ac:dyDescent="0.45">
      <c r="A156">
        <v>155</v>
      </c>
      <c r="B156">
        <v>12499</v>
      </c>
      <c r="C156" t="s">
        <v>72</v>
      </c>
      <c r="D156" t="s">
        <v>73</v>
      </c>
      <c r="E156" t="s">
        <v>74</v>
      </c>
      <c r="F156" t="s">
        <v>75</v>
      </c>
      <c r="G156" t="s">
        <v>76</v>
      </c>
      <c r="H156">
        <v>65.672371692143244</v>
      </c>
      <c r="I156">
        <v>1</v>
      </c>
      <c r="J156">
        <v>7</v>
      </c>
      <c r="K156">
        <v>10</v>
      </c>
      <c r="L156">
        <v>-3</v>
      </c>
      <c r="M156">
        <v>8</v>
      </c>
      <c r="N156">
        <v>10</v>
      </c>
      <c r="O156">
        <v>-2</v>
      </c>
      <c r="P156">
        <v>9</v>
      </c>
      <c r="Q156">
        <v>10</v>
      </c>
      <c r="R156">
        <v>-1</v>
      </c>
      <c r="S156">
        <v>8</v>
      </c>
      <c r="T156">
        <v>10</v>
      </c>
      <c r="U156">
        <v>-2</v>
      </c>
      <c r="V156">
        <v>9</v>
      </c>
      <c r="W156">
        <v>10</v>
      </c>
      <c r="X156">
        <v>-1</v>
      </c>
      <c r="Y156">
        <v>7</v>
      </c>
      <c r="Z156">
        <v>10</v>
      </c>
      <c r="AA156">
        <v>-3</v>
      </c>
      <c r="AB156">
        <v>8</v>
      </c>
      <c r="AC156">
        <v>10</v>
      </c>
      <c r="AD156">
        <v>-2</v>
      </c>
      <c r="AE156">
        <v>7</v>
      </c>
      <c r="AF156">
        <v>10</v>
      </c>
      <c r="AG156">
        <v>-3</v>
      </c>
      <c r="AH156">
        <v>8</v>
      </c>
      <c r="AI156">
        <v>10</v>
      </c>
      <c r="AJ156">
        <v>-2</v>
      </c>
      <c r="AK156" t="s">
        <v>1592</v>
      </c>
      <c r="AL156" t="s">
        <v>1593</v>
      </c>
      <c r="AM156" t="s">
        <v>1594</v>
      </c>
      <c r="AN156" t="s">
        <v>1595</v>
      </c>
      <c r="AO156" t="s">
        <v>1596</v>
      </c>
      <c r="AP156" t="s">
        <v>1597</v>
      </c>
      <c r="AQ156" t="s">
        <v>1598</v>
      </c>
      <c r="AR156" t="s">
        <v>1599</v>
      </c>
      <c r="AS156" t="s">
        <v>1600</v>
      </c>
    </row>
    <row r="157" spans="1:45" x14ac:dyDescent="0.45">
      <c r="A157">
        <v>156</v>
      </c>
      <c r="B157">
        <v>12500</v>
      </c>
      <c r="C157" t="s">
        <v>72</v>
      </c>
      <c r="D157" t="s">
        <v>73</v>
      </c>
      <c r="E157" t="s">
        <v>74</v>
      </c>
      <c r="F157" t="s">
        <v>75</v>
      </c>
      <c r="G157" t="s">
        <v>76</v>
      </c>
      <c r="H157">
        <v>27.278329198460064</v>
      </c>
      <c r="I157">
        <v>1</v>
      </c>
      <c r="J157">
        <v>8</v>
      </c>
      <c r="K157">
        <v>10</v>
      </c>
      <c r="L157">
        <v>-2</v>
      </c>
      <c r="M157">
        <v>9</v>
      </c>
      <c r="N157">
        <v>10</v>
      </c>
      <c r="O157">
        <v>-1</v>
      </c>
      <c r="P157">
        <v>7</v>
      </c>
      <c r="Q157">
        <v>10</v>
      </c>
      <c r="R157">
        <v>-3</v>
      </c>
      <c r="S157">
        <v>8</v>
      </c>
      <c r="T157">
        <v>10</v>
      </c>
      <c r="U157">
        <v>-2</v>
      </c>
      <c r="V157">
        <v>7</v>
      </c>
      <c r="W157">
        <v>10</v>
      </c>
      <c r="X157">
        <v>-3</v>
      </c>
      <c r="Y157">
        <v>8</v>
      </c>
      <c r="Z157">
        <v>10</v>
      </c>
      <c r="AA157">
        <v>-2</v>
      </c>
      <c r="AB157">
        <v>7</v>
      </c>
      <c r="AC157">
        <v>10</v>
      </c>
      <c r="AD157">
        <v>-3</v>
      </c>
      <c r="AE157">
        <v>6</v>
      </c>
      <c r="AF157">
        <v>10</v>
      </c>
      <c r="AG157">
        <v>-4</v>
      </c>
      <c r="AH157">
        <v>8</v>
      </c>
      <c r="AI157">
        <v>10</v>
      </c>
      <c r="AJ157">
        <v>-2</v>
      </c>
      <c r="AK157" t="s">
        <v>1601</v>
      </c>
      <c r="AL157" t="s">
        <v>1602</v>
      </c>
      <c r="AM157" t="s">
        <v>1603</v>
      </c>
      <c r="AN157" t="s">
        <v>1604</v>
      </c>
      <c r="AO157" t="s">
        <v>1605</v>
      </c>
      <c r="AP157" t="s">
        <v>1606</v>
      </c>
      <c r="AQ157" t="s">
        <v>221</v>
      </c>
      <c r="AR157" t="s">
        <v>1607</v>
      </c>
      <c r="AS157" t="s">
        <v>1608</v>
      </c>
    </row>
    <row r="158" spans="1:45" x14ac:dyDescent="0.45">
      <c r="A158">
        <v>157</v>
      </c>
      <c r="B158">
        <v>12501</v>
      </c>
      <c r="C158" t="s">
        <v>78</v>
      </c>
      <c r="D158" t="s">
        <v>73</v>
      </c>
      <c r="E158" t="s">
        <v>74</v>
      </c>
      <c r="F158" t="s">
        <v>77</v>
      </c>
      <c r="G158" t="s">
        <v>76</v>
      </c>
      <c r="H158">
        <v>89.873030369199199</v>
      </c>
      <c r="I158">
        <v>4</v>
      </c>
      <c r="J158">
        <v>6</v>
      </c>
      <c r="K158">
        <v>10</v>
      </c>
      <c r="L158">
        <v>-4</v>
      </c>
      <c r="M158">
        <v>7</v>
      </c>
      <c r="N158">
        <v>10</v>
      </c>
      <c r="O158">
        <v>-3</v>
      </c>
      <c r="P158">
        <v>8</v>
      </c>
      <c r="Q158">
        <v>1</v>
      </c>
      <c r="R158">
        <v>7</v>
      </c>
      <c r="S158">
        <v>9</v>
      </c>
      <c r="T158">
        <v>10</v>
      </c>
      <c r="U158">
        <v>-1</v>
      </c>
      <c r="V158">
        <v>7</v>
      </c>
      <c r="W158">
        <v>1</v>
      </c>
      <c r="X158">
        <v>6</v>
      </c>
      <c r="Y158">
        <v>8</v>
      </c>
      <c r="Z158">
        <v>1</v>
      </c>
      <c r="AA158">
        <v>7</v>
      </c>
      <c r="AB158">
        <v>6</v>
      </c>
      <c r="AC158">
        <v>1</v>
      </c>
      <c r="AD158">
        <v>5</v>
      </c>
      <c r="AE158">
        <v>7</v>
      </c>
      <c r="AF158">
        <v>1</v>
      </c>
      <c r="AG158">
        <v>6</v>
      </c>
      <c r="AH158">
        <v>7</v>
      </c>
      <c r="AI158">
        <v>6</v>
      </c>
      <c r="AJ158">
        <v>1</v>
      </c>
      <c r="AK158" t="s">
        <v>1609</v>
      </c>
      <c r="AL158" t="s">
        <v>1610</v>
      </c>
      <c r="AM158" t="s">
        <v>1611</v>
      </c>
      <c r="AN158" t="s">
        <v>1612</v>
      </c>
      <c r="AO158" t="s">
        <v>1613</v>
      </c>
      <c r="AP158" t="s">
        <v>1614</v>
      </c>
      <c r="AQ158" t="s">
        <v>1615</v>
      </c>
      <c r="AR158" t="s">
        <v>1616</v>
      </c>
      <c r="AS158" t="s">
        <v>1617</v>
      </c>
    </row>
    <row r="159" spans="1:45" x14ac:dyDescent="0.45">
      <c r="A159">
        <v>158</v>
      </c>
      <c r="B159">
        <v>12502</v>
      </c>
      <c r="C159" t="s">
        <v>72</v>
      </c>
      <c r="D159" t="s">
        <v>73</v>
      </c>
      <c r="E159" t="s">
        <v>74</v>
      </c>
      <c r="F159" t="s">
        <v>77</v>
      </c>
      <c r="G159" t="s">
        <v>76</v>
      </c>
      <c r="H159">
        <v>92.191062669768414</v>
      </c>
      <c r="I159">
        <v>2</v>
      </c>
      <c r="J159">
        <v>8</v>
      </c>
      <c r="K159">
        <v>7</v>
      </c>
      <c r="L159">
        <v>1</v>
      </c>
      <c r="M159">
        <v>9</v>
      </c>
      <c r="N159">
        <v>8</v>
      </c>
      <c r="O159">
        <v>1</v>
      </c>
      <c r="P159">
        <v>7</v>
      </c>
      <c r="Q159">
        <v>6</v>
      </c>
      <c r="R159">
        <v>1</v>
      </c>
      <c r="S159">
        <v>8</v>
      </c>
      <c r="T159">
        <v>6</v>
      </c>
      <c r="U159">
        <v>2</v>
      </c>
      <c r="V159">
        <v>9</v>
      </c>
      <c r="W159">
        <v>7</v>
      </c>
      <c r="X159">
        <v>2</v>
      </c>
      <c r="Y159">
        <v>8</v>
      </c>
      <c r="Z159">
        <v>5</v>
      </c>
      <c r="AA159">
        <v>3</v>
      </c>
      <c r="AB159">
        <v>7</v>
      </c>
      <c r="AC159">
        <v>6</v>
      </c>
      <c r="AD159">
        <v>1</v>
      </c>
      <c r="AE159">
        <v>8</v>
      </c>
      <c r="AF159">
        <v>7</v>
      </c>
      <c r="AG159">
        <v>1</v>
      </c>
      <c r="AH159">
        <v>7</v>
      </c>
      <c r="AI159">
        <v>7</v>
      </c>
      <c r="AJ159">
        <v>0</v>
      </c>
      <c r="AK159" t="s">
        <v>1618</v>
      </c>
      <c r="AL159" t="s">
        <v>1619</v>
      </c>
      <c r="AM159" t="s">
        <v>1620</v>
      </c>
      <c r="AN159" t="s">
        <v>1621</v>
      </c>
      <c r="AO159" t="s">
        <v>1622</v>
      </c>
      <c r="AP159" t="s">
        <v>1623</v>
      </c>
      <c r="AQ159" t="s">
        <v>1624</v>
      </c>
      <c r="AR159" t="s">
        <v>1625</v>
      </c>
      <c r="AS159" t="s">
        <v>1626</v>
      </c>
    </row>
    <row r="160" spans="1:45" x14ac:dyDescent="0.45">
      <c r="A160">
        <v>159</v>
      </c>
      <c r="B160">
        <v>12503</v>
      </c>
      <c r="C160" t="s">
        <v>78</v>
      </c>
      <c r="D160" t="s">
        <v>79</v>
      </c>
      <c r="E160" t="s">
        <v>74</v>
      </c>
      <c r="F160" t="s">
        <v>77</v>
      </c>
      <c r="G160" t="s">
        <v>76</v>
      </c>
      <c r="H160">
        <v>34.087865766761901</v>
      </c>
      <c r="I160">
        <v>0</v>
      </c>
      <c r="J160">
        <v>8</v>
      </c>
      <c r="K160">
        <v>2</v>
      </c>
      <c r="L160">
        <v>6</v>
      </c>
      <c r="M160">
        <v>8</v>
      </c>
      <c r="N160">
        <v>7</v>
      </c>
      <c r="O160">
        <v>1</v>
      </c>
      <c r="P160">
        <v>7</v>
      </c>
      <c r="Q160">
        <v>10</v>
      </c>
      <c r="R160">
        <v>-3</v>
      </c>
      <c r="S160">
        <v>6</v>
      </c>
      <c r="T160">
        <v>2</v>
      </c>
      <c r="U160">
        <v>4</v>
      </c>
      <c r="V160">
        <v>8</v>
      </c>
      <c r="W160">
        <v>10</v>
      </c>
      <c r="X160">
        <v>-2</v>
      </c>
      <c r="Y160">
        <v>7</v>
      </c>
      <c r="Z160">
        <v>5</v>
      </c>
      <c r="AA160">
        <v>2</v>
      </c>
      <c r="AB160">
        <v>7</v>
      </c>
      <c r="AC160">
        <v>10</v>
      </c>
      <c r="AD160">
        <v>-3</v>
      </c>
      <c r="AE160">
        <v>8</v>
      </c>
      <c r="AF160">
        <v>3</v>
      </c>
      <c r="AG160">
        <v>5</v>
      </c>
      <c r="AH160">
        <v>8</v>
      </c>
      <c r="AI160">
        <v>3</v>
      </c>
      <c r="AJ160">
        <v>5</v>
      </c>
      <c r="AK160" t="s">
        <v>1627</v>
      </c>
      <c r="AL160" t="s">
        <v>1628</v>
      </c>
      <c r="AM160" t="s">
        <v>1629</v>
      </c>
      <c r="AN160" t="s">
        <v>1630</v>
      </c>
      <c r="AO160" t="s">
        <v>1631</v>
      </c>
      <c r="AP160" t="s">
        <v>1632</v>
      </c>
      <c r="AQ160" t="s">
        <v>1633</v>
      </c>
      <c r="AR160" t="s">
        <v>1634</v>
      </c>
      <c r="AS160" t="s">
        <v>1635</v>
      </c>
    </row>
    <row r="161" spans="1:45" x14ac:dyDescent="0.45">
      <c r="A161">
        <v>160</v>
      </c>
      <c r="B161">
        <v>12504</v>
      </c>
      <c r="C161" t="s">
        <v>72</v>
      </c>
      <c r="D161" t="s">
        <v>73</v>
      </c>
      <c r="E161" t="s">
        <v>74</v>
      </c>
      <c r="F161" t="s">
        <v>75</v>
      </c>
      <c r="G161" t="s">
        <v>76</v>
      </c>
      <c r="H161">
        <v>37.707999113122803</v>
      </c>
      <c r="I161">
        <v>0</v>
      </c>
      <c r="J161">
        <v>8</v>
      </c>
      <c r="K161">
        <v>9</v>
      </c>
      <c r="L161">
        <v>-1</v>
      </c>
      <c r="M161">
        <v>7</v>
      </c>
      <c r="N161">
        <v>9</v>
      </c>
      <c r="O161">
        <v>-2</v>
      </c>
      <c r="P161">
        <v>6</v>
      </c>
      <c r="Q161">
        <v>10</v>
      </c>
      <c r="R161">
        <v>-4</v>
      </c>
      <c r="S161">
        <v>7</v>
      </c>
      <c r="T161">
        <v>2</v>
      </c>
      <c r="U161">
        <v>5</v>
      </c>
      <c r="V161">
        <v>6</v>
      </c>
      <c r="W161">
        <v>9</v>
      </c>
      <c r="X161">
        <v>-3</v>
      </c>
      <c r="Y161">
        <v>7</v>
      </c>
      <c r="Z161">
        <v>9</v>
      </c>
      <c r="AA161">
        <v>-2</v>
      </c>
      <c r="AB161">
        <v>6</v>
      </c>
      <c r="AC161">
        <v>6</v>
      </c>
      <c r="AD161">
        <v>0</v>
      </c>
      <c r="AE161">
        <v>7</v>
      </c>
      <c r="AF161">
        <v>8</v>
      </c>
      <c r="AG161">
        <v>-1</v>
      </c>
      <c r="AH161">
        <v>8</v>
      </c>
      <c r="AI161">
        <v>10</v>
      </c>
      <c r="AJ161">
        <v>-2</v>
      </c>
      <c r="AK161" t="s">
        <v>1636</v>
      </c>
      <c r="AL161" t="s">
        <v>1637</v>
      </c>
      <c r="AM161" t="s">
        <v>1638</v>
      </c>
      <c r="AN161" t="s">
        <v>1639</v>
      </c>
      <c r="AO161" t="s">
        <v>1640</v>
      </c>
      <c r="AP161" t="s">
        <v>1641</v>
      </c>
      <c r="AQ161" t="s">
        <v>1642</v>
      </c>
      <c r="AR161" t="s">
        <v>1643</v>
      </c>
      <c r="AS161" t="s">
        <v>1644</v>
      </c>
    </row>
    <row r="162" spans="1:45" x14ac:dyDescent="0.45">
      <c r="A162">
        <v>161</v>
      </c>
      <c r="B162">
        <v>12505</v>
      </c>
      <c r="C162" t="s">
        <v>72</v>
      </c>
      <c r="D162" t="s">
        <v>73</v>
      </c>
      <c r="E162" t="s">
        <v>74</v>
      </c>
      <c r="F162" t="s">
        <v>77</v>
      </c>
      <c r="G162" t="s">
        <v>76</v>
      </c>
      <c r="H162">
        <v>13.963854423907176</v>
      </c>
      <c r="I162">
        <v>0</v>
      </c>
      <c r="J162">
        <v>7</v>
      </c>
      <c r="K162">
        <v>7</v>
      </c>
      <c r="L162">
        <v>0</v>
      </c>
      <c r="M162">
        <v>6</v>
      </c>
      <c r="N162">
        <v>5</v>
      </c>
      <c r="O162">
        <v>1</v>
      </c>
      <c r="P162">
        <v>5</v>
      </c>
      <c r="Q162">
        <v>7</v>
      </c>
      <c r="R162">
        <v>-2</v>
      </c>
      <c r="S162">
        <v>7</v>
      </c>
      <c r="T162">
        <v>5</v>
      </c>
      <c r="U162">
        <v>2</v>
      </c>
      <c r="V162">
        <v>8</v>
      </c>
      <c r="W162">
        <v>3</v>
      </c>
      <c r="X162">
        <v>5</v>
      </c>
      <c r="Y162">
        <v>9</v>
      </c>
      <c r="Z162">
        <v>4</v>
      </c>
      <c r="AA162">
        <v>5</v>
      </c>
      <c r="AB162">
        <v>7</v>
      </c>
      <c r="AC162">
        <v>1</v>
      </c>
      <c r="AD162">
        <v>6</v>
      </c>
      <c r="AE162">
        <v>6</v>
      </c>
      <c r="AF162">
        <v>5</v>
      </c>
      <c r="AG162">
        <v>1</v>
      </c>
      <c r="AH162">
        <v>8</v>
      </c>
      <c r="AI162">
        <v>5</v>
      </c>
      <c r="AJ162">
        <v>3</v>
      </c>
      <c r="AK162" t="s">
        <v>1645</v>
      </c>
      <c r="AL162" t="s">
        <v>1646</v>
      </c>
      <c r="AM162" t="s">
        <v>1647</v>
      </c>
      <c r="AN162" t="s">
        <v>1648</v>
      </c>
      <c r="AO162" t="s">
        <v>1649</v>
      </c>
      <c r="AP162" t="s">
        <v>1650</v>
      </c>
      <c r="AQ162" t="s">
        <v>1651</v>
      </c>
      <c r="AR162" t="s">
        <v>1652</v>
      </c>
      <c r="AS162" t="s">
        <v>1653</v>
      </c>
    </row>
    <row r="163" spans="1:45" x14ac:dyDescent="0.45">
      <c r="A163">
        <v>162</v>
      </c>
      <c r="B163">
        <v>12506</v>
      </c>
      <c r="C163" t="s">
        <v>72</v>
      </c>
      <c r="D163" t="s">
        <v>81</v>
      </c>
      <c r="E163" t="s">
        <v>74</v>
      </c>
      <c r="F163" t="s">
        <v>77</v>
      </c>
      <c r="G163" t="s">
        <v>76</v>
      </c>
      <c r="H163">
        <v>12</v>
      </c>
      <c r="I163">
        <v>0</v>
      </c>
      <c r="J163">
        <v>8</v>
      </c>
      <c r="K163">
        <v>3</v>
      </c>
      <c r="L163">
        <v>5</v>
      </c>
      <c r="M163">
        <v>7</v>
      </c>
      <c r="N163">
        <v>8</v>
      </c>
      <c r="O163">
        <v>-1</v>
      </c>
      <c r="P163">
        <v>9</v>
      </c>
      <c r="Q163">
        <v>4</v>
      </c>
      <c r="R163">
        <v>5</v>
      </c>
      <c r="S163">
        <v>8</v>
      </c>
      <c r="T163">
        <v>5</v>
      </c>
      <c r="U163">
        <v>3</v>
      </c>
      <c r="V163">
        <v>7</v>
      </c>
      <c r="W163">
        <v>5</v>
      </c>
      <c r="X163">
        <v>2</v>
      </c>
      <c r="Y163">
        <v>8</v>
      </c>
      <c r="Z163">
        <v>5</v>
      </c>
      <c r="AA163">
        <v>3</v>
      </c>
      <c r="AB163">
        <v>7</v>
      </c>
      <c r="AC163">
        <v>5</v>
      </c>
      <c r="AD163">
        <v>2</v>
      </c>
      <c r="AE163">
        <v>6</v>
      </c>
      <c r="AF163">
        <v>5</v>
      </c>
      <c r="AG163">
        <v>1</v>
      </c>
      <c r="AH163">
        <v>8</v>
      </c>
      <c r="AI163">
        <v>5</v>
      </c>
      <c r="AJ163">
        <v>3</v>
      </c>
      <c r="AK163" t="s">
        <v>1654</v>
      </c>
      <c r="AL163" t="s">
        <v>1655</v>
      </c>
      <c r="AM163" t="s">
        <v>1656</v>
      </c>
      <c r="AN163" t="s">
        <v>1657</v>
      </c>
      <c r="AO163" t="s">
        <v>1658</v>
      </c>
      <c r="AP163" t="s">
        <v>1659</v>
      </c>
      <c r="AQ163" t="s">
        <v>1660</v>
      </c>
      <c r="AR163" t="s">
        <v>1661</v>
      </c>
      <c r="AS163" t="s">
        <v>1662</v>
      </c>
    </row>
    <row r="164" spans="1:45" x14ac:dyDescent="0.45">
      <c r="A164">
        <v>163</v>
      </c>
      <c r="B164">
        <v>12507</v>
      </c>
      <c r="C164" t="s">
        <v>72</v>
      </c>
      <c r="D164" t="s">
        <v>81</v>
      </c>
      <c r="E164" t="s">
        <v>74</v>
      </c>
      <c r="F164" t="s">
        <v>77</v>
      </c>
      <c r="G164" t="s">
        <v>76</v>
      </c>
      <c r="H164">
        <v>14.910616980124107</v>
      </c>
      <c r="I164">
        <v>0</v>
      </c>
      <c r="J164">
        <v>7</v>
      </c>
      <c r="K164">
        <v>10</v>
      </c>
      <c r="L164">
        <v>-3</v>
      </c>
      <c r="M164">
        <v>6</v>
      </c>
      <c r="N164">
        <v>10</v>
      </c>
      <c r="O164">
        <v>-4</v>
      </c>
      <c r="P164">
        <v>8</v>
      </c>
      <c r="Q164">
        <v>10</v>
      </c>
      <c r="R164">
        <v>-2</v>
      </c>
      <c r="S164">
        <v>9</v>
      </c>
      <c r="T164">
        <v>10</v>
      </c>
      <c r="U164">
        <v>-1</v>
      </c>
      <c r="V164">
        <v>8</v>
      </c>
      <c r="W164">
        <v>10</v>
      </c>
      <c r="X164">
        <v>-2</v>
      </c>
      <c r="Y164">
        <v>9</v>
      </c>
      <c r="Z164">
        <v>10</v>
      </c>
      <c r="AA164">
        <v>-1</v>
      </c>
      <c r="AB164">
        <v>7</v>
      </c>
      <c r="AC164">
        <v>10</v>
      </c>
      <c r="AD164">
        <v>-3</v>
      </c>
      <c r="AE164">
        <v>8</v>
      </c>
      <c r="AF164">
        <v>10</v>
      </c>
      <c r="AG164">
        <v>-2</v>
      </c>
      <c r="AH164">
        <v>9</v>
      </c>
      <c r="AI164">
        <v>10</v>
      </c>
      <c r="AJ164">
        <v>-1</v>
      </c>
      <c r="AK164" t="s">
        <v>1663</v>
      </c>
      <c r="AL164" t="s">
        <v>1664</v>
      </c>
      <c r="AM164" t="s">
        <v>1665</v>
      </c>
      <c r="AN164" t="s">
        <v>1666</v>
      </c>
      <c r="AO164" t="s">
        <v>1667</v>
      </c>
      <c r="AP164" t="s">
        <v>1668</v>
      </c>
      <c r="AQ164" t="s">
        <v>1669</v>
      </c>
      <c r="AR164" t="s">
        <v>1670</v>
      </c>
      <c r="AS164" t="s">
        <v>1671</v>
      </c>
    </row>
    <row r="165" spans="1:45" x14ac:dyDescent="0.45">
      <c r="A165">
        <v>164</v>
      </c>
      <c r="B165">
        <v>12508</v>
      </c>
      <c r="C165" t="s">
        <v>72</v>
      </c>
      <c r="D165" t="s">
        <v>79</v>
      </c>
      <c r="E165" t="s">
        <v>74</v>
      </c>
      <c r="F165" t="s">
        <v>77</v>
      </c>
      <c r="G165" t="s">
        <v>76</v>
      </c>
      <c r="H165">
        <v>40.584474757600745</v>
      </c>
      <c r="I165">
        <v>2</v>
      </c>
      <c r="J165">
        <v>7</v>
      </c>
      <c r="K165">
        <v>8</v>
      </c>
      <c r="L165">
        <v>-1</v>
      </c>
      <c r="M165">
        <v>6</v>
      </c>
      <c r="N165">
        <v>9</v>
      </c>
      <c r="O165">
        <v>-3</v>
      </c>
      <c r="P165">
        <v>8</v>
      </c>
      <c r="Q165">
        <v>9</v>
      </c>
      <c r="R165">
        <v>-1</v>
      </c>
      <c r="S165">
        <v>7</v>
      </c>
      <c r="T165">
        <v>9</v>
      </c>
      <c r="U165">
        <v>-2</v>
      </c>
      <c r="V165">
        <v>8</v>
      </c>
      <c r="W165">
        <v>5</v>
      </c>
      <c r="X165">
        <v>3</v>
      </c>
      <c r="Y165">
        <v>7</v>
      </c>
      <c r="Z165">
        <v>7</v>
      </c>
      <c r="AA165">
        <v>0</v>
      </c>
      <c r="AB165">
        <v>8</v>
      </c>
      <c r="AC165">
        <v>5</v>
      </c>
      <c r="AD165">
        <v>3</v>
      </c>
      <c r="AE165">
        <v>6</v>
      </c>
      <c r="AF165">
        <v>7</v>
      </c>
      <c r="AG165">
        <v>-1</v>
      </c>
      <c r="AH165">
        <v>7</v>
      </c>
      <c r="AI165">
        <v>7</v>
      </c>
      <c r="AJ165">
        <v>0</v>
      </c>
      <c r="AK165" t="s">
        <v>1672</v>
      </c>
      <c r="AL165" t="s">
        <v>1673</v>
      </c>
      <c r="AM165" t="s">
        <v>1674</v>
      </c>
      <c r="AN165" t="s">
        <v>1675</v>
      </c>
      <c r="AO165" t="s">
        <v>1676</v>
      </c>
      <c r="AP165" t="s">
        <v>1677</v>
      </c>
      <c r="AQ165" t="s">
        <v>1678</v>
      </c>
      <c r="AR165" t="s">
        <v>1679</v>
      </c>
      <c r="AS165" t="s">
        <v>1680</v>
      </c>
    </row>
    <row r="166" spans="1:45" x14ac:dyDescent="0.45">
      <c r="A166">
        <v>165</v>
      </c>
      <c r="B166">
        <v>12509</v>
      </c>
      <c r="C166" t="s">
        <v>72</v>
      </c>
      <c r="D166" t="s">
        <v>73</v>
      </c>
      <c r="E166" t="s">
        <v>74</v>
      </c>
      <c r="F166" t="s">
        <v>75</v>
      </c>
      <c r="G166" t="s">
        <v>76</v>
      </c>
      <c r="H166">
        <v>34.97978712203917</v>
      </c>
      <c r="I166">
        <v>0</v>
      </c>
      <c r="J166">
        <v>7</v>
      </c>
      <c r="K166">
        <v>5</v>
      </c>
      <c r="L166">
        <v>2</v>
      </c>
      <c r="M166">
        <v>8</v>
      </c>
      <c r="N166">
        <v>5</v>
      </c>
      <c r="O166">
        <v>3</v>
      </c>
      <c r="P166">
        <v>9</v>
      </c>
      <c r="Q166">
        <v>6</v>
      </c>
      <c r="R166">
        <v>3</v>
      </c>
      <c r="S166">
        <v>8</v>
      </c>
      <c r="T166">
        <v>6</v>
      </c>
      <c r="U166">
        <v>2</v>
      </c>
      <c r="V166">
        <v>6</v>
      </c>
      <c r="W166">
        <v>6</v>
      </c>
      <c r="X166">
        <v>0</v>
      </c>
      <c r="Y166">
        <v>7</v>
      </c>
      <c r="Z166">
        <v>6</v>
      </c>
      <c r="AA166">
        <v>1</v>
      </c>
      <c r="AB166">
        <v>5</v>
      </c>
      <c r="AC166">
        <v>5</v>
      </c>
      <c r="AD166">
        <v>0</v>
      </c>
      <c r="AE166">
        <v>6</v>
      </c>
      <c r="AF166">
        <v>7</v>
      </c>
      <c r="AG166">
        <v>-1</v>
      </c>
      <c r="AH166">
        <v>7</v>
      </c>
      <c r="AI166">
        <v>8</v>
      </c>
      <c r="AJ166">
        <v>-1</v>
      </c>
      <c r="AK166" t="s">
        <v>1681</v>
      </c>
      <c r="AL166" t="s">
        <v>1682</v>
      </c>
      <c r="AM166" t="s">
        <v>1683</v>
      </c>
      <c r="AN166" t="s">
        <v>1684</v>
      </c>
      <c r="AO166" t="s">
        <v>1685</v>
      </c>
      <c r="AP166" t="s">
        <v>1686</v>
      </c>
      <c r="AQ166" t="s">
        <v>1687</v>
      </c>
      <c r="AR166" t="s">
        <v>1688</v>
      </c>
      <c r="AS166" t="s">
        <v>1689</v>
      </c>
    </row>
    <row r="167" spans="1:45" x14ac:dyDescent="0.45">
      <c r="A167">
        <v>166</v>
      </c>
      <c r="B167">
        <v>12510</v>
      </c>
      <c r="C167" t="s">
        <v>72</v>
      </c>
      <c r="D167" t="s">
        <v>73</v>
      </c>
      <c r="E167" t="s">
        <v>74</v>
      </c>
      <c r="F167" t="s">
        <v>75</v>
      </c>
      <c r="G167" t="s">
        <v>76</v>
      </c>
      <c r="H167">
        <v>38.465252929521412</v>
      </c>
      <c r="I167">
        <v>1</v>
      </c>
      <c r="J167">
        <v>7</v>
      </c>
      <c r="K167">
        <v>10</v>
      </c>
      <c r="L167">
        <v>-3</v>
      </c>
      <c r="M167">
        <v>7</v>
      </c>
      <c r="N167">
        <v>8</v>
      </c>
      <c r="O167">
        <v>-1</v>
      </c>
      <c r="P167">
        <v>8</v>
      </c>
      <c r="Q167">
        <v>10</v>
      </c>
      <c r="R167">
        <v>-2</v>
      </c>
      <c r="S167">
        <v>9</v>
      </c>
      <c r="T167">
        <v>10</v>
      </c>
      <c r="U167">
        <v>-1</v>
      </c>
      <c r="V167">
        <v>7</v>
      </c>
      <c r="W167">
        <v>10</v>
      </c>
      <c r="X167">
        <v>-3</v>
      </c>
      <c r="Y167">
        <v>8</v>
      </c>
      <c r="Z167">
        <v>10</v>
      </c>
      <c r="AA167">
        <v>-2</v>
      </c>
      <c r="AB167">
        <v>7</v>
      </c>
      <c r="AC167">
        <v>10</v>
      </c>
      <c r="AD167">
        <v>-3</v>
      </c>
      <c r="AE167">
        <v>7</v>
      </c>
      <c r="AF167">
        <v>10</v>
      </c>
      <c r="AG167">
        <v>-3</v>
      </c>
      <c r="AH167">
        <v>8</v>
      </c>
      <c r="AI167">
        <v>8</v>
      </c>
      <c r="AJ167">
        <v>0</v>
      </c>
      <c r="AK167" t="s">
        <v>1690</v>
      </c>
      <c r="AL167" t="s">
        <v>1691</v>
      </c>
      <c r="AM167" t="s">
        <v>1692</v>
      </c>
      <c r="AN167" t="s">
        <v>1693</v>
      </c>
      <c r="AO167" t="s">
        <v>1694</v>
      </c>
      <c r="AP167" t="s">
        <v>1695</v>
      </c>
      <c r="AQ167" t="s">
        <v>1696</v>
      </c>
      <c r="AR167" t="s">
        <v>1697</v>
      </c>
      <c r="AS167" t="s">
        <v>1698</v>
      </c>
    </row>
    <row r="168" spans="1:45" x14ac:dyDescent="0.45">
      <c r="A168">
        <v>167</v>
      </c>
      <c r="B168">
        <v>12511</v>
      </c>
      <c r="C168" t="s">
        <v>78</v>
      </c>
      <c r="D168" t="s">
        <v>73</v>
      </c>
      <c r="E168" t="s">
        <v>74</v>
      </c>
      <c r="F168" t="s">
        <v>75</v>
      </c>
      <c r="G168" t="s">
        <v>76</v>
      </c>
      <c r="H168">
        <v>72.442077362604877</v>
      </c>
      <c r="I168">
        <v>0</v>
      </c>
      <c r="J168">
        <v>7</v>
      </c>
      <c r="K168">
        <v>5</v>
      </c>
      <c r="L168">
        <v>2</v>
      </c>
      <c r="M168">
        <v>8</v>
      </c>
      <c r="N168">
        <v>8</v>
      </c>
      <c r="O168">
        <v>0</v>
      </c>
      <c r="P168">
        <v>6</v>
      </c>
      <c r="Q168">
        <v>5</v>
      </c>
      <c r="R168">
        <v>1</v>
      </c>
      <c r="S168">
        <v>7</v>
      </c>
      <c r="T168">
        <v>8</v>
      </c>
      <c r="U168">
        <v>-1</v>
      </c>
      <c r="V168">
        <v>8</v>
      </c>
      <c r="W168">
        <v>4</v>
      </c>
      <c r="X168">
        <v>4</v>
      </c>
      <c r="Y168">
        <v>7</v>
      </c>
      <c r="Z168">
        <v>5</v>
      </c>
      <c r="AA168">
        <v>2</v>
      </c>
      <c r="AB168">
        <v>6</v>
      </c>
      <c r="AC168">
        <v>1</v>
      </c>
      <c r="AD168">
        <v>5</v>
      </c>
      <c r="AE168">
        <v>5</v>
      </c>
      <c r="AF168">
        <v>5</v>
      </c>
      <c r="AG168">
        <v>0</v>
      </c>
      <c r="AH168">
        <v>6</v>
      </c>
      <c r="AI168">
        <v>5</v>
      </c>
      <c r="AJ168">
        <v>1</v>
      </c>
      <c r="AK168" t="s">
        <v>1699</v>
      </c>
      <c r="AL168" t="s">
        <v>1700</v>
      </c>
      <c r="AM168" t="s">
        <v>1701</v>
      </c>
      <c r="AN168" t="s">
        <v>1702</v>
      </c>
      <c r="AO168" t="s">
        <v>1703</v>
      </c>
      <c r="AP168" t="s">
        <v>1704</v>
      </c>
      <c r="AQ168" t="s">
        <v>1705</v>
      </c>
      <c r="AR168" t="s">
        <v>1706</v>
      </c>
      <c r="AS168" t="s">
        <v>1707</v>
      </c>
    </row>
    <row r="169" spans="1:45" x14ac:dyDescent="0.45">
      <c r="A169">
        <v>168</v>
      </c>
      <c r="B169">
        <v>12512</v>
      </c>
      <c r="C169" t="s">
        <v>72</v>
      </c>
      <c r="D169" t="s">
        <v>81</v>
      </c>
      <c r="E169" t="s">
        <v>74</v>
      </c>
      <c r="F169" t="s">
        <v>77</v>
      </c>
      <c r="G169" t="s">
        <v>76</v>
      </c>
      <c r="H169">
        <v>18.635888982473595</v>
      </c>
      <c r="I169">
        <v>0</v>
      </c>
      <c r="J169">
        <v>7</v>
      </c>
      <c r="K169">
        <v>7</v>
      </c>
      <c r="L169">
        <v>0</v>
      </c>
      <c r="M169">
        <v>8</v>
      </c>
      <c r="N169">
        <v>7</v>
      </c>
      <c r="O169">
        <v>1</v>
      </c>
      <c r="P169">
        <v>9</v>
      </c>
      <c r="Q169">
        <v>8</v>
      </c>
      <c r="R169">
        <v>1</v>
      </c>
      <c r="S169">
        <v>8</v>
      </c>
      <c r="T169">
        <v>8</v>
      </c>
      <c r="U169">
        <v>0</v>
      </c>
      <c r="V169">
        <v>9</v>
      </c>
      <c r="W169">
        <v>7</v>
      </c>
      <c r="X169">
        <v>2</v>
      </c>
      <c r="Y169">
        <v>8</v>
      </c>
      <c r="Z169">
        <v>8</v>
      </c>
      <c r="AA169">
        <v>0</v>
      </c>
      <c r="AB169">
        <v>7</v>
      </c>
      <c r="AC169">
        <v>8</v>
      </c>
      <c r="AD169">
        <v>-1</v>
      </c>
      <c r="AE169">
        <v>8</v>
      </c>
      <c r="AF169">
        <v>8</v>
      </c>
      <c r="AG169">
        <v>0</v>
      </c>
      <c r="AH169">
        <v>9</v>
      </c>
      <c r="AI169">
        <v>9</v>
      </c>
      <c r="AJ169">
        <v>0</v>
      </c>
      <c r="AK169" t="s">
        <v>1708</v>
      </c>
      <c r="AL169" t="s">
        <v>1709</v>
      </c>
      <c r="AM169" t="s">
        <v>1710</v>
      </c>
      <c r="AN169" t="s">
        <v>1711</v>
      </c>
      <c r="AO169" t="s">
        <v>1712</v>
      </c>
      <c r="AP169" t="s">
        <v>1713</v>
      </c>
      <c r="AQ169" t="s">
        <v>1714</v>
      </c>
      <c r="AR169" t="s">
        <v>1715</v>
      </c>
      <c r="AS169" t="s">
        <v>1716</v>
      </c>
    </row>
    <row r="170" spans="1:45" x14ac:dyDescent="0.45">
      <c r="A170">
        <v>169</v>
      </c>
      <c r="B170">
        <v>12513</v>
      </c>
      <c r="C170" t="s">
        <v>78</v>
      </c>
      <c r="D170" t="s">
        <v>79</v>
      </c>
      <c r="E170" t="s">
        <v>74</v>
      </c>
      <c r="F170" t="s">
        <v>77</v>
      </c>
      <c r="G170" t="s">
        <v>76</v>
      </c>
      <c r="H170">
        <v>33.164972888402048</v>
      </c>
      <c r="I170">
        <v>0</v>
      </c>
      <c r="J170">
        <v>7</v>
      </c>
      <c r="K170">
        <v>8</v>
      </c>
      <c r="L170">
        <v>-1</v>
      </c>
      <c r="M170">
        <v>8</v>
      </c>
      <c r="N170">
        <v>8</v>
      </c>
      <c r="O170">
        <v>0</v>
      </c>
      <c r="P170">
        <v>9</v>
      </c>
      <c r="Q170">
        <v>7</v>
      </c>
      <c r="R170">
        <v>2</v>
      </c>
      <c r="S170">
        <v>8</v>
      </c>
      <c r="T170">
        <v>8</v>
      </c>
      <c r="U170">
        <v>0</v>
      </c>
      <c r="V170">
        <v>7</v>
      </c>
      <c r="W170">
        <v>7</v>
      </c>
      <c r="X170">
        <v>0</v>
      </c>
      <c r="Y170">
        <v>6</v>
      </c>
      <c r="Z170">
        <v>7</v>
      </c>
      <c r="AA170">
        <v>-1</v>
      </c>
      <c r="AB170">
        <v>5</v>
      </c>
      <c r="AC170">
        <v>7</v>
      </c>
      <c r="AD170">
        <v>-2</v>
      </c>
      <c r="AE170">
        <v>6</v>
      </c>
      <c r="AF170">
        <v>8</v>
      </c>
      <c r="AG170">
        <v>-2</v>
      </c>
      <c r="AH170">
        <v>8</v>
      </c>
      <c r="AI170">
        <v>8</v>
      </c>
      <c r="AJ170">
        <v>0</v>
      </c>
      <c r="AK170" t="s">
        <v>1717</v>
      </c>
      <c r="AL170" t="s">
        <v>1718</v>
      </c>
      <c r="AM170" t="s">
        <v>1719</v>
      </c>
      <c r="AN170" t="s">
        <v>1720</v>
      </c>
      <c r="AO170" t="s">
        <v>1721</v>
      </c>
      <c r="AP170" t="s">
        <v>1722</v>
      </c>
      <c r="AQ170" t="s">
        <v>1723</v>
      </c>
      <c r="AR170" t="s">
        <v>1724</v>
      </c>
      <c r="AS170" t="s">
        <v>1725</v>
      </c>
    </row>
    <row r="171" spans="1:45" x14ac:dyDescent="0.45">
      <c r="A171">
        <v>170</v>
      </c>
      <c r="B171">
        <v>12514</v>
      </c>
      <c r="C171" t="s">
        <v>78</v>
      </c>
      <c r="D171" t="s">
        <v>81</v>
      </c>
      <c r="E171" t="s">
        <v>74</v>
      </c>
      <c r="F171" t="s">
        <v>77</v>
      </c>
      <c r="G171" t="s">
        <v>161</v>
      </c>
      <c r="H171">
        <v>14.043096204887631</v>
      </c>
      <c r="I171">
        <v>0</v>
      </c>
      <c r="J171">
        <v>8</v>
      </c>
      <c r="K171">
        <v>5</v>
      </c>
      <c r="L171">
        <v>3</v>
      </c>
      <c r="M171">
        <v>7</v>
      </c>
      <c r="N171">
        <v>8</v>
      </c>
      <c r="O171">
        <v>-1</v>
      </c>
      <c r="P171">
        <v>9</v>
      </c>
      <c r="Q171">
        <v>7</v>
      </c>
      <c r="R171">
        <v>2</v>
      </c>
      <c r="S171">
        <v>8</v>
      </c>
      <c r="T171">
        <v>8</v>
      </c>
      <c r="U171">
        <v>0</v>
      </c>
      <c r="V171">
        <v>9</v>
      </c>
      <c r="W171">
        <v>1</v>
      </c>
      <c r="X171">
        <v>8</v>
      </c>
      <c r="Y171">
        <v>8</v>
      </c>
      <c r="Z171">
        <v>2</v>
      </c>
      <c r="AA171">
        <v>6</v>
      </c>
      <c r="AB171">
        <v>7</v>
      </c>
      <c r="AC171">
        <v>3</v>
      </c>
      <c r="AD171">
        <v>4</v>
      </c>
      <c r="AE171">
        <v>6</v>
      </c>
      <c r="AF171">
        <v>3</v>
      </c>
      <c r="AG171">
        <v>3</v>
      </c>
      <c r="AH171">
        <v>9</v>
      </c>
      <c r="AI171">
        <v>7</v>
      </c>
      <c r="AJ171">
        <v>2</v>
      </c>
      <c r="AK171" t="s">
        <v>1726</v>
      </c>
      <c r="AL171" t="s">
        <v>1727</v>
      </c>
      <c r="AM171" t="s">
        <v>1728</v>
      </c>
      <c r="AN171" t="s">
        <v>1729</v>
      </c>
      <c r="AO171" t="s">
        <v>1730</v>
      </c>
      <c r="AP171" t="s">
        <v>1731</v>
      </c>
      <c r="AQ171" t="s">
        <v>1732</v>
      </c>
      <c r="AR171" t="s">
        <v>1733</v>
      </c>
      <c r="AS171" t="s">
        <v>1734</v>
      </c>
    </row>
    <row r="172" spans="1:45" x14ac:dyDescent="0.45">
      <c r="A172">
        <v>171</v>
      </c>
      <c r="B172">
        <v>12515</v>
      </c>
      <c r="C172" t="s">
        <v>78</v>
      </c>
      <c r="D172" t="s">
        <v>188</v>
      </c>
      <c r="E172" t="s">
        <v>74</v>
      </c>
      <c r="F172" t="s">
        <v>77</v>
      </c>
      <c r="G172" t="s">
        <v>76</v>
      </c>
      <c r="H172">
        <v>12</v>
      </c>
      <c r="I172">
        <v>0</v>
      </c>
      <c r="J172">
        <v>8</v>
      </c>
      <c r="K172">
        <v>6</v>
      </c>
      <c r="L172">
        <v>2</v>
      </c>
      <c r="M172">
        <v>7</v>
      </c>
      <c r="N172">
        <v>7</v>
      </c>
      <c r="O172">
        <v>0</v>
      </c>
      <c r="P172">
        <v>9</v>
      </c>
      <c r="Q172">
        <v>5</v>
      </c>
      <c r="R172">
        <v>4</v>
      </c>
      <c r="S172">
        <v>8</v>
      </c>
      <c r="T172">
        <v>7</v>
      </c>
      <c r="U172">
        <v>1</v>
      </c>
      <c r="V172">
        <v>7</v>
      </c>
      <c r="W172">
        <v>7</v>
      </c>
      <c r="X172">
        <v>0</v>
      </c>
      <c r="Y172">
        <v>6</v>
      </c>
      <c r="Z172">
        <v>7</v>
      </c>
      <c r="AA172">
        <v>-1</v>
      </c>
      <c r="AB172">
        <v>7</v>
      </c>
      <c r="AC172">
        <v>5</v>
      </c>
      <c r="AD172">
        <v>2</v>
      </c>
      <c r="AE172">
        <v>6</v>
      </c>
      <c r="AF172">
        <v>7</v>
      </c>
      <c r="AG172">
        <v>-1</v>
      </c>
      <c r="AH172">
        <v>8</v>
      </c>
      <c r="AI172">
        <v>7</v>
      </c>
      <c r="AJ172">
        <v>1</v>
      </c>
      <c r="AK172" t="s">
        <v>1735</v>
      </c>
      <c r="AL172" t="s">
        <v>1736</v>
      </c>
      <c r="AM172" t="s">
        <v>1737</v>
      </c>
      <c r="AN172" t="s">
        <v>1738</v>
      </c>
      <c r="AO172" t="s">
        <v>1739</v>
      </c>
      <c r="AP172" t="s">
        <v>1740</v>
      </c>
      <c r="AQ172" t="s">
        <v>1741</v>
      </c>
      <c r="AR172" t="s">
        <v>1742</v>
      </c>
      <c r="AS172" t="s">
        <v>1743</v>
      </c>
    </row>
    <row r="173" spans="1:45" x14ac:dyDescent="0.45">
      <c r="A173">
        <v>172</v>
      </c>
      <c r="B173">
        <v>12516</v>
      </c>
      <c r="C173" t="s">
        <v>78</v>
      </c>
      <c r="D173" t="s">
        <v>190</v>
      </c>
      <c r="E173" t="s">
        <v>74</v>
      </c>
      <c r="F173" t="s">
        <v>75</v>
      </c>
      <c r="G173" t="s">
        <v>76</v>
      </c>
      <c r="H173">
        <v>118.85331323830997</v>
      </c>
      <c r="I173">
        <v>4</v>
      </c>
      <c r="J173">
        <v>6</v>
      </c>
      <c r="K173">
        <v>8</v>
      </c>
      <c r="L173">
        <v>-2</v>
      </c>
      <c r="M173">
        <v>7</v>
      </c>
      <c r="N173">
        <v>8</v>
      </c>
      <c r="O173">
        <v>-1</v>
      </c>
      <c r="P173">
        <v>5</v>
      </c>
      <c r="Q173">
        <v>8</v>
      </c>
      <c r="R173">
        <v>-3</v>
      </c>
      <c r="S173">
        <v>6</v>
      </c>
      <c r="T173">
        <v>9</v>
      </c>
      <c r="U173">
        <v>-3</v>
      </c>
      <c r="V173">
        <v>7</v>
      </c>
      <c r="W173">
        <v>9</v>
      </c>
      <c r="X173">
        <v>-2</v>
      </c>
      <c r="Y173">
        <v>8</v>
      </c>
      <c r="Z173">
        <v>5</v>
      </c>
      <c r="AA173">
        <v>3</v>
      </c>
      <c r="AB173">
        <v>6</v>
      </c>
      <c r="AC173">
        <v>5</v>
      </c>
      <c r="AD173">
        <v>1</v>
      </c>
      <c r="AE173">
        <v>5</v>
      </c>
      <c r="AF173">
        <v>8</v>
      </c>
      <c r="AG173">
        <v>-3</v>
      </c>
      <c r="AH173">
        <v>7</v>
      </c>
      <c r="AI173">
        <v>6</v>
      </c>
      <c r="AJ173">
        <v>1</v>
      </c>
      <c r="AK173" t="s">
        <v>1744</v>
      </c>
      <c r="AL173" t="s">
        <v>1745</v>
      </c>
      <c r="AM173" t="s">
        <v>1746</v>
      </c>
      <c r="AN173" t="s">
        <v>1747</v>
      </c>
      <c r="AO173" t="s">
        <v>1748</v>
      </c>
      <c r="AP173" t="s">
        <v>1749</v>
      </c>
      <c r="AQ173" t="s">
        <v>1750</v>
      </c>
      <c r="AR173" t="s">
        <v>1751</v>
      </c>
      <c r="AS173" t="s">
        <v>1752</v>
      </c>
    </row>
    <row r="174" spans="1:45" x14ac:dyDescent="0.45">
      <c r="A174">
        <v>173</v>
      </c>
      <c r="B174">
        <v>12517</v>
      </c>
      <c r="C174" t="s">
        <v>72</v>
      </c>
      <c r="D174" t="s">
        <v>79</v>
      </c>
      <c r="E174" t="s">
        <v>74</v>
      </c>
      <c r="F174" t="s">
        <v>77</v>
      </c>
      <c r="G174" t="s">
        <v>76</v>
      </c>
      <c r="H174">
        <v>95.852765175263272</v>
      </c>
      <c r="I174">
        <v>3</v>
      </c>
      <c r="J174">
        <v>8</v>
      </c>
      <c r="K174">
        <v>5</v>
      </c>
      <c r="L174">
        <v>3</v>
      </c>
      <c r="M174">
        <v>7</v>
      </c>
      <c r="N174">
        <v>5</v>
      </c>
      <c r="O174">
        <v>2</v>
      </c>
      <c r="P174">
        <v>9</v>
      </c>
      <c r="Q174">
        <v>4</v>
      </c>
      <c r="R174">
        <v>5</v>
      </c>
      <c r="S174">
        <v>8</v>
      </c>
      <c r="T174">
        <v>6</v>
      </c>
      <c r="U174">
        <v>2</v>
      </c>
      <c r="V174">
        <v>7</v>
      </c>
      <c r="W174">
        <v>5</v>
      </c>
      <c r="X174">
        <v>2</v>
      </c>
      <c r="Y174">
        <v>6</v>
      </c>
      <c r="Z174">
        <v>4</v>
      </c>
      <c r="AA174">
        <v>2</v>
      </c>
      <c r="AB174">
        <v>7</v>
      </c>
      <c r="AC174">
        <v>4</v>
      </c>
      <c r="AD174">
        <v>3</v>
      </c>
      <c r="AE174">
        <v>6</v>
      </c>
      <c r="AF174">
        <v>5</v>
      </c>
      <c r="AG174">
        <v>1</v>
      </c>
      <c r="AH174">
        <v>8</v>
      </c>
      <c r="AI174">
        <v>5</v>
      </c>
      <c r="AJ174">
        <v>3</v>
      </c>
      <c r="AK174" t="s">
        <v>1753</v>
      </c>
      <c r="AL174" t="s">
        <v>1754</v>
      </c>
      <c r="AM174" t="s">
        <v>1755</v>
      </c>
      <c r="AN174" t="s">
        <v>1756</v>
      </c>
      <c r="AO174" t="s">
        <v>1757</v>
      </c>
      <c r="AP174" t="s">
        <v>1758</v>
      </c>
      <c r="AQ174" t="s">
        <v>1759</v>
      </c>
      <c r="AR174" t="s">
        <v>1760</v>
      </c>
      <c r="AS174" t="s">
        <v>1761</v>
      </c>
    </row>
    <row r="175" spans="1:45" x14ac:dyDescent="0.45">
      <c r="A175">
        <v>174</v>
      </c>
      <c r="B175">
        <v>12518</v>
      </c>
      <c r="C175" t="s">
        <v>72</v>
      </c>
      <c r="D175" t="s">
        <v>81</v>
      </c>
      <c r="E175" t="s">
        <v>74</v>
      </c>
      <c r="F175" t="s">
        <v>77</v>
      </c>
      <c r="G175" t="s">
        <v>76</v>
      </c>
      <c r="H175">
        <v>37.992602690620231</v>
      </c>
      <c r="I175">
        <v>1</v>
      </c>
      <c r="J175">
        <v>7</v>
      </c>
      <c r="K175">
        <v>6</v>
      </c>
      <c r="L175">
        <v>1</v>
      </c>
      <c r="M175">
        <v>6</v>
      </c>
      <c r="N175">
        <v>6</v>
      </c>
      <c r="O175">
        <v>0</v>
      </c>
      <c r="P175">
        <v>8</v>
      </c>
      <c r="Q175">
        <v>6</v>
      </c>
      <c r="R175">
        <v>2</v>
      </c>
      <c r="S175">
        <v>7</v>
      </c>
      <c r="T175">
        <v>6</v>
      </c>
      <c r="U175">
        <v>1</v>
      </c>
      <c r="V175">
        <v>6</v>
      </c>
      <c r="W175">
        <v>7</v>
      </c>
      <c r="X175">
        <v>-1</v>
      </c>
      <c r="Y175">
        <v>7</v>
      </c>
      <c r="Z175">
        <v>7</v>
      </c>
      <c r="AA175">
        <v>0</v>
      </c>
      <c r="AB175">
        <v>8</v>
      </c>
      <c r="AC175">
        <v>5</v>
      </c>
      <c r="AD175">
        <v>3</v>
      </c>
      <c r="AE175">
        <v>6</v>
      </c>
      <c r="AF175">
        <v>7</v>
      </c>
      <c r="AG175">
        <v>-1</v>
      </c>
      <c r="AH175">
        <v>8</v>
      </c>
      <c r="AI175">
        <v>6</v>
      </c>
      <c r="AJ175">
        <v>2</v>
      </c>
      <c r="AK175" t="s">
        <v>1762</v>
      </c>
      <c r="AL175" t="s">
        <v>1763</v>
      </c>
      <c r="AM175" t="s">
        <v>1764</v>
      </c>
      <c r="AN175" t="s">
        <v>1765</v>
      </c>
      <c r="AO175" t="s">
        <v>1766</v>
      </c>
      <c r="AP175" t="s">
        <v>1767</v>
      </c>
      <c r="AQ175" t="s">
        <v>1768</v>
      </c>
      <c r="AR175" t="s">
        <v>1769</v>
      </c>
      <c r="AS175" t="s">
        <v>1770</v>
      </c>
    </row>
    <row r="176" spans="1:45" x14ac:dyDescent="0.45">
      <c r="A176">
        <v>175</v>
      </c>
      <c r="B176">
        <v>12519</v>
      </c>
      <c r="C176" t="s">
        <v>72</v>
      </c>
      <c r="D176" t="s">
        <v>190</v>
      </c>
      <c r="E176" t="s">
        <v>74</v>
      </c>
      <c r="F176" t="s">
        <v>75</v>
      </c>
      <c r="G176" t="s">
        <v>76</v>
      </c>
      <c r="H176">
        <v>154.06212676449971</v>
      </c>
      <c r="I176">
        <v>3</v>
      </c>
      <c r="J176">
        <v>8</v>
      </c>
      <c r="K176">
        <v>4</v>
      </c>
      <c r="L176">
        <v>4</v>
      </c>
      <c r="M176">
        <v>9</v>
      </c>
      <c r="N176">
        <v>5</v>
      </c>
      <c r="O176">
        <v>4</v>
      </c>
      <c r="P176">
        <v>7</v>
      </c>
      <c r="Q176">
        <v>4</v>
      </c>
      <c r="R176">
        <v>3</v>
      </c>
      <c r="S176">
        <v>8</v>
      </c>
      <c r="T176">
        <v>6</v>
      </c>
      <c r="U176">
        <v>2</v>
      </c>
      <c r="V176">
        <v>7</v>
      </c>
      <c r="W176">
        <v>4</v>
      </c>
      <c r="X176">
        <v>3</v>
      </c>
      <c r="Y176">
        <v>8</v>
      </c>
      <c r="Z176">
        <v>4</v>
      </c>
      <c r="AA176">
        <v>4</v>
      </c>
      <c r="AB176">
        <v>7</v>
      </c>
      <c r="AC176">
        <v>4</v>
      </c>
      <c r="AD176">
        <v>3</v>
      </c>
      <c r="AE176">
        <v>6</v>
      </c>
      <c r="AF176">
        <v>5</v>
      </c>
      <c r="AG176">
        <v>1</v>
      </c>
      <c r="AH176">
        <v>8</v>
      </c>
      <c r="AI176">
        <v>4</v>
      </c>
      <c r="AJ176">
        <v>4</v>
      </c>
      <c r="AK176" t="s">
        <v>1771</v>
      </c>
      <c r="AL176" t="s">
        <v>1772</v>
      </c>
      <c r="AM176" t="s">
        <v>1773</v>
      </c>
      <c r="AN176" t="s">
        <v>1774</v>
      </c>
      <c r="AO176" t="s">
        <v>1775</v>
      </c>
      <c r="AP176" t="s">
        <v>1776</v>
      </c>
      <c r="AQ176" t="s">
        <v>1777</v>
      </c>
      <c r="AR176" t="s">
        <v>1778</v>
      </c>
      <c r="AS176" t="s">
        <v>1779</v>
      </c>
    </row>
    <row r="177" spans="1:45" x14ac:dyDescent="0.45">
      <c r="A177">
        <v>176</v>
      </c>
      <c r="B177">
        <v>12520</v>
      </c>
      <c r="C177" t="s">
        <v>72</v>
      </c>
      <c r="D177" t="s">
        <v>192</v>
      </c>
      <c r="E177" t="s">
        <v>80</v>
      </c>
      <c r="F177" t="s">
        <v>75</v>
      </c>
      <c r="G177" t="s">
        <v>76</v>
      </c>
      <c r="H177">
        <v>242.78528291659143</v>
      </c>
      <c r="I177">
        <v>0</v>
      </c>
      <c r="J177">
        <v>7</v>
      </c>
      <c r="K177">
        <v>2</v>
      </c>
      <c r="L177">
        <v>5</v>
      </c>
      <c r="M177">
        <v>8</v>
      </c>
      <c r="N177">
        <v>4</v>
      </c>
      <c r="O177">
        <v>4</v>
      </c>
      <c r="P177">
        <v>9</v>
      </c>
      <c r="Q177">
        <v>3</v>
      </c>
      <c r="R177">
        <v>6</v>
      </c>
      <c r="S177">
        <v>8</v>
      </c>
      <c r="T177">
        <v>5</v>
      </c>
      <c r="U177">
        <v>3</v>
      </c>
      <c r="V177">
        <v>7</v>
      </c>
      <c r="W177">
        <v>4</v>
      </c>
      <c r="X177">
        <v>3</v>
      </c>
      <c r="Y177">
        <v>8</v>
      </c>
      <c r="Z177">
        <v>1</v>
      </c>
      <c r="AA177">
        <v>7</v>
      </c>
      <c r="AB177">
        <v>6</v>
      </c>
      <c r="AC177">
        <v>1</v>
      </c>
      <c r="AD177">
        <v>5</v>
      </c>
      <c r="AE177">
        <v>5</v>
      </c>
      <c r="AF177">
        <v>4</v>
      </c>
      <c r="AG177">
        <v>1</v>
      </c>
      <c r="AH177">
        <v>6</v>
      </c>
      <c r="AI177">
        <v>4</v>
      </c>
      <c r="AJ177">
        <v>2</v>
      </c>
      <c r="AK177" t="s">
        <v>1780</v>
      </c>
      <c r="AL177" t="s">
        <v>1781</v>
      </c>
      <c r="AM177" t="s">
        <v>1782</v>
      </c>
      <c r="AN177" t="s">
        <v>1783</v>
      </c>
      <c r="AO177" t="s">
        <v>1784</v>
      </c>
      <c r="AP177" t="s">
        <v>1785</v>
      </c>
      <c r="AQ177" t="s">
        <v>1786</v>
      </c>
      <c r="AR177" t="s">
        <v>1787</v>
      </c>
      <c r="AS177" t="s">
        <v>1788</v>
      </c>
    </row>
    <row r="178" spans="1:45" x14ac:dyDescent="0.45">
      <c r="A178">
        <v>177</v>
      </c>
      <c r="B178">
        <v>12521</v>
      </c>
      <c r="C178" t="s">
        <v>72</v>
      </c>
      <c r="D178" t="s">
        <v>190</v>
      </c>
      <c r="E178" t="s">
        <v>74</v>
      </c>
      <c r="F178" t="s">
        <v>75</v>
      </c>
      <c r="G178" t="s">
        <v>76</v>
      </c>
      <c r="H178">
        <v>99.641554489013288</v>
      </c>
      <c r="I178">
        <v>2</v>
      </c>
      <c r="J178">
        <v>8</v>
      </c>
      <c r="K178">
        <v>4</v>
      </c>
      <c r="L178">
        <v>4</v>
      </c>
      <c r="M178">
        <v>7</v>
      </c>
      <c r="N178">
        <v>4</v>
      </c>
      <c r="O178">
        <v>3</v>
      </c>
      <c r="P178">
        <v>9</v>
      </c>
      <c r="Q178">
        <v>3</v>
      </c>
      <c r="R178">
        <v>6</v>
      </c>
      <c r="S178">
        <v>8</v>
      </c>
      <c r="T178">
        <v>5</v>
      </c>
      <c r="U178">
        <v>3</v>
      </c>
      <c r="V178">
        <v>7</v>
      </c>
      <c r="W178">
        <v>3</v>
      </c>
      <c r="X178">
        <v>4</v>
      </c>
      <c r="Y178">
        <v>8</v>
      </c>
      <c r="Z178">
        <v>2</v>
      </c>
      <c r="AA178">
        <v>6</v>
      </c>
      <c r="AB178">
        <v>6</v>
      </c>
      <c r="AC178">
        <v>1</v>
      </c>
      <c r="AD178">
        <v>5</v>
      </c>
      <c r="AE178">
        <v>7</v>
      </c>
      <c r="AF178">
        <v>1</v>
      </c>
      <c r="AG178">
        <v>6</v>
      </c>
      <c r="AH178">
        <v>8</v>
      </c>
      <c r="AI178">
        <v>1</v>
      </c>
      <c r="AJ178">
        <v>7</v>
      </c>
      <c r="AK178" t="s">
        <v>1789</v>
      </c>
      <c r="AL178" t="s">
        <v>1790</v>
      </c>
      <c r="AM178" t="s">
        <v>1791</v>
      </c>
      <c r="AN178" t="s">
        <v>1792</v>
      </c>
      <c r="AO178" t="s">
        <v>1793</v>
      </c>
      <c r="AP178" t="s">
        <v>1794</v>
      </c>
      <c r="AQ178" t="s">
        <v>1795</v>
      </c>
      <c r="AR178" t="s">
        <v>1796</v>
      </c>
      <c r="AS178" t="s">
        <v>1797</v>
      </c>
    </row>
    <row r="179" spans="1:45" x14ac:dyDescent="0.45">
      <c r="A179">
        <v>178</v>
      </c>
      <c r="B179">
        <v>12522</v>
      </c>
      <c r="C179" t="s">
        <v>72</v>
      </c>
      <c r="D179" t="s">
        <v>192</v>
      </c>
      <c r="E179" t="s">
        <v>74</v>
      </c>
      <c r="F179" t="s">
        <v>77</v>
      </c>
      <c r="G179" t="s">
        <v>76</v>
      </c>
      <c r="H179">
        <v>41.975058694830153</v>
      </c>
      <c r="I179">
        <v>4</v>
      </c>
      <c r="J179">
        <v>8</v>
      </c>
      <c r="K179">
        <v>6</v>
      </c>
      <c r="L179">
        <v>2</v>
      </c>
      <c r="M179">
        <v>7</v>
      </c>
      <c r="N179">
        <v>7</v>
      </c>
      <c r="O179">
        <v>0</v>
      </c>
      <c r="P179">
        <v>6</v>
      </c>
      <c r="Q179">
        <v>6</v>
      </c>
      <c r="R179">
        <v>0</v>
      </c>
      <c r="S179">
        <v>8</v>
      </c>
      <c r="T179">
        <v>6</v>
      </c>
      <c r="U179">
        <v>2</v>
      </c>
      <c r="V179">
        <v>9</v>
      </c>
      <c r="W179">
        <v>6</v>
      </c>
      <c r="X179">
        <v>3</v>
      </c>
      <c r="Y179">
        <v>7</v>
      </c>
      <c r="Z179">
        <v>7</v>
      </c>
      <c r="AA179">
        <v>0</v>
      </c>
      <c r="AB179">
        <v>8</v>
      </c>
      <c r="AC179">
        <v>5</v>
      </c>
      <c r="AD179">
        <v>3</v>
      </c>
      <c r="AE179">
        <v>6</v>
      </c>
      <c r="AF179">
        <v>6</v>
      </c>
      <c r="AG179">
        <v>0</v>
      </c>
      <c r="AH179">
        <v>7</v>
      </c>
      <c r="AI179">
        <v>7</v>
      </c>
      <c r="AJ179">
        <v>0</v>
      </c>
      <c r="AK179" t="s">
        <v>1798</v>
      </c>
      <c r="AL179" t="s">
        <v>1799</v>
      </c>
      <c r="AM179" t="s">
        <v>1800</v>
      </c>
      <c r="AN179" t="s">
        <v>1801</v>
      </c>
      <c r="AO179" t="s">
        <v>1802</v>
      </c>
      <c r="AP179" t="s">
        <v>1803</v>
      </c>
      <c r="AQ179" t="s">
        <v>1804</v>
      </c>
      <c r="AR179" t="s">
        <v>1805</v>
      </c>
      <c r="AS179" t="s">
        <v>1806</v>
      </c>
    </row>
    <row r="180" spans="1:45" x14ac:dyDescent="0.45">
      <c r="A180">
        <v>179</v>
      </c>
      <c r="B180">
        <v>12523</v>
      </c>
      <c r="C180" t="s">
        <v>72</v>
      </c>
      <c r="D180" t="s">
        <v>73</v>
      </c>
      <c r="E180" t="s">
        <v>74</v>
      </c>
      <c r="F180" t="s">
        <v>75</v>
      </c>
      <c r="G180" t="s">
        <v>76</v>
      </c>
      <c r="H180">
        <v>29.19172331684997</v>
      </c>
      <c r="I180">
        <v>1</v>
      </c>
      <c r="J180">
        <v>7</v>
      </c>
      <c r="K180">
        <v>7</v>
      </c>
      <c r="L180">
        <v>0</v>
      </c>
      <c r="M180">
        <v>7</v>
      </c>
      <c r="N180">
        <v>7</v>
      </c>
      <c r="O180">
        <v>0</v>
      </c>
      <c r="P180">
        <v>6</v>
      </c>
      <c r="Q180">
        <v>7</v>
      </c>
      <c r="R180">
        <v>-1</v>
      </c>
      <c r="S180">
        <v>8</v>
      </c>
      <c r="T180">
        <v>8</v>
      </c>
      <c r="U180">
        <v>0</v>
      </c>
      <c r="V180">
        <v>7</v>
      </c>
      <c r="W180">
        <v>7</v>
      </c>
      <c r="X180">
        <v>0</v>
      </c>
      <c r="Y180">
        <v>8</v>
      </c>
      <c r="Z180">
        <v>8</v>
      </c>
      <c r="AA180">
        <v>0</v>
      </c>
      <c r="AB180">
        <v>7</v>
      </c>
      <c r="AC180">
        <v>7</v>
      </c>
      <c r="AD180">
        <v>0</v>
      </c>
      <c r="AE180">
        <v>6</v>
      </c>
      <c r="AF180">
        <v>7</v>
      </c>
      <c r="AG180">
        <v>-1</v>
      </c>
      <c r="AH180">
        <v>8</v>
      </c>
      <c r="AI180">
        <v>8</v>
      </c>
      <c r="AJ180">
        <v>0</v>
      </c>
      <c r="AK180" t="s">
        <v>1807</v>
      </c>
      <c r="AL180" t="s">
        <v>1808</v>
      </c>
      <c r="AM180" t="s">
        <v>1809</v>
      </c>
      <c r="AN180" t="s">
        <v>1810</v>
      </c>
      <c r="AO180" t="s">
        <v>1811</v>
      </c>
      <c r="AP180" t="s">
        <v>1812</v>
      </c>
      <c r="AQ180" t="s">
        <v>1813</v>
      </c>
      <c r="AR180" t="s">
        <v>1814</v>
      </c>
      <c r="AS180" t="s">
        <v>1815</v>
      </c>
    </row>
    <row r="181" spans="1:45" x14ac:dyDescent="0.45">
      <c r="A181">
        <v>180</v>
      </c>
      <c r="B181">
        <v>12524</v>
      </c>
      <c r="C181" t="s">
        <v>72</v>
      </c>
      <c r="D181" t="s">
        <v>79</v>
      </c>
      <c r="E181" t="s">
        <v>74</v>
      </c>
      <c r="F181" t="s">
        <v>77</v>
      </c>
      <c r="G181" t="s">
        <v>76</v>
      </c>
      <c r="H181">
        <v>67.224779049723395</v>
      </c>
      <c r="I181">
        <v>1</v>
      </c>
      <c r="J181">
        <v>7</v>
      </c>
      <c r="K181">
        <v>5</v>
      </c>
      <c r="L181">
        <v>2</v>
      </c>
      <c r="M181">
        <v>6</v>
      </c>
      <c r="N181">
        <v>5</v>
      </c>
      <c r="O181">
        <v>1</v>
      </c>
      <c r="P181">
        <v>8</v>
      </c>
      <c r="Q181">
        <v>5</v>
      </c>
      <c r="R181">
        <v>3</v>
      </c>
      <c r="S181">
        <v>9</v>
      </c>
      <c r="T181">
        <v>7</v>
      </c>
      <c r="U181">
        <v>2</v>
      </c>
      <c r="V181">
        <v>8</v>
      </c>
      <c r="W181">
        <v>5</v>
      </c>
      <c r="X181">
        <v>3</v>
      </c>
      <c r="Y181">
        <v>7</v>
      </c>
      <c r="Z181">
        <v>6</v>
      </c>
      <c r="AA181">
        <v>1</v>
      </c>
      <c r="AB181">
        <v>6</v>
      </c>
      <c r="AC181">
        <v>5</v>
      </c>
      <c r="AD181">
        <v>1</v>
      </c>
      <c r="AE181">
        <v>5</v>
      </c>
      <c r="AF181">
        <v>7</v>
      </c>
      <c r="AG181">
        <v>-2</v>
      </c>
      <c r="AH181">
        <v>7</v>
      </c>
      <c r="AI181">
        <v>7</v>
      </c>
      <c r="AJ181">
        <v>0</v>
      </c>
      <c r="AK181" t="s">
        <v>1816</v>
      </c>
      <c r="AL181" t="s">
        <v>1817</v>
      </c>
      <c r="AM181" t="s">
        <v>1818</v>
      </c>
      <c r="AN181" t="s">
        <v>1819</v>
      </c>
      <c r="AO181" t="s">
        <v>1820</v>
      </c>
      <c r="AP181" t="s">
        <v>1821</v>
      </c>
      <c r="AQ181" t="s">
        <v>1822</v>
      </c>
      <c r="AR181" t="s">
        <v>1823</v>
      </c>
      <c r="AS181" t="s">
        <v>1824</v>
      </c>
    </row>
    <row r="182" spans="1:45" x14ac:dyDescent="0.45">
      <c r="A182">
        <v>181</v>
      </c>
      <c r="B182">
        <v>12525</v>
      </c>
      <c r="C182" t="s">
        <v>72</v>
      </c>
      <c r="D182" t="s">
        <v>73</v>
      </c>
      <c r="E182" t="s">
        <v>74</v>
      </c>
      <c r="F182" t="s">
        <v>75</v>
      </c>
      <c r="G182" t="s">
        <v>76</v>
      </c>
      <c r="H182">
        <v>55.869776463680211</v>
      </c>
      <c r="I182">
        <v>2</v>
      </c>
      <c r="J182">
        <v>7</v>
      </c>
      <c r="K182">
        <v>6</v>
      </c>
      <c r="L182">
        <v>1</v>
      </c>
      <c r="M182">
        <v>6</v>
      </c>
      <c r="N182">
        <v>7</v>
      </c>
      <c r="O182">
        <v>-1</v>
      </c>
      <c r="P182">
        <v>8</v>
      </c>
      <c r="Q182">
        <v>7</v>
      </c>
      <c r="R182">
        <v>1</v>
      </c>
      <c r="S182">
        <v>7</v>
      </c>
      <c r="T182">
        <v>8</v>
      </c>
      <c r="U182">
        <v>-1</v>
      </c>
      <c r="V182">
        <v>8</v>
      </c>
      <c r="W182">
        <v>8</v>
      </c>
      <c r="X182">
        <v>0</v>
      </c>
      <c r="Y182">
        <v>6</v>
      </c>
      <c r="Z182">
        <v>7</v>
      </c>
      <c r="AA182">
        <v>-1</v>
      </c>
      <c r="AB182">
        <v>7</v>
      </c>
      <c r="AC182">
        <v>5</v>
      </c>
      <c r="AD182">
        <v>2</v>
      </c>
      <c r="AE182">
        <v>5</v>
      </c>
      <c r="AF182">
        <v>7</v>
      </c>
      <c r="AG182">
        <v>-2</v>
      </c>
      <c r="AH182">
        <v>6</v>
      </c>
      <c r="AI182">
        <v>7</v>
      </c>
      <c r="AJ182">
        <v>-1</v>
      </c>
      <c r="AK182" t="s">
        <v>1825</v>
      </c>
      <c r="AL182" t="s">
        <v>1826</v>
      </c>
      <c r="AM182" t="s">
        <v>1827</v>
      </c>
      <c r="AN182" t="s">
        <v>1828</v>
      </c>
      <c r="AO182" t="s">
        <v>1829</v>
      </c>
      <c r="AP182" t="s">
        <v>1830</v>
      </c>
      <c r="AQ182" t="s">
        <v>1831</v>
      </c>
      <c r="AR182" t="s">
        <v>1832</v>
      </c>
      <c r="AS182" t="s">
        <v>1833</v>
      </c>
    </row>
    <row r="183" spans="1:45" x14ac:dyDescent="0.45">
      <c r="A183">
        <v>182</v>
      </c>
      <c r="B183">
        <v>12526</v>
      </c>
      <c r="C183" t="s">
        <v>72</v>
      </c>
      <c r="D183" t="s">
        <v>81</v>
      </c>
      <c r="E183" t="s">
        <v>74</v>
      </c>
      <c r="F183" t="s">
        <v>77</v>
      </c>
      <c r="G183" t="s">
        <v>76</v>
      </c>
      <c r="H183">
        <v>26.36529032007855</v>
      </c>
      <c r="I183">
        <v>0</v>
      </c>
      <c r="J183">
        <v>6</v>
      </c>
      <c r="K183">
        <v>8</v>
      </c>
      <c r="L183">
        <v>-2</v>
      </c>
      <c r="M183">
        <v>7</v>
      </c>
      <c r="N183">
        <v>8</v>
      </c>
      <c r="O183">
        <v>-1</v>
      </c>
      <c r="P183">
        <v>8</v>
      </c>
      <c r="Q183">
        <v>5</v>
      </c>
      <c r="R183">
        <v>3</v>
      </c>
      <c r="S183">
        <v>7</v>
      </c>
      <c r="T183">
        <v>8</v>
      </c>
      <c r="U183">
        <v>-1</v>
      </c>
      <c r="V183">
        <v>6</v>
      </c>
      <c r="W183">
        <v>6</v>
      </c>
      <c r="X183">
        <v>0</v>
      </c>
      <c r="Y183">
        <v>7</v>
      </c>
      <c r="Z183">
        <v>8</v>
      </c>
      <c r="AA183">
        <v>-1</v>
      </c>
      <c r="AB183">
        <v>6</v>
      </c>
      <c r="AC183">
        <v>6</v>
      </c>
      <c r="AD183">
        <v>0</v>
      </c>
      <c r="AE183">
        <v>5</v>
      </c>
      <c r="AF183">
        <v>7</v>
      </c>
      <c r="AG183">
        <v>-2</v>
      </c>
      <c r="AH183">
        <v>6</v>
      </c>
      <c r="AI183">
        <v>7</v>
      </c>
      <c r="AJ183">
        <v>-1</v>
      </c>
      <c r="AK183" t="s">
        <v>1834</v>
      </c>
      <c r="AL183" t="s">
        <v>1835</v>
      </c>
      <c r="AM183" t="s">
        <v>1836</v>
      </c>
      <c r="AN183" t="s">
        <v>1837</v>
      </c>
      <c r="AO183" t="s">
        <v>1838</v>
      </c>
      <c r="AP183" t="s">
        <v>1839</v>
      </c>
      <c r="AQ183" t="s">
        <v>1840</v>
      </c>
      <c r="AR183" t="s">
        <v>1841</v>
      </c>
      <c r="AS183" t="s">
        <v>1842</v>
      </c>
    </row>
    <row r="184" spans="1:45" x14ac:dyDescent="0.45">
      <c r="A184">
        <v>183</v>
      </c>
      <c r="B184">
        <v>12527</v>
      </c>
      <c r="C184" t="s">
        <v>78</v>
      </c>
      <c r="D184" t="s">
        <v>192</v>
      </c>
      <c r="E184" t="s">
        <v>74</v>
      </c>
      <c r="F184" t="s">
        <v>75</v>
      </c>
      <c r="G184" t="s">
        <v>76</v>
      </c>
      <c r="H184">
        <v>242.87940079209727</v>
      </c>
      <c r="I184">
        <v>3</v>
      </c>
      <c r="J184">
        <v>7</v>
      </c>
      <c r="K184">
        <v>2</v>
      </c>
      <c r="L184">
        <v>5</v>
      </c>
      <c r="M184">
        <v>6</v>
      </c>
      <c r="N184">
        <v>5</v>
      </c>
      <c r="O184">
        <v>1</v>
      </c>
      <c r="P184">
        <v>5</v>
      </c>
      <c r="Q184">
        <v>3</v>
      </c>
      <c r="R184">
        <v>2</v>
      </c>
      <c r="S184">
        <v>8</v>
      </c>
      <c r="T184">
        <v>5</v>
      </c>
      <c r="U184">
        <v>3</v>
      </c>
      <c r="V184">
        <v>7</v>
      </c>
      <c r="W184">
        <v>3</v>
      </c>
      <c r="X184">
        <v>4</v>
      </c>
      <c r="Y184">
        <v>6</v>
      </c>
      <c r="Z184">
        <v>2</v>
      </c>
      <c r="AA184">
        <v>4</v>
      </c>
      <c r="AB184">
        <v>7</v>
      </c>
      <c r="AC184">
        <v>1</v>
      </c>
      <c r="AD184">
        <v>6</v>
      </c>
      <c r="AE184">
        <v>6</v>
      </c>
      <c r="AF184">
        <v>5</v>
      </c>
      <c r="AG184">
        <v>1</v>
      </c>
      <c r="AH184">
        <v>8</v>
      </c>
      <c r="AI184">
        <v>5</v>
      </c>
      <c r="AJ184">
        <v>3</v>
      </c>
      <c r="AK184" t="s">
        <v>1843</v>
      </c>
      <c r="AL184" t="s">
        <v>1844</v>
      </c>
      <c r="AM184" t="s">
        <v>1845</v>
      </c>
      <c r="AN184" t="s">
        <v>1846</v>
      </c>
      <c r="AO184" t="s">
        <v>1847</v>
      </c>
      <c r="AP184" t="s">
        <v>1848</v>
      </c>
      <c r="AQ184" t="s">
        <v>1849</v>
      </c>
      <c r="AR184" t="s">
        <v>1850</v>
      </c>
      <c r="AS184" t="s">
        <v>1851</v>
      </c>
    </row>
    <row r="185" spans="1:45" x14ac:dyDescent="0.45">
      <c r="A185">
        <v>184</v>
      </c>
      <c r="B185">
        <v>12528</v>
      </c>
      <c r="C185" t="s">
        <v>78</v>
      </c>
      <c r="D185" t="s">
        <v>188</v>
      </c>
      <c r="E185" t="s">
        <v>74</v>
      </c>
      <c r="F185" t="s">
        <v>77</v>
      </c>
      <c r="G185" t="s">
        <v>76</v>
      </c>
      <c r="H185">
        <v>13.994494786815956</v>
      </c>
      <c r="I185">
        <v>0</v>
      </c>
      <c r="J185">
        <v>8</v>
      </c>
      <c r="K185">
        <v>6</v>
      </c>
      <c r="L185">
        <v>2</v>
      </c>
      <c r="M185">
        <v>8</v>
      </c>
      <c r="N185">
        <v>6</v>
      </c>
      <c r="O185">
        <v>2</v>
      </c>
      <c r="P185">
        <v>8</v>
      </c>
      <c r="Q185">
        <v>5</v>
      </c>
      <c r="R185">
        <v>3</v>
      </c>
      <c r="S185">
        <v>9</v>
      </c>
      <c r="T185">
        <v>9</v>
      </c>
      <c r="U185">
        <v>0</v>
      </c>
      <c r="V185">
        <v>6</v>
      </c>
      <c r="W185">
        <v>7</v>
      </c>
      <c r="X185">
        <v>-1</v>
      </c>
      <c r="Y185">
        <v>7</v>
      </c>
      <c r="Z185">
        <v>8</v>
      </c>
      <c r="AA185">
        <v>-1</v>
      </c>
      <c r="AB185">
        <v>5</v>
      </c>
      <c r="AC185">
        <v>5</v>
      </c>
      <c r="AD185">
        <v>0</v>
      </c>
      <c r="AE185">
        <v>5</v>
      </c>
      <c r="AF185">
        <v>7</v>
      </c>
      <c r="AG185">
        <v>-2</v>
      </c>
      <c r="AH185">
        <v>7</v>
      </c>
      <c r="AI185">
        <v>7</v>
      </c>
      <c r="AJ185">
        <v>0</v>
      </c>
      <c r="AK185" t="s">
        <v>1852</v>
      </c>
      <c r="AL185" t="s">
        <v>1853</v>
      </c>
      <c r="AM185" t="s">
        <v>1854</v>
      </c>
      <c r="AN185" t="s">
        <v>1855</v>
      </c>
      <c r="AO185" t="s">
        <v>1856</v>
      </c>
      <c r="AP185" t="s">
        <v>1857</v>
      </c>
      <c r="AQ185" t="s">
        <v>1858</v>
      </c>
      <c r="AR185" t="s">
        <v>1859</v>
      </c>
      <c r="AS185" t="s">
        <v>1860</v>
      </c>
    </row>
    <row r="186" spans="1:45" x14ac:dyDescent="0.45">
      <c r="A186">
        <v>185</v>
      </c>
      <c r="B186">
        <v>12529</v>
      </c>
      <c r="C186" t="s">
        <v>72</v>
      </c>
      <c r="D186" t="s">
        <v>79</v>
      </c>
      <c r="E186" t="s">
        <v>80</v>
      </c>
      <c r="F186" t="s">
        <v>77</v>
      </c>
      <c r="G186" t="s">
        <v>161</v>
      </c>
      <c r="H186">
        <v>43.39396714593326</v>
      </c>
      <c r="I186">
        <v>3</v>
      </c>
      <c r="J186">
        <v>8</v>
      </c>
      <c r="K186">
        <v>7</v>
      </c>
      <c r="L186">
        <v>1</v>
      </c>
      <c r="M186">
        <v>7</v>
      </c>
      <c r="N186">
        <v>7</v>
      </c>
      <c r="O186">
        <v>0</v>
      </c>
      <c r="P186">
        <v>7</v>
      </c>
      <c r="Q186">
        <v>6</v>
      </c>
      <c r="R186">
        <v>1</v>
      </c>
      <c r="S186">
        <v>8</v>
      </c>
      <c r="T186">
        <v>8</v>
      </c>
      <c r="U186">
        <v>0</v>
      </c>
      <c r="V186">
        <v>8</v>
      </c>
      <c r="W186">
        <v>5</v>
      </c>
      <c r="X186">
        <v>3</v>
      </c>
      <c r="Y186">
        <v>7</v>
      </c>
      <c r="Z186">
        <v>5</v>
      </c>
      <c r="AA186">
        <v>2</v>
      </c>
      <c r="AB186">
        <v>8</v>
      </c>
      <c r="AC186">
        <v>5</v>
      </c>
      <c r="AD186">
        <v>3</v>
      </c>
      <c r="AE186">
        <v>7</v>
      </c>
      <c r="AF186">
        <v>6</v>
      </c>
      <c r="AG186">
        <v>1</v>
      </c>
      <c r="AH186">
        <v>7</v>
      </c>
      <c r="AI186">
        <v>5</v>
      </c>
      <c r="AJ186">
        <v>2</v>
      </c>
      <c r="AK186" t="s">
        <v>1861</v>
      </c>
      <c r="AL186" t="s">
        <v>1862</v>
      </c>
      <c r="AM186" t="s">
        <v>1863</v>
      </c>
      <c r="AN186" t="s">
        <v>1864</v>
      </c>
      <c r="AO186" t="s">
        <v>1865</v>
      </c>
      <c r="AP186" t="s">
        <v>1866</v>
      </c>
      <c r="AQ186" t="s">
        <v>1867</v>
      </c>
      <c r="AR186" t="s">
        <v>1868</v>
      </c>
      <c r="AS186" t="s">
        <v>1869</v>
      </c>
    </row>
    <row r="187" spans="1:45" x14ac:dyDescent="0.45">
      <c r="A187">
        <v>186</v>
      </c>
      <c r="B187">
        <v>12530</v>
      </c>
      <c r="C187" t="s">
        <v>72</v>
      </c>
      <c r="D187" t="s">
        <v>192</v>
      </c>
      <c r="E187" t="s">
        <v>74</v>
      </c>
      <c r="F187" t="s">
        <v>77</v>
      </c>
      <c r="G187" t="s">
        <v>161</v>
      </c>
      <c r="H187">
        <v>16.82927701635651</v>
      </c>
      <c r="I187">
        <v>0</v>
      </c>
      <c r="J187">
        <v>9</v>
      </c>
      <c r="K187">
        <v>7</v>
      </c>
      <c r="L187">
        <v>2</v>
      </c>
      <c r="M187">
        <v>8</v>
      </c>
      <c r="N187">
        <v>7</v>
      </c>
      <c r="O187">
        <v>1</v>
      </c>
      <c r="P187">
        <v>7</v>
      </c>
      <c r="Q187">
        <v>5</v>
      </c>
      <c r="R187">
        <v>2</v>
      </c>
      <c r="S187">
        <v>8</v>
      </c>
      <c r="T187">
        <v>7</v>
      </c>
      <c r="U187">
        <v>1</v>
      </c>
      <c r="V187">
        <v>7</v>
      </c>
      <c r="W187">
        <v>5</v>
      </c>
      <c r="X187">
        <v>2</v>
      </c>
      <c r="Y187">
        <v>8</v>
      </c>
      <c r="Z187">
        <v>5</v>
      </c>
      <c r="AA187">
        <v>3</v>
      </c>
      <c r="AB187">
        <v>7</v>
      </c>
      <c r="AC187">
        <v>5</v>
      </c>
      <c r="AD187">
        <v>2</v>
      </c>
      <c r="AE187">
        <v>8</v>
      </c>
      <c r="AF187">
        <v>5</v>
      </c>
      <c r="AG187">
        <v>3</v>
      </c>
      <c r="AH187">
        <v>9</v>
      </c>
      <c r="AI187">
        <v>6</v>
      </c>
      <c r="AJ187">
        <v>3</v>
      </c>
      <c r="AK187" t="s">
        <v>1870</v>
      </c>
      <c r="AL187" t="s">
        <v>1871</v>
      </c>
      <c r="AM187" t="s">
        <v>1872</v>
      </c>
      <c r="AN187" t="s">
        <v>1873</v>
      </c>
      <c r="AO187" t="s">
        <v>1874</v>
      </c>
      <c r="AP187" t="s">
        <v>1875</v>
      </c>
      <c r="AQ187" t="s">
        <v>1876</v>
      </c>
      <c r="AR187" t="s">
        <v>1877</v>
      </c>
      <c r="AS187" t="s">
        <v>1878</v>
      </c>
    </row>
    <row r="188" spans="1:45" x14ac:dyDescent="0.45">
      <c r="A188">
        <v>187</v>
      </c>
      <c r="B188">
        <v>12531</v>
      </c>
      <c r="C188" t="s">
        <v>78</v>
      </c>
      <c r="D188" t="s">
        <v>79</v>
      </c>
      <c r="E188" t="s">
        <v>74</v>
      </c>
      <c r="F188" t="s">
        <v>75</v>
      </c>
      <c r="G188" t="s">
        <v>76</v>
      </c>
      <c r="H188">
        <v>39.764813302683351</v>
      </c>
      <c r="I188">
        <v>2</v>
      </c>
      <c r="J188">
        <v>7</v>
      </c>
      <c r="K188">
        <v>6</v>
      </c>
      <c r="L188">
        <v>1</v>
      </c>
      <c r="M188">
        <v>6</v>
      </c>
      <c r="N188">
        <v>7</v>
      </c>
      <c r="O188">
        <v>-1</v>
      </c>
      <c r="P188">
        <v>8</v>
      </c>
      <c r="Q188">
        <v>6</v>
      </c>
      <c r="R188">
        <v>2</v>
      </c>
      <c r="S188">
        <v>9</v>
      </c>
      <c r="T188">
        <v>7</v>
      </c>
      <c r="U188">
        <v>2</v>
      </c>
      <c r="V188">
        <v>7</v>
      </c>
      <c r="W188">
        <v>6</v>
      </c>
      <c r="X188">
        <v>1</v>
      </c>
      <c r="Y188">
        <v>6</v>
      </c>
      <c r="Z188">
        <v>6</v>
      </c>
      <c r="AA188">
        <v>0</v>
      </c>
      <c r="AB188">
        <v>7</v>
      </c>
      <c r="AC188">
        <v>5</v>
      </c>
      <c r="AD188">
        <v>2</v>
      </c>
      <c r="AE188">
        <v>6</v>
      </c>
      <c r="AF188">
        <v>5</v>
      </c>
      <c r="AG188">
        <v>1</v>
      </c>
      <c r="AH188">
        <v>7</v>
      </c>
      <c r="AI188">
        <v>6</v>
      </c>
      <c r="AJ188">
        <v>1</v>
      </c>
      <c r="AK188" t="s">
        <v>1879</v>
      </c>
      <c r="AL188" t="s">
        <v>1880</v>
      </c>
      <c r="AM188" t="s">
        <v>1881</v>
      </c>
      <c r="AN188" t="s">
        <v>1882</v>
      </c>
      <c r="AO188" t="s">
        <v>1883</v>
      </c>
      <c r="AP188" t="s">
        <v>1884</v>
      </c>
      <c r="AQ188" t="s">
        <v>1885</v>
      </c>
      <c r="AR188" t="s">
        <v>1886</v>
      </c>
      <c r="AS188" t="s">
        <v>1887</v>
      </c>
    </row>
    <row r="189" spans="1:45" x14ac:dyDescent="0.45">
      <c r="A189">
        <v>188</v>
      </c>
      <c r="B189">
        <v>12532</v>
      </c>
      <c r="C189" t="s">
        <v>78</v>
      </c>
      <c r="D189" t="s">
        <v>81</v>
      </c>
      <c r="E189" t="s">
        <v>74</v>
      </c>
      <c r="F189" t="s">
        <v>77</v>
      </c>
      <c r="G189" t="s">
        <v>76</v>
      </c>
      <c r="H189">
        <v>23.899020392281038</v>
      </c>
      <c r="I189">
        <v>1</v>
      </c>
      <c r="J189">
        <v>6</v>
      </c>
      <c r="K189">
        <v>5</v>
      </c>
      <c r="L189">
        <v>1</v>
      </c>
      <c r="M189">
        <v>6</v>
      </c>
      <c r="N189">
        <v>5</v>
      </c>
      <c r="O189">
        <v>1</v>
      </c>
      <c r="P189">
        <v>6</v>
      </c>
      <c r="Q189">
        <v>4</v>
      </c>
      <c r="R189">
        <v>2</v>
      </c>
      <c r="S189">
        <v>6</v>
      </c>
      <c r="T189">
        <v>6</v>
      </c>
      <c r="U189">
        <v>0</v>
      </c>
      <c r="V189">
        <v>5</v>
      </c>
      <c r="W189">
        <v>5</v>
      </c>
      <c r="X189">
        <v>0</v>
      </c>
      <c r="Y189">
        <v>5</v>
      </c>
      <c r="Z189">
        <v>5</v>
      </c>
      <c r="AA189">
        <v>0</v>
      </c>
      <c r="AB189">
        <v>5</v>
      </c>
      <c r="AC189">
        <v>5</v>
      </c>
      <c r="AD189">
        <v>0</v>
      </c>
      <c r="AE189">
        <v>5</v>
      </c>
      <c r="AF189">
        <v>5</v>
      </c>
      <c r="AG189">
        <v>0</v>
      </c>
      <c r="AH189">
        <v>5</v>
      </c>
      <c r="AI189">
        <v>5</v>
      </c>
      <c r="AJ189">
        <v>0</v>
      </c>
      <c r="AK189" t="s">
        <v>1888</v>
      </c>
      <c r="AL189" t="s">
        <v>1889</v>
      </c>
      <c r="AM189" t="s">
        <v>1890</v>
      </c>
      <c r="AN189" t="s">
        <v>1891</v>
      </c>
      <c r="AO189" t="s">
        <v>1892</v>
      </c>
      <c r="AP189" t="s">
        <v>1893</v>
      </c>
      <c r="AQ189" t="s">
        <v>1894</v>
      </c>
      <c r="AR189" t="s">
        <v>1895</v>
      </c>
      <c r="AS189" t="s">
        <v>1896</v>
      </c>
    </row>
    <row r="190" spans="1:45" x14ac:dyDescent="0.45">
      <c r="A190">
        <v>189</v>
      </c>
      <c r="B190">
        <v>12533</v>
      </c>
      <c r="C190" t="s">
        <v>78</v>
      </c>
      <c r="D190" t="s">
        <v>79</v>
      </c>
      <c r="E190" t="s">
        <v>74</v>
      </c>
      <c r="F190" t="s">
        <v>77</v>
      </c>
      <c r="G190" t="s">
        <v>76</v>
      </c>
      <c r="H190">
        <v>63.016318068555478</v>
      </c>
      <c r="I190">
        <v>2</v>
      </c>
      <c r="J190">
        <v>6</v>
      </c>
      <c r="K190">
        <v>8</v>
      </c>
      <c r="L190">
        <v>-2</v>
      </c>
      <c r="M190">
        <v>6</v>
      </c>
      <c r="N190">
        <v>8</v>
      </c>
      <c r="O190">
        <v>-2</v>
      </c>
      <c r="P190">
        <v>8</v>
      </c>
      <c r="Q190">
        <v>5</v>
      </c>
      <c r="R190">
        <v>3</v>
      </c>
      <c r="S190">
        <v>7</v>
      </c>
      <c r="T190">
        <v>7</v>
      </c>
      <c r="U190">
        <v>0</v>
      </c>
      <c r="V190">
        <v>8</v>
      </c>
      <c r="W190">
        <v>6</v>
      </c>
      <c r="X190">
        <v>2</v>
      </c>
      <c r="Y190">
        <v>7</v>
      </c>
      <c r="Z190">
        <v>8</v>
      </c>
      <c r="AA190">
        <v>-1</v>
      </c>
      <c r="AB190">
        <v>6</v>
      </c>
      <c r="AC190">
        <v>5</v>
      </c>
      <c r="AD190">
        <v>1</v>
      </c>
      <c r="AE190">
        <v>7</v>
      </c>
      <c r="AF190">
        <v>7</v>
      </c>
      <c r="AG190">
        <v>0</v>
      </c>
      <c r="AH190">
        <v>7</v>
      </c>
      <c r="AI190">
        <v>8</v>
      </c>
      <c r="AJ190">
        <v>-1</v>
      </c>
      <c r="AK190" t="s">
        <v>1897</v>
      </c>
      <c r="AL190" t="s">
        <v>1898</v>
      </c>
      <c r="AM190" t="s">
        <v>1899</v>
      </c>
      <c r="AN190" t="s">
        <v>1900</v>
      </c>
      <c r="AO190" t="s">
        <v>1901</v>
      </c>
      <c r="AP190" t="s">
        <v>1902</v>
      </c>
      <c r="AQ190" t="s">
        <v>1903</v>
      </c>
      <c r="AR190" t="s">
        <v>1904</v>
      </c>
      <c r="AS190" t="s">
        <v>1905</v>
      </c>
    </row>
    <row r="191" spans="1:45" x14ac:dyDescent="0.45">
      <c r="A191">
        <v>190</v>
      </c>
      <c r="B191">
        <v>12534</v>
      </c>
      <c r="C191" t="s">
        <v>78</v>
      </c>
      <c r="D191" t="s">
        <v>81</v>
      </c>
      <c r="E191" t="s">
        <v>74</v>
      </c>
      <c r="F191" t="s">
        <v>75</v>
      </c>
      <c r="G191" t="s">
        <v>76</v>
      </c>
      <c r="H191">
        <v>30.021595312853684</v>
      </c>
      <c r="I191">
        <v>0</v>
      </c>
      <c r="J191">
        <v>7</v>
      </c>
      <c r="K191">
        <v>7</v>
      </c>
      <c r="L191">
        <v>0</v>
      </c>
      <c r="M191">
        <v>6</v>
      </c>
      <c r="N191">
        <v>7</v>
      </c>
      <c r="O191">
        <v>-1</v>
      </c>
      <c r="P191">
        <v>8</v>
      </c>
      <c r="Q191">
        <v>7</v>
      </c>
      <c r="R191">
        <v>1</v>
      </c>
      <c r="S191">
        <v>7</v>
      </c>
      <c r="T191">
        <v>8</v>
      </c>
      <c r="U191">
        <v>-1</v>
      </c>
      <c r="V191">
        <v>8</v>
      </c>
      <c r="W191">
        <v>3</v>
      </c>
      <c r="X191">
        <v>5</v>
      </c>
      <c r="Y191">
        <v>7</v>
      </c>
      <c r="Z191">
        <v>3</v>
      </c>
      <c r="AA191">
        <v>4</v>
      </c>
      <c r="AB191">
        <v>6</v>
      </c>
      <c r="AC191">
        <v>2</v>
      </c>
      <c r="AD191">
        <v>4</v>
      </c>
      <c r="AE191">
        <v>5</v>
      </c>
      <c r="AF191">
        <v>3</v>
      </c>
      <c r="AG191">
        <v>2</v>
      </c>
      <c r="AH191">
        <v>7</v>
      </c>
      <c r="AI191">
        <v>8</v>
      </c>
      <c r="AJ191">
        <v>-1</v>
      </c>
      <c r="AK191" t="s">
        <v>1906</v>
      </c>
      <c r="AL191" t="s">
        <v>1907</v>
      </c>
      <c r="AM191" t="s">
        <v>1908</v>
      </c>
      <c r="AN191" t="s">
        <v>1909</v>
      </c>
      <c r="AO191" t="s">
        <v>1910</v>
      </c>
      <c r="AP191" t="s">
        <v>1911</v>
      </c>
      <c r="AQ191" t="s">
        <v>1912</v>
      </c>
      <c r="AR191" t="s">
        <v>1913</v>
      </c>
      <c r="AS191" t="s">
        <v>1914</v>
      </c>
    </row>
    <row r="192" spans="1:45" x14ac:dyDescent="0.45">
      <c r="A192">
        <v>191</v>
      </c>
      <c r="B192">
        <v>12535</v>
      </c>
      <c r="C192" t="s">
        <v>78</v>
      </c>
      <c r="D192" t="s">
        <v>73</v>
      </c>
      <c r="E192" t="s">
        <v>74</v>
      </c>
      <c r="F192" t="s">
        <v>75</v>
      </c>
      <c r="G192" t="s">
        <v>76</v>
      </c>
      <c r="H192">
        <v>66.799216260172798</v>
      </c>
      <c r="I192">
        <v>3</v>
      </c>
      <c r="J192">
        <v>7</v>
      </c>
      <c r="K192">
        <v>7</v>
      </c>
      <c r="L192">
        <v>0</v>
      </c>
      <c r="M192">
        <v>8</v>
      </c>
      <c r="N192">
        <v>7</v>
      </c>
      <c r="O192">
        <v>1</v>
      </c>
      <c r="P192">
        <v>6</v>
      </c>
      <c r="Q192">
        <v>6</v>
      </c>
      <c r="R192">
        <v>0</v>
      </c>
      <c r="S192">
        <v>9</v>
      </c>
      <c r="T192">
        <v>8</v>
      </c>
      <c r="U192">
        <v>1</v>
      </c>
      <c r="V192">
        <v>5</v>
      </c>
      <c r="W192">
        <v>7</v>
      </c>
      <c r="X192">
        <v>-2</v>
      </c>
      <c r="Y192">
        <v>6</v>
      </c>
      <c r="Z192">
        <v>8</v>
      </c>
      <c r="AA192">
        <v>-2</v>
      </c>
      <c r="AB192">
        <v>7</v>
      </c>
      <c r="AC192">
        <v>7</v>
      </c>
      <c r="AD192">
        <v>0</v>
      </c>
      <c r="AE192">
        <v>6</v>
      </c>
      <c r="AF192">
        <v>7</v>
      </c>
      <c r="AG192">
        <v>-1</v>
      </c>
      <c r="AH192">
        <v>5</v>
      </c>
      <c r="AI192">
        <v>7</v>
      </c>
      <c r="AJ192">
        <v>-2</v>
      </c>
      <c r="AK192" t="s">
        <v>1915</v>
      </c>
      <c r="AL192" t="s">
        <v>1916</v>
      </c>
      <c r="AM192" t="s">
        <v>1917</v>
      </c>
      <c r="AN192" t="s">
        <v>1918</v>
      </c>
      <c r="AO192" t="s">
        <v>1919</v>
      </c>
      <c r="AP192" t="s">
        <v>1920</v>
      </c>
      <c r="AQ192" t="s">
        <v>1921</v>
      </c>
      <c r="AR192" t="s">
        <v>1922</v>
      </c>
      <c r="AS192" t="s">
        <v>1923</v>
      </c>
    </row>
    <row r="193" spans="1:45" x14ac:dyDescent="0.45">
      <c r="A193">
        <v>192</v>
      </c>
      <c r="B193">
        <v>12536</v>
      </c>
      <c r="C193" t="s">
        <v>72</v>
      </c>
      <c r="D193" t="s">
        <v>188</v>
      </c>
      <c r="E193" t="s">
        <v>74</v>
      </c>
      <c r="F193" t="s">
        <v>77</v>
      </c>
      <c r="G193" t="s">
        <v>76</v>
      </c>
      <c r="H193">
        <v>21.289438298288918</v>
      </c>
      <c r="I193">
        <v>0</v>
      </c>
      <c r="J193">
        <v>8</v>
      </c>
      <c r="K193">
        <v>8</v>
      </c>
      <c r="L193">
        <v>0</v>
      </c>
      <c r="M193">
        <v>9</v>
      </c>
      <c r="N193">
        <v>8</v>
      </c>
      <c r="O193">
        <v>1</v>
      </c>
      <c r="P193">
        <v>7</v>
      </c>
      <c r="Q193">
        <v>9</v>
      </c>
      <c r="R193">
        <v>-2</v>
      </c>
      <c r="S193">
        <v>6</v>
      </c>
      <c r="T193">
        <v>9</v>
      </c>
      <c r="U193">
        <v>-3</v>
      </c>
      <c r="V193">
        <v>9</v>
      </c>
      <c r="W193">
        <v>9</v>
      </c>
      <c r="X193">
        <v>0</v>
      </c>
      <c r="Y193">
        <v>7</v>
      </c>
      <c r="Z193">
        <v>9</v>
      </c>
      <c r="AA193">
        <v>-2</v>
      </c>
      <c r="AB193">
        <v>8</v>
      </c>
      <c r="AC193">
        <v>8</v>
      </c>
      <c r="AD193">
        <v>0</v>
      </c>
      <c r="AE193">
        <v>6</v>
      </c>
      <c r="AF193">
        <v>8</v>
      </c>
      <c r="AG193">
        <v>-2</v>
      </c>
      <c r="AH193">
        <v>8</v>
      </c>
      <c r="AI193">
        <v>9</v>
      </c>
      <c r="AJ193">
        <v>-1</v>
      </c>
      <c r="AK193" t="s">
        <v>1924</v>
      </c>
      <c r="AL193" t="s">
        <v>1925</v>
      </c>
      <c r="AM193" t="s">
        <v>1926</v>
      </c>
      <c r="AN193" t="s">
        <v>1927</v>
      </c>
      <c r="AO193" t="s">
        <v>1928</v>
      </c>
      <c r="AP193" t="s">
        <v>1929</v>
      </c>
      <c r="AQ193" t="s">
        <v>1930</v>
      </c>
      <c r="AR193" t="s">
        <v>1931</v>
      </c>
      <c r="AS193" t="s">
        <v>1932</v>
      </c>
    </row>
    <row r="194" spans="1:45" x14ac:dyDescent="0.45">
      <c r="A194">
        <v>193</v>
      </c>
      <c r="B194">
        <v>12537</v>
      </c>
      <c r="C194" t="s">
        <v>72</v>
      </c>
      <c r="D194" t="s">
        <v>79</v>
      </c>
      <c r="E194" t="s">
        <v>74</v>
      </c>
      <c r="F194" t="s">
        <v>77</v>
      </c>
      <c r="G194" t="s">
        <v>76</v>
      </c>
      <c r="H194">
        <v>27.398381780266153</v>
      </c>
      <c r="I194">
        <v>2</v>
      </c>
      <c r="J194">
        <v>7</v>
      </c>
      <c r="K194">
        <v>1</v>
      </c>
      <c r="L194">
        <v>6</v>
      </c>
      <c r="M194">
        <v>8</v>
      </c>
      <c r="N194">
        <v>1</v>
      </c>
      <c r="O194">
        <v>7</v>
      </c>
      <c r="P194">
        <v>9</v>
      </c>
      <c r="Q194">
        <v>7</v>
      </c>
      <c r="R194">
        <v>2</v>
      </c>
      <c r="S194">
        <v>8</v>
      </c>
      <c r="T194">
        <v>5</v>
      </c>
      <c r="U194">
        <v>3</v>
      </c>
      <c r="V194">
        <v>6</v>
      </c>
      <c r="W194">
        <v>5</v>
      </c>
      <c r="X194">
        <v>1</v>
      </c>
      <c r="Y194">
        <v>7</v>
      </c>
      <c r="Z194">
        <v>7</v>
      </c>
      <c r="AA194">
        <v>0</v>
      </c>
      <c r="AB194">
        <v>6</v>
      </c>
      <c r="AC194">
        <v>2</v>
      </c>
      <c r="AD194">
        <v>4</v>
      </c>
      <c r="AE194">
        <v>5</v>
      </c>
      <c r="AF194">
        <v>5</v>
      </c>
      <c r="AG194">
        <v>0</v>
      </c>
      <c r="AH194">
        <v>7</v>
      </c>
      <c r="AI194">
        <v>5</v>
      </c>
      <c r="AJ194">
        <v>2</v>
      </c>
      <c r="AK194" t="s">
        <v>1933</v>
      </c>
      <c r="AL194" t="s">
        <v>1934</v>
      </c>
      <c r="AM194" t="s">
        <v>1935</v>
      </c>
      <c r="AN194" t="s">
        <v>1936</v>
      </c>
      <c r="AO194" t="s">
        <v>1937</v>
      </c>
      <c r="AP194" t="s">
        <v>1938</v>
      </c>
      <c r="AQ194" t="s">
        <v>1939</v>
      </c>
      <c r="AR194" t="s">
        <v>1940</v>
      </c>
      <c r="AS194" t="s">
        <v>1941</v>
      </c>
    </row>
    <row r="195" spans="1:45" x14ac:dyDescent="0.45">
      <c r="A195">
        <v>194</v>
      </c>
      <c r="B195">
        <v>12538</v>
      </c>
      <c r="C195" t="s">
        <v>72</v>
      </c>
      <c r="D195" t="s">
        <v>73</v>
      </c>
      <c r="E195" t="s">
        <v>74</v>
      </c>
      <c r="F195" t="s">
        <v>77</v>
      </c>
      <c r="G195" t="s">
        <v>76</v>
      </c>
      <c r="H195">
        <v>18.332168616202658</v>
      </c>
      <c r="I195">
        <v>1</v>
      </c>
      <c r="J195">
        <v>8</v>
      </c>
      <c r="K195">
        <v>10</v>
      </c>
      <c r="L195">
        <v>-2</v>
      </c>
      <c r="M195">
        <v>9</v>
      </c>
      <c r="N195">
        <v>10</v>
      </c>
      <c r="O195">
        <v>-1</v>
      </c>
      <c r="P195">
        <v>8</v>
      </c>
      <c r="Q195">
        <v>6</v>
      </c>
      <c r="R195">
        <v>2</v>
      </c>
      <c r="S195">
        <v>7</v>
      </c>
      <c r="T195">
        <v>4</v>
      </c>
      <c r="U195">
        <v>3</v>
      </c>
      <c r="V195">
        <v>8</v>
      </c>
      <c r="W195">
        <v>8</v>
      </c>
      <c r="X195">
        <v>0</v>
      </c>
      <c r="Y195">
        <v>7</v>
      </c>
      <c r="Z195">
        <v>3</v>
      </c>
      <c r="AA195">
        <v>4</v>
      </c>
      <c r="AB195">
        <v>7</v>
      </c>
      <c r="AC195">
        <v>10</v>
      </c>
      <c r="AD195">
        <v>-3</v>
      </c>
      <c r="AE195">
        <v>7</v>
      </c>
      <c r="AF195">
        <v>10</v>
      </c>
      <c r="AG195">
        <v>-3</v>
      </c>
      <c r="AH195">
        <v>8</v>
      </c>
      <c r="AI195">
        <v>10</v>
      </c>
      <c r="AJ195">
        <v>-2</v>
      </c>
      <c r="AK195" t="s">
        <v>1942</v>
      </c>
      <c r="AL195" t="s">
        <v>1943</v>
      </c>
      <c r="AM195" t="s">
        <v>1944</v>
      </c>
      <c r="AN195" t="s">
        <v>1945</v>
      </c>
      <c r="AO195" t="s">
        <v>1946</v>
      </c>
      <c r="AP195" t="s">
        <v>1947</v>
      </c>
      <c r="AQ195" t="s">
        <v>1948</v>
      </c>
      <c r="AR195" t="s">
        <v>1949</v>
      </c>
      <c r="AS195" t="s">
        <v>1950</v>
      </c>
    </row>
    <row r="196" spans="1:45" x14ac:dyDescent="0.45">
      <c r="A196">
        <v>195</v>
      </c>
      <c r="B196">
        <v>12539</v>
      </c>
      <c r="C196" t="s">
        <v>72</v>
      </c>
      <c r="D196" t="s">
        <v>81</v>
      </c>
      <c r="E196" t="s">
        <v>74</v>
      </c>
      <c r="F196" t="s">
        <v>77</v>
      </c>
      <c r="G196" t="s">
        <v>76</v>
      </c>
      <c r="H196">
        <v>15.358378889667776</v>
      </c>
      <c r="I196">
        <v>1</v>
      </c>
      <c r="J196">
        <v>6</v>
      </c>
      <c r="K196">
        <v>9</v>
      </c>
      <c r="L196">
        <v>-3</v>
      </c>
      <c r="M196">
        <v>8</v>
      </c>
      <c r="N196">
        <v>9</v>
      </c>
      <c r="O196">
        <v>-1</v>
      </c>
      <c r="P196">
        <v>9</v>
      </c>
      <c r="Q196">
        <v>5</v>
      </c>
      <c r="R196">
        <v>4</v>
      </c>
      <c r="S196">
        <v>8</v>
      </c>
      <c r="T196">
        <v>5</v>
      </c>
      <c r="U196">
        <v>3</v>
      </c>
      <c r="V196">
        <v>7</v>
      </c>
      <c r="W196">
        <v>7</v>
      </c>
      <c r="X196">
        <v>0</v>
      </c>
      <c r="Y196">
        <v>8</v>
      </c>
      <c r="Z196">
        <v>7</v>
      </c>
      <c r="AA196">
        <v>1</v>
      </c>
      <c r="AB196">
        <v>6</v>
      </c>
      <c r="AC196">
        <v>8</v>
      </c>
      <c r="AD196">
        <v>-2</v>
      </c>
      <c r="AE196">
        <v>7</v>
      </c>
      <c r="AF196">
        <v>8</v>
      </c>
      <c r="AG196">
        <v>-1</v>
      </c>
      <c r="AH196">
        <v>8</v>
      </c>
      <c r="AI196">
        <v>8</v>
      </c>
      <c r="AJ196">
        <v>0</v>
      </c>
      <c r="AK196" t="s">
        <v>1951</v>
      </c>
      <c r="AL196" t="s">
        <v>1952</v>
      </c>
      <c r="AM196" t="s">
        <v>1953</v>
      </c>
      <c r="AN196" t="s">
        <v>1954</v>
      </c>
      <c r="AO196" t="s">
        <v>1955</v>
      </c>
      <c r="AP196" t="s">
        <v>1956</v>
      </c>
      <c r="AQ196" t="s">
        <v>1957</v>
      </c>
      <c r="AR196" t="s">
        <v>1958</v>
      </c>
      <c r="AS196" t="s">
        <v>1959</v>
      </c>
    </row>
    <row r="197" spans="1:45" x14ac:dyDescent="0.45">
      <c r="A197">
        <v>196</v>
      </c>
      <c r="B197">
        <v>12540</v>
      </c>
      <c r="C197" t="s">
        <v>78</v>
      </c>
      <c r="D197" t="s">
        <v>79</v>
      </c>
      <c r="E197" t="s">
        <v>74</v>
      </c>
      <c r="F197" t="s">
        <v>77</v>
      </c>
      <c r="G197" t="s">
        <v>76</v>
      </c>
      <c r="H197">
        <v>13.580925821871581</v>
      </c>
      <c r="I197">
        <v>2</v>
      </c>
      <c r="J197">
        <v>5</v>
      </c>
      <c r="K197">
        <v>9</v>
      </c>
      <c r="L197">
        <v>-4</v>
      </c>
      <c r="M197">
        <v>6</v>
      </c>
      <c r="N197">
        <v>9</v>
      </c>
      <c r="O197">
        <v>-3</v>
      </c>
      <c r="P197">
        <v>8</v>
      </c>
      <c r="Q197">
        <v>9</v>
      </c>
      <c r="R197">
        <v>-1</v>
      </c>
      <c r="S197">
        <v>7</v>
      </c>
      <c r="T197">
        <v>9</v>
      </c>
      <c r="U197">
        <v>-2</v>
      </c>
      <c r="V197">
        <v>6</v>
      </c>
      <c r="W197">
        <v>9</v>
      </c>
      <c r="X197">
        <v>-3</v>
      </c>
      <c r="Y197">
        <v>5</v>
      </c>
      <c r="Z197">
        <v>9</v>
      </c>
      <c r="AA197">
        <v>-4</v>
      </c>
      <c r="AB197">
        <v>7</v>
      </c>
      <c r="AC197">
        <v>9</v>
      </c>
      <c r="AD197">
        <v>-2</v>
      </c>
      <c r="AE197">
        <v>8</v>
      </c>
      <c r="AF197">
        <v>9</v>
      </c>
      <c r="AG197">
        <v>-1</v>
      </c>
      <c r="AH197">
        <v>9</v>
      </c>
      <c r="AI197">
        <v>9</v>
      </c>
      <c r="AJ197">
        <v>0</v>
      </c>
      <c r="AK197" t="s">
        <v>1960</v>
      </c>
      <c r="AL197" t="s">
        <v>1961</v>
      </c>
      <c r="AM197" t="s">
        <v>1962</v>
      </c>
      <c r="AN197" t="s">
        <v>1963</v>
      </c>
      <c r="AO197" t="s">
        <v>1964</v>
      </c>
      <c r="AP197" t="s">
        <v>1965</v>
      </c>
      <c r="AQ197" t="s">
        <v>1966</v>
      </c>
      <c r="AR197" t="s">
        <v>1967</v>
      </c>
      <c r="AS197" t="s">
        <v>1968</v>
      </c>
    </row>
    <row r="198" spans="1:45" x14ac:dyDescent="0.45">
      <c r="A198">
        <v>197</v>
      </c>
      <c r="B198">
        <v>12541</v>
      </c>
      <c r="C198" t="s">
        <v>72</v>
      </c>
      <c r="D198" t="s">
        <v>79</v>
      </c>
      <c r="E198" t="s">
        <v>74</v>
      </c>
      <c r="F198" t="s">
        <v>75</v>
      </c>
      <c r="G198" t="s">
        <v>76</v>
      </c>
      <c r="H198">
        <v>15.159162714908897</v>
      </c>
      <c r="I198">
        <v>3</v>
      </c>
      <c r="J198">
        <v>8</v>
      </c>
      <c r="K198">
        <v>9</v>
      </c>
      <c r="L198">
        <v>-1</v>
      </c>
      <c r="M198">
        <v>7</v>
      </c>
      <c r="N198">
        <v>10</v>
      </c>
      <c r="O198">
        <v>-3</v>
      </c>
      <c r="P198">
        <v>6</v>
      </c>
      <c r="Q198">
        <v>10</v>
      </c>
      <c r="R198">
        <v>-4</v>
      </c>
      <c r="S198">
        <v>7</v>
      </c>
      <c r="T198">
        <v>9</v>
      </c>
      <c r="U198">
        <v>-2</v>
      </c>
      <c r="V198">
        <v>8</v>
      </c>
      <c r="W198">
        <v>10</v>
      </c>
      <c r="X198">
        <v>-2</v>
      </c>
      <c r="Y198">
        <v>9</v>
      </c>
      <c r="Z198">
        <v>10</v>
      </c>
      <c r="AA198">
        <v>-1</v>
      </c>
      <c r="AB198">
        <v>7</v>
      </c>
      <c r="AC198">
        <v>10</v>
      </c>
      <c r="AD198">
        <v>-3</v>
      </c>
      <c r="AE198">
        <v>6</v>
      </c>
      <c r="AF198">
        <v>9</v>
      </c>
      <c r="AG198">
        <v>-3</v>
      </c>
      <c r="AH198">
        <v>8</v>
      </c>
      <c r="AI198">
        <v>10</v>
      </c>
      <c r="AJ198">
        <v>-2</v>
      </c>
      <c r="AK198" t="s">
        <v>1969</v>
      </c>
      <c r="AL198" t="s">
        <v>1970</v>
      </c>
      <c r="AM198" t="s">
        <v>1971</v>
      </c>
      <c r="AN198" t="s">
        <v>1972</v>
      </c>
      <c r="AO198" t="s">
        <v>1973</v>
      </c>
      <c r="AP198" t="s">
        <v>1974</v>
      </c>
      <c r="AQ198" t="s">
        <v>1975</v>
      </c>
      <c r="AR198" t="s">
        <v>1976</v>
      </c>
      <c r="AS198" t="s">
        <v>1977</v>
      </c>
    </row>
    <row r="199" spans="1:45" x14ac:dyDescent="0.45">
      <c r="A199">
        <v>198</v>
      </c>
      <c r="B199">
        <v>12542</v>
      </c>
      <c r="C199" t="s">
        <v>72</v>
      </c>
      <c r="D199" t="s">
        <v>79</v>
      </c>
      <c r="E199" t="s">
        <v>74</v>
      </c>
      <c r="F199" t="s">
        <v>75</v>
      </c>
      <c r="G199" t="s">
        <v>76</v>
      </c>
      <c r="H199">
        <v>16.203072264021031</v>
      </c>
      <c r="I199">
        <v>2</v>
      </c>
      <c r="J199">
        <v>7</v>
      </c>
      <c r="K199">
        <v>5</v>
      </c>
      <c r="L199">
        <v>2</v>
      </c>
      <c r="M199">
        <v>8</v>
      </c>
      <c r="N199">
        <v>5</v>
      </c>
      <c r="O199">
        <v>3</v>
      </c>
      <c r="P199">
        <v>9</v>
      </c>
      <c r="Q199">
        <v>5</v>
      </c>
      <c r="R199">
        <v>4</v>
      </c>
      <c r="S199">
        <v>8</v>
      </c>
      <c r="T199">
        <v>5</v>
      </c>
      <c r="U199">
        <v>3</v>
      </c>
      <c r="V199">
        <v>7</v>
      </c>
      <c r="W199">
        <v>5</v>
      </c>
      <c r="X199">
        <v>2</v>
      </c>
      <c r="Y199">
        <v>8</v>
      </c>
      <c r="Z199">
        <v>5</v>
      </c>
      <c r="AA199">
        <v>3</v>
      </c>
      <c r="AB199">
        <v>7</v>
      </c>
      <c r="AC199">
        <v>5</v>
      </c>
      <c r="AD199">
        <v>2</v>
      </c>
      <c r="AE199">
        <v>6</v>
      </c>
      <c r="AF199">
        <v>4</v>
      </c>
      <c r="AG199">
        <v>2</v>
      </c>
      <c r="AH199">
        <v>7</v>
      </c>
      <c r="AI199">
        <v>5</v>
      </c>
      <c r="AJ199">
        <v>2</v>
      </c>
      <c r="AK199" t="s">
        <v>1978</v>
      </c>
      <c r="AL199" t="s">
        <v>1979</v>
      </c>
      <c r="AM199" t="s">
        <v>1980</v>
      </c>
      <c r="AN199" t="s">
        <v>1981</v>
      </c>
      <c r="AO199" t="s">
        <v>1982</v>
      </c>
      <c r="AP199" t="s">
        <v>1983</v>
      </c>
      <c r="AQ199" t="s">
        <v>1984</v>
      </c>
      <c r="AR199" t="s">
        <v>1985</v>
      </c>
      <c r="AS199" t="s">
        <v>1986</v>
      </c>
    </row>
    <row r="200" spans="1:45" x14ac:dyDescent="0.45">
      <c r="A200">
        <v>199</v>
      </c>
      <c r="B200">
        <v>12543</v>
      </c>
      <c r="C200" t="s">
        <v>72</v>
      </c>
      <c r="D200" t="s">
        <v>192</v>
      </c>
      <c r="E200" t="s">
        <v>74</v>
      </c>
      <c r="F200" t="s">
        <v>75</v>
      </c>
      <c r="G200" t="s">
        <v>161</v>
      </c>
      <c r="H200">
        <v>12</v>
      </c>
      <c r="I200">
        <v>1</v>
      </c>
      <c r="J200">
        <v>6</v>
      </c>
      <c r="K200">
        <v>9</v>
      </c>
      <c r="L200">
        <v>-3</v>
      </c>
      <c r="M200">
        <v>5</v>
      </c>
      <c r="N200">
        <v>8</v>
      </c>
      <c r="O200">
        <v>-3</v>
      </c>
      <c r="P200">
        <v>8</v>
      </c>
      <c r="Q200">
        <v>9</v>
      </c>
      <c r="R200">
        <v>-1</v>
      </c>
      <c r="S200">
        <v>9</v>
      </c>
      <c r="T200">
        <v>9</v>
      </c>
      <c r="U200">
        <v>0</v>
      </c>
      <c r="V200">
        <v>7</v>
      </c>
      <c r="W200">
        <v>8</v>
      </c>
      <c r="X200">
        <v>-1</v>
      </c>
      <c r="Y200">
        <v>8</v>
      </c>
      <c r="Z200">
        <v>9</v>
      </c>
      <c r="AA200">
        <v>-1</v>
      </c>
      <c r="AB200">
        <v>7</v>
      </c>
      <c r="AC200">
        <v>10</v>
      </c>
      <c r="AD200">
        <v>-3</v>
      </c>
      <c r="AE200">
        <v>8</v>
      </c>
      <c r="AF200">
        <v>9</v>
      </c>
      <c r="AG200">
        <v>-1</v>
      </c>
      <c r="AH200">
        <v>7</v>
      </c>
      <c r="AI200">
        <v>10</v>
      </c>
      <c r="AJ200">
        <v>-3</v>
      </c>
      <c r="AK200" t="s">
        <v>1987</v>
      </c>
      <c r="AL200" t="s">
        <v>1988</v>
      </c>
      <c r="AM200" t="s">
        <v>1989</v>
      </c>
      <c r="AN200" t="s">
        <v>1990</v>
      </c>
      <c r="AO200" t="s">
        <v>1991</v>
      </c>
      <c r="AP200" t="s">
        <v>1992</v>
      </c>
      <c r="AQ200" t="s">
        <v>1993</v>
      </c>
      <c r="AR200" t="s">
        <v>1994</v>
      </c>
      <c r="AS200" t="s">
        <v>1995</v>
      </c>
    </row>
    <row r="201" spans="1:45" x14ac:dyDescent="0.45">
      <c r="A201">
        <v>200</v>
      </c>
      <c r="B201">
        <v>12544</v>
      </c>
      <c r="C201" t="s">
        <v>78</v>
      </c>
      <c r="D201" t="s">
        <v>190</v>
      </c>
      <c r="E201" t="s">
        <v>74</v>
      </c>
      <c r="F201" t="s">
        <v>77</v>
      </c>
      <c r="G201" t="s">
        <v>76</v>
      </c>
      <c r="H201">
        <v>85.694533171150226</v>
      </c>
      <c r="I201">
        <v>3</v>
      </c>
      <c r="J201">
        <v>8</v>
      </c>
      <c r="K201">
        <v>4</v>
      </c>
      <c r="L201">
        <v>4</v>
      </c>
      <c r="M201">
        <v>8</v>
      </c>
      <c r="N201">
        <v>4</v>
      </c>
      <c r="O201">
        <v>4</v>
      </c>
      <c r="P201">
        <v>7</v>
      </c>
      <c r="Q201">
        <v>3</v>
      </c>
      <c r="R201">
        <v>4</v>
      </c>
      <c r="S201">
        <v>8</v>
      </c>
      <c r="T201">
        <v>5</v>
      </c>
      <c r="U201">
        <v>3</v>
      </c>
      <c r="V201">
        <v>7</v>
      </c>
      <c r="W201">
        <v>4</v>
      </c>
      <c r="X201">
        <v>3</v>
      </c>
      <c r="Y201">
        <v>6</v>
      </c>
      <c r="Z201">
        <v>5</v>
      </c>
      <c r="AA201">
        <v>1</v>
      </c>
      <c r="AB201">
        <v>5</v>
      </c>
      <c r="AC201">
        <v>1</v>
      </c>
      <c r="AD201">
        <v>4</v>
      </c>
      <c r="AE201">
        <v>4</v>
      </c>
      <c r="AF201">
        <v>5</v>
      </c>
      <c r="AG201">
        <v>-1</v>
      </c>
      <c r="AH201">
        <v>6</v>
      </c>
      <c r="AI201">
        <v>5</v>
      </c>
      <c r="AJ201">
        <v>1</v>
      </c>
      <c r="AK201" t="s">
        <v>1996</v>
      </c>
      <c r="AL201" t="s">
        <v>1997</v>
      </c>
      <c r="AM201" t="s">
        <v>1998</v>
      </c>
      <c r="AN201" t="s">
        <v>1999</v>
      </c>
      <c r="AO201" t="s">
        <v>2000</v>
      </c>
      <c r="AP201" t="s">
        <v>2001</v>
      </c>
      <c r="AQ201" t="s">
        <v>2002</v>
      </c>
      <c r="AR201" t="s">
        <v>2003</v>
      </c>
      <c r="AS201" t="s">
        <v>2004</v>
      </c>
    </row>
    <row r="202" spans="1:45" x14ac:dyDescent="0.45">
      <c r="A202">
        <v>201</v>
      </c>
      <c r="B202">
        <v>12545</v>
      </c>
      <c r="C202" t="s">
        <v>72</v>
      </c>
      <c r="D202" t="s">
        <v>192</v>
      </c>
      <c r="E202" t="s">
        <v>74</v>
      </c>
      <c r="F202" t="s">
        <v>75</v>
      </c>
      <c r="G202" t="s">
        <v>76</v>
      </c>
      <c r="H202">
        <v>62.389991005686873</v>
      </c>
      <c r="I202">
        <v>1</v>
      </c>
      <c r="J202">
        <v>8</v>
      </c>
      <c r="K202">
        <v>5</v>
      </c>
      <c r="L202">
        <v>3</v>
      </c>
      <c r="M202">
        <v>8</v>
      </c>
      <c r="N202">
        <v>5</v>
      </c>
      <c r="O202">
        <v>3</v>
      </c>
      <c r="P202">
        <v>9</v>
      </c>
      <c r="Q202">
        <v>1</v>
      </c>
      <c r="R202">
        <v>8</v>
      </c>
      <c r="S202">
        <v>9</v>
      </c>
      <c r="T202">
        <v>5</v>
      </c>
      <c r="U202">
        <v>4</v>
      </c>
      <c r="V202">
        <v>6</v>
      </c>
      <c r="W202">
        <v>4</v>
      </c>
      <c r="X202">
        <v>2</v>
      </c>
      <c r="Y202">
        <v>7</v>
      </c>
      <c r="Z202">
        <v>2</v>
      </c>
      <c r="AA202">
        <v>5</v>
      </c>
      <c r="AB202">
        <v>6</v>
      </c>
      <c r="AC202">
        <v>2</v>
      </c>
      <c r="AD202">
        <v>4</v>
      </c>
      <c r="AE202">
        <v>7</v>
      </c>
      <c r="AF202">
        <v>5</v>
      </c>
      <c r="AG202">
        <v>2</v>
      </c>
      <c r="AH202">
        <v>7</v>
      </c>
      <c r="AI202">
        <v>4</v>
      </c>
      <c r="AJ202">
        <v>3</v>
      </c>
      <c r="AK202" t="s">
        <v>2005</v>
      </c>
      <c r="AL202" t="s">
        <v>2006</v>
      </c>
      <c r="AM202" t="s">
        <v>2007</v>
      </c>
      <c r="AN202" t="s">
        <v>2008</v>
      </c>
      <c r="AO202" t="s">
        <v>2009</v>
      </c>
      <c r="AP202" t="s">
        <v>2010</v>
      </c>
      <c r="AQ202" t="s">
        <v>2011</v>
      </c>
      <c r="AR202" t="s">
        <v>2012</v>
      </c>
      <c r="AS202" t="s">
        <v>2013</v>
      </c>
    </row>
    <row r="203" spans="1:45" x14ac:dyDescent="0.45">
      <c r="A203">
        <v>202</v>
      </c>
      <c r="B203">
        <v>12546</v>
      </c>
      <c r="C203" t="s">
        <v>72</v>
      </c>
      <c r="D203" t="s">
        <v>79</v>
      </c>
      <c r="E203" t="s">
        <v>74</v>
      </c>
      <c r="F203" t="s">
        <v>77</v>
      </c>
      <c r="G203" t="s">
        <v>76</v>
      </c>
      <c r="H203">
        <v>90.482808975195582</v>
      </c>
      <c r="I203">
        <v>4</v>
      </c>
      <c r="J203">
        <v>7</v>
      </c>
      <c r="K203">
        <v>6</v>
      </c>
      <c r="L203">
        <v>1</v>
      </c>
      <c r="M203">
        <v>8</v>
      </c>
      <c r="N203">
        <v>8</v>
      </c>
      <c r="O203">
        <v>0</v>
      </c>
      <c r="P203">
        <v>6</v>
      </c>
      <c r="Q203">
        <v>8</v>
      </c>
      <c r="R203">
        <v>-2</v>
      </c>
      <c r="S203">
        <v>8</v>
      </c>
      <c r="T203">
        <v>9</v>
      </c>
      <c r="U203">
        <v>-1</v>
      </c>
      <c r="V203">
        <v>7</v>
      </c>
      <c r="W203">
        <v>7</v>
      </c>
      <c r="X203">
        <v>0</v>
      </c>
      <c r="Y203">
        <v>8</v>
      </c>
      <c r="Z203">
        <v>7</v>
      </c>
      <c r="AA203">
        <v>1</v>
      </c>
      <c r="AB203">
        <v>7</v>
      </c>
      <c r="AC203">
        <v>7</v>
      </c>
      <c r="AD203">
        <v>0</v>
      </c>
      <c r="AE203">
        <v>8</v>
      </c>
      <c r="AF203">
        <v>8</v>
      </c>
      <c r="AG203">
        <v>0</v>
      </c>
      <c r="AH203">
        <v>7</v>
      </c>
      <c r="AI203">
        <v>8</v>
      </c>
      <c r="AJ203">
        <v>-1</v>
      </c>
      <c r="AK203" t="s">
        <v>2014</v>
      </c>
      <c r="AL203" t="s">
        <v>2015</v>
      </c>
      <c r="AM203" t="s">
        <v>2016</v>
      </c>
      <c r="AN203" t="s">
        <v>2017</v>
      </c>
      <c r="AO203" t="s">
        <v>2018</v>
      </c>
      <c r="AP203" t="s">
        <v>2019</v>
      </c>
      <c r="AQ203" t="s">
        <v>2020</v>
      </c>
      <c r="AR203" t="s">
        <v>2021</v>
      </c>
      <c r="AS203" t="s">
        <v>2022</v>
      </c>
    </row>
    <row r="204" spans="1:45" x14ac:dyDescent="0.45">
      <c r="A204">
        <v>203</v>
      </c>
      <c r="B204">
        <v>12547</v>
      </c>
      <c r="C204" t="s">
        <v>72</v>
      </c>
      <c r="D204" t="s">
        <v>190</v>
      </c>
      <c r="E204" t="s">
        <v>74</v>
      </c>
      <c r="F204" t="s">
        <v>75</v>
      </c>
      <c r="G204" t="s">
        <v>76</v>
      </c>
      <c r="H204">
        <v>133.67020035481261</v>
      </c>
      <c r="I204">
        <v>3</v>
      </c>
      <c r="J204">
        <v>7</v>
      </c>
      <c r="K204">
        <v>5</v>
      </c>
      <c r="L204">
        <v>2</v>
      </c>
      <c r="M204">
        <v>8</v>
      </c>
      <c r="N204">
        <v>5</v>
      </c>
      <c r="O204">
        <v>3</v>
      </c>
      <c r="P204">
        <v>9</v>
      </c>
      <c r="Q204">
        <v>5</v>
      </c>
      <c r="R204">
        <v>4</v>
      </c>
      <c r="S204">
        <v>8</v>
      </c>
      <c r="T204">
        <v>5</v>
      </c>
      <c r="U204">
        <v>3</v>
      </c>
      <c r="V204">
        <v>7</v>
      </c>
      <c r="W204">
        <v>5</v>
      </c>
      <c r="X204">
        <v>2</v>
      </c>
      <c r="Y204">
        <v>8</v>
      </c>
      <c r="Z204">
        <v>5</v>
      </c>
      <c r="AA204">
        <v>3</v>
      </c>
      <c r="AB204">
        <v>6</v>
      </c>
      <c r="AC204">
        <v>5</v>
      </c>
      <c r="AD204">
        <v>1</v>
      </c>
      <c r="AE204">
        <v>7</v>
      </c>
      <c r="AF204">
        <v>5</v>
      </c>
      <c r="AG204">
        <v>2</v>
      </c>
      <c r="AH204">
        <v>8</v>
      </c>
      <c r="AI204">
        <v>5</v>
      </c>
      <c r="AJ204">
        <v>3</v>
      </c>
      <c r="AK204" t="s">
        <v>2023</v>
      </c>
      <c r="AL204" t="s">
        <v>2024</v>
      </c>
      <c r="AM204" t="s">
        <v>2025</v>
      </c>
      <c r="AN204" t="s">
        <v>2026</v>
      </c>
      <c r="AO204" t="s">
        <v>2027</v>
      </c>
      <c r="AP204" t="s">
        <v>2028</v>
      </c>
      <c r="AQ204" t="s">
        <v>2029</v>
      </c>
      <c r="AR204" t="s">
        <v>2030</v>
      </c>
      <c r="AS204" t="s">
        <v>2031</v>
      </c>
    </row>
    <row r="205" spans="1:45" x14ac:dyDescent="0.45">
      <c r="A205">
        <v>204</v>
      </c>
      <c r="B205">
        <v>12548</v>
      </c>
      <c r="C205" t="s">
        <v>72</v>
      </c>
      <c r="D205" t="s">
        <v>73</v>
      </c>
      <c r="E205" t="s">
        <v>74</v>
      </c>
      <c r="F205" t="s">
        <v>77</v>
      </c>
      <c r="G205" t="s">
        <v>76</v>
      </c>
      <c r="H205">
        <v>34.967298569714799</v>
      </c>
      <c r="I205">
        <v>1</v>
      </c>
      <c r="J205">
        <v>6</v>
      </c>
      <c r="K205">
        <v>7</v>
      </c>
      <c r="L205">
        <v>-1</v>
      </c>
      <c r="M205">
        <v>5</v>
      </c>
      <c r="N205">
        <v>7</v>
      </c>
      <c r="O205">
        <v>-2</v>
      </c>
      <c r="P205">
        <v>8</v>
      </c>
      <c r="Q205">
        <v>7</v>
      </c>
      <c r="R205">
        <v>1</v>
      </c>
      <c r="S205">
        <v>9</v>
      </c>
      <c r="T205">
        <v>8</v>
      </c>
      <c r="U205">
        <v>1</v>
      </c>
      <c r="V205">
        <v>7</v>
      </c>
      <c r="W205">
        <v>7</v>
      </c>
      <c r="X205">
        <v>0</v>
      </c>
      <c r="Y205">
        <v>5</v>
      </c>
      <c r="Z205">
        <v>7</v>
      </c>
      <c r="AA205">
        <v>-2</v>
      </c>
      <c r="AB205">
        <v>7</v>
      </c>
      <c r="AC205">
        <v>7</v>
      </c>
      <c r="AD205">
        <v>0</v>
      </c>
      <c r="AE205">
        <v>5</v>
      </c>
      <c r="AF205">
        <v>7</v>
      </c>
      <c r="AG205">
        <v>-2</v>
      </c>
      <c r="AH205">
        <v>6</v>
      </c>
      <c r="AI205">
        <v>7</v>
      </c>
      <c r="AJ205">
        <v>-1</v>
      </c>
      <c r="AK205" t="s">
        <v>2032</v>
      </c>
      <c r="AL205" t="s">
        <v>2033</v>
      </c>
      <c r="AM205" t="s">
        <v>2034</v>
      </c>
      <c r="AN205" t="s">
        <v>2035</v>
      </c>
      <c r="AO205" t="s">
        <v>2036</v>
      </c>
      <c r="AP205" t="s">
        <v>2037</v>
      </c>
      <c r="AQ205" t="s">
        <v>2038</v>
      </c>
      <c r="AR205" t="s">
        <v>2039</v>
      </c>
      <c r="AS205" t="s">
        <v>2040</v>
      </c>
    </row>
    <row r="206" spans="1:45" x14ac:dyDescent="0.45">
      <c r="A206">
        <v>205</v>
      </c>
      <c r="B206">
        <v>12549</v>
      </c>
      <c r="C206" t="s">
        <v>72</v>
      </c>
      <c r="D206" t="s">
        <v>73</v>
      </c>
      <c r="E206" t="s">
        <v>74</v>
      </c>
      <c r="F206" t="s">
        <v>75</v>
      </c>
      <c r="G206" t="s">
        <v>76</v>
      </c>
      <c r="H206">
        <v>26.018393885838524</v>
      </c>
      <c r="I206">
        <v>0</v>
      </c>
      <c r="J206">
        <v>7</v>
      </c>
      <c r="K206">
        <v>3</v>
      </c>
      <c r="L206">
        <v>4</v>
      </c>
      <c r="M206">
        <v>7</v>
      </c>
      <c r="N206">
        <v>1</v>
      </c>
      <c r="O206">
        <v>6</v>
      </c>
      <c r="P206">
        <v>6</v>
      </c>
      <c r="Q206">
        <v>1</v>
      </c>
      <c r="R206">
        <v>5</v>
      </c>
      <c r="S206">
        <v>8</v>
      </c>
      <c r="T206">
        <v>5</v>
      </c>
      <c r="U206">
        <v>3</v>
      </c>
      <c r="V206">
        <v>7</v>
      </c>
      <c r="W206">
        <v>1</v>
      </c>
      <c r="X206">
        <v>6</v>
      </c>
      <c r="Y206">
        <v>6</v>
      </c>
      <c r="Z206">
        <v>1</v>
      </c>
      <c r="AA206">
        <v>5</v>
      </c>
      <c r="AB206">
        <v>6</v>
      </c>
      <c r="AC206">
        <v>1</v>
      </c>
      <c r="AD206">
        <v>5</v>
      </c>
      <c r="AE206">
        <v>7</v>
      </c>
      <c r="AF206">
        <v>4</v>
      </c>
      <c r="AG206">
        <v>3</v>
      </c>
      <c r="AH206">
        <v>6</v>
      </c>
      <c r="AI206">
        <v>5</v>
      </c>
      <c r="AJ206">
        <v>1</v>
      </c>
      <c r="AK206" t="s">
        <v>2041</v>
      </c>
      <c r="AL206" t="s">
        <v>2042</v>
      </c>
      <c r="AM206" t="s">
        <v>2043</v>
      </c>
      <c r="AN206" t="s">
        <v>2044</v>
      </c>
      <c r="AO206" t="s">
        <v>2045</v>
      </c>
      <c r="AP206" t="s">
        <v>2046</v>
      </c>
      <c r="AQ206" t="s">
        <v>2047</v>
      </c>
      <c r="AR206" t="s">
        <v>2048</v>
      </c>
      <c r="AS206" t="s">
        <v>2049</v>
      </c>
    </row>
    <row r="207" spans="1:45" x14ac:dyDescent="0.45">
      <c r="A207">
        <v>206</v>
      </c>
      <c r="B207">
        <v>12550</v>
      </c>
      <c r="C207" t="s">
        <v>72</v>
      </c>
      <c r="D207" t="s">
        <v>79</v>
      </c>
      <c r="E207" t="s">
        <v>74</v>
      </c>
      <c r="F207" t="s">
        <v>77</v>
      </c>
      <c r="G207" t="s">
        <v>76</v>
      </c>
      <c r="H207">
        <v>64.169426221995863</v>
      </c>
      <c r="I207">
        <v>1</v>
      </c>
      <c r="J207">
        <v>7</v>
      </c>
      <c r="K207">
        <v>8</v>
      </c>
      <c r="L207">
        <v>-1</v>
      </c>
      <c r="M207">
        <v>6</v>
      </c>
      <c r="N207">
        <v>8</v>
      </c>
      <c r="O207">
        <v>-2</v>
      </c>
      <c r="P207">
        <v>8</v>
      </c>
      <c r="Q207">
        <v>5</v>
      </c>
      <c r="R207">
        <v>3</v>
      </c>
      <c r="S207">
        <v>9</v>
      </c>
      <c r="T207">
        <v>7</v>
      </c>
      <c r="U207">
        <v>2</v>
      </c>
      <c r="V207">
        <v>7</v>
      </c>
      <c r="W207">
        <v>7</v>
      </c>
      <c r="X207">
        <v>0</v>
      </c>
      <c r="Y207">
        <v>8</v>
      </c>
      <c r="Z207">
        <v>6</v>
      </c>
      <c r="AA207">
        <v>2</v>
      </c>
      <c r="AB207">
        <v>7</v>
      </c>
      <c r="AC207">
        <v>6</v>
      </c>
      <c r="AD207">
        <v>1</v>
      </c>
      <c r="AE207">
        <v>6</v>
      </c>
      <c r="AF207">
        <v>7</v>
      </c>
      <c r="AG207">
        <v>-1</v>
      </c>
      <c r="AH207">
        <v>8</v>
      </c>
      <c r="AI207">
        <v>7</v>
      </c>
      <c r="AJ207">
        <v>1</v>
      </c>
      <c r="AK207" t="s">
        <v>2050</v>
      </c>
      <c r="AL207" t="s">
        <v>2051</v>
      </c>
      <c r="AM207" t="s">
        <v>2052</v>
      </c>
      <c r="AN207" t="s">
        <v>2053</v>
      </c>
      <c r="AO207" t="s">
        <v>2054</v>
      </c>
      <c r="AP207" t="s">
        <v>2055</v>
      </c>
      <c r="AQ207" t="s">
        <v>2056</v>
      </c>
      <c r="AR207" t="s">
        <v>2057</v>
      </c>
      <c r="AS207" t="s">
        <v>2058</v>
      </c>
    </row>
    <row r="208" spans="1:45" x14ac:dyDescent="0.45">
      <c r="A208">
        <v>207</v>
      </c>
      <c r="B208">
        <v>12551</v>
      </c>
      <c r="C208" t="s">
        <v>78</v>
      </c>
      <c r="D208" t="s">
        <v>73</v>
      </c>
      <c r="E208" t="s">
        <v>74</v>
      </c>
      <c r="F208" t="s">
        <v>77</v>
      </c>
      <c r="G208" t="s">
        <v>76</v>
      </c>
      <c r="H208">
        <v>54.454177062529524</v>
      </c>
      <c r="I208">
        <v>2</v>
      </c>
      <c r="J208">
        <v>8</v>
      </c>
      <c r="K208">
        <v>4</v>
      </c>
      <c r="L208">
        <v>4</v>
      </c>
      <c r="M208">
        <v>8</v>
      </c>
      <c r="N208">
        <v>3</v>
      </c>
      <c r="O208">
        <v>5</v>
      </c>
      <c r="P208">
        <v>9</v>
      </c>
      <c r="Q208">
        <v>1</v>
      </c>
      <c r="R208">
        <v>8</v>
      </c>
      <c r="S208">
        <v>8</v>
      </c>
      <c r="T208">
        <v>2</v>
      </c>
      <c r="U208">
        <v>6</v>
      </c>
      <c r="V208">
        <v>6</v>
      </c>
      <c r="W208">
        <v>1</v>
      </c>
      <c r="X208">
        <v>5</v>
      </c>
      <c r="Y208">
        <v>7</v>
      </c>
      <c r="Z208">
        <v>1</v>
      </c>
      <c r="AA208">
        <v>6</v>
      </c>
      <c r="AB208">
        <v>6</v>
      </c>
      <c r="AC208">
        <v>1</v>
      </c>
      <c r="AD208">
        <v>5</v>
      </c>
      <c r="AE208">
        <v>5</v>
      </c>
      <c r="AF208">
        <v>4</v>
      </c>
      <c r="AG208">
        <v>1</v>
      </c>
      <c r="AH208">
        <v>7</v>
      </c>
      <c r="AI208">
        <v>2</v>
      </c>
      <c r="AJ208">
        <v>5</v>
      </c>
      <c r="AK208" t="s">
        <v>2059</v>
      </c>
      <c r="AL208" t="s">
        <v>2060</v>
      </c>
      <c r="AM208" t="s">
        <v>2061</v>
      </c>
      <c r="AN208" t="s">
        <v>2062</v>
      </c>
      <c r="AO208" t="s">
        <v>2063</v>
      </c>
      <c r="AP208" t="s">
        <v>2064</v>
      </c>
      <c r="AQ208" t="s">
        <v>2065</v>
      </c>
      <c r="AR208" t="s">
        <v>2066</v>
      </c>
      <c r="AS208" t="s">
        <v>2067</v>
      </c>
    </row>
    <row r="209" spans="1:45" x14ac:dyDescent="0.45">
      <c r="A209">
        <v>208</v>
      </c>
      <c r="B209">
        <v>12552</v>
      </c>
      <c r="C209" t="s">
        <v>72</v>
      </c>
      <c r="D209" t="s">
        <v>73</v>
      </c>
      <c r="E209" t="s">
        <v>74</v>
      </c>
      <c r="F209" t="s">
        <v>75</v>
      </c>
      <c r="G209" t="s">
        <v>76</v>
      </c>
      <c r="H209">
        <v>44.713339834198216</v>
      </c>
      <c r="I209">
        <v>1</v>
      </c>
      <c r="J209">
        <v>7</v>
      </c>
      <c r="K209">
        <v>7</v>
      </c>
      <c r="L209">
        <v>0</v>
      </c>
      <c r="M209">
        <v>8</v>
      </c>
      <c r="N209">
        <v>8</v>
      </c>
      <c r="O209">
        <v>0</v>
      </c>
      <c r="P209">
        <v>9</v>
      </c>
      <c r="Q209">
        <v>6</v>
      </c>
      <c r="R209">
        <v>3</v>
      </c>
      <c r="S209">
        <v>8</v>
      </c>
      <c r="T209">
        <v>7</v>
      </c>
      <c r="U209">
        <v>1</v>
      </c>
      <c r="V209">
        <v>9</v>
      </c>
      <c r="W209">
        <v>6</v>
      </c>
      <c r="X209">
        <v>3</v>
      </c>
      <c r="Y209">
        <v>8</v>
      </c>
      <c r="Z209">
        <v>7</v>
      </c>
      <c r="AA209">
        <v>1</v>
      </c>
      <c r="AB209">
        <v>7</v>
      </c>
      <c r="AC209">
        <v>6</v>
      </c>
      <c r="AD209">
        <v>1</v>
      </c>
      <c r="AE209">
        <v>8</v>
      </c>
      <c r="AF209">
        <v>6</v>
      </c>
      <c r="AG209">
        <v>2</v>
      </c>
      <c r="AH209">
        <v>8</v>
      </c>
      <c r="AI209">
        <v>6</v>
      </c>
      <c r="AJ209">
        <v>2</v>
      </c>
      <c r="AK209" t="s">
        <v>2068</v>
      </c>
      <c r="AL209" t="s">
        <v>2069</v>
      </c>
      <c r="AM209" t="s">
        <v>2070</v>
      </c>
      <c r="AN209" t="s">
        <v>2071</v>
      </c>
      <c r="AO209" t="s">
        <v>2072</v>
      </c>
      <c r="AP209" t="s">
        <v>2073</v>
      </c>
      <c r="AQ209" t="s">
        <v>2074</v>
      </c>
      <c r="AR209" t="s">
        <v>2075</v>
      </c>
      <c r="AS209" t="s">
        <v>2076</v>
      </c>
    </row>
    <row r="210" spans="1:45" x14ac:dyDescent="0.45">
      <c r="A210">
        <v>209</v>
      </c>
      <c r="B210">
        <v>12553</v>
      </c>
      <c r="C210" t="s">
        <v>72</v>
      </c>
      <c r="D210" t="s">
        <v>73</v>
      </c>
      <c r="E210" t="s">
        <v>74</v>
      </c>
      <c r="F210" t="s">
        <v>77</v>
      </c>
      <c r="G210" t="s">
        <v>76</v>
      </c>
      <c r="H210">
        <v>32.500400397407304</v>
      </c>
      <c r="I210">
        <v>0</v>
      </c>
      <c r="J210">
        <v>7</v>
      </c>
      <c r="K210">
        <v>6</v>
      </c>
      <c r="L210">
        <v>1</v>
      </c>
      <c r="M210">
        <v>8</v>
      </c>
      <c r="N210">
        <v>6</v>
      </c>
      <c r="O210">
        <v>2</v>
      </c>
      <c r="P210">
        <v>6</v>
      </c>
      <c r="Q210">
        <v>6</v>
      </c>
      <c r="R210">
        <v>0</v>
      </c>
      <c r="S210">
        <v>8</v>
      </c>
      <c r="T210">
        <v>6</v>
      </c>
      <c r="U210">
        <v>2</v>
      </c>
      <c r="V210">
        <v>7</v>
      </c>
      <c r="W210">
        <v>6</v>
      </c>
      <c r="X210">
        <v>1</v>
      </c>
      <c r="Y210">
        <v>8</v>
      </c>
      <c r="Z210">
        <v>5</v>
      </c>
      <c r="AA210">
        <v>3</v>
      </c>
      <c r="AB210">
        <v>6</v>
      </c>
      <c r="AC210">
        <v>6</v>
      </c>
      <c r="AD210">
        <v>0</v>
      </c>
      <c r="AE210">
        <v>5</v>
      </c>
      <c r="AF210">
        <v>6</v>
      </c>
      <c r="AG210">
        <v>-1</v>
      </c>
      <c r="AH210">
        <v>7</v>
      </c>
      <c r="AI210">
        <v>6</v>
      </c>
      <c r="AJ210">
        <v>1</v>
      </c>
      <c r="AK210" t="s">
        <v>2077</v>
      </c>
      <c r="AL210" t="s">
        <v>2078</v>
      </c>
      <c r="AM210" t="s">
        <v>2079</v>
      </c>
      <c r="AN210" t="s">
        <v>2080</v>
      </c>
      <c r="AO210" t="s">
        <v>2081</v>
      </c>
      <c r="AP210" t="s">
        <v>2082</v>
      </c>
      <c r="AQ210" t="s">
        <v>2083</v>
      </c>
      <c r="AR210" t="s">
        <v>2084</v>
      </c>
      <c r="AS210" t="s">
        <v>2085</v>
      </c>
    </row>
    <row r="211" spans="1:45" x14ac:dyDescent="0.45">
      <c r="A211">
        <v>210</v>
      </c>
      <c r="B211">
        <v>12554</v>
      </c>
      <c r="C211" t="s">
        <v>78</v>
      </c>
      <c r="D211" t="s">
        <v>73</v>
      </c>
      <c r="E211" t="s">
        <v>74</v>
      </c>
      <c r="F211" t="s">
        <v>77</v>
      </c>
      <c r="G211" t="s">
        <v>76</v>
      </c>
      <c r="H211">
        <v>29.375311934331215</v>
      </c>
      <c r="I211">
        <v>0</v>
      </c>
      <c r="J211">
        <v>7</v>
      </c>
      <c r="K211">
        <v>7</v>
      </c>
      <c r="L211">
        <v>0</v>
      </c>
      <c r="M211">
        <v>8</v>
      </c>
      <c r="N211">
        <v>7</v>
      </c>
      <c r="O211">
        <v>1</v>
      </c>
      <c r="P211">
        <v>6</v>
      </c>
      <c r="Q211">
        <v>8</v>
      </c>
      <c r="R211">
        <v>-2</v>
      </c>
      <c r="S211">
        <v>9</v>
      </c>
      <c r="T211">
        <v>8</v>
      </c>
      <c r="U211">
        <v>1</v>
      </c>
      <c r="V211">
        <v>8</v>
      </c>
      <c r="W211">
        <v>8</v>
      </c>
      <c r="X211">
        <v>0</v>
      </c>
      <c r="Y211">
        <v>6</v>
      </c>
      <c r="Z211">
        <v>9</v>
      </c>
      <c r="AA211">
        <v>-3</v>
      </c>
      <c r="AB211">
        <v>7</v>
      </c>
      <c r="AC211">
        <v>8</v>
      </c>
      <c r="AD211">
        <v>-1</v>
      </c>
      <c r="AE211">
        <v>6</v>
      </c>
      <c r="AF211">
        <v>8</v>
      </c>
      <c r="AG211">
        <v>-2</v>
      </c>
      <c r="AH211">
        <v>7</v>
      </c>
      <c r="AI211">
        <v>8</v>
      </c>
      <c r="AJ211">
        <v>-1</v>
      </c>
      <c r="AK211" t="s">
        <v>2086</v>
      </c>
      <c r="AL211" t="s">
        <v>2087</v>
      </c>
      <c r="AM211" t="s">
        <v>2088</v>
      </c>
      <c r="AN211" t="s">
        <v>2089</v>
      </c>
      <c r="AO211" t="s">
        <v>2090</v>
      </c>
      <c r="AP211" t="s">
        <v>2091</v>
      </c>
      <c r="AQ211" t="s">
        <v>2092</v>
      </c>
      <c r="AR211" t="s">
        <v>2093</v>
      </c>
      <c r="AS211" t="s">
        <v>2094</v>
      </c>
    </row>
    <row r="212" spans="1:45" x14ac:dyDescent="0.45">
      <c r="A212">
        <v>211</v>
      </c>
      <c r="B212">
        <v>12555</v>
      </c>
      <c r="C212" t="s">
        <v>72</v>
      </c>
      <c r="D212" t="s">
        <v>73</v>
      </c>
      <c r="E212" t="s">
        <v>74</v>
      </c>
      <c r="F212" t="s">
        <v>77</v>
      </c>
      <c r="G212" t="s">
        <v>76</v>
      </c>
      <c r="H212">
        <v>59.855632286147269</v>
      </c>
      <c r="I212">
        <v>1</v>
      </c>
      <c r="J212">
        <v>5</v>
      </c>
      <c r="K212">
        <v>7</v>
      </c>
      <c r="L212">
        <v>-2</v>
      </c>
      <c r="M212">
        <v>6</v>
      </c>
      <c r="N212">
        <v>7</v>
      </c>
      <c r="O212">
        <v>-1</v>
      </c>
      <c r="P212">
        <v>4</v>
      </c>
      <c r="Q212">
        <v>7</v>
      </c>
      <c r="R212">
        <v>-3</v>
      </c>
      <c r="S212">
        <v>7</v>
      </c>
      <c r="T212">
        <v>7</v>
      </c>
      <c r="U212">
        <v>0</v>
      </c>
      <c r="V212">
        <v>6</v>
      </c>
      <c r="W212">
        <v>7</v>
      </c>
      <c r="X212">
        <v>-1</v>
      </c>
      <c r="Y212">
        <v>8</v>
      </c>
      <c r="Z212">
        <v>7</v>
      </c>
      <c r="AA212">
        <v>1</v>
      </c>
      <c r="AB212">
        <v>5</v>
      </c>
      <c r="AC212">
        <v>7</v>
      </c>
      <c r="AD212">
        <v>-2</v>
      </c>
      <c r="AE212">
        <v>4</v>
      </c>
      <c r="AF212">
        <v>7</v>
      </c>
      <c r="AG212">
        <v>-3</v>
      </c>
      <c r="AH212">
        <v>5</v>
      </c>
      <c r="AI212">
        <v>7</v>
      </c>
      <c r="AJ212">
        <v>-2</v>
      </c>
      <c r="AK212" t="s">
        <v>2095</v>
      </c>
      <c r="AL212" t="s">
        <v>2096</v>
      </c>
      <c r="AM212" t="s">
        <v>2097</v>
      </c>
      <c r="AN212" t="s">
        <v>2098</v>
      </c>
      <c r="AO212" t="s">
        <v>2099</v>
      </c>
      <c r="AP212" t="s">
        <v>1570</v>
      </c>
      <c r="AQ212" t="s">
        <v>2100</v>
      </c>
      <c r="AR212" t="s">
        <v>2101</v>
      </c>
      <c r="AS212" t="s">
        <v>2102</v>
      </c>
    </row>
    <row r="213" spans="1:45" x14ac:dyDescent="0.45">
      <c r="A213">
        <v>212</v>
      </c>
      <c r="B213">
        <v>12556</v>
      </c>
      <c r="C213" t="s">
        <v>72</v>
      </c>
      <c r="D213" t="s">
        <v>73</v>
      </c>
      <c r="E213" t="s">
        <v>74</v>
      </c>
      <c r="F213" t="s">
        <v>77</v>
      </c>
      <c r="G213" t="s">
        <v>76</v>
      </c>
      <c r="H213">
        <v>48.885243987694409</v>
      </c>
      <c r="I213">
        <v>0</v>
      </c>
      <c r="J213">
        <v>7</v>
      </c>
      <c r="K213">
        <v>5</v>
      </c>
      <c r="L213">
        <v>2</v>
      </c>
      <c r="M213">
        <v>8</v>
      </c>
      <c r="N213">
        <v>5</v>
      </c>
      <c r="O213">
        <v>3</v>
      </c>
      <c r="P213">
        <v>6</v>
      </c>
      <c r="Q213">
        <v>1</v>
      </c>
      <c r="R213">
        <v>5</v>
      </c>
      <c r="S213">
        <v>5</v>
      </c>
      <c r="T213">
        <v>5</v>
      </c>
      <c r="U213">
        <v>0</v>
      </c>
      <c r="V213">
        <v>8</v>
      </c>
      <c r="W213">
        <v>5</v>
      </c>
      <c r="X213">
        <v>3</v>
      </c>
      <c r="Y213">
        <v>7</v>
      </c>
      <c r="Z213">
        <v>5</v>
      </c>
      <c r="AA213">
        <v>2</v>
      </c>
      <c r="AB213">
        <v>6</v>
      </c>
      <c r="AC213">
        <v>4</v>
      </c>
      <c r="AD213">
        <v>2</v>
      </c>
      <c r="AE213">
        <v>7</v>
      </c>
      <c r="AF213">
        <v>5</v>
      </c>
      <c r="AG213">
        <v>2</v>
      </c>
      <c r="AH213">
        <v>8</v>
      </c>
      <c r="AI213">
        <v>5</v>
      </c>
      <c r="AJ213">
        <v>3</v>
      </c>
      <c r="AK213" t="s">
        <v>2103</v>
      </c>
      <c r="AL213" t="s">
        <v>2104</v>
      </c>
      <c r="AM213" t="s">
        <v>2105</v>
      </c>
      <c r="AN213" t="s">
        <v>2106</v>
      </c>
      <c r="AO213" t="s">
        <v>2107</v>
      </c>
      <c r="AP213" t="s">
        <v>2108</v>
      </c>
      <c r="AQ213" t="s">
        <v>2109</v>
      </c>
      <c r="AR213" t="s">
        <v>2110</v>
      </c>
      <c r="AS213" t="s">
        <v>2111</v>
      </c>
    </row>
    <row r="214" spans="1:45" x14ac:dyDescent="0.45">
      <c r="A214">
        <v>213</v>
      </c>
      <c r="B214">
        <v>12557</v>
      </c>
      <c r="C214" t="s">
        <v>72</v>
      </c>
      <c r="D214" t="s">
        <v>73</v>
      </c>
      <c r="E214" t="s">
        <v>74</v>
      </c>
      <c r="F214" t="s">
        <v>77</v>
      </c>
      <c r="G214" t="s">
        <v>76</v>
      </c>
      <c r="H214">
        <v>54.302286309062254</v>
      </c>
      <c r="I214">
        <v>4</v>
      </c>
      <c r="J214">
        <v>7</v>
      </c>
      <c r="K214">
        <v>7</v>
      </c>
      <c r="L214">
        <v>0</v>
      </c>
      <c r="M214">
        <v>6</v>
      </c>
      <c r="N214">
        <v>8</v>
      </c>
      <c r="O214">
        <v>-2</v>
      </c>
      <c r="P214">
        <v>8</v>
      </c>
      <c r="Q214">
        <v>8</v>
      </c>
      <c r="R214">
        <v>0</v>
      </c>
      <c r="S214">
        <v>9</v>
      </c>
      <c r="T214">
        <v>8</v>
      </c>
      <c r="U214">
        <v>1</v>
      </c>
      <c r="V214">
        <v>5</v>
      </c>
      <c r="W214">
        <v>8</v>
      </c>
      <c r="X214">
        <v>-3</v>
      </c>
      <c r="Y214">
        <v>4</v>
      </c>
      <c r="Z214">
        <v>8</v>
      </c>
      <c r="AA214">
        <v>-4</v>
      </c>
      <c r="AB214">
        <v>6</v>
      </c>
      <c r="AC214">
        <v>8</v>
      </c>
      <c r="AD214">
        <v>-2</v>
      </c>
      <c r="AE214">
        <v>5</v>
      </c>
      <c r="AF214">
        <v>8</v>
      </c>
      <c r="AG214">
        <v>-3</v>
      </c>
      <c r="AH214">
        <v>6</v>
      </c>
      <c r="AI214">
        <v>8</v>
      </c>
      <c r="AJ214">
        <v>-2</v>
      </c>
      <c r="AK214" t="s">
        <v>2112</v>
      </c>
      <c r="AL214" t="s">
        <v>2113</v>
      </c>
      <c r="AM214" t="s">
        <v>2114</v>
      </c>
      <c r="AN214" t="s">
        <v>2115</v>
      </c>
      <c r="AO214" t="s">
        <v>2116</v>
      </c>
      <c r="AP214" t="s">
        <v>2117</v>
      </c>
      <c r="AQ214" t="s">
        <v>2118</v>
      </c>
      <c r="AR214" t="s">
        <v>2119</v>
      </c>
      <c r="AS214" t="s">
        <v>2120</v>
      </c>
    </row>
    <row r="215" spans="1:45" x14ac:dyDescent="0.45">
      <c r="A215">
        <v>214</v>
      </c>
      <c r="B215">
        <v>12558</v>
      </c>
      <c r="C215" t="s">
        <v>72</v>
      </c>
      <c r="D215" t="s">
        <v>73</v>
      </c>
      <c r="E215" t="s">
        <v>74</v>
      </c>
      <c r="F215" t="s">
        <v>75</v>
      </c>
      <c r="G215" t="s">
        <v>76</v>
      </c>
      <c r="H215">
        <v>67.070046295409341</v>
      </c>
      <c r="I215">
        <v>4</v>
      </c>
      <c r="J215">
        <v>7</v>
      </c>
      <c r="K215">
        <v>9</v>
      </c>
      <c r="L215">
        <v>-2</v>
      </c>
      <c r="M215">
        <v>8</v>
      </c>
      <c r="N215">
        <v>9</v>
      </c>
      <c r="O215">
        <v>-1</v>
      </c>
      <c r="P215">
        <v>9</v>
      </c>
      <c r="Q215">
        <v>9</v>
      </c>
      <c r="R215">
        <v>0</v>
      </c>
      <c r="S215">
        <v>8</v>
      </c>
      <c r="T215">
        <v>9</v>
      </c>
      <c r="U215">
        <v>-1</v>
      </c>
      <c r="V215">
        <v>9</v>
      </c>
      <c r="W215">
        <v>9</v>
      </c>
      <c r="X215">
        <v>0</v>
      </c>
      <c r="Y215">
        <v>7</v>
      </c>
      <c r="Z215">
        <v>9</v>
      </c>
      <c r="AA215">
        <v>-2</v>
      </c>
      <c r="AB215">
        <v>8</v>
      </c>
      <c r="AC215">
        <v>9</v>
      </c>
      <c r="AD215">
        <v>-1</v>
      </c>
      <c r="AE215">
        <v>7</v>
      </c>
      <c r="AF215">
        <v>9</v>
      </c>
      <c r="AG215">
        <v>-2</v>
      </c>
      <c r="AH215">
        <v>9</v>
      </c>
      <c r="AI215">
        <v>9</v>
      </c>
      <c r="AJ215">
        <v>0</v>
      </c>
      <c r="AK215" t="s">
        <v>2121</v>
      </c>
      <c r="AL215" t="s">
        <v>2122</v>
      </c>
      <c r="AM215" t="s">
        <v>2123</v>
      </c>
      <c r="AN215" t="s">
        <v>2124</v>
      </c>
      <c r="AO215" t="s">
        <v>2125</v>
      </c>
      <c r="AP215" t="s">
        <v>2126</v>
      </c>
      <c r="AQ215" t="s">
        <v>2127</v>
      </c>
      <c r="AR215" t="s">
        <v>2128</v>
      </c>
      <c r="AS215" t="s">
        <v>2129</v>
      </c>
    </row>
    <row r="216" spans="1:45" x14ac:dyDescent="0.45">
      <c r="A216">
        <v>215</v>
      </c>
      <c r="B216">
        <v>12559</v>
      </c>
      <c r="C216" t="s">
        <v>72</v>
      </c>
      <c r="D216" t="s">
        <v>73</v>
      </c>
      <c r="E216" t="s">
        <v>74</v>
      </c>
      <c r="F216" t="s">
        <v>75</v>
      </c>
      <c r="G216" t="s">
        <v>76</v>
      </c>
      <c r="H216">
        <v>20.086910169212295</v>
      </c>
      <c r="I216">
        <v>2</v>
      </c>
      <c r="J216">
        <v>6</v>
      </c>
      <c r="K216">
        <v>5</v>
      </c>
      <c r="L216">
        <v>1</v>
      </c>
      <c r="M216">
        <v>7</v>
      </c>
      <c r="N216">
        <v>5</v>
      </c>
      <c r="O216">
        <v>2</v>
      </c>
      <c r="P216">
        <v>8</v>
      </c>
      <c r="Q216">
        <v>5</v>
      </c>
      <c r="R216">
        <v>3</v>
      </c>
      <c r="S216">
        <v>8</v>
      </c>
      <c r="T216">
        <v>5</v>
      </c>
      <c r="U216">
        <v>3</v>
      </c>
      <c r="V216">
        <v>6</v>
      </c>
      <c r="W216">
        <v>5</v>
      </c>
      <c r="X216">
        <v>1</v>
      </c>
      <c r="Y216">
        <v>7</v>
      </c>
      <c r="Z216">
        <v>5</v>
      </c>
      <c r="AA216">
        <v>2</v>
      </c>
      <c r="AB216">
        <v>6</v>
      </c>
      <c r="AC216">
        <v>5</v>
      </c>
      <c r="AD216">
        <v>1</v>
      </c>
      <c r="AE216">
        <v>7</v>
      </c>
      <c r="AF216">
        <v>5</v>
      </c>
      <c r="AG216">
        <v>2</v>
      </c>
      <c r="AH216">
        <v>7</v>
      </c>
      <c r="AI216">
        <v>5</v>
      </c>
      <c r="AJ216">
        <v>2</v>
      </c>
      <c r="AK216" t="s">
        <v>2130</v>
      </c>
      <c r="AL216" t="s">
        <v>2131</v>
      </c>
      <c r="AM216" t="s">
        <v>2132</v>
      </c>
      <c r="AN216" t="s">
        <v>2133</v>
      </c>
      <c r="AO216" t="s">
        <v>2134</v>
      </c>
      <c r="AP216" t="s">
        <v>2135</v>
      </c>
      <c r="AQ216" t="s">
        <v>2136</v>
      </c>
      <c r="AR216" t="s">
        <v>2137</v>
      </c>
      <c r="AS216" t="s">
        <v>2138</v>
      </c>
    </row>
    <row r="217" spans="1:45" x14ac:dyDescent="0.45">
      <c r="A217">
        <v>216</v>
      </c>
      <c r="B217">
        <v>12560</v>
      </c>
      <c r="C217" t="s">
        <v>72</v>
      </c>
      <c r="D217" t="s">
        <v>73</v>
      </c>
      <c r="E217" t="s">
        <v>74</v>
      </c>
      <c r="F217" t="s">
        <v>75</v>
      </c>
      <c r="G217" t="s">
        <v>76</v>
      </c>
      <c r="H217">
        <v>36.907694442722772</v>
      </c>
      <c r="I217">
        <v>1</v>
      </c>
      <c r="J217">
        <v>7</v>
      </c>
      <c r="K217">
        <v>6</v>
      </c>
      <c r="L217">
        <v>1</v>
      </c>
      <c r="M217">
        <v>8</v>
      </c>
      <c r="N217">
        <v>7</v>
      </c>
      <c r="O217">
        <v>1</v>
      </c>
      <c r="P217">
        <v>9</v>
      </c>
      <c r="Q217">
        <v>7</v>
      </c>
      <c r="R217">
        <v>2</v>
      </c>
      <c r="S217">
        <v>8</v>
      </c>
      <c r="T217">
        <v>7</v>
      </c>
      <c r="U217">
        <v>1</v>
      </c>
      <c r="V217">
        <v>9</v>
      </c>
      <c r="W217">
        <v>6</v>
      </c>
      <c r="X217">
        <v>3</v>
      </c>
      <c r="Y217">
        <v>8</v>
      </c>
      <c r="Z217">
        <v>7</v>
      </c>
      <c r="AA217">
        <v>1</v>
      </c>
      <c r="AB217">
        <v>9</v>
      </c>
      <c r="AC217">
        <v>7</v>
      </c>
      <c r="AD217">
        <v>2</v>
      </c>
      <c r="AE217">
        <v>7</v>
      </c>
      <c r="AF217">
        <v>7</v>
      </c>
      <c r="AG217">
        <v>0</v>
      </c>
      <c r="AH217">
        <v>8</v>
      </c>
      <c r="AI217">
        <v>7</v>
      </c>
      <c r="AJ217">
        <v>1</v>
      </c>
      <c r="AK217" t="s">
        <v>2139</v>
      </c>
      <c r="AL217" t="s">
        <v>2140</v>
      </c>
      <c r="AM217" t="s">
        <v>2141</v>
      </c>
      <c r="AN217" t="s">
        <v>2142</v>
      </c>
      <c r="AO217" t="s">
        <v>2143</v>
      </c>
      <c r="AP217" t="s">
        <v>2144</v>
      </c>
      <c r="AQ217" t="s">
        <v>2145</v>
      </c>
      <c r="AR217" t="s">
        <v>2146</v>
      </c>
      <c r="AS217" t="s">
        <v>2147</v>
      </c>
    </row>
    <row r="218" spans="1:45" x14ac:dyDescent="0.45">
      <c r="A218">
        <v>217</v>
      </c>
      <c r="B218">
        <v>12561</v>
      </c>
      <c r="C218" t="s">
        <v>78</v>
      </c>
      <c r="D218" t="s">
        <v>73</v>
      </c>
      <c r="E218" t="s">
        <v>74</v>
      </c>
      <c r="F218" t="s">
        <v>77</v>
      </c>
      <c r="G218" t="s">
        <v>76</v>
      </c>
      <c r="H218">
        <v>45.985553781420869</v>
      </c>
      <c r="I218">
        <v>0</v>
      </c>
      <c r="J218">
        <v>8</v>
      </c>
      <c r="K218">
        <v>5</v>
      </c>
      <c r="L218">
        <v>3</v>
      </c>
      <c r="M218">
        <v>9</v>
      </c>
      <c r="N218">
        <v>5</v>
      </c>
      <c r="O218">
        <v>4</v>
      </c>
      <c r="P218">
        <v>6</v>
      </c>
      <c r="Q218">
        <v>5</v>
      </c>
      <c r="R218">
        <v>1</v>
      </c>
      <c r="S218">
        <v>7</v>
      </c>
      <c r="T218">
        <v>6</v>
      </c>
      <c r="U218">
        <v>1</v>
      </c>
      <c r="V218">
        <v>7</v>
      </c>
      <c r="W218">
        <v>5</v>
      </c>
      <c r="X218">
        <v>2</v>
      </c>
      <c r="Y218">
        <v>8</v>
      </c>
      <c r="Z218">
        <v>5</v>
      </c>
      <c r="AA218">
        <v>3</v>
      </c>
      <c r="AB218">
        <v>6</v>
      </c>
      <c r="AC218">
        <v>5</v>
      </c>
      <c r="AD218">
        <v>1</v>
      </c>
      <c r="AE218">
        <v>5</v>
      </c>
      <c r="AF218">
        <v>5</v>
      </c>
      <c r="AG218">
        <v>0</v>
      </c>
      <c r="AH218">
        <v>7</v>
      </c>
      <c r="AI218">
        <v>5</v>
      </c>
      <c r="AJ218">
        <v>2</v>
      </c>
      <c r="AK218" t="s">
        <v>2148</v>
      </c>
      <c r="AL218" t="s">
        <v>2149</v>
      </c>
      <c r="AM218" t="s">
        <v>2150</v>
      </c>
      <c r="AN218" t="s">
        <v>2151</v>
      </c>
      <c r="AO218" t="s">
        <v>2152</v>
      </c>
      <c r="AP218" t="s">
        <v>2153</v>
      </c>
      <c r="AQ218" t="s">
        <v>2154</v>
      </c>
      <c r="AR218" t="s">
        <v>2155</v>
      </c>
      <c r="AS218" t="s">
        <v>2156</v>
      </c>
    </row>
    <row r="219" spans="1:45" x14ac:dyDescent="0.45">
      <c r="A219">
        <v>218</v>
      </c>
      <c r="B219">
        <v>12562</v>
      </c>
      <c r="C219" t="s">
        <v>72</v>
      </c>
      <c r="D219" t="s">
        <v>73</v>
      </c>
      <c r="E219" t="s">
        <v>74</v>
      </c>
      <c r="F219" t="s">
        <v>77</v>
      </c>
      <c r="G219" t="s">
        <v>76</v>
      </c>
      <c r="H219">
        <v>51.913595024365129</v>
      </c>
      <c r="I219">
        <v>3</v>
      </c>
      <c r="J219">
        <v>8</v>
      </c>
      <c r="K219">
        <v>6</v>
      </c>
      <c r="L219">
        <v>2</v>
      </c>
      <c r="M219">
        <v>7</v>
      </c>
      <c r="N219">
        <v>7</v>
      </c>
      <c r="O219">
        <v>0</v>
      </c>
      <c r="P219">
        <v>6</v>
      </c>
      <c r="Q219">
        <v>7</v>
      </c>
      <c r="R219">
        <v>-1</v>
      </c>
      <c r="S219">
        <v>8</v>
      </c>
      <c r="T219">
        <v>7</v>
      </c>
      <c r="U219">
        <v>1</v>
      </c>
      <c r="V219">
        <v>6</v>
      </c>
      <c r="W219">
        <v>7</v>
      </c>
      <c r="X219">
        <v>-1</v>
      </c>
      <c r="Y219">
        <v>7</v>
      </c>
      <c r="Z219">
        <v>7</v>
      </c>
      <c r="AA219">
        <v>0</v>
      </c>
      <c r="AB219">
        <v>6</v>
      </c>
      <c r="AC219">
        <v>7</v>
      </c>
      <c r="AD219">
        <v>-1</v>
      </c>
      <c r="AE219">
        <v>5</v>
      </c>
      <c r="AF219">
        <v>7</v>
      </c>
      <c r="AG219">
        <v>-2</v>
      </c>
      <c r="AH219">
        <v>7</v>
      </c>
      <c r="AI219">
        <v>7</v>
      </c>
      <c r="AJ219">
        <v>0</v>
      </c>
      <c r="AK219" t="s">
        <v>2157</v>
      </c>
      <c r="AL219" t="s">
        <v>2158</v>
      </c>
      <c r="AM219" t="s">
        <v>2159</v>
      </c>
      <c r="AN219" t="s">
        <v>2160</v>
      </c>
      <c r="AO219" t="s">
        <v>2161</v>
      </c>
      <c r="AP219" t="s">
        <v>2162</v>
      </c>
      <c r="AQ219" t="s">
        <v>2163</v>
      </c>
      <c r="AR219" t="s">
        <v>2164</v>
      </c>
      <c r="AS219" t="s">
        <v>2165</v>
      </c>
    </row>
    <row r="220" spans="1:45" x14ac:dyDescent="0.45">
      <c r="A220">
        <v>219</v>
      </c>
      <c r="B220">
        <v>12563</v>
      </c>
      <c r="C220" t="s">
        <v>78</v>
      </c>
      <c r="D220" t="s">
        <v>192</v>
      </c>
      <c r="E220" t="s">
        <v>74</v>
      </c>
      <c r="F220" t="s">
        <v>75</v>
      </c>
      <c r="G220" t="s">
        <v>76</v>
      </c>
      <c r="H220">
        <v>209.50095099966052</v>
      </c>
      <c r="I220">
        <v>2</v>
      </c>
      <c r="J220">
        <v>7</v>
      </c>
      <c r="K220">
        <v>7</v>
      </c>
      <c r="L220">
        <v>0</v>
      </c>
      <c r="M220">
        <v>6</v>
      </c>
      <c r="N220">
        <v>8</v>
      </c>
      <c r="O220">
        <v>-2</v>
      </c>
      <c r="P220">
        <v>8</v>
      </c>
      <c r="Q220">
        <v>8</v>
      </c>
      <c r="R220">
        <v>0</v>
      </c>
      <c r="S220">
        <v>9</v>
      </c>
      <c r="T220">
        <v>8</v>
      </c>
      <c r="U220">
        <v>1</v>
      </c>
      <c r="V220">
        <v>6</v>
      </c>
      <c r="W220">
        <v>8</v>
      </c>
      <c r="X220">
        <v>-2</v>
      </c>
      <c r="Y220">
        <v>7</v>
      </c>
      <c r="Z220">
        <v>5</v>
      </c>
      <c r="AA220">
        <v>2</v>
      </c>
      <c r="AB220">
        <v>5</v>
      </c>
      <c r="AC220">
        <v>5</v>
      </c>
      <c r="AD220">
        <v>0</v>
      </c>
      <c r="AE220">
        <v>6</v>
      </c>
      <c r="AF220">
        <v>7</v>
      </c>
      <c r="AG220">
        <v>-1</v>
      </c>
      <c r="AH220">
        <v>7</v>
      </c>
      <c r="AI220">
        <v>6</v>
      </c>
      <c r="AJ220">
        <v>1</v>
      </c>
      <c r="AK220" t="s">
        <v>2166</v>
      </c>
      <c r="AL220" t="s">
        <v>2167</v>
      </c>
      <c r="AM220" t="s">
        <v>2168</v>
      </c>
      <c r="AN220" t="s">
        <v>2169</v>
      </c>
      <c r="AO220" t="s">
        <v>2170</v>
      </c>
      <c r="AP220" t="s">
        <v>2171</v>
      </c>
      <c r="AQ220" t="s">
        <v>2172</v>
      </c>
      <c r="AR220" t="s">
        <v>2173</v>
      </c>
      <c r="AS220" t="s">
        <v>2174</v>
      </c>
    </row>
    <row r="221" spans="1:45" x14ac:dyDescent="0.45">
      <c r="A221">
        <v>220</v>
      </c>
      <c r="B221">
        <v>12564</v>
      </c>
      <c r="C221" t="s">
        <v>72</v>
      </c>
      <c r="D221" t="s">
        <v>190</v>
      </c>
      <c r="E221" t="s">
        <v>74</v>
      </c>
      <c r="F221" t="s">
        <v>75</v>
      </c>
      <c r="G221" t="s">
        <v>76</v>
      </c>
      <c r="H221">
        <v>211.25547386529038</v>
      </c>
      <c r="I221">
        <v>1</v>
      </c>
      <c r="J221">
        <v>7</v>
      </c>
      <c r="K221">
        <v>10</v>
      </c>
      <c r="L221">
        <v>-3</v>
      </c>
      <c r="M221">
        <v>6</v>
      </c>
      <c r="N221">
        <v>10</v>
      </c>
      <c r="O221">
        <v>-4</v>
      </c>
      <c r="P221">
        <v>8</v>
      </c>
      <c r="Q221">
        <v>6</v>
      </c>
      <c r="R221">
        <v>2</v>
      </c>
      <c r="S221">
        <v>9</v>
      </c>
      <c r="T221">
        <v>9</v>
      </c>
      <c r="U221">
        <v>0</v>
      </c>
      <c r="V221">
        <v>7</v>
      </c>
      <c r="W221">
        <v>9</v>
      </c>
      <c r="X221">
        <v>-2</v>
      </c>
      <c r="Y221">
        <v>8</v>
      </c>
      <c r="Z221">
        <v>9</v>
      </c>
      <c r="AA221">
        <v>-1</v>
      </c>
      <c r="AB221">
        <v>6</v>
      </c>
      <c r="AC221">
        <v>9</v>
      </c>
      <c r="AD221">
        <v>-3</v>
      </c>
      <c r="AE221">
        <v>5</v>
      </c>
      <c r="AF221">
        <v>8</v>
      </c>
      <c r="AG221">
        <v>-3</v>
      </c>
      <c r="AH221">
        <v>7</v>
      </c>
      <c r="AI221">
        <v>8</v>
      </c>
      <c r="AJ221">
        <v>-1</v>
      </c>
      <c r="AK221" t="s">
        <v>2175</v>
      </c>
      <c r="AL221" t="s">
        <v>2176</v>
      </c>
      <c r="AM221" t="s">
        <v>2177</v>
      </c>
      <c r="AN221" t="s">
        <v>2178</v>
      </c>
      <c r="AO221" t="s">
        <v>2179</v>
      </c>
      <c r="AP221" t="s">
        <v>2180</v>
      </c>
      <c r="AQ221" t="s">
        <v>2181</v>
      </c>
      <c r="AR221" t="s">
        <v>2182</v>
      </c>
      <c r="AS221" t="s">
        <v>2183</v>
      </c>
    </row>
    <row r="222" spans="1:45" x14ac:dyDescent="0.45">
      <c r="A222">
        <v>221</v>
      </c>
      <c r="B222">
        <v>12565</v>
      </c>
      <c r="C222" t="s">
        <v>72</v>
      </c>
      <c r="D222" t="s">
        <v>79</v>
      </c>
      <c r="E222" t="s">
        <v>74</v>
      </c>
      <c r="F222" t="s">
        <v>77</v>
      </c>
      <c r="G222" t="s">
        <v>76</v>
      </c>
      <c r="H222">
        <v>56.947044831130214</v>
      </c>
      <c r="I222">
        <v>1</v>
      </c>
      <c r="J222">
        <v>8</v>
      </c>
      <c r="K222">
        <v>4</v>
      </c>
      <c r="L222">
        <v>4</v>
      </c>
      <c r="M222">
        <v>9</v>
      </c>
      <c r="N222">
        <v>4</v>
      </c>
      <c r="O222">
        <v>5</v>
      </c>
      <c r="P222">
        <v>8</v>
      </c>
      <c r="Q222">
        <v>4</v>
      </c>
      <c r="R222">
        <v>4</v>
      </c>
      <c r="S222">
        <v>9</v>
      </c>
      <c r="T222">
        <v>6</v>
      </c>
      <c r="U222">
        <v>3</v>
      </c>
      <c r="V222">
        <v>7</v>
      </c>
      <c r="W222">
        <v>5</v>
      </c>
      <c r="X222">
        <v>2</v>
      </c>
      <c r="Y222">
        <v>8</v>
      </c>
      <c r="Z222">
        <v>6</v>
      </c>
      <c r="AA222">
        <v>2</v>
      </c>
      <c r="AB222">
        <v>7</v>
      </c>
      <c r="AC222">
        <v>5</v>
      </c>
      <c r="AD222">
        <v>2</v>
      </c>
      <c r="AE222">
        <v>6</v>
      </c>
      <c r="AF222">
        <v>6</v>
      </c>
      <c r="AG222">
        <v>0</v>
      </c>
      <c r="AH222">
        <v>7</v>
      </c>
      <c r="AI222">
        <v>5</v>
      </c>
      <c r="AJ222">
        <v>2</v>
      </c>
      <c r="AK222" t="s">
        <v>2184</v>
      </c>
      <c r="AL222" t="s">
        <v>2185</v>
      </c>
      <c r="AM222" t="s">
        <v>2186</v>
      </c>
      <c r="AN222" t="s">
        <v>2187</v>
      </c>
      <c r="AO222" t="s">
        <v>2188</v>
      </c>
      <c r="AP222" t="s">
        <v>2189</v>
      </c>
      <c r="AQ222" t="s">
        <v>2190</v>
      </c>
      <c r="AR222" t="s">
        <v>2191</v>
      </c>
      <c r="AS222" t="s">
        <v>2192</v>
      </c>
    </row>
    <row r="223" spans="1:45" x14ac:dyDescent="0.45">
      <c r="A223">
        <v>222</v>
      </c>
      <c r="B223">
        <v>12566</v>
      </c>
      <c r="C223" t="s">
        <v>72</v>
      </c>
      <c r="D223" t="s">
        <v>190</v>
      </c>
      <c r="E223" t="s">
        <v>74</v>
      </c>
      <c r="F223" t="s">
        <v>77</v>
      </c>
      <c r="G223" t="s">
        <v>76</v>
      </c>
      <c r="H223">
        <v>54.916541649315903</v>
      </c>
      <c r="I223">
        <v>2</v>
      </c>
      <c r="J223">
        <v>8</v>
      </c>
      <c r="K223">
        <v>4</v>
      </c>
      <c r="L223">
        <v>4</v>
      </c>
      <c r="M223">
        <v>8</v>
      </c>
      <c r="N223">
        <v>5</v>
      </c>
      <c r="O223">
        <v>3</v>
      </c>
      <c r="P223">
        <v>9</v>
      </c>
      <c r="Q223">
        <v>4</v>
      </c>
      <c r="R223">
        <v>5</v>
      </c>
      <c r="S223">
        <v>8</v>
      </c>
      <c r="T223">
        <v>5</v>
      </c>
      <c r="U223">
        <v>3</v>
      </c>
      <c r="V223">
        <v>7</v>
      </c>
      <c r="W223">
        <v>5</v>
      </c>
      <c r="X223">
        <v>2</v>
      </c>
      <c r="Y223">
        <v>6</v>
      </c>
      <c r="Z223">
        <v>5</v>
      </c>
      <c r="AA223">
        <v>1</v>
      </c>
      <c r="AB223">
        <v>6</v>
      </c>
      <c r="AC223">
        <v>5</v>
      </c>
      <c r="AD223">
        <v>1</v>
      </c>
      <c r="AE223">
        <v>6</v>
      </c>
      <c r="AF223">
        <v>5</v>
      </c>
      <c r="AG223">
        <v>1</v>
      </c>
      <c r="AH223">
        <v>7</v>
      </c>
      <c r="AI223">
        <v>5</v>
      </c>
      <c r="AJ223">
        <v>2</v>
      </c>
      <c r="AK223" t="s">
        <v>2193</v>
      </c>
      <c r="AL223" t="s">
        <v>2194</v>
      </c>
      <c r="AM223" t="s">
        <v>2195</v>
      </c>
      <c r="AN223" t="s">
        <v>2196</v>
      </c>
      <c r="AO223" t="s">
        <v>2197</v>
      </c>
      <c r="AP223" t="s">
        <v>2198</v>
      </c>
      <c r="AQ223" t="s">
        <v>2199</v>
      </c>
      <c r="AR223" t="s">
        <v>2200</v>
      </c>
      <c r="AS223" t="s">
        <v>2201</v>
      </c>
    </row>
    <row r="224" spans="1:45" x14ac:dyDescent="0.45">
      <c r="A224">
        <v>223</v>
      </c>
      <c r="B224">
        <v>12567</v>
      </c>
      <c r="C224" t="s">
        <v>78</v>
      </c>
      <c r="D224" t="s">
        <v>73</v>
      </c>
      <c r="E224" t="s">
        <v>74</v>
      </c>
      <c r="F224" t="s">
        <v>77</v>
      </c>
      <c r="G224" t="s">
        <v>76</v>
      </c>
      <c r="H224">
        <v>52.359479696293327</v>
      </c>
      <c r="I224">
        <v>2</v>
      </c>
      <c r="J224">
        <v>7</v>
      </c>
      <c r="K224">
        <v>6</v>
      </c>
      <c r="L224">
        <v>1</v>
      </c>
      <c r="M224">
        <v>6</v>
      </c>
      <c r="N224">
        <v>6</v>
      </c>
      <c r="O224">
        <v>0</v>
      </c>
      <c r="P224">
        <v>5</v>
      </c>
      <c r="Q224">
        <v>7</v>
      </c>
      <c r="R224">
        <v>-2</v>
      </c>
      <c r="S224">
        <v>6</v>
      </c>
      <c r="T224">
        <v>7</v>
      </c>
      <c r="U224">
        <v>-1</v>
      </c>
      <c r="V224">
        <v>8</v>
      </c>
      <c r="W224">
        <v>6</v>
      </c>
      <c r="X224">
        <v>2</v>
      </c>
      <c r="Y224">
        <v>7</v>
      </c>
      <c r="Z224">
        <v>6</v>
      </c>
      <c r="AA224">
        <v>1</v>
      </c>
      <c r="AB224">
        <v>6</v>
      </c>
      <c r="AC224">
        <v>8</v>
      </c>
      <c r="AD224">
        <v>-2</v>
      </c>
      <c r="AE224">
        <v>5</v>
      </c>
      <c r="AF224">
        <v>8</v>
      </c>
      <c r="AG224">
        <v>-3</v>
      </c>
      <c r="AH224">
        <v>7</v>
      </c>
      <c r="AI224">
        <v>7</v>
      </c>
      <c r="AJ224">
        <v>0</v>
      </c>
      <c r="AK224" t="s">
        <v>2202</v>
      </c>
      <c r="AL224" t="s">
        <v>2203</v>
      </c>
      <c r="AM224" t="s">
        <v>2204</v>
      </c>
      <c r="AN224" t="s">
        <v>2205</v>
      </c>
      <c r="AO224" t="s">
        <v>2206</v>
      </c>
      <c r="AP224" t="s">
        <v>2207</v>
      </c>
      <c r="AQ224" t="s">
        <v>2208</v>
      </c>
      <c r="AR224" t="s">
        <v>2209</v>
      </c>
      <c r="AS224" t="s">
        <v>2210</v>
      </c>
    </row>
    <row r="225" spans="1:45" x14ac:dyDescent="0.45">
      <c r="A225">
        <v>224</v>
      </c>
      <c r="B225">
        <v>12568</v>
      </c>
      <c r="C225" t="s">
        <v>72</v>
      </c>
      <c r="D225" t="s">
        <v>73</v>
      </c>
      <c r="E225" t="s">
        <v>74</v>
      </c>
      <c r="F225" t="s">
        <v>75</v>
      </c>
      <c r="G225" t="s">
        <v>76</v>
      </c>
      <c r="H225">
        <v>63.820423034934947</v>
      </c>
      <c r="I225">
        <v>0</v>
      </c>
      <c r="J225">
        <v>8</v>
      </c>
      <c r="K225">
        <v>7</v>
      </c>
      <c r="L225">
        <v>1</v>
      </c>
      <c r="M225">
        <v>9</v>
      </c>
      <c r="N225">
        <v>7</v>
      </c>
      <c r="O225">
        <v>2</v>
      </c>
      <c r="P225">
        <v>8</v>
      </c>
      <c r="Q225">
        <v>7</v>
      </c>
      <c r="R225">
        <v>1</v>
      </c>
      <c r="S225">
        <v>9</v>
      </c>
      <c r="T225">
        <v>7</v>
      </c>
      <c r="U225">
        <v>2</v>
      </c>
      <c r="V225">
        <v>8</v>
      </c>
      <c r="W225">
        <v>7</v>
      </c>
      <c r="X225">
        <v>1</v>
      </c>
      <c r="Y225">
        <v>9</v>
      </c>
      <c r="Z225">
        <v>7</v>
      </c>
      <c r="AA225">
        <v>2</v>
      </c>
      <c r="AB225">
        <v>8</v>
      </c>
      <c r="AC225">
        <v>7</v>
      </c>
      <c r="AD225">
        <v>1</v>
      </c>
      <c r="AE225">
        <v>7</v>
      </c>
      <c r="AF225">
        <v>7</v>
      </c>
      <c r="AG225">
        <v>0</v>
      </c>
      <c r="AH225">
        <v>9</v>
      </c>
      <c r="AI225">
        <v>7</v>
      </c>
      <c r="AJ225">
        <v>2</v>
      </c>
      <c r="AK225" t="s">
        <v>2211</v>
      </c>
      <c r="AL225" t="s">
        <v>2212</v>
      </c>
      <c r="AM225" t="s">
        <v>2213</v>
      </c>
      <c r="AN225" t="s">
        <v>2214</v>
      </c>
      <c r="AO225" t="s">
        <v>2215</v>
      </c>
      <c r="AP225" t="s">
        <v>2216</v>
      </c>
      <c r="AQ225" t="s">
        <v>2217</v>
      </c>
      <c r="AR225" t="s">
        <v>2218</v>
      </c>
      <c r="AS225" t="s">
        <v>2219</v>
      </c>
    </row>
    <row r="226" spans="1:45" x14ac:dyDescent="0.45">
      <c r="A226">
        <v>225</v>
      </c>
      <c r="B226">
        <v>12569</v>
      </c>
      <c r="C226" t="s">
        <v>72</v>
      </c>
      <c r="D226" t="s">
        <v>73</v>
      </c>
      <c r="E226" t="s">
        <v>74</v>
      </c>
      <c r="F226" t="s">
        <v>77</v>
      </c>
      <c r="G226" t="s">
        <v>76</v>
      </c>
      <c r="H226">
        <v>39.406274192627457</v>
      </c>
      <c r="I226">
        <v>1</v>
      </c>
      <c r="J226">
        <v>6</v>
      </c>
      <c r="K226">
        <v>6</v>
      </c>
      <c r="L226">
        <v>0</v>
      </c>
      <c r="M226">
        <v>7</v>
      </c>
      <c r="N226">
        <v>6</v>
      </c>
      <c r="O226">
        <v>1</v>
      </c>
      <c r="P226">
        <v>8</v>
      </c>
      <c r="Q226">
        <v>7</v>
      </c>
      <c r="R226">
        <v>1</v>
      </c>
      <c r="S226">
        <v>9</v>
      </c>
      <c r="T226">
        <v>7</v>
      </c>
      <c r="U226">
        <v>2</v>
      </c>
      <c r="V226">
        <v>7</v>
      </c>
      <c r="W226">
        <v>5</v>
      </c>
      <c r="X226">
        <v>2</v>
      </c>
      <c r="Y226">
        <v>8</v>
      </c>
      <c r="Z226">
        <v>6</v>
      </c>
      <c r="AA226">
        <v>2</v>
      </c>
      <c r="AB226">
        <v>6</v>
      </c>
      <c r="AC226">
        <v>6</v>
      </c>
      <c r="AD226">
        <v>0</v>
      </c>
      <c r="AE226">
        <v>7</v>
      </c>
      <c r="AF226">
        <v>6</v>
      </c>
      <c r="AG226">
        <v>1</v>
      </c>
      <c r="AH226">
        <v>8</v>
      </c>
      <c r="AI226">
        <v>7</v>
      </c>
      <c r="AJ226">
        <v>1</v>
      </c>
      <c r="AK226" t="s">
        <v>2220</v>
      </c>
      <c r="AL226" t="s">
        <v>2221</v>
      </c>
      <c r="AM226" t="s">
        <v>2222</v>
      </c>
      <c r="AN226" t="s">
        <v>2223</v>
      </c>
      <c r="AO226" t="s">
        <v>2224</v>
      </c>
      <c r="AP226" t="s">
        <v>2225</v>
      </c>
      <c r="AQ226" t="s">
        <v>2226</v>
      </c>
      <c r="AR226" t="s">
        <v>2227</v>
      </c>
      <c r="AS226" t="s">
        <v>2228</v>
      </c>
    </row>
    <row r="227" spans="1:45" x14ac:dyDescent="0.45">
      <c r="A227">
        <v>226</v>
      </c>
      <c r="B227">
        <v>12570</v>
      </c>
      <c r="C227" t="s">
        <v>72</v>
      </c>
      <c r="D227" t="s">
        <v>192</v>
      </c>
      <c r="E227" t="s">
        <v>74</v>
      </c>
      <c r="F227" t="s">
        <v>75</v>
      </c>
      <c r="G227" t="s">
        <v>76</v>
      </c>
      <c r="H227">
        <v>85.117268390452779</v>
      </c>
      <c r="I227">
        <v>2</v>
      </c>
      <c r="J227">
        <v>8</v>
      </c>
      <c r="K227">
        <v>7</v>
      </c>
      <c r="L227">
        <v>1</v>
      </c>
      <c r="M227">
        <v>7</v>
      </c>
      <c r="N227">
        <v>7</v>
      </c>
      <c r="O227">
        <v>0</v>
      </c>
      <c r="P227">
        <v>9</v>
      </c>
      <c r="Q227">
        <v>6</v>
      </c>
      <c r="R227">
        <v>3</v>
      </c>
      <c r="S227">
        <v>8</v>
      </c>
      <c r="T227">
        <v>7</v>
      </c>
      <c r="U227">
        <v>1</v>
      </c>
      <c r="V227">
        <v>7</v>
      </c>
      <c r="W227">
        <v>7</v>
      </c>
      <c r="X227">
        <v>0</v>
      </c>
      <c r="Y227">
        <v>6</v>
      </c>
      <c r="Z227">
        <v>7</v>
      </c>
      <c r="AA227">
        <v>-1</v>
      </c>
      <c r="AB227">
        <v>5</v>
      </c>
      <c r="AC227">
        <v>7</v>
      </c>
      <c r="AD227">
        <v>-2</v>
      </c>
      <c r="AE227">
        <v>4</v>
      </c>
      <c r="AF227">
        <v>7</v>
      </c>
      <c r="AG227">
        <v>-3</v>
      </c>
      <c r="AH227">
        <v>6</v>
      </c>
      <c r="AI227">
        <v>7</v>
      </c>
      <c r="AJ227">
        <v>-1</v>
      </c>
      <c r="AK227" t="s">
        <v>2229</v>
      </c>
      <c r="AL227" t="s">
        <v>2230</v>
      </c>
      <c r="AM227" t="s">
        <v>2231</v>
      </c>
      <c r="AN227" t="s">
        <v>2232</v>
      </c>
      <c r="AO227" t="s">
        <v>2233</v>
      </c>
      <c r="AP227" t="s">
        <v>2234</v>
      </c>
      <c r="AQ227" t="s">
        <v>2235</v>
      </c>
      <c r="AR227" t="s">
        <v>2236</v>
      </c>
      <c r="AS227" t="s">
        <v>2237</v>
      </c>
    </row>
    <row r="228" spans="1:45" x14ac:dyDescent="0.45">
      <c r="A228">
        <v>227</v>
      </c>
      <c r="B228">
        <v>12571</v>
      </c>
      <c r="C228" t="s">
        <v>72</v>
      </c>
      <c r="D228" t="s">
        <v>81</v>
      </c>
      <c r="E228" t="s">
        <v>74</v>
      </c>
      <c r="F228" t="s">
        <v>77</v>
      </c>
      <c r="G228" t="s">
        <v>76</v>
      </c>
      <c r="H228">
        <v>25.555307120083427</v>
      </c>
      <c r="I228">
        <v>0</v>
      </c>
      <c r="J228">
        <v>6</v>
      </c>
      <c r="K228">
        <v>6</v>
      </c>
      <c r="L228">
        <v>0</v>
      </c>
      <c r="M228">
        <v>8</v>
      </c>
      <c r="N228">
        <v>6</v>
      </c>
      <c r="O228">
        <v>2</v>
      </c>
      <c r="P228">
        <v>7</v>
      </c>
      <c r="Q228">
        <v>6</v>
      </c>
      <c r="R228">
        <v>1</v>
      </c>
      <c r="S228">
        <v>8</v>
      </c>
      <c r="T228">
        <v>6</v>
      </c>
      <c r="U228">
        <v>2</v>
      </c>
      <c r="V228">
        <v>7</v>
      </c>
      <c r="W228">
        <v>6</v>
      </c>
      <c r="X228">
        <v>1</v>
      </c>
      <c r="Y228">
        <v>7</v>
      </c>
      <c r="Z228">
        <v>6</v>
      </c>
      <c r="AA228">
        <v>1</v>
      </c>
      <c r="AB228">
        <v>7</v>
      </c>
      <c r="AC228">
        <v>6</v>
      </c>
      <c r="AD228">
        <v>1</v>
      </c>
      <c r="AE228">
        <v>6</v>
      </c>
      <c r="AF228">
        <v>6</v>
      </c>
      <c r="AG228">
        <v>0</v>
      </c>
      <c r="AH228">
        <v>6</v>
      </c>
      <c r="AI228">
        <v>6</v>
      </c>
      <c r="AJ228">
        <v>0</v>
      </c>
      <c r="AK228" t="s">
        <v>2238</v>
      </c>
      <c r="AL228" t="s">
        <v>2239</v>
      </c>
      <c r="AM228" t="s">
        <v>2240</v>
      </c>
      <c r="AN228" t="s">
        <v>2241</v>
      </c>
      <c r="AO228" t="s">
        <v>2242</v>
      </c>
      <c r="AP228" t="s">
        <v>2243</v>
      </c>
      <c r="AQ228" t="s">
        <v>2244</v>
      </c>
      <c r="AR228" t="s">
        <v>2245</v>
      </c>
      <c r="AS228" t="s">
        <v>2246</v>
      </c>
    </row>
    <row r="229" spans="1:45" x14ac:dyDescent="0.45">
      <c r="A229">
        <v>228</v>
      </c>
      <c r="B229">
        <v>12572</v>
      </c>
      <c r="C229" t="s">
        <v>72</v>
      </c>
      <c r="D229" t="s">
        <v>81</v>
      </c>
      <c r="E229" t="s">
        <v>74</v>
      </c>
      <c r="F229" t="s">
        <v>77</v>
      </c>
      <c r="G229" t="s">
        <v>76</v>
      </c>
      <c r="H229">
        <v>20.474704126778885</v>
      </c>
      <c r="I229">
        <v>2</v>
      </c>
      <c r="J229">
        <v>8</v>
      </c>
      <c r="K229">
        <v>8</v>
      </c>
      <c r="L229">
        <v>0</v>
      </c>
      <c r="M229">
        <v>7</v>
      </c>
      <c r="N229">
        <v>9</v>
      </c>
      <c r="O229">
        <v>-2</v>
      </c>
      <c r="P229">
        <v>8</v>
      </c>
      <c r="Q229">
        <v>7</v>
      </c>
      <c r="R229">
        <v>1</v>
      </c>
      <c r="S229">
        <v>9</v>
      </c>
      <c r="T229">
        <v>8</v>
      </c>
      <c r="U229">
        <v>1</v>
      </c>
      <c r="V229">
        <v>8</v>
      </c>
      <c r="W229">
        <v>9</v>
      </c>
      <c r="X229">
        <v>-1</v>
      </c>
      <c r="Y229">
        <v>7</v>
      </c>
      <c r="Z229">
        <v>8</v>
      </c>
      <c r="AA229">
        <v>-1</v>
      </c>
      <c r="AB229">
        <v>6</v>
      </c>
      <c r="AC229">
        <v>8</v>
      </c>
      <c r="AD229">
        <v>-2</v>
      </c>
      <c r="AE229">
        <v>5</v>
      </c>
      <c r="AF229">
        <v>8</v>
      </c>
      <c r="AG229">
        <v>-3</v>
      </c>
      <c r="AH229">
        <v>6</v>
      </c>
      <c r="AI229">
        <v>8</v>
      </c>
      <c r="AJ229">
        <v>-2</v>
      </c>
      <c r="AK229" t="s">
        <v>2247</v>
      </c>
      <c r="AL229" t="s">
        <v>2248</v>
      </c>
      <c r="AM229" t="s">
        <v>2249</v>
      </c>
      <c r="AN229" t="s">
        <v>2250</v>
      </c>
      <c r="AO229" t="s">
        <v>2251</v>
      </c>
      <c r="AP229" t="s">
        <v>2252</v>
      </c>
      <c r="AQ229" t="s">
        <v>2253</v>
      </c>
      <c r="AR229" t="s">
        <v>2254</v>
      </c>
      <c r="AS229" t="s">
        <v>2255</v>
      </c>
    </row>
    <row r="230" spans="1:45" x14ac:dyDescent="0.45">
      <c r="A230">
        <v>229</v>
      </c>
      <c r="B230">
        <v>12573</v>
      </c>
      <c r="C230" t="s">
        <v>72</v>
      </c>
      <c r="D230" t="s">
        <v>73</v>
      </c>
      <c r="E230" t="s">
        <v>74</v>
      </c>
      <c r="F230" t="s">
        <v>77</v>
      </c>
      <c r="G230" t="s">
        <v>76</v>
      </c>
      <c r="H230">
        <v>63.152124654242797</v>
      </c>
      <c r="I230">
        <v>2</v>
      </c>
      <c r="J230">
        <v>7</v>
      </c>
      <c r="K230">
        <v>6</v>
      </c>
      <c r="L230">
        <v>1</v>
      </c>
      <c r="M230">
        <v>8</v>
      </c>
      <c r="N230">
        <v>6</v>
      </c>
      <c r="O230">
        <v>2</v>
      </c>
      <c r="P230">
        <v>6</v>
      </c>
      <c r="Q230">
        <v>6</v>
      </c>
      <c r="R230">
        <v>0</v>
      </c>
      <c r="S230">
        <v>8</v>
      </c>
      <c r="T230">
        <v>6</v>
      </c>
      <c r="U230">
        <v>2</v>
      </c>
      <c r="V230">
        <v>7</v>
      </c>
      <c r="W230">
        <v>6</v>
      </c>
      <c r="X230">
        <v>1</v>
      </c>
      <c r="Y230">
        <v>8</v>
      </c>
      <c r="Z230">
        <v>7</v>
      </c>
      <c r="AA230">
        <v>1</v>
      </c>
      <c r="AB230">
        <v>7</v>
      </c>
      <c r="AC230">
        <v>6</v>
      </c>
      <c r="AD230">
        <v>1</v>
      </c>
      <c r="AE230">
        <v>6</v>
      </c>
      <c r="AF230">
        <v>6</v>
      </c>
      <c r="AG230">
        <v>0</v>
      </c>
      <c r="AH230">
        <v>6</v>
      </c>
      <c r="AI230">
        <v>7</v>
      </c>
      <c r="AJ230">
        <v>-1</v>
      </c>
      <c r="AK230" t="s">
        <v>2256</v>
      </c>
      <c r="AL230" t="s">
        <v>2257</v>
      </c>
      <c r="AM230" t="s">
        <v>2258</v>
      </c>
      <c r="AN230" t="s">
        <v>2259</v>
      </c>
      <c r="AO230" t="s">
        <v>2260</v>
      </c>
      <c r="AP230" t="s">
        <v>2261</v>
      </c>
      <c r="AQ230" t="s">
        <v>2262</v>
      </c>
      <c r="AR230" t="s">
        <v>2263</v>
      </c>
      <c r="AS230" t="s">
        <v>2264</v>
      </c>
    </row>
    <row r="231" spans="1:45" x14ac:dyDescent="0.45">
      <c r="A231">
        <v>230</v>
      </c>
      <c r="B231">
        <v>12574</v>
      </c>
      <c r="C231" t="s">
        <v>72</v>
      </c>
      <c r="D231" t="s">
        <v>79</v>
      </c>
      <c r="E231" t="s">
        <v>74</v>
      </c>
      <c r="F231" t="s">
        <v>75</v>
      </c>
      <c r="G231" t="s">
        <v>76</v>
      </c>
      <c r="H231">
        <v>88.941297532583818</v>
      </c>
      <c r="I231">
        <v>4</v>
      </c>
      <c r="J231">
        <v>8</v>
      </c>
      <c r="K231">
        <v>4</v>
      </c>
      <c r="L231">
        <v>4</v>
      </c>
      <c r="M231">
        <v>7</v>
      </c>
      <c r="N231">
        <v>5</v>
      </c>
      <c r="O231">
        <v>2</v>
      </c>
      <c r="P231">
        <v>7</v>
      </c>
      <c r="Q231">
        <v>1</v>
      </c>
      <c r="R231">
        <v>6</v>
      </c>
      <c r="S231">
        <v>8</v>
      </c>
      <c r="T231">
        <v>6</v>
      </c>
      <c r="U231">
        <v>2</v>
      </c>
      <c r="V231">
        <v>6</v>
      </c>
      <c r="W231">
        <v>4</v>
      </c>
      <c r="X231">
        <v>2</v>
      </c>
      <c r="Y231">
        <v>7</v>
      </c>
      <c r="Z231">
        <v>4</v>
      </c>
      <c r="AA231">
        <v>3</v>
      </c>
      <c r="AB231">
        <v>5</v>
      </c>
      <c r="AC231">
        <v>5</v>
      </c>
      <c r="AD231">
        <v>0</v>
      </c>
      <c r="AE231">
        <v>6</v>
      </c>
      <c r="AF231">
        <v>5</v>
      </c>
      <c r="AG231">
        <v>1</v>
      </c>
      <c r="AH231">
        <v>6</v>
      </c>
      <c r="AI231">
        <v>5</v>
      </c>
      <c r="AJ231">
        <v>1</v>
      </c>
      <c r="AK231" t="s">
        <v>2265</v>
      </c>
      <c r="AL231" t="s">
        <v>2266</v>
      </c>
      <c r="AM231" t="s">
        <v>2267</v>
      </c>
      <c r="AN231" t="s">
        <v>2268</v>
      </c>
      <c r="AO231" t="s">
        <v>2269</v>
      </c>
      <c r="AP231" t="s">
        <v>2270</v>
      </c>
      <c r="AQ231" t="s">
        <v>2271</v>
      </c>
      <c r="AR231" t="s">
        <v>2272</v>
      </c>
      <c r="AS231" t="s">
        <v>2273</v>
      </c>
    </row>
    <row r="232" spans="1:45" x14ac:dyDescent="0.45">
      <c r="A232">
        <v>231</v>
      </c>
      <c r="B232">
        <v>12575</v>
      </c>
      <c r="C232" t="s">
        <v>78</v>
      </c>
      <c r="D232" t="s">
        <v>192</v>
      </c>
      <c r="E232" t="s">
        <v>74</v>
      </c>
      <c r="F232" t="s">
        <v>75</v>
      </c>
      <c r="G232" t="s">
        <v>76</v>
      </c>
      <c r="H232">
        <v>128.03554286536991</v>
      </c>
      <c r="I232">
        <v>4</v>
      </c>
      <c r="J232">
        <v>7</v>
      </c>
      <c r="K232">
        <v>8</v>
      </c>
      <c r="L232">
        <v>-1</v>
      </c>
      <c r="M232">
        <v>8</v>
      </c>
      <c r="N232">
        <v>8</v>
      </c>
      <c r="O232">
        <v>0</v>
      </c>
      <c r="P232">
        <v>6</v>
      </c>
      <c r="Q232">
        <v>8</v>
      </c>
      <c r="R232">
        <v>-2</v>
      </c>
      <c r="S232">
        <v>8</v>
      </c>
      <c r="T232">
        <v>8</v>
      </c>
      <c r="U232">
        <v>0</v>
      </c>
      <c r="V232">
        <v>7</v>
      </c>
      <c r="W232">
        <v>7</v>
      </c>
      <c r="X232">
        <v>0</v>
      </c>
      <c r="Y232">
        <v>5</v>
      </c>
      <c r="Z232">
        <v>7</v>
      </c>
      <c r="AA232">
        <v>-2</v>
      </c>
      <c r="AB232">
        <v>6</v>
      </c>
      <c r="AC232">
        <v>8</v>
      </c>
      <c r="AD232">
        <v>-2</v>
      </c>
      <c r="AE232">
        <v>4</v>
      </c>
      <c r="AF232">
        <v>7</v>
      </c>
      <c r="AG232">
        <v>-3</v>
      </c>
      <c r="AH232">
        <v>7</v>
      </c>
      <c r="AI232">
        <v>8</v>
      </c>
      <c r="AJ232">
        <v>-1</v>
      </c>
      <c r="AK232" t="s">
        <v>2274</v>
      </c>
      <c r="AL232" t="s">
        <v>2275</v>
      </c>
      <c r="AM232" t="s">
        <v>2276</v>
      </c>
      <c r="AN232" t="s">
        <v>2277</v>
      </c>
      <c r="AO232" t="s">
        <v>2278</v>
      </c>
      <c r="AP232" t="s">
        <v>2279</v>
      </c>
      <c r="AQ232" t="s">
        <v>2280</v>
      </c>
      <c r="AR232" t="s">
        <v>2281</v>
      </c>
      <c r="AS232" t="s">
        <v>2282</v>
      </c>
    </row>
    <row r="233" spans="1:45" x14ac:dyDescent="0.45">
      <c r="A233">
        <v>232</v>
      </c>
      <c r="B233">
        <v>12576</v>
      </c>
      <c r="C233" t="s">
        <v>78</v>
      </c>
      <c r="D233" t="s">
        <v>73</v>
      </c>
      <c r="E233" t="s">
        <v>74</v>
      </c>
      <c r="F233" t="s">
        <v>77</v>
      </c>
      <c r="G233" t="s">
        <v>76</v>
      </c>
      <c r="H233">
        <v>50.871414207238672</v>
      </c>
      <c r="I233">
        <v>2</v>
      </c>
      <c r="J233">
        <v>8</v>
      </c>
      <c r="K233">
        <v>6</v>
      </c>
      <c r="L233">
        <v>2</v>
      </c>
      <c r="M233">
        <v>7</v>
      </c>
      <c r="N233">
        <v>6</v>
      </c>
      <c r="O233">
        <v>1</v>
      </c>
      <c r="P233">
        <v>8</v>
      </c>
      <c r="Q233">
        <v>6</v>
      </c>
      <c r="R233">
        <v>2</v>
      </c>
      <c r="S233">
        <v>9</v>
      </c>
      <c r="T233">
        <v>6</v>
      </c>
      <c r="U233">
        <v>3</v>
      </c>
      <c r="V233">
        <v>7</v>
      </c>
      <c r="W233">
        <v>6</v>
      </c>
      <c r="X233">
        <v>1</v>
      </c>
      <c r="Y233">
        <v>8</v>
      </c>
      <c r="Z233">
        <v>6</v>
      </c>
      <c r="AA233">
        <v>2</v>
      </c>
      <c r="AB233">
        <v>7</v>
      </c>
      <c r="AC233">
        <v>6</v>
      </c>
      <c r="AD233">
        <v>1</v>
      </c>
      <c r="AE233">
        <v>6</v>
      </c>
      <c r="AF233">
        <v>6</v>
      </c>
      <c r="AG233">
        <v>0</v>
      </c>
      <c r="AH233">
        <v>5</v>
      </c>
      <c r="AI233">
        <v>6</v>
      </c>
      <c r="AJ233">
        <v>-1</v>
      </c>
      <c r="AK233" t="s">
        <v>2283</v>
      </c>
      <c r="AL233" t="s">
        <v>2284</v>
      </c>
      <c r="AM233" t="s">
        <v>2285</v>
      </c>
      <c r="AN233" t="s">
        <v>2286</v>
      </c>
      <c r="AO233" t="s">
        <v>2287</v>
      </c>
      <c r="AP233" t="s">
        <v>2288</v>
      </c>
      <c r="AQ233" t="s">
        <v>2289</v>
      </c>
      <c r="AR233" t="s">
        <v>2290</v>
      </c>
      <c r="AS233" t="s">
        <v>2291</v>
      </c>
    </row>
    <row r="234" spans="1:45" x14ac:dyDescent="0.45">
      <c r="A234">
        <v>233</v>
      </c>
      <c r="B234">
        <v>12577</v>
      </c>
      <c r="C234" t="s">
        <v>72</v>
      </c>
      <c r="D234" t="s">
        <v>79</v>
      </c>
      <c r="E234" t="s">
        <v>74</v>
      </c>
      <c r="F234" t="s">
        <v>77</v>
      </c>
      <c r="G234" t="s">
        <v>76</v>
      </c>
      <c r="H234">
        <v>14.644126104004014</v>
      </c>
      <c r="I234">
        <v>1</v>
      </c>
      <c r="J234">
        <v>8</v>
      </c>
      <c r="K234">
        <v>8</v>
      </c>
      <c r="L234">
        <v>0</v>
      </c>
      <c r="M234">
        <v>9</v>
      </c>
      <c r="N234">
        <v>8</v>
      </c>
      <c r="O234">
        <v>1</v>
      </c>
      <c r="P234">
        <v>7</v>
      </c>
      <c r="Q234">
        <v>8</v>
      </c>
      <c r="R234">
        <v>-1</v>
      </c>
      <c r="S234">
        <v>6</v>
      </c>
      <c r="T234">
        <v>8</v>
      </c>
      <c r="U234">
        <v>-2</v>
      </c>
      <c r="V234">
        <v>7</v>
      </c>
      <c r="W234">
        <v>9</v>
      </c>
      <c r="X234">
        <v>-2</v>
      </c>
      <c r="Y234">
        <v>4</v>
      </c>
      <c r="Z234">
        <v>8</v>
      </c>
      <c r="AA234">
        <v>-4</v>
      </c>
      <c r="AB234">
        <v>6</v>
      </c>
      <c r="AC234">
        <v>8</v>
      </c>
      <c r="AD234">
        <v>-2</v>
      </c>
      <c r="AE234">
        <v>5</v>
      </c>
      <c r="AF234">
        <v>8</v>
      </c>
      <c r="AG234">
        <v>-3</v>
      </c>
      <c r="AH234">
        <v>3</v>
      </c>
      <c r="AI234">
        <v>10</v>
      </c>
      <c r="AJ234">
        <v>-7</v>
      </c>
      <c r="AK234" t="s">
        <v>2292</v>
      </c>
      <c r="AL234" t="s">
        <v>2293</v>
      </c>
      <c r="AM234" t="s">
        <v>2294</v>
      </c>
      <c r="AN234" t="s">
        <v>2295</v>
      </c>
      <c r="AO234" t="s">
        <v>2296</v>
      </c>
      <c r="AP234" t="s">
        <v>2297</v>
      </c>
      <c r="AQ234" t="s">
        <v>2298</v>
      </c>
      <c r="AR234" t="s">
        <v>2299</v>
      </c>
      <c r="AS234" t="s">
        <v>2300</v>
      </c>
    </row>
    <row r="235" spans="1:45" x14ac:dyDescent="0.45">
      <c r="A235">
        <v>234</v>
      </c>
      <c r="B235">
        <v>12578</v>
      </c>
      <c r="C235" t="s">
        <v>72</v>
      </c>
      <c r="D235" t="s">
        <v>190</v>
      </c>
      <c r="E235" t="s">
        <v>74</v>
      </c>
      <c r="F235" t="s">
        <v>75</v>
      </c>
      <c r="G235" t="s">
        <v>76</v>
      </c>
      <c r="H235">
        <v>74.992711943235221</v>
      </c>
      <c r="I235">
        <v>3</v>
      </c>
      <c r="J235">
        <v>6</v>
      </c>
      <c r="K235">
        <v>4</v>
      </c>
      <c r="L235">
        <v>2</v>
      </c>
      <c r="M235">
        <v>7</v>
      </c>
      <c r="N235">
        <v>4</v>
      </c>
      <c r="O235">
        <v>3</v>
      </c>
      <c r="P235">
        <v>8</v>
      </c>
      <c r="Q235">
        <v>4</v>
      </c>
      <c r="R235">
        <v>4</v>
      </c>
      <c r="S235">
        <v>9</v>
      </c>
      <c r="T235">
        <v>4</v>
      </c>
      <c r="U235">
        <v>5</v>
      </c>
      <c r="V235">
        <v>7</v>
      </c>
      <c r="W235">
        <v>1</v>
      </c>
      <c r="X235">
        <v>6</v>
      </c>
      <c r="Y235">
        <v>8</v>
      </c>
      <c r="Z235">
        <v>3</v>
      </c>
      <c r="AA235">
        <v>5</v>
      </c>
      <c r="AB235">
        <v>7</v>
      </c>
      <c r="AC235">
        <v>1</v>
      </c>
      <c r="AD235">
        <v>6</v>
      </c>
      <c r="AE235">
        <v>8</v>
      </c>
      <c r="AF235">
        <v>1</v>
      </c>
      <c r="AG235">
        <v>7</v>
      </c>
      <c r="AH235">
        <v>7</v>
      </c>
      <c r="AI235">
        <v>1</v>
      </c>
      <c r="AJ235">
        <v>6</v>
      </c>
      <c r="AK235" t="s">
        <v>2301</v>
      </c>
      <c r="AL235" t="s">
        <v>2302</v>
      </c>
      <c r="AM235" t="s">
        <v>2303</v>
      </c>
      <c r="AN235" t="s">
        <v>2304</v>
      </c>
      <c r="AO235" t="s">
        <v>2305</v>
      </c>
      <c r="AP235" t="s">
        <v>2306</v>
      </c>
      <c r="AQ235" t="s">
        <v>2307</v>
      </c>
      <c r="AR235" t="s">
        <v>2308</v>
      </c>
      <c r="AS235" t="s">
        <v>2309</v>
      </c>
    </row>
    <row r="236" spans="1:45" x14ac:dyDescent="0.45">
      <c r="A236">
        <v>235</v>
      </c>
      <c r="B236">
        <v>12579</v>
      </c>
      <c r="C236" t="s">
        <v>72</v>
      </c>
      <c r="D236" t="s">
        <v>73</v>
      </c>
      <c r="E236" t="s">
        <v>74</v>
      </c>
      <c r="F236" t="s">
        <v>77</v>
      </c>
      <c r="G236" t="s">
        <v>76</v>
      </c>
      <c r="H236">
        <v>33.489906884490352</v>
      </c>
      <c r="I236">
        <v>0</v>
      </c>
      <c r="J236">
        <v>7</v>
      </c>
      <c r="K236">
        <v>6</v>
      </c>
      <c r="L236">
        <v>1</v>
      </c>
      <c r="M236">
        <v>8</v>
      </c>
      <c r="N236">
        <v>6</v>
      </c>
      <c r="O236">
        <v>2</v>
      </c>
      <c r="P236">
        <v>9</v>
      </c>
      <c r="Q236">
        <v>1</v>
      </c>
      <c r="R236">
        <v>8</v>
      </c>
      <c r="S236">
        <v>8</v>
      </c>
      <c r="T236">
        <v>6</v>
      </c>
      <c r="U236">
        <v>2</v>
      </c>
      <c r="V236">
        <v>6</v>
      </c>
      <c r="W236">
        <v>5</v>
      </c>
      <c r="X236">
        <v>1</v>
      </c>
      <c r="Y236">
        <v>6</v>
      </c>
      <c r="Z236">
        <v>6</v>
      </c>
      <c r="AA236">
        <v>0</v>
      </c>
      <c r="AB236">
        <v>6</v>
      </c>
      <c r="AC236">
        <v>5</v>
      </c>
      <c r="AD236">
        <v>1</v>
      </c>
      <c r="AE236">
        <v>5</v>
      </c>
      <c r="AF236">
        <v>6</v>
      </c>
      <c r="AG236">
        <v>-1</v>
      </c>
      <c r="AH236">
        <v>7</v>
      </c>
      <c r="AI236">
        <v>6</v>
      </c>
      <c r="AJ236">
        <v>1</v>
      </c>
      <c r="AK236" t="s">
        <v>2310</v>
      </c>
      <c r="AL236" t="s">
        <v>2311</v>
      </c>
      <c r="AM236" t="s">
        <v>2312</v>
      </c>
      <c r="AN236" t="s">
        <v>2313</v>
      </c>
      <c r="AO236" t="s">
        <v>2314</v>
      </c>
      <c r="AP236" t="s">
        <v>2315</v>
      </c>
      <c r="AQ236" t="s">
        <v>2316</v>
      </c>
      <c r="AR236" t="s">
        <v>2317</v>
      </c>
      <c r="AS236" t="s">
        <v>2318</v>
      </c>
    </row>
    <row r="237" spans="1:45" x14ac:dyDescent="0.45">
      <c r="A237">
        <v>236</v>
      </c>
      <c r="B237">
        <v>12580</v>
      </c>
      <c r="C237" t="s">
        <v>72</v>
      </c>
      <c r="D237" t="s">
        <v>73</v>
      </c>
      <c r="E237" t="s">
        <v>74</v>
      </c>
      <c r="F237" t="s">
        <v>75</v>
      </c>
      <c r="G237" t="s">
        <v>76</v>
      </c>
      <c r="H237">
        <v>68.634207633579592</v>
      </c>
      <c r="I237">
        <v>3</v>
      </c>
      <c r="J237">
        <v>7</v>
      </c>
      <c r="K237">
        <v>7</v>
      </c>
      <c r="L237">
        <v>0</v>
      </c>
      <c r="M237">
        <v>6</v>
      </c>
      <c r="N237">
        <v>7</v>
      </c>
      <c r="O237">
        <v>-1</v>
      </c>
      <c r="P237">
        <v>8</v>
      </c>
      <c r="Q237">
        <v>7</v>
      </c>
      <c r="R237">
        <v>1</v>
      </c>
      <c r="S237">
        <v>9</v>
      </c>
      <c r="T237">
        <v>7</v>
      </c>
      <c r="U237">
        <v>2</v>
      </c>
      <c r="V237">
        <v>7</v>
      </c>
      <c r="W237">
        <v>7</v>
      </c>
      <c r="X237">
        <v>0</v>
      </c>
      <c r="Y237">
        <v>6</v>
      </c>
      <c r="Z237">
        <v>7</v>
      </c>
      <c r="AA237">
        <v>-1</v>
      </c>
      <c r="AB237">
        <v>5</v>
      </c>
      <c r="AC237">
        <v>7</v>
      </c>
      <c r="AD237">
        <v>-2</v>
      </c>
      <c r="AE237">
        <v>6</v>
      </c>
      <c r="AF237">
        <v>7</v>
      </c>
      <c r="AG237">
        <v>-1</v>
      </c>
      <c r="AH237">
        <v>7</v>
      </c>
      <c r="AI237">
        <v>7</v>
      </c>
      <c r="AJ237">
        <v>0</v>
      </c>
      <c r="AK237" t="s">
        <v>2319</v>
      </c>
      <c r="AL237" t="s">
        <v>2320</v>
      </c>
      <c r="AM237" t="s">
        <v>2321</v>
      </c>
      <c r="AN237" t="s">
        <v>2322</v>
      </c>
      <c r="AO237" t="s">
        <v>2323</v>
      </c>
      <c r="AP237" t="s">
        <v>2324</v>
      </c>
      <c r="AQ237" t="s">
        <v>2325</v>
      </c>
      <c r="AR237" t="s">
        <v>2326</v>
      </c>
      <c r="AS237" t="s">
        <v>2327</v>
      </c>
    </row>
    <row r="238" spans="1:45" x14ac:dyDescent="0.45">
      <c r="A238">
        <v>237</v>
      </c>
      <c r="B238">
        <v>12581</v>
      </c>
      <c r="C238" t="s">
        <v>78</v>
      </c>
      <c r="D238" t="s">
        <v>73</v>
      </c>
      <c r="E238" t="s">
        <v>74</v>
      </c>
      <c r="F238" t="s">
        <v>75</v>
      </c>
      <c r="G238" t="s">
        <v>161</v>
      </c>
      <c r="H238">
        <v>12.399043697752848</v>
      </c>
      <c r="I238">
        <v>3</v>
      </c>
      <c r="J238">
        <v>6</v>
      </c>
      <c r="K238">
        <v>10</v>
      </c>
      <c r="L238">
        <v>-4</v>
      </c>
      <c r="M238">
        <v>7</v>
      </c>
      <c r="N238">
        <v>10</v>
      </c>
      <c r="O238">
        <v>-3</v>
      </c>
      <c r="P238">
        <v>6</v>
      </c>
      <c r="Q238">
        <v>4</v>
      </c>
      <c r="R238">
        <v>2</v>
      </c>
      <c r="S238">
        <v>8</v>
      </c>
      <c r="T238">
        <v>6</v>
      </c>
      <c r="U238">
        <v>2</v>
      </c>
      <c r="V238">
        <v>7</v>
      </c>
      <c r="W238">
        <v>3</v>
      </c>
      <c r="X238">
        <v>4</v>
      </c>
      <c r="Y238">
        <v>8</v>
      </c>
      <c r="Z238">
        <v>1</v>
      </c>
      <c r="AA238">
        <v>7</v>
      </c>
      <c r="AB238">
        <v>7</v>
      </c>
      <c r="AC238">
        <v>1</v>
      </c>
      <c r="AD238">
        <v>6</v>
      </c>
      <c r="AE238">
        <v>6</v>
      </c>
      <c r="AF238">
        <v>3</v>
      </c>
      <c r="AG238">
        <v>3</v>
      </c>
      <c r="AH238">
        <v>7</v>
      </c>
      <c r="AI238">
        <v>1</v>
      </c>
      <c r="AJ238">
        <v>6</v>
      </c>
      <c r="AK238" t="s">
        <v>216</v>
      </c>
      <c r="AL238" t="s">
        <v>216</v>
      </c>
      <c r="AM238" t="s">
        <v>216</v>
      </c>
      <c r="AN238" t="s">
        <v>216</v>
      </c>
      <c r="AO238" t="s">
        <v>216</v>
      </c>
      <c r="AP238" t="s">
        <v>216</v>
      </c>
      <c r="AQ238" t="s">
        <v>216</v>
      </c>
      <c r="AR238" t="s">
        <v>216</v>
      </c>
      <c r="AS238" t="s">
        <v>216</v>
      </c>
    </row>
    <row r="239" spans="1:45" x14ac:dyDescent="0.45">
      <c r="A239">
        <v>238</v>
      </c>
      <c r="B239">
        <v>12582</v>
      </c>
      <c r="C239" t="s">
        <v>72</v>
      </c>
      <c r="D239" t="s">
        <v>73</v>
      </c>
      <c r="E239" t="s">
        <v>74</v>
      </c>
      <c r="F239" t="s">
        <v>75</v>
      </c>
      <c r="G239" t="s">
        <v>76</v>
      </c>
      <c r="H239">
        <v>23.801704615176334</v>
      </c>
      <c r="I239">
        <v>1</v>
      </c>
      <c r="J239">
        <v>6</v>
      </c>
      <c r="K239">
        <v>8</v>
      </c>
      <c r="L239">
        <v>-2</v>
      </c>
      <c r="M239">
        <v>7</v>
      </c>
      <c r="N239">
        <v>10</v>
      </c>
      <c r="O239">
        <v>-3</v>
      </c>
      <c r="P239">
        <v>8</v>
      </c>
      <c r="Q239">
        <v>8</v>
      </c>
      <c r="R239">
        <v>0</v>
      </c>
      <c r="S239">
        <v>7</v>
      </c>
      <c r="T239">
        <v>10</v>
      </c>
      <c r="U239">
        <v>-3</v>
      </c>
      <c r="V239">
        <v>6</v>
      </c>
      <c r="W239">
        <v>9</v>
      </c>
      <c r="X239">
        <v>-3</v>
      </c>
      <c r="Y239">
        <v>7</v>
      </c>
      <c r="Z239">
        <v>8</v>
      </c>
      <c r="AA239">
        <v>-1</v>
      </c>
      <c r="AB239">
        <v>6</v>
      </c>
      <c r="AC239">
        <v>7</v>
      </c>
      <c r="AD239">
        <v>-1</v>
      </c>
      <c r="AE239">
        <v>7</v>
      </c>
      <c r="AF239">
        <v>9</v>
      </c>
      <c r="AG239">
        <v>-2</v>
      </c>
      <c r="AH239">
        <v>8</v>
      </c>
      <c r="AI239">
        <v>9</v>
      </c>
      <c r="AJ239">
        <v>-1</v>
      </c>
      <c r="AK239" t="s">
        <v>2328</v>
      </c>
      <c r="AL239" t="s">
        <v>2329</v>
      </c>
      <c r="AM239" t="s">
        <v>2330</v>
      </c>
      <c r="AN239" t="s">
        <v>2331</v>
      </c>
      <c r="AO239" t="s">
        <v>2332</v>
      </c>
      <c r="AP239" t="s">
        <v>2333</v>
      </c>
      <c r="AQ239" t="s">
        <v>2334</v>
      </c>
      <c r="AR239" t="s">
        <v>2335</v>
      </c>
      <c r="AS239" t="s">
        <v>2336</v>
      </c>
    </row>
    <row r="240" spans="1:45" x14ac:dyDescent="0.45">
      <c r="A240">
        <v>239</v>
      </c>
      <c r="B240">
        <v>12583</v>
      </c>
      <c r="C240" t="s">
        <v>78</v>
      </c>
      <c r="D240" t="s">
        <v>192</v>
      </c>
      <c r="E240" t="s">
        <v>74</v>
      </c>
      <c r="F240" t="s">
        <v>75</v>
      </c>
      <c r="G240" t="s">
        <v>76</v>
      </c>
      <c r="H240">
        <v>96.861978178096948</v>
      </c>
      <c r="I240">
        <v>4</v>
      </c>
      <c r="J240">
        <v>9</v>
      </c>
      <c r="K240">
        <v>6</v>
      </c>
      <c r="L240">
        <v>3</v>
      </c>
      <c r="M240">
        <v>8</v>
      </c>
      <c r="N240">
        <v>6</v>
      </c>
      <c r="O240">
        <v>2</v>
      </c>
      <c r="P240">
        <v>9</v>
      </c>
      <c r="Q240">
        <v>6</v>
      </c>
      <c r="R240">
        <v>3</v>
      </c>
      <c r="S240">
        <v>8</v>
      </c>
      <c r="T240">
        <v>6</v>
      </c>
      <c r="U240">
        <v>2</v>
      </c>
      <c r="V240">
        <v>9</v>
      </c>
      <c r="W240">
        <v>6</v>
      </c>
      <c r="X240">
        <v>3</v>
      </c>
      <c r="Y240">
        <v>8</v>
      </c>
      <c r="Z240">
        <v>6</v>
      </c>
      <c r="AA240">
        <v>2</v>
      </c>
      <c r="AB240">
        <v>9</v>
      </c>
      <c r="AC240">
        <v>6</v>
      </c>
      <c r="AD240">
        <v>3</v>
      </c>
      <c r="AE240">
        <v>7</v>
      </c>
      <c r="AF240">
        <v>7</v>
      </c>
      <c r="AG240">
        <v>0</v>
      </c>
      <c r="AH240">
        <v>8</v>
      </c>
      <c r="AI240">
        <v>6</v>
      </c>
      <c r="AJ240">
        <v>2</v>
      </c>
      <c r="AK240" t="s">
        <v>2337</v>
      </c>
      <c r="AL240" t="s">
        <v>2338</v>
      </c>
      <c r="AM240" t="s">
        <v>2339</v>
      </c>
      <c r="AN240" t="s">
        <v>2340</v>
      </c>
      <c r="AO240" t="s">
        <v>2341</v>
      </c>
      <c r="AP240" t="s">
        <v>2342</v>
      </c>
      <c r="AQ240" t="s">
        <v>2343</v>
      </c>
      <c r="AR240" t="s">
        <v>2344</v>
      </c>
      <c r="AS240" t="s">
        <v>2345</v>
      </c>
    </row>
    <row r="241" spans="1:45" x14ac:dyDescent="0.45">
      <c r="A241">
        <v>240</v>
      </c>
      <c r="B241">
        <v>12584</v>
      </c>
      <c r="C241" t="s">
        <v>72</v>
      </c>
      <c r="D241" t="s">
        <v>73</v>
      </c>
      <c r="E241" t="s">
        <v>74</v>
      </c>
      <c r="F241" t="s">
        <v>77</v>
      </c>
      <c r="G241" t="s">
        <v>76</v>
      </c>
      <c r="H241">
        <v>61.961746975968374</v>
      </c>
      <c r="I241">
        <v>3</v>
      </c>
      <c r="J241">
        <v>7</v>
      </c>
      <c r="K241">
        <v>8</v>
      </c>
      <c r="L241">
        <v>-1</v>
      </c>
      <c r="M241">
        <v>6</v>
      </c>
      <c r="N241">
        <v>8</v>
      </c>
      <c r="O241">
        <v>-2</v>
      </c>
      <c r="P241">
        <v>8</v>
      </c>
      <c r="Q241">
        <v>8</v>
      </c>
      <c r="R241">
        <v>0</v>
      </c>
      <c r="S241">
        <v>7</v>
      </c>
      <c r="T241">
        <v>8</v>
      </c>
      <c r="U241">
        <v>-1</v>
      </c>
      <c r="V241">
        <v>8</v>
      </c>
      <c r="W241">
        <v>8</v>
      </c>
      <c r="X241">
        <v>0</v>
      </c>
      <c r="Y241">
        <v>7</v>
      </c>
      <c r="Z241">
        <v>8</v>
      </c>
      <c r="AA241">
        <v>-1</v>
      </c>
      <c r="AB241">
        <v>8</v>
      </c>
      <c r="AC241">
        <v>8</v>
      </c>
      <c r="AD241">
        <v>0</v>
      </c>
      <c r="AE241">
        <v>5</v>
      </c>
      <c r="AF241">
        <v>8</v>
      </c>
      <c r="AG241">
        <v>-3</v>
      </c>
      <c r="AH241">
        <v>7</v>
      </c>
      <c r="AI241">
        <v>8</v>
      </c>
      <c r="AJ241">
        <v>-1</v>
      </c>
      <c r="AK241" t="s">
        <v>2346</v>
      </c>
      <c r="AL241" t="s">
        <v>2347</v>
      </c>
      <c r="AM241" t="s">
        <v>2348</v>
      </c>
      <c r="AN241" t="s">
        <v>2349</v>
      </c>
      <c r="AO241" t="s">
        <v>2350</v>
      </c>
      <c r="AP241" t="s">
        <v>2351</v>
      </c>
      <c r="AQ241" t="s">
        <v>2352</v>
      </c>
      <c r="AR241" t="s">
        <v>2353</v>
      </c>
      <c r="AS241" t="s">
        <v>2354</v>
      </c>
    </row>
    <row r="242" spans="1:45" x14ac:dyDescent="0.45">
      <c r="A242">
        <v>241</v>
      </c>
      <c r="B242">
        <v>12585</v>
      </c>
      <c r="C242" t="s">
        <v>72</v>
      </c>
      <c r="D242" t="s">
        <v>73</v>
      </c>
      <c r="E242" t="s">
        <v>74</v>
      </c>
      <c r="F242" t="s">
        <v>75</v>
      </c>
      <c r="G242" t="s">
        <v>76</v>
      </c>
      <c r="H242">
        <v>55.244096512194275</v>
      </c>
      <c r="I242">
        <v>1</v>
      </c>
      <c r="J242">
        <v>7</v>
      </c>
      <c r="K242">
        <v>7</v>
      </c>
      <c r="L242">
        <v>0</v>
      </c>
      <c r="M242">
        <v>8</v>
      </c>
      <c r="N242">
        <v>6</v>
      </c>
      <c r="O242">
        <v>2</v>
      </c>
      <c r="P242">
        <v>6</v>
      </c>
      <c r="Q242">
        <v>7</v>
      </c>
      <c r="R242">
        <v>-1</v>
      </c>
      <c r="S242">
        <v>8</v>
      </c>
      <c r="T242">
        <v>7</v>
      </c>
      <c r="U242">
        <v>1</v>
      </c>
      <c r="V242">
        <v>7</v>
      </c>
      <c r="W242">
        <v>8</v>
      </c>
      <c r="X242">
        <v>-1</v>
      </c>
      <c r="Y242">
        <v>6</v>
      </c>
      <c r="Z242">
        <v>8</v>
      </c>
      <c r="AA242">
        <v>-2</v>
      </c>
      <c r="AB242">
        <v>6</v>
      </c>
      <c r="AC242">
        <v>8</v>
      </c>
      <c r="AD242">
        <v>-2</v>
      </c>
      <c r="AE242">
        <v>5</v>
      </c>
      <c r="AF242">
        <v>8</v>
      </c>
      <c r="AG242">
        <v>-3</v>
      </c>
      <c r="AH242">
        <v>7</v>
      </c>
      <c r="AI242">
        <v>8</v>
      </c>
      <c r="AJ242">
        <v>-1</v>
      </c>
      <c r="AK242" t="s">
        <v>2355</v>
      </c>
      <c r="AL242" t="s">
        <v>2356</v>
      </c>
      <c r="AM242" t="s">
        <v>2357</v>
      </c>
      <c r="AN242" t="s">
        <v>2358</v>
      </c>
      <c r="AO242" t="s">
        <v>2359</v>
      </c>
      <c r="AP242" t="s">
        <v>2360</v>
      </c>
      <c r="AQ242" t="s">
        <v>2361</v>
      </c>
      <c r="AR242" t="s">
        <v>2362</v>
      </c>
      <c r="AS242" t="s">
        <v>2363</v>
      </c>
    </row>
    <row r="243" spans="1:45" x14ac:dyDescent="0.45">
      <c r="A243">
        <v>242</v>
      </c>
      <c r="B243">
        <v>12586</v>
      </c>
      <c r="C243" t="s">
        <v>78</v>
      </c>
      <c r="D243" t="s">
        <v>73</v>
      </c>
      <c r="E243" t="s">
        <v>74</v>
      </c>
      <c r="F243" t="s">
        <v>77</v>
      </c>
      <c r="G243" t="s">
        <v>76</v>
      </c>
      <c r="H243">
        <v>49.477002046177468</v>
      </c>
      <c r="I243">
        <v>2</v>
      </c>
      <c r="J243">
        <v>7</v>
      </c>
      <c r="K243">
        <v>6</v>
      </c>
      <c r="L243">
        <v>1</v>
      </c>
      <c r="M243">
        <v>8</v>
      </c>
      <c r="N243">
        <v>5</v>
      </c>
      <c r="O243">
        <v>3</v>
      </c>
      <c r="P243">
        <v>6</v>
      </c>
      <c r="Q243">
        <v>5</v>
      </c>
      <c r="R243">
        <v>1</v>
      </c>
      <c r="S243">
        <v>7</v>
      </c>
      <c r="T243">
        <v>7</v>
      </c>
      <c r="U243">
        <v>0</v>
      </c>
      <c r="V243">
        <v>7</v>
      </c>
      <c r="W243">
        <v>7</v>
      </c>
      <c r="X243">
        <v>0</v>
      </c>
      <c r="Y243">
        <v>8</v>
      </c>
      <c r="Z243">
        <v>7</v>
      </c>
      <c r="AA243">
        <v>1</v>
      </c>
      <c r="AB243">
        <v>6</v>
      </c>
      <c r="AC243">
        <v>7</v>
      </c>
      <c r="AD243">
        <v>-1</v>
      </c>
      <c r="AE243">
        <v>7</v>
      </c>
      <c r="AF243">
        <v>8</v>
      </c>
      <c r="AG243">
        <v>-1</v>
      </c>
      <c r="AH243">
        <v>8</v>
      </c>
      <c r="AI243">
        <v>8</v>
      </c>
      <c r="AJ243">
        <v>0</v>
      </c>
      <c r="AK243" t="s">
        <v>2364</v>
      </c>
      <c r="AL243" t="s">
        <v>2365</v>
      </c>
      <c r="AM243" t="s">
        <v>2366</v>
      </c>
      <c r="AN243" t="s">
        <v>2367</v>
      </c>
      <c r="AO243" t="s">
        <v>2368</v>
      </c>
      <c r="AP243" t="s">
        <v>2369</v>
      </c>
      <c r="AQ243" t="s">
        <v>2370</v>
      </c>
      <c r="AR243" t="s">
        <v>2371</v>
      </c>
      <c r="AS243" t="s">
        <v>2372</v>
      </c>
    </row>
    <row r="244" spans="1:45" x14ac:dyDescent="0.45">
      <c r="A244">
        <v>243</v>
      </c>
      <c r="B244">
        <v>12587</v>
      </c>
      <c r="C244" t="s">
        <v>78</v>
      </c>
      <c r="D244" t="s">
        <v>190</v>
      </c>
      <c r="E244" t="s">
        <v>74</v>
      </c>
      <c r="F244" t="s">
        <v>77</v>
      </c>
      <c r="G244" t="s">
        <v>76</v>
      </c>
      <c r="H244">
        <v>73.91270643903151</v>
      </c>
      <c r="I244">
        <v>2</v>
      </c>
      <c r="J244">
        <v>7</v>
      </c>
      <c r="K244">
        <v>6</v>
      </c>
      <c r="L244">
        <v>1</v>
      </c>
      <c r="M244">
        <v>6</v>
      </c>
      <c r="N244">
        <v>6</v>
      </c>
      <c r="O244">
        <v>0</v>
      </c>
      <c r="P244">
        <v>8</v>
      </c>
      <c r="Q244">
        <v>6</v>
      </c>
      <c r="R244">
        <v>2</v>
      </c>
      <c r="S244">
        <v>9</v>
      </c>
      <c r="T244">
        <v>6</v>
      </c>
      <c r="U244">
        <v>3</v>
      </c>
      <c r="V244">
        <v>6</v>
      </c>
      <c r="W244">
        <v>6</v>
      </c>
      <c r="X244">
        <v>0</v>
      </c>
      <c r="Y244">
        <v>7</v>
      </c>
      <c r="Z244">
        <v>6</v>
      </c>
      <c r="AA244">
        <v>1</v>
      </c>
      <c r="AB244">
        <v>6</v>
      </c>
      <c r="AC244">
        <v>6</v>
      </c>
      <c r="AD244">
        <v>0</v>
      </c>
      <c r="AE244">
        <v>5</v>
      </c>
      <c r="AF244">
        <v>6</v>
      </c>
      <c r="AG244">
        <v>-1</v>
      </c>
      <c r="AH244">
        <v>7</v>
      </c>
      <c r="AI244">
        <v>6</v>
      </c>
      <c r="AJ244">
        <v>1</v>
      </c>
      <c r="AK244" t="s">
        <v>2373</v>
      </c>
      <c r="AL244" t="s">
        <v>2374</v>
      </c>
      <c r="AM244" t="s">
        <v>2375</v>
      </c>
      <c r="AN244" t="s">
        <v>2376</v>
      </c>
      <c r="AO244" t="s">
        <v>2377</v>
      </c>
      <c r="AP244" t="s">
        <v>2378</v>
      </c>
      <c r="AQ244" t="s">
        <v>2379</v>
      </c>
      <c r="AR244" t="s">
        <v>2380</v>
      </c>
      <c r="AS244" t="s">
        <v>2381</v>
      </c>
    </row>
    <row r="245" spans="1:45" x14ac:dyDescent="0.45">
      <c r="A245">
        <v>244</v>
      </c>
      <c r="B245">
        <v>12588</v>
      </c>
      <c r="C245" t="s">
        <v>72</v>
      </c>
      <c r="D245" t="s">
        <v>79</v>
      </c>
      <c r="E245" t="s">
        <v>74</v>
      </c>
      <c r="F245" t="s">
        <v>75</v>
      </c>
      <c r="G245" t="s">
        <v>76</v>
      </c>
      <c r="H245">
        <v>62.774756718616466</v>
      </c>
      <c r="I245">
        <v>3</v>
      </c>
      <c r="J245">
        <v>8</v>
      </c>
      <c r="K245">
        <v>7</v>
      </c>
      <c r="L245">
        <v>1</v>
      </c>
      <c r="M245">
        <v>9</v>
      </c>
      <c r="N245">
        <v>6</v>
      </c>
      <c r="O245">
        <v>3</v>
      </c>
      <c r="P245">
        <v>7</v>
      </c>
      <c r="Q245">
        <v>6</v>
      </c>
      <c r="R245">
        <v>1</v>
      </c>
      <c r="S245">
        <v>8</v>
      </c>
      <c r="T245">
        <v>8</v>
      </c>
      <c r="U245">
        <v>0</v>
      </c>
      <c r="V245">
        <v>7</v>
      </c>
      <c r="W245">
        <v>6</v>
      </c>
      <c r="X245">
        <v>1</v>
      </c>
      <c r="Y245">
        <v>8</v>
      </c>
      <c r="Z245">
        <v>6</v>
      </c>
      <c r="AA245">
        <v>2</v>
      </c>
      <c r="AB245">
        <v>6</v>
      </c>
      <c r="AC245">
        <v>6</v>
      </c>
      <c r="AD245">
        <v>0</v>
      </c>
      <c r="AE245">
        <v>5</v>
      </c>
      <c r="AF245">
        <v>6</v>
      </c>
      <c r="AG245">
        <v>-1</v>
      </c>
      <c r="AH245">
        <v>7</v>
      </c>
      <c r="AI245">
        <v>6</v>
      </c>
      <c r="AJ245">
        <v>1</v>
      </c>
      <c r="AK245" t="s">
        <v>2382</v>
      </c>
      <c r="AL245" t="s">
        <v>2383</v>
      </c>
      <c r="AM245" t="s">
        <v>2384</v>
      </c>
      <c r="AN245" t="s">
        <v>2385</v>
      </c>
      <c r="AO245" t="s">
        <v>2386</v>
      </c>
      <c r="AP245" t="s">
        <v>2387</v>
      </c>
      <c r="AQ245" t="s">
        <v>2388</v>
      </c>
      <c r="AR245" t="s">
        <v>2389</v>
      </c>
      <c r="AS245" t="s">
        <v>2390</v>
      </c>
    </row>
    <row r="246" spans="1:45" x14ac:dyDescent="0.45">
      <c r="A246">
        <v>245</v>
      </c>
      <c r="B246">
        <v>12589</v>
      </c>
      <c r="C246" t="s">
        <v>78</v>
      </c>
      <c r="D246" t="s">
        <v>79</v>
      </c>
      <c r="E246" t="s">
        <v>74</v>
      </c>
      <c r="F246" t="s">
        <v>75</v>
      </c>
      <c r="G246" t="s">
        <v>76</v>
      </c>
      <c r="H246">
        <v>160.27799351115863</v>
      </c>
      <c r="I246">
        <v>0</v>
      </c>
      <c r="J246">
        <v>6</v>
      </c>
      <c r="K246">
        <v>4</v>
      </c>
      <c r="L246">
        <v>2</v>
      </c>
      <c r="M246">
        <v>7</v>
      </c>
      <c r="N246">
        <v>4</v>
      </c>
      <c r="O246">
        <v>3</v>
      </c>
      <c r="P246">
        <v>8</v>
      </c>
      <c r="Q246">
        <v>1</v>
      </c>
      <c r="R246">
        <v>7</v>
      </c>
      <c r="S246">
        <v>9</v>
      </c>
      <c r="T246">
        <v>4</v>
      </c>
      <c r="U246">
        <v>5</v>
      </c>
      <c r="V246">
        <v>5</v>
      </c>
      <c r="W246">
        <v>4</v>
      </c>
      <c r="X246">
        <v>1</v>
      </c>
      <c r="Y246">
        <v>7</v>
      </c>
      <c r="Z246">
        <v>4</v>
      </c>
      <c r="AA246">
        <v>3</v>
      </c>
      <c r="AB246">
        <v>4</v>
      </c>
      <c r="AC246">
        <v>5</v>
      </c>
      <c r="AD246">
        <v>-1</v>
      </c>
      <c r="AE246">
        <v>5</v>
      </c>
      <c r="AF246">
        <v>5</v>
      </c>
      <c r="AG246">
        <v>0</v>
      </c>
      <c r="AH246">
        <v>6</v>
      </c>
      <c r="AI246">
        <v>5</v>
      </c>
      <c r="AJ246">
        <v>1</v>
      </c>
      <c r="AK246" t="s">
        <v>2391</v>
      </c>
      <c r="AL246" t="s">
        <v>2392</v>
      </c>
      <c r="AM246" t="s">
        <v>2393</v>
      </c>
      <c r="AN246" t="s">
        <v>2394</v>
      </c>
      <c r="AO246" t="s">
        <v>2395</v>
      </c>
      <c r="AP246" t="s">
        <v>2396</v>
      </c>
      <c r="AQ246" t="s">
        <v>2397</v>
      </c>
      <c r="AR246" t="s">
        <v>2398</v>
      </c>
      <c r="AS246" t="s">
        <v>2399</v>
      </c>
    </row>
    <row r="247" spans="1:45" x14ac:dyDescent="0.45">
      <c r="A247">
        <v>246</v>
      </c>
      <c r="B247">
        <v>12590</v>
      </c>
      <c r="C247" t="s">
        <v>78</v>
      </c>
      <c r="D247" t="s">
        <v>73</v>
      </c>
      <c r="E247" t="s">
        <v>74</v>
      </c>
      <c r="F247" t="s">
        <v>77</v>
      </c>
      <c r="G247" t="s">
        <v>76</v>
      </c>
      <c r="H247">
        <v>24.830761581250968</v>
      </c>
      <c r="I247">
        <v>0</v>
      </c>
      <c r="J247">
        <v>7</v>
      </c>
      <c r="K247">
        <v>6</v>
      </c>
      <c r="L247">
        <v>1</v>
      </c>
      <c r="M247">
        <v>8</v>
      </c>
      <c r="N247">
        <v>7</v>
      </c>
      <c r="O247">
        <v>1</v>
      </c>
      <c r="P247">
        <v>9</v>
      </c>
      <c r="Q247">
        <v>7</v>
      </c>
      <c r="R247">
        <v>2</v>
      </c>
      <c r="S247">
        <v>8</v>
      </c>
      <c r="T247">
        <v>7</v>
      </c>
      <c r="U247">
        <v>1</v>
      </c>
      <c r="V247">
        <v>7</v>
      </c>
      <c r="W247">
        <v>7</v>
      </c>
      <c r="X247">
        <v>0</v>
      </c>
      <c r="Y247">
        <v>6</v>
      </c>
      <c r="Z247">
        <v>7</v>
      </c>
      <c r="AA247">
        <v>-1</v>
      </c>
      <c r="AB247">
        <v>7</v>
      </c>
      <c r="AC247">
        <v>7</v>
      </c>
      <c r="AD247">
        <v>0</v>
      </c>
      <c r="AE247">
        <v>5</v>
      </c>
      <c r="AF247">
        <v>7</v>
      </c>
      <c r="AG247">
        <v>-2</v>
      </c>
      <c r="AH247">
        <v>6</v>
      </c>
      <c r="AI247">
        <v>7</v>
      </c>
      <c r="AJ247">
        <v>-1</v>
      </c>
      <c r="AK247" t="s">
        <v>2400</v>
      </c>
      <c r="AL247" t="s">
        <v>2401</v>
      </c>
      <c r="AM247" t="s">
        <v>2402</v>
      </c>
      <c r="AN247" t="s">
        <v>2403</v>
      </c>
      <c r="AO247" t="s">
        <v>2404</v>
      </c>
      <c r="AP247" t="s">
        <v>2405</v>
      </c>
      <c r="AQ247" t="s">
        <v>2406</v>
      </c>
      <c r="AR247" t="s">
        <v>2407</v>
      </c>
      <c r="AS247" t="s">
        <v>2408</v>
      </c>
    </row>
    <row r="248" spans="1:45" x14ac:dyDescent="0.45">
      <c r="A248">
        <v>247</v>
      </c>
      <c r="B248">
        <v>12591</v>
      </c>
      <c r="C248" t="s">
        <v>72</v>
      </c>
      <c r="D248" t="s">
        <v>190</v>
      </c>
      <c r="E248" t="s">
        <v>74</v>
      </c>
      <c r="F248" t="s">
        <v>75</v>
      </c>
      <c r="G248" t="s">
        <v>76</v>
      </c>
      <c r="H248">
        <v>51.908259134031475</v>
      </c>
      <c r="I248">
        <v>4</v>
      </c>
      <c r="J248">
        <v>7</v>
      </c>
      <c r="K248">
        <v>8</v>
      </c>
      <c r="L248">
        <v>-1</v>
      </c>
      <c r="M248">
        <v>8</v>
      </c>
      <c r="N248">
        <v>8</v>
      </c>
      <c r="O248">
        <v>0</v>
      </c>
      <c r="P248">
        <v>9</v>
      </c>
      <c r="Q248">
        <v>8</v>
      </c>
      <c r="R248">
        <v>1</v>
      </c>
      <c r="S248">
        <v>8</v>
      </c>
      <c r="T248">
        <v>8</v>
      </c>
      <c r="U248">
        <v>0</v>
      </c>
      <c r="V248">
        <v>7</v>
      </c>
      <c r="W248">
        <v>8</v>
      </c>
      <c r="X248">
        <v>-1</v>
      </c>
      <c r="Y248">
        <v>8</v>
      </c>
      <c r="Z248">
        <v>8</v>
      </c>
      <c r="AA248">
        <v>0</v>
      </c>
      <c r="AB248">
        <v>6</v>
      </c>
      <c r="AC248">
        <v>8</v>
      </c>
      <c r="AD248">
        <v>-2</v>
      </c>
      <c r="AE248">
        <v>5</v>
      </c>
      <c r="AF248">
        <v>8</v>
      </c>
      <c r="AG248">
        <v>-3</v>
      </c>
      <c r="AH248">
        <v>6</v>
      </c>
      <c r="AI248">
        <v>8</v>
      </c>
      <c r="AJ248">
        <v>-2</v>
      </c>
      <c r="AK248" t="s">
        <v>2409</v>
      </c>
      <c r="AL248" t="s">
        <v>2410</v>
      </c>
      <c r="AM248" t="s">
        <v>2411</v>
      </c>
      <c r="AN248" t="s">
        <v>2412</v>
      </c>
      <c r="AO248" t="s">
        <v>2413</v>
      </c>
      <c r="AP248" t="s">
        <v>2414</v>
      </c>
      <c r="AQ248" t="s">
        <v>2415</v>
      </c>
      <c r="AR248" t="s">
        <v>2416</v>
      </c>
      <c r="AS248" t="s">
        <v>2417</v>
      </c>
    </row>
    <row r="249" spans="1:45" x14ac:dyDescent="0.45">
      <c r="A249">
        <v>248</v>
      </c>
      <c r="B249">
        <v>12592</v>
      </c>
      <c r="C249" t="s">
        <v>72</v>
      </c>
      <c r="D249" t="s">
        <v>79</v>
      </c>
      <c r="E249" t="s">
        <v>74</v>
      </c>
      <c r="F249" t="s">
        <v>77</v>
      </c>
      <c r="G249" t="s">
        <v>76</v>
      </c>
      <c r="H249">
        <v>38.324639309206603</v>
      </c>
      <c r="I249">
        <v>1</v>
      </c>
      <c r="J249">
        <v>7</v>
      </c>
      <c r="K249">
        <v>7</v>
      </c>
      <c r="L249">
        <v>0</v>
      </c>
      <c r="M249">
        <v>8</v>
      </c>
      <c r="N249">
        <v>7</v>
      </c>
      <c r="O249">
        <v>1</v>
      </c>
      <c r="P249">
        <v>6</v>
      </c>
      <c r="Q249">
        <v>7</v>
      </c>
      <c r="R249">
        <v>-1</v>
      </c>
      <c r="S249">
        <v>9</v>
      </c>
      <c r="T249">
        <v>7</v>
      </c>
      <c r="U249">
        <v>2</v>
      </c>
      <c r="V249">
        <v>6</v>
      </c>
      <c r="W249">
        <v>7</v>
      </c>
      <c r="X249">
        <v>-1</v>
      </c>
      <c r="Y249">
        <v>7</v>
      </c>
      <c r="Z249">
        <v>7</v>
      </c>
      <c r="AA249">
        <v>0</v>
      </c>
      <c r="AB249">
        <v>6</v>
      </c>
      <c r="AC249">
        <v>7</v>
      </c>
      <c r="AD249">
        <v>-1</v>
      </c>
      <c r="AE249">
        <v>7</v>
      </c>
      <c r="AF249">
        <v>7</v>
      </c>
      <c r="AG249">
        <v>0</v>
      </c>
      <c r="AH249">
        <v>8</v>
      </c>
      <c r="AI249">
        <v>7</v>
      </c>
      <c r="AJ249">
        <v>1</v>
      </c>
      <c r="AK249" t="s">
        <v>2418</v>
      </c>
      <c r="AL249" t="s">
        <v>2419</v>
      </c>
      <c r="AM249" t="s">
        <v>2420</v>
      </c>
      <c r="AN249" t="s">
        <v>2421</v>
      </c>
      <c r="AO249" t="s">
        <v>2422</v>
      </c>
      <c r="AP249" t="s">
        <v>2423</v>
      </c>
      <c r="AQ249" t="s">
        <v>2424</v>
      </c>
      <c r="AR249" t="s">
        <v>2425</v>
      </c>
      <c r="AS249" t="s">
        <v>2426</v>
      </c>
    </row>
    <row r="250" spans="1:45" x14ac:dyDescent="0.45">
      <c r="A250">
        <v>249</v>
      </c>
      <c r="B250">
        <v>12593</v>
      </c>
      <c r="C250" t="s">
        <v>78</v>
      </c>
      <c r="D250" t="s">
        <v>192</v>
      </c>
      <c r="E250" t="s">
        <v>74</v>
      </c>
      <c r="F250" t="s">
        <v>75</v>
      </c>
      <c r="G250" t="s">
        <v>76</v>
      </c>
      <c r="H250">
        <v>95.970651707955142</v>
      </c>
      <c r="I250">
        <v>3</v>
      </c>
      <c r="J250">
        <v>8</v>
      </c>
      <c r="K250">
        <v>9</v>
      </c>
      <c r="L250">
        <v>-1</v>
      </c>
      <c r="M250">
        <v>7</v>
      </c>
      <c r="N250">
        <v>9</v>
      </c>
      <c r="O250">
        <v>-2</v>
      </c>
      <c r="P250">
        <v>9</v>
      </c>
      <c r="Q250">
        <v>9</v>
      </c>
      <c r="R250">
        <v>0</v>
      </c>
      <c r="S250">
        <v>8</v>
      </c>
      <c r="T250">
        <v>9</v>
      </c>
      <c r="U250">
        <v>-1</v>
      </c>
      <c r="V250">
        <v>9</v>
      </c>
      <c r="W250">
        <v>9</v>
      </c>
      <c r="X250">
        <v>0</v>
      </c>
      <c r="Y250">
        <v>8</v>
      </c>
      <c r="Z250">
        <v>9</v>
      </c>
      <c r="AA250">
        <v>-1</v>
      </c>
      <c r="AB250">
        <v>9</v>
      </c>
      <c r="AC250">
        <v>9</v>
      </c>
      <c r="AD250">
        <v>0</v>
      </c>
      <c r="AE250">
        <v>6</v>
      </c>
      <c r="AF250">
        <v>9</v>
      </c>
      <c r="AG250">
        <v>-3</v>
      </c>
      <c r="AH250">
        <v>7</v>
      </c>
      <c r="AI250">
        <v>9</v>
      </c>
      <c r="AJ250">
        <v>-2</v>
      </c>
      <c r="AK250" t="s">
        <v>2427</v>
      </c>
      <c r="AL250" t="s">
        <v>2428</v>
      </c>
      <c r="AM250" t="s">
        <v>2429</v>
      </c>
      <c r="AN250" t="s">
        <v>2430</v>
      </c>
      <c r="AO250" t="s">
        <v>2431</v>
      </c>
      <c r="AP250" t="s">
        <v>2432</v>
      </c>
      <c r="AQ250" t="s">
        <v>2433</v>
      </c>
      <c r="AR250" t="s">
        <v>2434</v>
      </c>
      <c r="AS250" t="s">
        <v>2435</v>
      </c>
    </row>
    <row r="251" spans="1:45" x14ac:dyDescent="0.45">
      <c r="A251">
        <v>250</v>
      </c>
      <c r="B251">
        <v>12594</v>
      </c>
      <c r="C251" t="s">
        <v>72</v>
      </c>
      <c r="D251" t="s">
        <v>73</v>
      </c>
      <c r="E251" t="s">
        <v>74</v>
      </c>
      <c r="F251" t="s">
        <v>77</v>
      </c>
      <c r="G251" t="s">
        <v>76</v>
      </c>
      <c r="H251">
        <v>55.813882137423207</v>
      </c>
      <c r="I251">
        <v>3</v>
      </c>
      <c r="J251">
        <v>7</v>
      </c>
      <c r="K251">
        <v>7</v>
      </c>
      <c r="L251">
        <v>0</v>
      </c>
      <c r="M251">
        <v>8</v>
      </c>
      <c r="N251">
        <v>6</v>
      </c>
      <c r="O251">
        <v>2</v>
      </c>
      <c r="P251">
        <v>6</v>
      </c>
      <c r="Q251">
        <v>5</v>
      </c>
      <c r="R251">
        <v>1</v>
      </c>
      <c r="S251">
        <v>8</v>
      </c>
      <c r="T251">
        <v>6</v>
      </c>
      <c r="U251">
        <v>2</v>
      </c>
      <c r="V251">
        <v>7</v>
      </c>
      <c r="W251">
        <v>6</v>
      </c>
      <c r="X251">
        <v>1</v>
      </c>
      <c r="Y251">
        <v>6</v>
      </c>
      <c r="Z251">
        <v>6</v>
      </c>
      <c r="AA251">
        <v>0</v>
      </c>
      <c r="AB251">
        <v>5</v>
      </c>
      <c r="AC251">
        <v>6</v>
      </c>
      <c r="AD251">
        <v>-1</v>
      </c>
      <c r="AE251">
        <v>7</v>
      </c>
      <c r="AF251">
        <v>6</v>
      </c>
      <c r="AG251">
        <v>1</v>
      </c>
      <c r="AH251">
        <v>6</v>
      </c>
      <c r="AI251">
        <v>7</v>
      </c>
      <c r="AJ251">
        <v>-1</v>
      </c>
      <c r="AK251" t="s">
        <v>2436</v>
      </c>
      <c r="AL251" t="s">
        <v>2437</v>
      </c>
      <c r="AM251" t="s">
        <v>2438</v>
      </c>
      <c r="AN251" t="s">
        <v>2439</v>
      </c>
      <c r="AO251" t="s">
        <v>2440</v>
      </c>
      <c r="AP251" t="s">
        <v>2441</v>
      </c>
      <c r="AQ251" t="s">
        <v>2442</v>
      </c>
      <c r="AR251" t="s">
        <v>2443</v>
      </c>
      <c r="AS251" t="s">
        <v>2444</v>
      </c>
    </row>
    <row r="252" spans="1:45" x14ac:dyDescent="0.45">
      <c r="A252">
        <v>251</v>
      </c>
      <c r="B252">
        <v>12595</v>
      </c>
      <c r="C252" t="s">
        <v>72</v>
      </c>
      <c r="D252" t="s">
        <v>73</v>
      </c>
      <c r="E252" t="s">
        <v>74</v>
      </c>
      <c r="F252" t="s">
        <v>77</v>
      </c>
      <c r="G252" t="s">
        <v>76</v>
      </c>
      <c r="H252">
        <v>43.750989364816725</v>
      </c>
      <c r="I252">
        <v>4</v>
      </c>
      <c r="J252">
        <v>7</v>
      </c>
      <c r="K252">
        <v>8</v>
      </c>
      <c r="L252">
        <v>-1</v>
      </c>
      <c r="M252">
        <v>8</v>
      </c>
      <c r="N252">
        <v>8</v>
      </c>
      <c r="O252">
        <v>0</v>
      </c>
      <c r="P252">
        <v>9</v>
      </c>
      <c r="Q252">
        <v>8</v>
      </c>
      <c r="R252">
        <v>1</v>
      </c>
      <c r="S252">
        <v>8</v>
      </c>
      <c r="T252">
        <v>9</v>
      </c>
      <c r="U252">
        <v>-1</v>
      </c>
      <c r="V252">
        <v>7</v>
      </c>
      <c r="W252">
        <v>8</v>
      </c>
      <c r="X252">
        <v>-1</v>
      </c>
      <c r="Y252">
        <v>6</v>
      </c>
      <c r="Z252">
        <v>10</v>
      </c>
      <c r="AA252">
        <v>-4</v>
      </c>
      <c r="AB252">
        <v>7</v>
      </c>
      <c r="AC252">
        <v>7</v>
      </c>
      <c r="AD252">
        <v>0</v>
      </c>
      <c r="AE252">
        <v>6</v>
      </c>
      <c r="AF252">
        <v>7</v>
      </c>
      <c r="AG252">
        <v>-1</v>
      </c>
      <c r="AH252">
        <v>8</v>
      </c>
      <c r="AI252">
        <v>10</v>
      </c>
      <c r="AJ252">
        <v>-2</v>
      </c>
      <c r="AK252" t="s">
        <v>2445</v>
      </c>
      <c r="AL252" t="s">
        <v>2446</v>
      </c>
      <c r="AM252" t="s">
        <v>2447</v>
      </c>
      <c r="AN252" t="s">
        <v>2448</v>
      </c>
      <c r="AO252" t="s">
        <v>2449</v>
      </c>
      <c r="AP252" t="s">
        <v>2450</v>
      </c>
      <c r="AQ252" t="s">
        <v>2451</v>
      </c>
      <c r="AR252" t="s">
        <v>2452</v>
      </c>
      <c r="AS252" t="s">
        <v>2453</v>
      </c>
    </row>
    <row r="253" spans="1:45" x14ac:dyDescent="0.45">
      <c r="A253">
        <v>252</v>
      </c>
      <c r="B253">
        <v>12596</v>
      </c>
      <c r="C253" t="s">
        <v>72</v>
      </c>
      <c r="D253" t="s">
        <v>190</v>
      </c>
      <c r="E253" t="s">
        <v>74</v>
      </c>
      <c r="F253" t="s">
        <v>77</v>
      </c>
      <c r="G253" t="s">
        <v>76</v>
      </c>
      <c r="H253">
        <v>63.366930785870409</v>
      </c>
      <c r="I253">
        <v>3</v>
      </c>
      <c r="J253">
        <v>7</v>
      </c>
      <c r="K253">
        <v>6</v>
      </c>
      <c r="L253">
        <v>1</v>
      </c>
      <c r="M253">
        <v>6</v>
      </c>
      <c r="N253">
        <v>6</v>
      </c>
      <c r="O253">
        <v>0</v>
      </c>
      <c r="P253">
        <v>5</v>
      </c>
      <c r="Q253">
        <v>1</v>
      </c>
      <c r="R253">
        <v>4</v>
      </c>
      <c r="S253">
        <v>8</v>
      </c>
      <c r="T253">
        <v>6</v>
      </c>
      <c r="U253">
        <v>2</v>
      </c>
      <c r="V253">
        <v>7</v>
      </c>
      <c r="W253">
        <v>5</v>
      </c>
      <c r="X253">
        <v>2</v>
      </c>
      <c r="Y253">
        <v>6</v>
      </c>
      <c r="Z253">
        <v>6</v>
      </c>
      <c r="AA253">
        <v>0</v>
      </c>
      <c r="AB253">
        <v>7</v>
      </c>
      <c r="AC253">
        <v>6</v>
      </c>
      <c r="AD253">
        <v>1</v>
      </c>
      <c r="AE253">
        <v>5</v>
      </c>
      <c r="AF253">
        <v>6</v>
      </c>
      <c r="AG253">
        <v>-1</v>
      </c>
      <c r="AH253">
        <v>6</v>
      </c>
      <c r="AI253">
        <v>6</v>
      </c>
      <c r="AJ253">
        <v>0</v>
      </c>
      <c r="AK253" t="s">
        <v>2454</v>
      </c>
      <c r="AL253" t="s">
        <v>2455</v>
      </c>
      <c r="AM253" t="s">
        <v>2456</v>
      </c>
      <c r="AN253" t="s">
        <v>2457</v>
      </c>
      <c r="AO253" t="s">
        <v>2458</v>
      </c>
      <c r="AP253" t="s">
        <v>2459</v>
      </c>
      <c r="AQ253" t="s">
        <v>2460</v>
      </c>
      <c r="AR253" t="s">
        <v>2461</v>
      </c>
      <c r="AS253" t="s">
        <v>2462</v>
      </c>
    </row>
    <row r="254" spans="1:45" x14ac:dyDescent="0.45">
      <c r="A254">
        <v>253</v>
      </c>
      <c r="B254">
        <v>12597</v>
      </c>
      <c r="C254" t="s">
        <v>78</v>
      </c>
      <c r="D254" t="s">
        <v>79</v>
      </c>
      <c r="E254" t="s">
        <v>74</v>
      </c>
      <c r="F254" t="s">
        <v>75</v>
      </c>
      <c r="G254" t="s">
        <v>76</v>
      </c>
      <c r="H254">
        <v>84.493388172869544</v>
      </c>
      <c r="I254">
        <v>4</v>
      </c>
      <c r="J254">
        <v>6</v>
      </c>
      <c r="K254">
        <v>8</v>
      </c>
      <c r="L254">
        <v>-2</v>
      </c>
      <c r="M254">
        <v>5</v>
      </c>
      <c r="N254">
        <v>8</v>
      </c>
      <c r="O254">
        <v>-3</v>
      </c>
      <c r="P254">
        <v>7</v>
      </c>
      <c r="Q254">
        <v>3</v>
      </c>
      <c r="R254">
        <v>4</v>
      </c>
      <c r="S254">
        <v>6</v>
      </c>
      <c r="T254">
        <v>9</v>
      </c>
      <c r="U254">
        <v>-3</v>
      </c>
      <c r="V254">
        <v>8</v>
      </c>
      <c r="W254">
        <v>8</v>
      </c>
      <c r="X254">
        <v>0</v>
      </c>
      <c r="Y254">
        <v>5</v>
      </c>
      <c r="Z254">
        <v>8</v>
      </c>
      <c r="AA254">
        <v>-3</v>
      </c>
      <c r="AB254">
        <v>7</v>
      </c>
      <c r="AC254">
        <v>8</v>
      </c>
      <c r="AD254">
        <v>-1</v>
      </c>
      <c r="AE254">
        <v>5</v>
      </c>
      <c r="AF254">
        <v>8</v>
      </c>
      <c r="AG254">
        <v>-3</v>
      </c>
      <c r="AH254">
        <v>7</v>
      </c>
      <c r="AI254">
        <v>8</v>
      </c>
      <c r="AJ254">
        <v>-1</v>
      </c>
      <c r="AK254" t="s">
        <v>2463</v>
      </c>
      <c r="AL254" t="s">
        <v>2464</v>
      </c>
      <c r="AM254" t="s">
        <v>2465</v>
      </c>
      <c r="AN254" t="s">
        <v>2466</v>
      </c>
      <c r="AO254" t="s">
        <v>2467</v>
      </c>
      <c r="AP254" t="s">
        <v>2468</v>
      </c>
      <c r="AQ254" t="s">
        <v>2469</v>
      </c>
      <c r="AR254" t="s">
        <v>2470</v>
      </c>
      <c r="AS254" t="s">
        <v>2471</v>
      </c>
    </row>
    <row r="255" spans="1:45" x14ac:dyDescent="0.45">
      <c r="A255">
        <v>254</v>
      </c>
      <c r="B255">
        <v>12598</v>
      </c>
      <c r="C255" t="s">
        <v>78</v>
      </c>
      <c r="D255" t="s">
        <v>79</v>
      </c>
      <c r="E255" t="s">
        <v>74</v>
      </c>
      <c r="F255" t="s">
        <v>75</v>
      </c>
      <c r="G255" t="s">
        <v>76</v>
      </c>
      <c r="H255">
        <v>89.219665372633969</v>
      </c>
      <c r="I255">
        <v>1</v>
      </c>
      <c r="J255">
        <v>7</v>
      </c>
      <c r="K255">
        <v>4</v>
      </c>
      <c r="L255">
        <v>3</v>
      </c>
      <c r="M255">
        <v>8</v>
      </c>
      <c r="N255">
        <v>3</v>
      </c>
      <c r="O255">
        <v>5</v>
      </c>
      <c r="P255">
        <v>6</v>
      </c>
      <c r="Q255">
        <v>1</v>
      </c>
      <c r="R255">
        <v>5</v>
      </c>
      <c r="S255">
        <v>7</v>
      </c>
      <c r="T255">
        <v>7</v>
      </c>
      <c r="U255">
        <v>0</v>
      </c>
      <c r="V255">
        <v>8</v>
      </c>
      <c r="W255">
        <v>3</v>
      </c>
      <c r="X255">
        <v>5</v>
      </c>
      <c r="Y255">
        <v>7</v>
      </c>
      <c r="Z255">
        <v>6</v>
      </c>
      <c r="AA255">
        <v>1</v>
      </c>
      <c r="AB255">
        <v>8</v>
      </c>
      <c r="AC255">
        <v>5</v>
      </c>
      <c r="AD255">
        <v>3</v>
      </c>
      <c r="AE255">
        <v>7</v>
      </c>
      <c r="AF255">
        <v>6</v>
      </c>
      <c r="AG255">
        <v>1</v>
      </c>
      <c r="AH255">
        <v>7</v>
      </c>
      <c r="AI255">
        <v>6</v>
      </c>
      <c r="AJ255">
        <v>1</v>
      </c>
      <c r="AK255" t="s">
        <v>2472</v>
      </c>
      <c r="AL255" t="s">
        <v>2473</v>
      </c>
      <c r="AM255" t="s">
        <v>2474</v>
      </c>
      <c r="AN255" t="s">
        <v>2475</v>
      </c>
      <c r="AO255" t="s">
        <v>2476</v>
      </c>
      <c r="AP255" t="s">
        <v>2477</v>
      </c>
      <c r="AQ255" t="s">
        <v>2478</v>
      </c>
      <c r="AR255" t="s">
        <v>2479</v>
      </c>
      <c r="AS255" t="s">
        <v>2480</v>
      </c>
    </row>
    <row r="256" spans="1:45" x14ac:dyDescent="0.45">
      <c r="A256">
        <v>255</v>
      </c>
      <c r="B256">
        <v>12599</v>
      </c>
      <c r="C256" t="s">
        <v>72</v>
      </c>
      <c r="D256" t="s">
        <v>73</v>
      </c>
      <c r="E256" t="s">
        <v>74</v>
      </c>
      <c r="F256" t="s">
        <v>75</v>
      </c>
      <c r="G256" t="s">
        <v>76</v>
      </c>
      <c r="H256">
        <v>63.722273621221056</v>
      </c>
      <c r="I256">
        <v>1</v>
      </c>
      <c r="J256">
        <v>8</v>
      </c>
      <c r="K256">
        <v>6</v>
      </c>
      <c r="L256">
        <v>2</v>
      </c>
      <c r="M256">
        <v>7</v>
      </c>
      <c r="N256">
        <v>6</v>
      </c>
      <c r="O256">
        <v>1</v>
      </c>
      <c r="P256">
        <v>9</v>
      </c>
      <c r="Q256">
        <v>1</v>
      </c>
      <c r="R256">
        <v>8</v>
      </c>
      <c r="S256">
        <v>7</v>
      </c>
      <c r="T256">
        <v>7</v>
      </c>
      <c r="U256">
        <v>0</v>
      </c>
      <c r="V256">
        <v>8</v>
      </c>
      <c r="W256">
        <v>5</v>
      </c>
      <c r="X256">
        <v>3</v>
      </c>
      <c r="Y256">
        <v>6</v>
      </c>
      <c r="Z256">
        <v>6</v>
      </c>
      <c r="AA256">
        <v>0</v>
      </c>
      <c r="AB256">
        <v>7</v>
      </c>
      <c r="AC256">
        <v>6</v>
      </c>
      <c r="AD256">
        <v>1</v>
      </c>
      <c r="AE256">
        <v>5</v>
      </c>
      <c r="AF256">
        <v>6</v>
      </c>
      <c r="AG256">
        <v>-1</v>
      </c>
      <c r="AH256">
        <v>7</v>
      </c>
      <c r="AI256">
        <v>6</v>
      </c>
      <c r="AJ256">
        <v>1</v>
      </c>
      <c r="AK256" t="s">
        <v>2481</v>
      </c>
      <c r="AL256" t="s">
        <v>2482</v>
      </c>
      <c r="AM256" t="s">
        <v>2483</v>
      </c>
      <c r="AN256" t="s">
        <v>2484</v>
      </c>
      <c r="AO256" t="s">
        <v>2485</v>
      </c>
      <c r="AP256" t="s">
        <v>2486</v>
      </c>
      <c r="AQ256" t="s">
        <v>2487</v>
      </c>
      <c r="AR256" t="s">
        <v>2488</v>
      </c>
      <c r="AS256" t="s">
        <v>2489</v>
      </c>
    </row>
    <row r="257" spans="1:45" x14ac:dyDescent="0.45">
      <c r="A257">
        <v>256</v>
      </c>
      <c r="B257">
        <v>12600</v>
      </c>
      <c r="C257" t="s">
        <v>72</v>
      </c>
      <c r="D257" t="s">
        <v>190</v>
      </c>
      <c r="E257" t="s">
        <v>74</v>
      </c>
      <c r="F257" t="s">
        <v>77</v>
      </c>
      <c r="G257" t="s">
        <v>76</v>
      </c>
      <c r="H257">
        <v>167.09669027968141</v>
      </c>
      <c r="I257">
        <v>4</v>
      </c>
      <c r="J257">
        <v>7</v>
      </c>
      <c r="K257">
        <v>8</v>
      </c>
      <c r="L257">
        <v>-1</v>
      </c>
      <c r="M257">
        <v>8</v>
      </c>
      <c r="N257">
        <v>8</v>
      </c>
      <c r="O257">
        <v>0</v>
      </c>
      <c r="P257">
        <v>6</v>
      </c>
      <c r="Q257">
        <v>5</v>
      </c>
      <c r="R257">
        <v>1</v>
      </c>
      <c r="S257">
        <v>8</v>
      </c>
      <c r="T257">
        <v>8</v>
      </c>
      <c r="U257">
        <v>0</v>
      </c>
      <c r="V257">
        <v>7</v>
      </c>
      <c r="W257">
        <v>8</v>
      </c>
      <c r="X257">
        <v>-1</v>
      </c>
      <c r="Y257">
        <v>7</v>
      </c>
      <c r="Z257">
        <v>7</v>
      </c>
      <c r="AA257">
        <v>0</v>
      </c>
      <c r="AB257">
        <v>6</v>
      </c>
      <c r="AC257">
        <v>7</v>
      </c>
      <c r="AD257">
        <v>-1</v>
      </c>
      <c r="AE257">
        <v>7</v>
      </c>
      <c r="AF257">
        <v>7</v>
      </c>
      <c r="AG257">
        <v>0</v>
      </c>
      <c r="AH257">
        <v>7</v>
      </c>
      <c r="AI257">
        <v>7</v>
      </c>
      <c r="AJ257">
        <v>0</v>
      </c>
      <c r="AK257" t="s">
        <v>2490</v>
      </c>
      <c r="AL257" t="s">
        <v>2491</v>
      </c>
      <c r="AM257" t="s">
        <v>2492</v>
      </c>
      <c r="AN257" t="s">
        <v>2493</v>
      </c>
      <c r="AO257" t="s">
        <v>2494</v>
      </c>
      <c r="AP257" t="s">
        <v>2495</v>
      </c>
      <c r="AQ257" t="s">
        <v>2496</v>
      </c>
      <c r="AR257" t="s">
        <v>2497</v>
      </c>
      <c r="AS257" t="s">
        <v>2498</v>
      </c>
    </row>
    <row r="258" spans="1:45" x14ac:dyDescent="0.45">
      <c r="A258">
        <v>257</v>
      </c>
      <c r="B258">
        <v>12601</v>
      </c>
      <c r="C258" t="s">
        <v>72</v>
      </c>
      <c r="D258" t="s">
        <v>81</v>
      </c>
      <c r="E258" t="s">
        <v>74</v>
      </c>
      <c r="F258" t="s">
        <v>77</v>
      </c>
      <c r="G258" t="s">
        <v>76</v>
      </c>
      <c r="H258">
        <v>36.263610707498728</v>
      </c>
      <c r="I258">
        <v>1</v>
      </c>
      <c r="J258">
        <v>8</v>
      </c>
      <c r="K258">
        <v>7</v>
      </c>
      <c r="L258">
        <v>1</v>
      </c>
      <c r="M258">
        <v>9</v>
      </c>
      <c r="N258">
        <v>8</v>
      </c>
      <c r="O258">
        <v>1</v>
      </c>
      <c r="P258">
        <v>7</v>
      </c>
      <c r="Q258">
        <v>4</v>
      </c>
      <c r="R258">
        <v>3</v>
      </c>
      <c r="S258">
        <v>8</v>
      </c>
      <c r="T258">
        <v>8</v>
      </c>
      <c r="U258">
        <v>0</v>
      </c>
      <c r="V258">
        <v>7</v>
      </c>
      <c r="W258">
        <v>5</v>
      </c>
      <c r="X258">
        <v>2</v>
      </c>
      <c r="Y258">
        <v>8</v>
      </c>
      <c r="Z258">
        <v>7</v>
      </c>
      <c r="AA258">
        <v>1</v>
      </c>
      <c r="AB258">
        <v>7</v>
      </c>
      <c r="AC258">
        <v>5</v>
      </c>
      <c r="AD258">
        <v>2</v>
      </c>
      <c r="AE258">
        <v>8</v>
      </c>
      <c r="AF258">
        <v>6</v>
      </c>
      <c r="AG258">
        <v>2</v>
      </c>
      <c r="AH258">
        <v>7</v>
      </c>
      <c r="AI258">
        <v>6</v>
      </c>
      <c r="AJ258">
        <v>1</v>
      </c>
      <c r="AK258" t="s">
        <v>2499</v>
      </c>
      <c r="AL258" t="s">
        <v>2500</v>
      </c>
      <c r="AM258" t="s">
        <v>2501</v>
      </c>
      <c r="AN258" t="s">
        <v>2502</v>
      </c>
      <c r="AO258" t="s">
        <v>2503</v>
      </c>
      <c r="AP258" t="s">
        <v>2504</v>
      </c>
      <c r="AQ258" t="s">
        <v>2505</v>
      </c>
      <c r="AR258" t="s">
        <v>2506</v>
      </c>
      <c r="AS258" t="s">
        <v>2507</v>
      </c>
    </row>
    <row r="259" spans="1:45" x14ac:dyDescent="0.45">
      <c r="A259">
        <v>258</v>
      </c>
      <c r="B259">
        <v>12602</v>
      </c>
      <c r="C259" t="s">
        <v>78</v>
      </c>
      <c r="D259" t="s">
        <v>79</v>
      </c>
      <c r="E259" t="s">
        <v>74</v>
      </c>
      <c r="F259" t="s">
        <v>77</v>
      </c>
      <c r="G259" t="s">
        <v>76</v>
      </c>
      <c r="H259">
        <v>60.016750374929345</v>
      </c>
      <c r="I259">
        <v>2</v>
      </c>
      <c r="J259">
        <v>7</v>
      </c>
      <c r="K259">
        <v>6</v>
      </c>
      <c r="L259">
        <v>1</v>
      </c>
      <c r="M259">
        <v>6</v>
      </c>
      <c r="N259">
        <v>7</v>
      </c>
      <c r="O259">
        <v>-1</v>
      </c>
      <c r="P259">
        <v>7</v>
      </c>
      <c r="Q259">
        <v>2</v>
      </c>
      <c r="R259">
        <v>5</v>
      </c>
      <c r="S259">
        <v>8</v>
      </c>
      <c r="T259">
        <v>7</v>
      </c>
      <c r="U259">
        <v>1</v>
      </c>
      <c r="V259">
        <v>6</v>
      </c>
      <c r="W259">
        <v>5</v>
      </c>
      <c r="X259">
        <v>1</v>
      </c>
      <c r="Y259">
        <v>5</v>
      </c>
      <c r="Z259">
        <v>5</v>
      </c>
      <c r="AA259">
        <v>0</v>
      </c>
      <c r="AB259">
        <v>4</v>
      </c>
      <c r="AC259">
        <v>5</v>
      </c>
      <c r="AD259">
        <v>-1</v>
      </c>
      <c r="AE259">
        <v>5</v>
      </c>
      <c r="AF259">
        <v>6</v>
      </c>
      <c r="AG259">
        <v>-1</v>
      </c>
      <c r="AH259">
        <v>4</v>
      </c>
      <c r="AI259">
        <v>5</v>
      </c>
      <c r="AJ259">
        <v>-1</v>
      </c>
      <c r="AK259" t="s">
        <v>2508</v>
      </c>
      <c r="AL259" t="s">
        <v>2509</v>
      </c>
      <c r="AM259" t="s">
        <v>2510</v>
      </c>
      <c r="AN259" t="s">
        <v>2511</v>
      </c>
      <c r="AO259" t="s">
        <v>2512</v>
      </c>
      <c r="AP259" t="s">
        <v>2513</v>
      </c>
      <c r="AQ259" t="s">
        <v>2514</v>
      </c>
      <c r="AR259" t="s">
        <v>2515</v>
      </c>
      <c r="AS259" t="s">
        <v>2516</v>
      </c>
    </row>
    <row r="260" spans="1:45" x14ac:dyDescent="0.45">
      <c r="A260">
        <v>259</v>
      </c>
      <c r="B260">
        <v>12603</v>
      </c>
      <c r="C260" t="s">
        <v>78</v>
      </c>
      <c r="D260" t="s">
        <v>190</v>
      </c>
      <c r="E260" t="s">
        <v>74</v>
      </c>
      <c r="F260" t="s">
        <v>75</v>
      </c>
      <c r="G260" t="s">
        <v>76</v>
      </c>
      <c r="H260">
        <v>132.41059809018466</v>
      </c>
      <c r="I260">
        <v>4</v>
      </c>
      <c r="J260">
        <v>7</v>
      </c>
      <c r="K260">
        <v>2</v>
      </c>
      <c r="L260">
        <v>5</v>
      </c>
      <c r="M260">
        <v>8</v>
      </c>
      <c r="N260">
        <v>1</v>
      </c>
      <c r="O260">
        <v>7</v>
      </c>
      <c r="P260">
        <v>9</v>
      </c>
      <c r="Q260">
        <v>1</v>
      </c>
      <c r="R260">
        <v>8</v>
      </c>
      <c r="S260">
        <v>7</v>
      </c>
      <c r="T260">
        <v>6</v>
      </c>
      <c r="U260">
        <v>1</v>
      </c>
      <c r="V260">
        <v>6</v>
      </c>
      <c r="W260">
        <v>2</v>
      </c>
      <c r="X260">
        <v>4</v>
      </c>
      <c r="Y260">
        <v>7</v>
      </c>
      <c r="Z260">
        <v>3</v>
      </c>
      <c r="AA260">
        <v>4</v>
      </c>
      <c r="AB260">
        <v>5</v>
      </c>
      <c r="AC260">
        <v>1</v>
      </c>
      <c r="AD260">
        <v>4</v>
      </c>
      <c r="AE260">
        <v>6</v>
      </c>
      <c r="AF260">
        <v>5</v>
      </c>
      <c r="AG260">
        <v>1</v>
      </c>
      <c r="AH260">
        <v>8</v>
      </c>
      <c r="AI260">
        <v>4</v>
      </c>
      <c r="AJ260">
        <v>4</v>
      </c>
      <c r="AK260" t="s">
        <v>2517</v>
      </c>
      <c r="AL260" t="s">
        <v>2518</v>
      </c>
      <c r="AM260" t="s">
        <v>2519</v>
      </c>
      <c r="AN260" t="s">
        <v>2520</v>
      </c>
      <c r="AO260" t="s">
        <v>2521</v>
      </c>
      <c r="AP260" t="s">
        <v>2522</v>
      </c>
      <c r="AQ260" t="s">
        <v>2523</v>
      </c>
      <c r="AR260" t="s">
        <v>2524</v>
      </c>
      <c r="AS260" t="s">
        <v>2525</v>
      </c>
    </row>
    <row r="261" spans="1:45" x14ac:dyDescent="0.45">
      <c r="A261">
        <v>260</v>
      </c>
      <c r="B261">
        <v>12604</v>
      </c>
      <c r="C261" t="s">
        <v>72</v>
      </c>
      <c r="D261" t="s">
        <v>73</v>
      </c>
      <c r="E261" t="s">
        <v>80</v>
      </c>
      <c r="F261" t="s">
        <v>77</v>
      </c>
      <c r="G261" t="s">
        <v>76</v>
      </c>
      <c r="H261">
        <v>32.087303665472916</v>
      </c>
      <c r="I261">
        <v>2</v>
      </c>
      <c r="J261">
        <v>8</v>
      </c>
      <c r="K261">
        <v>6</v>
      </c>
      <c r="L261">
        <v>2</v>
      </c>
      <c r="M261">
        <v>7</v>
      </c>
      <c r="N261">
        <v>6</v>
      </c>
      <c r="O261">
        <v>1</v>
      </c>
      <c r="P261">
        <v>9</v>
      </c>
      <c r="Q261">
        <v>7</v>
      </c>
      <c r="R261">
        <v>2</v>
      </c>
      <c r="S261">
        <v>8</v>
      </c>
      <c r="T261">
        <v>6</v>
      </c>
      <c r="U261">
        <v>2</v>
      </c>
      <c r="V261">
        <v>7</v>
      </c>
      <c r="W261">
        <v>5</v>
      </c>
      <c r="X261">
        <v>2</v>
      </c>
      <c r="Y261">
        <v>6</v>
      </c>
      <c r="Z261">
        <v>6</v>
      </c>
      <c r="AA261">
        <v>0</v>
      </c>
      <c r="AB261">
        <v>7</v>
      </c>
      <c r="AC261">
        <v>5</v>
      </c>
      <c r="AD261">
        <v>2</v>
      </c>
      <c r="AE261">
        <v>6</v>
      </c>
      <c r="AF261">
        <v>6</v>
      </c>
      <c r="AG261">
        <v>0</v>
      </c>
      <c r="AH261">
        <v>5</v>
      </c>
      <c r="AI261">
        <v>6</v>
      </c>
      <c r="AJ261">
        <v>-1</v>
      </c>
      <c r="AK261" t="s">
        <v>2526</v>
      </c>
      <c r="AL261" t="s">
        <v>2527</v>
      </c>
      <c r="AM261" t="s">
        <v>2528</v>
      </c>
      <c r="AN261" t="s">
        <v>2529</v>
      </c>
      <c r="AO261" t="s">
        <v>2530</v>
      </c>
      <c r="AP261" t="s">
        <v>2531</v>
      </c>
      <c r="AQ261" t="s">
        <v>2532</v>
      </c>
      <c r="AR261" t="s">
        <v>2533</v>
      </c>
      <c r="AS261" t="s">
        <v>2534</v>
      </c>
    </row>
    <row r="262" spans="1:45" x14ac:dyDescent="0.45">
      <c r="A262">
        <v>261</v>
      </c>
      <c r="B262">
        <v>12605</v>
      </c>
      <c r="C262" t="s">
        <v>78</v>
      </c>
      <c r="D262" t="s">
        <v>73</v>
      </c>
      <c r="E262" t="s">
        <v>74</v>
      </c>
      <c r="F262" t="s">
        <v>77</v>
      </c>
      <c r="G262" t="s">
        <v>76</v>
      </c>
      <c r="H262">
        <v>39.062928247312357</v>
      </c>
      <c r="I262">
        <v>1</v>
      </c>
      <c r="J262">
        <v>7</v>
      </c>
      <c r="K262">
        <v>6</v>
      </c>
      <c r="L262">
        <v>1</v>
      </c>
      <c r="M262">
        <v>6</v>
      </c>
      <c r="N262">
        <v>7</v>
      </c>
      <c r="O262">
        <v>-1</v>
      </c>
      <c r="P262">
        <v>8</v>
      </c>
      <c r="Q262">
        <v>1</v>
      </c>
      <c r="R262">
        <v>7</v>
      </c>
      <c r="S262">
        <v>7</v>
      </c>
      <c r="T262">
        <v>9</v>
      </c>
      <c r="U262">
        <v>-2</v>
      </c>
      <c r="V262">
        <v>8</v>
      </c>
      <c r="W262">
        <v>5</v>
      </c>
      <c r="X262">
        <v>3</v>
      </c>
      <c r="Y262">
        <v>6</v>
      </c>
      <c r="Z262">
        <v>4</v>
      </c>
      <c r="AA262">
        <v>2</v>
      </c>
      <c r="AB262">
        <v>7</v>
      </c>
      <c r="AC262">
        <v>4</v>
      </c>
      <c r="AD262">
        <v>3</v>
      </c>
      <c r="AE262">
        <v>6</v>
      </c>
      <c r="AF262">
        <v>5</v>
      </c>
      <c r="AG262">
        <v>1</v>
      </c>
      <c r="AH262">
        <v>8</v>
      </c>
      <c r="AI262">
        <v>5</v>
      </c>
      <c r="AJ262">
        <v>3</v>
      </c>
      <c r="AK262" t="s">
        <v>2535</v>
      </c>
      <c r="AL262" t="s">
        <v>2536</v>
      </c>
      <c r="AM262" t="s">
        <v>2537</v>
      </c>
      <c r="AN262" t="s">
        <v>2538</v>
      </c>
      <c r="AO262" t="s">
        <v>2539</v>
      </c>
      <c r="AP262" t="s">
        <v>2540</v>
      </c>
      <c r="AQ262" t="s">
        <v>2541</v>
      </c>
      <c r="AR262" t="s">
        <v>2542</v>
      </c>
      <c r="AS262" t="s">
        <v>2543</v>
      </c>
    </row>
    <row r="263" spans="1:45" x14ac:dyDescent="0.45">
      <c r="A263">
        <v>262</v>
      </c>
      <c r="B263">
        <v>12606</v>
      </c>
      <c r="C263" t="s">
        <v>78</v>
      </c>
      <c r="D263" t="s">
        <v>73</v>
      </c>
      <c r="E263" t="s">
        <v>74</v>
      </c>
      <c r="F263" t="s">
        <v>77</v>
      </c>
      <c r="G263" t="s">
        <v>76</v>
      </c>
      <c r="H263">
        <v>48.343753354470955</v>
      </c>
      <c r="I263">
        <v>4</v>
      </c>
      <c r="J263">
        <v>8</v>
      </c>
      <c r="K263">
        <v>9</v>
      </c>
      <c r="L263">
        <v>-1</v>
      </c>
      <c r="M263">
        <v>9</v>
      </c>
      <c r="N263">
        <v>9</v>
      </c>
      <c r="O263">
        <v>0</v>
      </c>
      <c r="P263">
        <v>7</v>
      </c>
      <c r="Q263">
        <v>8</v>
      </c>
      <c r="R263">
        <v>-1</v>
      </c>
      <c r="S263">
        <v>6</v>
      </c>
      <c r="T263">
        <v>9</v>
      </c>
      <c r="U263">
        <v>-3</v>
      </c>
      <c r="V263">
        <v>8</v>
      </c>
      <c r="W263">
        <v>8</v>
      </c>
      <c r="X263">
        <v>0</v>
      </c>
      <c r="Y263">
        <v>7</v>
      </c>
      <c r="Z263">
        <v>9</v>
      </c>
      <c r="AA263">
        <v>-2</v>
      </c>
      <c r="AB263">
        <v>8</v>
      </c>
      <c r="AC263">
        <v>9</v>
      </c>
      <c r="AD263">
        <v>-1</v>
      </c>
      <c r="AE263">
        <v>7</v>
      </c>
      <c r="AF263">
        <v>8</v>
      </c>
      <c r="AG263">
        <v>-1</v>
      </c>
      <c r="AH263">
        <v>8</v>
      </c>
      <c r="AI263">
        <v>8</v>
      </c>
      <c r="AJ263">
        <v>0</v>
      </c>
      <c r="AK263" t="s">
        <v>2544</v>
      </c>
      <c r="AL263" t="s">
        <v>2545</v>
      </c>
      <c r="AM263" t="s">
        <v>2546</v>
      </c>
      <c r="AN263" t="s">
        <v>2547</v>
      </c>
      <c r="AO263" t="s">
        <v>2548</v>
      </c>
      <c r="AP263" t="s">
        <v>2549</v>
      </c>
      <c r="AQ263" t="s">
        <v>2550</v>
      </c>
      <c r="AR263" t="s">
        <v>2551</v>
      </c>
      <c r="AS263" t="s">
        <v>2552</v>
      </c>
    </row>
    <row r="264" spans="1:45" x14ac:dyDescent="0.45">
      <c r="A264">
        <v>263</v>
      </c>
      <c r="B264">
        <v>12607</v>
      </c>
      <c r="C264" t="s">
        <v>78</v>
      </c>
      <c r="D264" t="s">
        <v>73</v>
      </c>
      <c r="E264" t="s">
        <v>74</v>
      </c>
      <c r="F264" t="s">
        <v>75</v>
      </c>
      <c r="G264" t="s">
        <v>76</v>
      </c>
      <c r="H264">
        <v>96.582099489997503</v>
      </c>
      <c r="I264">
        <v>3</v>
      </c>
      <c r="J264">
        <v>7</v>
      </c>
      <c r="K264">
        <v>8</v>
      </c>
      <c r="L264">
        <v>-1</v>
      </c>
      <c r="M264">
        <v>8</v>
      </c>
      <c r="N264">
        <v>8</v>
      </c>
      <c r="O264">
        <v>0</v>
      </c>
      <c r="P264">
        <v>9</v>
      </c>
      <c r="Q264">
        <v>5</v>
      </c>
      <c r="R264">
        <v>4</v>
      </c>
      <c r="S264">
        <v>6</v>
      </c>
      <c r="T264">
        <v>7</v>
      </c>
      <c r="U264">
        <v>-1</v>
      </c>
      <c r="V264">
        <v>7</v>
      </c>
      <c r="W264">
        <v>7</v>
      </c>
      <c r="X264">
        <v>0</v>
      </c>
      <c r="Y264">
        <v>6</v>
      </c>
      <c r="Z264">
        <v>5</v>
      </c>
      <c r="AA264">
        <v>1</v>
      </c>
      <c r="AB264">
        <v>8</v>
      </c>
      <c r="AC264">
        <v>5</v>
      </c>
      <c r="AD264">
        <v>3</v>
      </c>
      <c r="AE264">
        <v>7</v>
      </c>
      <c r="AF264">
        <v>6</v>
      </c>
      <c r="AG264">
        <v>1</v>
      </c>
      <c r="AH264">
        <v>5</v>
      </c>
      <c r="AI264">
        <v>6</v>
      </c>
      <c r="AJ264">
        <v>-1</v>
      </c>
      <c r="AK264" t="s">
        <v>2553</v>
      </c>
      <c r="AL264" t="s">
        <v>2554</v>
      </c>
      <c r="AM264" t="s">
        <v>2555</v>
      </c>
      <c r="AN264" t="s">
        <v>2556</v>
      </c>
      <c r="AO264" t="s">
        <v>2557</v>
      </c>
      <c r="AP264" t="s">
        <v>2558</v>
      </c>
      <c r="AQ264" t="s">
        <v>2559</v>
      </c>
      <c r="AR264" t="s">
        <v>2560</v>
      </c>
      <c r="AS264" t="s">
        <v>2561</v>
      </c>
    </row>
    <row r="265" spans="1:45" x14ac:dyDescent="0.45">
      <c r="A265">
        <v>264</v>
      </c>
      <c r="B265">
        <v>12608</v>
      </c>
      <c r="C265" t="s">
        <v>78</v>
      </c>
      <c r="D265" t="s">
        <v>79</v>
      </c>
      <c r="E265" t="s">
        <v>74</v>
      </c>
      <c r="F265" t="s">
        <v>75</v>
      </c>
      <c r="G265" t="s">
        <v>76</v>
      </c>
      <c r="H265">
        <v>192.82303663729419</v>
      </c>
      <c r="I265">
        <v>3</v>
      </c>
      <c r="J265">
        <v>7</v>
      </c>
      <c r="K265">
        <v>7</v>
      </c>
      <c r="L265">
        <v>0</v>
      </c>
      <c r="M265">
        <v>6</v>
      </c>
      <c r="N265">
        <v>7</v>
      </c>
      <c r="O265">
        <v>-1</v>
      </c>
      <c r="P265">
        <v>8</v>
      </c>
      <c r="Q265">
        <v>7</v>
      </c>
      <c r="R265">
        <v>1</v>
      </c>
      <c r="S265">
        <v>9</v>
      </c>
      <c r="T265">
        <v>8</v>
      </c>
      <c r="U265">
        <v>1</v>
      </c>
      <c r="V265">
        <v>5</v>
      </c>
      <c r="W265">
        <v>7</v>
      </c>
      <c r="X265">
        <v>-2</v>
      </c>
      <c r="Y265">
        <v>8</v>
      </c>
      <c r="Z265">
        <v>7</v>
      </c>
      <c r="AA265">
        <v>1</v>
      </c>
      <c r="AB265">
        <v>7</v>
      </c>
      <c r="AC265">
        <v>7</v>
      </c>
      <c r="AD265">
        <v>0</v>
      </c>
      <c r="AE265">
        <v>6</v>
      </c>
      <c r="AF265">
        <v>7</v>
      </c>
      <c r="AG265">
        <v>-1</v>
      </c>
      <c r="AH265">
        <v>8</v>
      </c>
      <c r="AI265">
        <v>7</v>
      </c>
      <c r="AJ265">
        <v>1</v>
      </c>
      <c r="AK265" t="s">
        <v>2562</v>
      </c>
      <c r="AL265" t="s">
        <v>2563</v>
      </c>
      <c r="AM265" t="s">
        <v>2564</v>
      </c>
      <c r="AN265" t="s">
        <v>2565</v>
      </c>
      <c r="AO265" t="s">
        <v>2566</v>
      </c>
      <c r="AP265" t="s">
        <v>2567</v>
      </c>
      <c r="AQ265" t="s">
        <v>2568</v>
      </c>
      <c r="AR265" t="s">
        <v>2569</v>
      </c>
      <c r="AS265" t="s">
        <v>2570</v>
      </c>
    </row>
    <row r="266" spans="1:45" x14ac:dyDescent="0.45">
      <c r="A266">
        <v>265</v>
      </c>
      <c r="B266">
        <v>12609</v>
      </c>
      <c r="C266" t="s">
        <v>72</v>
      </c>
      <c r="D266" t="s">
        <v>73</v>
      </c>
      <c r="E266" t="s">
        <v>74</v>
      </c>
      <c r="F266" t="s">
        <v>77</v>
      </c>
      <c r="G266" t="s">
        <v>76</v>
      </c>
      <c r="H266">
        <v>27.961883857566292</v>
      </c>
      <c r="I266">
        <v>0</v>
      </c>
      <c r="J266">
        <v>5</v>
      </c>
      <c r="K266">
        <v>6</v>
      </c>
      <c r="L266">
        <v>-1</v>
      </c>
      <c r="M266">
        <v>6</v>
      </c>
      <c r="N266">
        <v>5</v>
      </c>
      <c r="O266">
        <v>1</v>
      </c>
      <c r="P266">
        <v>8</v>
      </c>
      <c r="Q266">
        <v>5</v>
      </c>
      <c r="R266">
        <v>3</v>
      </c>
      <c r="S266">
        <v>9</v>
      </c>
      <c r="T266">
        <v>7</v>
      </c>
      <c r="U266">
        <v>2</v>
      </c>
      <c r="V266">
        <v>7</v>
      </c>
      <c r="W266">
        <v>6</v>
      </c>
      <c r="X266">
        <v>1</v>
      </c>
      <c r="Y266">
        <v>8</v>
      </c>
      <c r="Z266">
        <v>7</v>
      </c>
      <c r="AA266">
        <v>1</v>
      </c>
      <c r="AB266">
        <v>7</v>
      </c>
      <c r="AC266">
        <v>5</v>
      </c>
      <c r="AD266">
        <v>2</v>
      </c>
      <c r="AE266">
        <v>6</v>
      </c>
      <c r="AF266">
        <v>6</v>
      </c>
      <c r="AG266">
        <v>0</v>
      </c>
      <c r="AH266">
        <v>7</v>
      </c>
      <c r="AI266">
        <v>6</v>
      </c>
      <c r="AJ266">
        <v>1</v>
      </c>
      <c r="AK266" t="s">
        <v>2571</v>
      </c>
      <c r="AL266" t="s">
        <v>2572</v>
      </c>
      <c r="AM266" t="s">
        <v>219</v>
      </c>
      <c r="AN266" t="s">
        <v>2573</v>
      </c>
      <c r="AO266" t="s">
        <v>2574</v>
      </c>
      <c r="AP266" t="s">
        <v>2575</v>
      </c>
      <c r="AQ266" t="s">
        <v>2576</v>
      </c>
      <c r="AR266" t="s">
        <v>2577</v>
      </c>
      <c r="AS266" t="s">
        <v>2578</v>
      </c>
    </row>
    <row r="267" spans="1:45" x14ac:dyDescent="0.45">
      <c r="A267">
        <v>266</v>
      </c>
      <c r="B267">
        <v>12610</v>
      </c>
      <c r="C267" t="s">
        <v>72</v>
      </c>
      <c r="D267" t="s">
        <v>190</v>
      </c>
      <c r="E267" t="s">
        <v>74</v>
      </c>
      <c r="F267" t="s">
        <v>77</v>
      </c>
      <c r="G267" t="s">
        <v>76</v>
      </c>
      <c r="H267">
        <v>48.07318258724181</v>
      </c>
      <c r="I267">
        <v>3</v>
      </c>
      <c r="J267">
        <v>8</v>
      </c>
      <c r="K267">
        <v>7</v>
      </c>
      <c r="L267">
        <v>1</v>
      </c>
      <c r="M267">
        <v>9</v>
      </c>
      <c r="N267">
        <v>6</v>
      </c>
      <c r="O267">
        <v>3</v>
      </c>
      <c r="P267">
        <v>7</v>
      </c>
      <c r="Q267">
        <v>6</v>
      </c>
      <c r="R267">
        <v>1</v>
      </c>
      <c r="S267">
        <v>8</v>
      </c>
      <c r="T267">
        <v>6</v>
      </c>
      <c r="U267">
        <v>2</v>
      </c>
      <c r="V267">
        <v>7</v>
      </c>
      <c r="W267">
        <v>7</v>
      </c>
      <c r="X267">
        <v>0</v>
      </c>
      <c r="Y267">
        <v>6</v>
      </c>
      <c r="Z267">
        <v>7</v>
      </c>
      <c r="AA267">
        <v>-1</v>
      </c>
      <c r="AB267">
        <v>7</v>
      </c>
      <c r="AC267">
        <v>7</v>
      </c>
      <c r="AD267">
        <v>0</v>
      </c>
      <c r="AE267">
        <v>6</v>
      </c>
      <c r="AF267">
        <v>7</v>
      </c>
      <c r="AG267">
        <v>-1</v>
      </c>
      <c r="AH267">
        <v>7</v>
      </c>
      <c r="AI267">
        <v>7</v>
      </c>
      <c r="AJ267">
        <v>0</v>
      </c>
      <c r="AK267" t="s">
        <v>2579</v>
      </c>
      <c r="AL267" t="s">
        <v>2580</v>
      </c>
      <c r="AM267" t="s">
        <v>2581</v>
      </c>
      <c r="AN267" t="s">
        <v>2582</v>
      </c>
      <c r="AO267" t="s">
        <v>2583</v>
      </c>
      <c r="AP267" t="s">
        <v>2584</v>
      </c>
      <c r="AQ267" t="s">
        <v>2585</v>
      </c>
      <c r="AR267" t="s">
        <v>2586</v>
      </c>
      <c r="AS267" t="s">
        <v>2587</v>
      </c>
    </row>
    <row r="268" spans="1:45" x14ac:dyDescent="0.45">
      <c r="A268">
        <v>267</v>
      </c>
      <c r="B268">
        <v>12611</v>
      </c>
      <c r="C268" t="s">
        <v>78</v>
      </c>
      <c r="D268" t="s">
        <v>79</v>
      </c>
      <c r="E268" t="s">
        <v>74</v>
      </c>
      <c r="F268" t="s">
        <v>75</v>
      </c>
      <c r="G268" t="s">
        <v>76</v>
      </c>
      <c r="H268">
        <v>52.976593671361009</v>
      </c>
      <c r="I268">
        <v>2</v>
      </c>
      <c r="J268">
        <v>7</v>
      </c>
      <c r="K268">
        <v>6</v>
      </c>
      <c r="L268">
        <v>1</v>
      </c>
      <c r="M268">
        <v>8</v>
      </c>
      <c r="N268">
        <v>7</v>
      </c>
      <c r="O268">
        <v>1</v>
      </c>
      <c r="P268">
        <v>6</v>
      </c>
      <c r="Q268">
        <v>7</v>
      </c>
      <c r="R268">
        <v>-1</v>
      </c>
      <c r="S268">
        <v>9</v>
      </c>
      <c r="T268">
        <v>6</v>
      </c>
      <c r="U268">
        <v>3</v>
      </c>
      <c r="V268">
        <v>7</v>
      </c>
      <c r="W268">
        <v>6</v>
      </c>
      <c r="X268">
        <v>1</v>
      </c>
      <c r="Y268">
        <v>8</v>
      </c>
      <c r="Z268">
        <v>6</v>
      </c>
      <c r="AA268">
        <v>2</v>
      </c>
      <c r="AB268">
        <v>6</v>
      </c>
      <c r="AC268">
        <v>6</v>
      </c>
      <c r="AD268">
        <v>0</v>
      </c>
      <c r="AE268">
        <v>7</v>
      </c>
      <c r="AF268">
        <v>7</v>
      </c>
      <c r="AG268">
        <v>0</v>
      </c>
      <c r="AH268">
        <v>9</v>
      </c>
      <c r="AI268">
        <v>7</v>
      </c>
      <c r="AJ268">
        <v>2</v>
      </c>
      <c r="AK268" t="s">
        <v>2588</v>
      </c>
      <c r="AL268" t="s">
        <v>2589</v>
      </c>
      <c r="AM268" t="s">
        <v>2590</v>
      </c>
      <c r="AN268" t="s">
        <v>2591</v>
      </c>
      <c r="AO268" t="s">
        <v>2592</v>
      </c>
      <c r="AP268" t="s">
        <v>2593</v>
      </c>
      <c r="AQ268" t="s">
        <v>2594</v>
      </c>
      <c r="AR268" t="s">
        <v>2595</v>
      </c>
      <c r="AS268" t="s">
        <v>2596</v>
      </c>
    </row>
    <row r="269" spans="1:45" x14ac:dyDescent="0.45">
      <c r="A269">
        <v>268</v>
      </c>
      <c r="B269">
        <v>12612</v>
      </c>
      <c r="C269" t="s">
        <v>72</v>
      </c>
      <c r="D269" t="s">
        <v>81</v>
      </c>
      <c r="E269" t="s">
        <v>74</v>
      </c>
      <c r="F269" t="s">
        <v>77</v>
      </c>
      <c r="G269" t="s">
        <v>76</v>
      </c>
      <c r="H269">
        <v>23.51261243360954</v>
      </c>
      <c r="I269">
        <v>2</v>
      </c>
      <c r="J269">
        <v>8</v>
      </c>
      <c r="K269">
        <v>7</v>
      </c>
      <c r="L269">
        <v>1</v>
      </c>
      <c r="M269">
        <v>9</v>
      </c>
      <c r="N269">
        <v>7</v>
      </c>
      <c r="O269">
        <v>2</v>
      </c>
      <c r="P269">
        <v>7</v>
      </c>
      <c r="Q269">
        <v>2</v>
      </c>
      <c r="R269">
        <v>5</v>
      </c>
      <c r="S269">
        <v>8</v>
      </c>
      <c r="T269">
        <v>7</v>
      </c>
      <c r="U269">
        <v>1</v>
      </c>
      <c r="V269">
        <v>7</v>
      </c>
      <c r="W269">
        <v>7</v>
      </c>
      <c r="X269">
        <v>0</v>
      </c>
      <c r="Y269">
        <v>6</v>
      </c>
      <c r="Z269">
        <v>7</v>
      </c>
      <c r="AA269">
        <v>-1</v>
      </c>
      <c r="AB269">
        <v>5</v>
      </c>
      <c r="AC269">
        <v>7</v>
      </c>
      <c r="AD269">
        <v>-2</v>
      </c>
      <c r="AE269">
        <v>4</v>
      </c>
      <c r="AF269">
        <v>7</v>
      </c>
      <c r="AG269">
        <v>-3</v>
      </c>
      <c r="AH269">
        <v>7</v>
      </c>
      <c r="AI269">
        <v>7</v>
      </c>
      <c r="AJ269">
        <v>0</v>
      </c>
      <c r="AK269" t="s">
        <v>2597</v>
      </c>
      <c r="AL269" t="s">
        <v>2598</v>
      </c>
      <c r="AM269" t="s">
        <v>2599</v>
      </c>
      <c r="AN269" t="s">
        <v>2600</v>
      </c>
      <c r="AO269" t="s">
        <v>2601</v>
      </c>
      <c r="AP269" t="s">
        <v>2602</v>
      </c>
      <c r="AQ269" t="s">
        <v>2603</v>
      </c>
      <c r="AR269" t="s">
        <v>2604</v>
      </c>
      <c r="AS269" t="s">
        <v>2605</v>
      </c>
    </row>
    <row r="270" spans="1:45" x14ac:dyDescent="0.45">
      <c r="A270">
        <v>269</v>
      </c>
      <c r="B270">
        <v>12613</v>
      </c>
      <c r="C270" t="s">
        <v>78</v>
      </c>
      <c r="D270" t="s">
        <v>79</v>
      </c>
      <c r="E270" t="s">
        <v>74</v>
      </c>
      <c r="F270" t="s">
        <v>75</v>
      </c>
      <c r="G270" t="s">
        <v>76</v>
      </c>
      <c r="H270">
        <v>91.108376806043836</v>
      </c>
      <c r="I270">
        <v>4</v>
      </c>
      <c r="J270">
        <v>7</v>
      </c>
      <c r="K270">
        <v>4</v>
      </c>
      <c r="L270">
        <v>3</v>
      </c>
      <c r="M270">
        <v>6</v>
      </c>
      <c r="N270">
        <v>5</v>
      </c>
      <c r="O270">
        <v>1</v>
      </c>
      <c r="P270">
        <v>8</v>
      </c>
      <c r="Q270">
        <v>2</v>
      </c>
      <c r="R270">
        <v>6</v>
      </c>
      <c r="S270">
        <v>7</v>
      </c>
      <c r="T270">
        <v>6</v>
      </c>
      <c r="U270">
        <v>1</v>
      </c>
      <c r="V270">
        <v>6</v>
      </c>
      <c r="W270">
        <v>3</v>
      </c>
      <c r="X270">
        <v>3</v>
      </c>
      <c r="Y270">
        <v>5</v>
      </c>
      <c r="Z270">
        <v>3</v>
      </c>
      <c r="AA270">
        <v>2</v>
      </c>
      <c r="AB270">
        <v>4</v>
      </c>
      <c r="AC270">
        <v>1</v>
      </c>
      <c r="AD270">
        <v>3</v>
      </c>
      <c r="AE270">
        <v>5</v>
      </c>
      <c r="AF270">
        <v>3</v>
      </c>
      <c r="AG270">
        <v>2</v>
      </c>
      <c r="AH270">
        <v>6</v>
      </c>
      <c r="AI270">
        <v>1</v>
      </c>
      <c r="AJ270">
        <v>5</v>
      </c>
      <c r="AK270" t="s">
        <v>2606</v>
      </c>
      <c r="AL270" t="s">
        <v>2607</v>
      </c>
      <c r="AM270" t="s">
        <v>2608</v>
      </c>
      <c r="AN270" t="s">
        <v>2609</v>
      </c>
      <c r="AO270" t="s">
        <v>2610</v>
      </c>
      <c r="AP270" t="s">
        <v>2611</v>
      </c>
      <c r="AQ270" t="s">
        <v>2612</v>
      </c>
      <c r="AR270" t="s">
        <v>2613</v>
      </c>
      <c r="AS270" t="s">
        <v>2614</v>
      </c>
    </row>
    <row r="271" spans="1:45" x14ac:dyDescent="0.45">
      <c r="A271">
        <v>270</v>
      </c>
      <c r="B271">
        <v>12614</v>
      </c>
      <c r="C271" t="s">
        <v>72</v>
      </c>
      <c r="D271" t="s">
        <v>73</v>
      </c>
      <c r="E271" t="s">
        <v>74</v>
      </c>
      <c r="F271" t="s">
        <v>75</v>
      </c>
      <c r="G271" t="s">
        <v>161</v>
      </c>
      <c r="H271">
        <v>63.755473832752344</v>
      </c>
      <c r="I271">
        <v>0</v>
      </c>
      <c r="J271">
        <v>8</v>
      </c>
      <c r="K271">
        <v>8</v>
      </c>
      <c r="L271">
        <v>0</v>
      </c>
      <c r="M271">
        <v>7</v>
      </c>
      <c r="N271">
        <v>8</v>
      </c>
      <c r="O271">
        <v>-1</v>
      </c>
      <c r="P271">
        <v>9</v>
      </c>
      <c r="Q271">
        <v>3</v>
      </c>
      <c r="R271">
        <v>6</v>
      </c>
      <c r="S271">
        <v>8</v>
      </c>
      <c r="T271">
        <v>8</v>
      </c>
      <c r="U271">
        <v>0</v>
      </c>
      <c r="V271">
        <v>7</v>
      </c>
      <c r="W271">
        <v>3</v>
      </c>
      <c r="X271">
        <v>4</v>
      </c>
      <c r="Y271">
        <v>6</v>
      </c>
      <c r="Z271">
        <v>1</v>
      </c>
      <c r="AA271">
        <v>5</v>
      </c>
      <c r="AB271">
        <v>5</v>
      </c>
      <c r="AC271">
        <v>8</v>
      </c>
      <c r="AD271">
        <v>-3</v>
      </c>
      <c r="AE271">
        <v>6</v>
      </c>
      <c r="AF271">
        <v>6</v>
      </c>
      <c r="AG271">
        <v>0</v>
      </c>
      <c r="AH271">
        <v>7</v>
      </c>
      <c r="AI271">
        <v>7</v>
      </c>
      <c r="AJ271">
        <v>0</v>
      </c>
      <c r="AK271" t="s">
        <v>2615</v>
      </c>
      <c r="AL271" t="s">
        <v>2616</v>
      </c>
      <c r="AM271" t="s">
        <v>2617</v>
      </c>
      <c r="AN271" t="s">
        <v>2618</v>
      </c>
      <c r="AO271" t="s">
        <v>2619</v>
      </c>
      <c r="AP271" t="s">
        <v>2620</v>
      </c>
      <c r="AQ271" t="s">
        <v>2621</v>
      </c>
      <c r="AR271" t="s">
        <v>2622</v>
      </c>
      <c r="AS271" t="s">
        <v>2623</v>
      </c>
    </row>
    <row r="272" spans="1:45" x14ac:dyDescent="0.45">
      <c r="A272">
        <v>271</v>
      </c>
      <c r="B272">
        <v>12615</v>
      </c>
      <c r="C272" t="s">
        <v>72</v>
      </c>
      <c r="D272" t="s">
        <v>73</v>
      </c>
      <c r="E272" t="s">
        <v>74</v>
      </c>
      <c r="F272" t="s">
        <v>75</v>
      </c>
      <c r="G272" t="s">
        <v>76</v>
      </c>
      <c r="H272">
        <v>66.966987427494431</v>
      </c>
      <c r="I272">
        <v>2</v>
      </c>
      <c r="J272">
        <v>7</v>
      </c>
      <c r="K272">
        <v>7</v>
      </c>
      <c r="L272">
        <v>0</v>
      </c>
      <c r="M272">
        <v>8</v>
      </c>
      <c r="N272">
        <v>7</v>
      </c>
      <c r="O272">
        <v>1</v>
      </c>
      <c r="P272">
        <v>9</v>
      </c>
      <c r="Q272">
        <v>4</v>
      </c>
      <c r="R272">
        <v>5</v>
      </c>
      <c r="S272">
        <v>8</v>
      </c>
      <c r="T272">
        <v>7</v>
      </c>
      <c r="U272">
        <v>1</v>
      </c>
      <c r="V272">
        <v>7</v>
      </c>
      <c r="W272">
        <v>7</v>
      </c>
      <c r="X272">
        <v>0</v>
      </c>
      <c r="Y272">
        <v>8</v>
      </c>
      <c r="Z272">
        <v>6</v>
      </c>
      <c r="AA272">
        <v>2</v>
      </c>
      <c r="AB272">
        <v>6</v>
      </c>
      <c r="AC272">
        <v>5</v>
      </c>
      <c r="AD272">
        <v>1</v>
      </c>
      <c r="AE272">
        <v>7</v>
      </c>
      <c r="AF272">
        <v>7</v>
      </c>
      <c r="AG272">
        <v>0</v>
      </c>
      <c r="AH272">
        <v>8</v>
      </c>
      <c r="AI272">
        <v>6</v>
      </c>
      <c r="AJ272">
        <v>2</v>
      </c>
      <c r="AK272" t="s">
        <v>2624</v>
      </c>
      <c r="AL272" t="s">
        <v>2625</v>
      </c>
      <c r="AM272" t="s">
        <v>2626</v>
      </c>
      <c r="AN272" t="s">
        <v>2627</v>
      </c>
      <c r="AO272" t="s">
        <v>2628</v>
      </c>
      <c r="AP272" t="s">
        <v>2629</v>
      </c>
      <c r="AQ272" t="s">
        <v>2630</v>
      </c>
      <c r="AR272" t="s">
        <v>2631</v>
      </c>
      <c r="AS272" t="s">
        <v>2632</v>
      </c>
    </row>
    <row r="273" spans="1:45" x14ac:dyDescent="0.45">
      <c r="A273">
        <v>272</v>
      </c>
      <c r="B273">
        <v>12616</v>
      </c>
      <c r="C273" t="s">
        <v>78</v>
      </c>
      <c r="D273" t="s">
        <v>73</v>
      </c>
      <c r="E273" t="s">
        <v>74</v>
      </c>
      <c r="F273" t="s">
        <v>77</v>
      </c>
      <c r="G273" t="s">
        <v>76</v>
      </c>
      <c r="H273">
        <v>45.135285224602534</v>
      </c>
      <c r="I273">
        <v>1</v>
      </c>
      <c r="J273">
        <v>6</v>
      </c>
      <c r="K273">
        <v>7</v>
      </c>
      <c r="L273">
        <v>-1</v>
      </c>
      <c r="M273">
        <v>7</v>
      </c>
      <c r="N273">
        <v>8</v>
      </c>
      <c r="O273">
        <v>-1</v>
      </c>
      <c r="P273">
        <v>8</v>
      </c>
      <c r="Q273">
        <v>2</v>
      </c>
      <c r="R273">
        <v>6</v>
      </c>
      <c r="S273">
        <v>7</v>
      </c>
      <c r="T273">
        <v>6</v>
      </c>
      <c r="U273">
        <v>1</v>
      </c>
      <c r="V273">
        <v>8</v>
      </c>
      <c r="W273">
        <v>6</v>
      </c>
      <c r="X273">
        <v>2</v>
      </c>
      <c r="Y273">
        <v>6</v>
      </c>
      <c r="Z273">
        <v>6</v>
      </c>
      <c r="AA273">
        <v>0</v>
      </c>
      <c r="AB273">
        <v>7</v>
      </c>
      <c r="AC273">
        <v>5</v>
      </c>
      <c r="AD273">
        <v>2</v>
      </c>
      <c r="AE273">
        <v>5</v>
      </c>
      <c r="AF273">
        <v>5</v>
      </c>
      <c r="AG273">
        <v>0</v>
      </c>
      <c r="AH273">
        <v>6</v>
      </c>
      <c r="AI273">
        <v>6</v>
      </c>
      <c r="AJ273">
        <v>0</v>
      </c>
      <c r="AK273" t="s">
        <v>2633</v>
      </c>
      <c r="AL273" t="s">
        <v>2634</v>
      </c>
      <c r="AM273" t="s">
        <v>2635</v>
      </c>
      <c r="AN273" t="s">
        <v>2636</v>
      </c>
      <c r="AO273" t="s">
        <v>2637</v>
      </c>
      <c r="AP273" t="s">
        <v>2638</v>
      </c>
      <c r="AQ273" t="s">
        <v>2639</v>
      </c>
      <c r="AR273" t="s">
        <v>2640</v>
      </c>
      <c r="AS273" t="s">
        <v>2641</v>
      </c>
    </row>
    <row r="274" spans="1:45" x14ac:dyDescent="0.45">
      <c r="A274">
        <v>273</v>
      </c>
      <c r="B274">
        <v>12617</v>
      </c>
      <c r="C274" t="s">
        <v>72</v>
      </c>
      <c r="D274" t="s">
        <v>190</v>
      </c>
      <c r="E274" t="s">
        <v>74</v>
      </c>
      <c r="F274" t="s">
        <v>75</v>
      </c>
      <c r="G274" t="s">
        <v>76</v>
      </c>
      <c r="H274">
        <v>94.51187685135308</v>
      </c>
      <c r="I274">
        <v>4</v>
      </c>
      <c r="J274">
        <v>7</v>
      </c>
      <c r="K274">
        <v>3</v>
      </c>
      <c r="L274">
        <v>4</v>
      </c>
      <c r="M274">
        <v>6</v>
      </c>
      <c r="N274">
        <v>3</v>
      </c>
      <c r="O274">
        <v>3</v>
      </c>
      <c r="P274">
        <v>8</v>
      </c>
      <c r="Q274">
        <v>1</v>
      </c>
      <c r="R274">
        <v>7</v>
      </c>
      <c r="S274">
        <v>9</v>
      </c>
      <c r="T274">
        <v>6</v>
      </c>
      <c r="U274">
        <v>3</v>
      </c>
      <c r="V274">
        <v>8</v>
      </c>
      <c r="W274">
        <v>1</v>
      </c>
      <c r="X274">
        <v>7</v>
      </c>
      <c r="Y274">
        <v>7</v>
      </c>
      <c r="Z274">
        <v>1</v>
      </c>
      <c r="AA274">
        <v>6</v>
      </c>
      <c r="AB274">
        <v>8</v>
      </c>
      <c r="AC274">
        <v>1</v>
      </c>
      <c r="AD274">
        <v>7</v>
      </c>
      <c r="AE274">
        <v>5</v>
      </c>
      <c r="AF274">
        <v>1</v>
      </c>
      <c r="AG274">
        <v>4</v>
      </c>
      <c r="AH274">
        <v>7</v>
      </c>
      <c r="AI274">
        <v>1</v>
      </c>
      <c r="AJ274">
        <v>6</v>
      </c>
      <c r="AK274" t="s">
        <v>2642</v>
      </c>
      <c r="AL274" t="s">
        <v>2643</v>
      </c>
      <c r="AM274" t="s">
        <v>2644</v>
      </c>
      <c r="AN274" t="s">
        <v>2645</v>
      </c>
      <c r="AO274" t="s">
        <v>2646</v>
      </c>
      <c r="AP274" t="s">
        <v>2647</v>
      </c>
      <c r="AQ274" t="s">
        <v>2648</v>
      </c>
      <c r="AR274" t="s">
        <v>2649</v>
      </c>
      <c r="AS274" t="s">
        <v>2650</v>
      </c>
    </row>
    <row r="275" spans="1:45" x14ac:dyDescent="0.45">
      <c r="A275">
        <v>274</v>
      </c>
      <c r="B275">
        <v>12618</v>
      </c>
      <c r="C275" t="s">
        <v>72</v>
      </c>
      <c r="D275" t="s">
        <v>73</v>
      </c>
      <c r="E275" t="s">
        <v>74</v>
      </c>
      <c r="F275" t="s">
        <v>77</v>
      </c>
      <c r="G275" t="s">
        <v>76</v>
      </c>
      <c r="H275">
        <v>65.316219846220875</v>
      </c>
      <c r="I275">
        <v>2</v>
      </c>
      <c r="J275">
        <v>7</v>
      </c>
      <c r="K275">
        <v>6</v>
      </c>
      <c r="L275">
        <v>1</v>
      </c>
      <c r="M275">
        <v>6</v>
      </c>
      <c r="N275">
        <v>6</v>
      </c>
      <c r="O275">
        <v>0</v>
      </c>
      <c r="P275">
        <v>8</v>
      </c>
      <c r="Q275">
        <v>5</v>
      </c>
      <c r="R275">
        <v>3</v>
      </c>
      <c r="S275">
        <v>9</v>
      </c>
      <c r="T275">
        <v>6</v>
      </c>
      <c r="U275">
        <v>3</v>
      </c>
      <c r="V275">
        <v>6</v>
      </c>
      <c r="W275">
        <v>6</v>
      </c>
      <c r="X275">
        <v>0</v>
      </c>
      <c r="Y275">
        <v>7</v>
      </c>
      <c r="Z275">
        <v>6</v>
      </c>
      <c r="AA275">
        <v>1</v>
      </c>
      <c r="AB275">
        <v>6</v>
      </c>
      <c r="AC275">
        <v>6</v>
      </c>
      <c r="AD275">
        <v>0</v>
      </c>
      <c r="AE275">
        <v>5</v>
      </c>
      <c r="AF275">
        <v>6</v>
      </c>
      <c r="AG275">
        <v>-1</v>
      </c>
      <c r="AH275">
        <v>6</v>
      </c>
      <c r="AI275">
        <v>6</v>
      </c>
      <c r="AJ275">
        <v>0</v>
      </c>
      <c r="AK275" t="s">
        <v>2651</v>
      </c>
      <c r="AL275" t="s">
        <v>2652</v>
      </c>
      <c r="AM275" t="s">
        <v>2653</v>
      </c>
      <c r="AN275" t="s">
        <v>2654</v>
      </c>
      <c r="AO275" t="s">
        <v>2655</v>
      </c>
      <c r="AP275" t="s">
        <v>2656</v>
      </c>
      <c r="AQ275" t="s">
        <v>2657</v>
      </c>
      <c r="AR275" t="s">
        <v>2658</v>
      </c>
      <c r="AS275" t="s">
        <v>2659</v>
      </c>
    </row>
    <row r="276" spans="1:45" x14ac:dyDescent="0.45">
      <c r="A276">
        <v>275</v>
      </c>
      <c r="B276">
        <v>12619</v>
      </c>
      <c r="C276" t="s">
        <v>72</v>
      </c>
      <c r="D276" t="s">
        <v>79</v>
      </c>
      <c r="E276" t="s">
        <v>74</v>
      </c>
      <c r="F276" t="s">
        <v>75</v>
      </c>
      <c r="G276" t="s">
        <v>76</v>
      </c>
      <c r="H276">
        <v>61.039403417158866</v>
      </c>
      <c r="I276">
        <v>2</v>
      </c>
      <c r="J276">
        <v>7</v>
      </c>
      <c r="K276">
        <v>8</v>
      </c>
      <c r="L276">
        <v>-1</v>
      </c>
      <c r="M276">
        <v>8</v>
      </c>
      <c r="N276">
        <v>9</v>
      </c>
      <c r="O276">
        <v>-1</v>
      </c>
      <c r="P276">
        <v>9</v>
      </c>
      <c r="Q276">
        <v>5</v>
      </c>
      <c r="R276">
        <v>4</v>
      </c>
      <c r="S276">
        <v>8</v>
      </c>
      <c r="T276">
        <v>7</v>
      </c>
      <c r="U276">
        <v>1</v>
      </c>
      <c r="V276">
        <v>7</v>
      </c>
      <c r="W276">
        <v>6</v>
      </c>
      <c r="X276">
        <v>1</v>
      </c>
      <c r="Y276">
        <v>6</v>
      </c>
      <c r="Z276">
        <v>7</v>
      </c>
      <c r="AA276">
        <v>-1</v>
      </c>
      <c r="AB276">
        <v>7</v>
      </c>
      <c r="AC276">
        <v>7</v>
      </c>
      <c r="AD276">
        <v>0</v>
      </c>
      <c r="AE276">
        <v>6</v>
      </c>
      <c r="AF276">
        <v>7</v>
      </c>
      <c r="AG276">
        <v>-1</v>
      </c>
      <c r="AH276">
        <v>7</v>
      </c>
      <c r="AI276">
        <v>7</v>
      </c>
      <c r="AJ276">
        <v>0</v>
      </c>
      <c r="AK276" t="s">
        <v>2660</v>
      </c>
      <c r="AL276" t="s">
        <v>2661</v>
      </c>
      <c r="AM276" t="s">
        <v>2662</v>
      </c>
      <c r="AN276" t="s">
        <v>2663</v>
      </c>
      <c r="AO276" t="s">
        <v>2664</v>
      </c>
      <c r="AP276" t="s">
        <v>2665</v>
      </c>
      <c r="AQ276" t="s">
        <v>2666</v>
      </c>
      <c r="AR276" t="s">
        <v>2667</v>
      </c>
      <c r="AS276" t="s">
        <v>2668</v>
      </c>
    </row>
    <row r="277" spans="1:45" x14ac:dyDescent="0.45">
      <c r="A277">
        <v>276</v>
      </c>
      <c r="B277">
        <v>12620</v>
      </c>
      <c r="C277" t="s">
        <v>78</v>
      </c>
      <c r="D277" t="s">
        <v>73</v>
      </c>
      <c r="E277" t="s">
        <v>74</v>
      </c>
      <c r="F277" t="s">
        <v>77</v>
      </c>
      <c r="G277" t="s">
        <v>76</v>
      </c>
      <c r="H277">
        <v>33.603736278304325</v>
      </c>
      <c r="I277">
        <v>1</v>
      </c>
      <c r="J277">
        <v>7</v>
      </c>
      <c r="K277">
        <v>6</v>
      </c>
      <c r="L277">
        <v>1</v>
      </c>
      <c r="M277">
        <v>8</v>
      </c>
      <c r="N277">
        <v>6</v>
      </c>
      <c r="O277">
        <v>2</v>
      </c>
      <c r="P277">
        <v>6</v>
      </c>
      <c r="Q277">
        <v>3</v>
      </c>
      <c r="R277">
        <v>3</v>
      </c>
      <c r="S277">
        <v>8</v>
      </c>
      <c r="T277">
        <v>7</v>
      </c>
      <c r="U277">
        <v>1</v>
      </c>
      <c r="V277">
        <v>7</v>
      </c>
      <c r="W277">
        <v>7</v>
      </c>
      <c r="X277">
        <v>0</v>
      </c>
      <c r="Y277">
        <v>8</v>
      </c>
      <c r="Z277">
        <v>7</v>
      </c>
      <c r="AA277">
        <v>1</v>
      </c>
      <c r="AB277">
        <v>7</v>
      </c>
      <c r="AC277">
        <v>5</v>
      </c>
      <c r="AD277">
        <v>2</v>
      </c>
      <c r="AE277">
        <v>6</v>
      </c>
      <c r="AF277">
        <v>7</v>
      </c>
      <c r="AG277">
        <v>-1</v>
      </c>
      <c r="AH277">
        <v>8</v>
      </c>
      <c r="AI277">
        <v>7</v>
      </c>
      <c r="AJ277">
        <v>1</v>
      </c>
      <c r="AK277" t="s">
        <v>2669</v>
      </c>
      <c r="AL277" t="s">
        <v>2670</v>
      </c>
      <c r="AM277" t="s">
        <v>2671</v>
      </c>
      <c r="AN277" t="s">
        <v>2672</v>
      </c>
      <c r="AO277" t="s">
        <v>2673</v>
      </c>
      <c r="AP277" t="s">
        <v>2674</v>
      </c>
      <c r="AQ277" t="s">
        <v>2675</v>
      </c>
      <c r="AR277" t="s">
        <v>2676</v>
      </c>
      <c r="AS277" t="s">
        <v>2677</v>
      </c>
    </row>
    <row r="278" spans="1:45" x14ac:dyDescent="0.45">
      <c r="A278">
        <v>277</v>
      </c>
      <c r="B278">
        <v>12621</v>
      </c>
      <c r="C278" t="s">
        <v>72</v>
      </c>
      <c r="D278" t="s">
        <v>79</v>
      </c>
      <c r="E278" t="s">
        <v>74</v>
      </c>
      <c r="F278" t="s">
        <v>77</v>
      </c>
      <c r="G278" t="s">
        <v>76</v>
      </c>
      <c r="H278">
        <v>78.750453674134562</v>
      </c>
      <c r="I278">
        <v>4</v>
      </c>
      <c r="J278">
        <v>7</v>
      </c>
      <c r="K278">
        <v>8</v>
      </c>
      <c r="L278">
        <v>-1</v>
      </c>
      <c r="M278">
        <v>8</v>
      </c>
      <c r="N278">
        <v>8</v>
      </c>
      <c r="O278">
        <v>0</v>
      </c>
      <c r="P278">
        <v>6</v>
      </c>
      <c r="Q278">
        <v>6</v>
      </c>
      <c r="R278">
        <v>0</v>
      </c>
      <c r="S278">
        <v>7</v>
      </c>
      <c r="T278">
        <v>7</v>
      </c>
      <c r="U278">
        <v>0</v>
      </c>
      <c r="V278">
        <v>8</v>
      </c>
      <c r="W278">
        <v>7</v>
      </c>
      <c r="X278">
        <v>1</v>
      </c>
      <c r="Y278">
        <v>7</v>
      </c>
      <c r="Z278">
        <v>4</v>
      </c>
      <c r="AA278">
        <v>3</v>
      </c>
      <c r="AB278">
        <v>8</v>
      </c>
      <c r="AC278">
        <v>5</v>
      </c>
      <c r="AD278">
        <v>3</v>
      </c>
      <c r="AE278">
        <v>6</v>
      </c>
      <c r="AF278">
        <v>5</v>
      </c>
      <c r="AG278">
        <v>1</v>
      </c>
      <c r="AH278">
        <v>8</v>
      </c>
      <c r="AI278">
        <v>5</v>
      </c>
      <c r="AJ278">
        <v>3</v>
      </c>
      <c r="AK278" t="s">
        <v>2678</v>
      </c>
      <c r="AL278" t="s">
        <v>2679</v>
      </c>
      <c r="AM278" t="s">
        <v>2680</v>
      </c>
      <c r="AN278" t="s">
        <v>2681</v>
      </c>
      <c r="AO278" t="s">
        <v>2682</v>
      </c>
      <c r="AP278" t="s">
        <v>2683</v>
      </c>
      <c r="AQ278" t="s">
        <v>2684</v>
      </c>
      <c r="AR278" t="s">
        <v>2685</v>
      </c>
      <c r="AS278" t="s">
        <v>2686</v>
      </c>
    </row>
    <row r="279" spans="1:45" x14ac:dyDescent="0.45">
      <c r="A279">
        <v>278</v>
      </c>
      <c r="B279">
        <v>12622</v>
      </c>
      <c r="C279" t="s">
        <v>72</v>
      </c>
      <c r="D279" t="s">
        <v>73</v>
      </c>
      <c r="E279" t="s">
        <v>74</v>
      </c>
      <c r="F279" t="s">
        <v>77</v>
      </c>
      <c r="G279" t="s">
        <v>76</v>
      </c>
      <c r="H279">
        <v>63.196717756684855</v>
      </c>
      <c r="I279">
        <v>3</v>
      </c>
      <c r="J279">
        <v>7</v>
      </c>
      <c r="K279">
        <v>6</v>
      </c>
      <c r="L279">
        <v>1</v>
      </c>
      <c r="M279">
        <v>8</v>
      </c>
      <c r="N279">
        <v>7</v>
      </c>
      <c r="O279">
        <v>1</v>
      </c>
      <c r="P279">
        <v>9</v>
      </c>
      <c r="Q279">
        <v>5</v>
      </c>
      <c r="R279">
        <v>4</v>
      </c>
      <c r="S279">
        <v>8</v>
      </c>
      <c r="T279">
        <v>7</v>
      </c>
      <c r="U279">
        <v>1</v>
      </c>
      <c r="V279">
        <v>6</v>
      </c>
      <c r="W279">
        <v>6</v>
      </c>
      <c r="X279">
        <v>0</v>
      </c>
      <c r="Y279">
        <v>9</v>
      </c>
      <c r="Z279">
        <v>6</v>
      </c>
      <c r="AA279">
        <v>3</v>
      </c>
      <c r="AB279">
        <v>7</v>
      </c>
      <c r="AC279">
        <v>6</v>
      </c>
      <c r="AD279">
        <v>1</v>
      </c>
      <c r="AE279">
        <v>8</v>
      </c>
      <c r="AF279">
        <v>6</v>
      </c>
      <c r="AG279">
        <v>2</v>
      </c>
      <c r="AH279">
        <v>9</v>
      </c>
      <c r="AI279">
        <v>6</v>
      </c>
      <c r="AJ279">
        <v>3</v>
      </c>
      <c r="AK279" t="s">
        <v>2687</v>
      </c>
      <c r="AL279" t="s">
        <v>2688</v>
      </c>
      <c r="AM279" t="s">
        <v>2689</v>
      </c>
      <c r="AN279" t="s">
        <v>217</v>
      </c>
      <c r="AO279" t="s">
        <v>2690</v>
      </c>
      <c r="AP279" t="s">
        <v>2691</v>
      </c>
      <c r="AQ279" t="s">
        <v>2692</v>
      </c>
      <c r="AR279" t="s">
        <v>2693</v>
      </c>
      <c r="AS279" t="s">
        <v>2694</v>
      </c>
    </row>
    <row r="280" spans="1:45" x14ac:dyDescent="0.45">
      <c r="A280">
        <v>279</v>
      </c>
      <c r="B280">
        <v>12623</v>
      </c>
      <c r="C280" t="s">
        <v>78</v>
      </c>
      <c r="D280" t="s">
        <v>73</v>
      </c>
      <c r="E280" t="s">
        <v>74</v>
      </c>
      <c r="F280" t="s">
        <v>75</v>
      </c>
      <c r="G280" t="s">
        <v>161</v>
      </c>
      <c r="H280">
        <v>82.146160335976077</v>
      </c>
      <c r="I280">
        <v>0</v>
      </c>
      <c r="J280">
        <v>8</v>
      </c>
      <c r="K280">
        <v>6</v>
      </c>
      <c r="L280">
        <v>2</v>
      </c>
      <c r="M280">
        <v>7</v>
      </c>
      <c r="N280">
        <v>7</v>
      </c>
      <c r="O280">
        <v>0</v>
      </c>
      <c r="P280">
        <v>8</v>
      </c>
      <c r="Q280">
        <v>5</v>
      </c>
      <c r="R280">
        <v>3</v>
      </c>
      <c r="S280">
        <v>9</v>
      </c>
      <c r="T280">
        <v>8</v>
      </c>
      <c r="U280">
        <v>1</v>
      </c>
      <c r="V280">
        <v>7</v>
      </c>
      <c r="W280">
        <v>6</v>
      </c>
      <c r="X280">
        <v>1</v>
      </c>
      <c r="Y280">
        <v>6</v>
      </c>
      <c r="Z280">
        <v>3</v>
      </c>
      <c r="AA280">
        <v>3</v>
      </c>
      <c r="AB280">
        <v>7</v>
      </c>
      <c r="AC280">
        <v>6</v>
      </c>
      <c r="AD280">
        <v>1</v>
      </c>
      <c r="AE280">
        <v>6</v>
      </c>
      <c r="AF280">
        <v>8</v>
      </c>
      <c r="AG280">
        <v>-2</v>
      </c>
      <c r="AH280">
        <v>5</v>
      </c>
      <c r="AI280">
        <v>6</v>
      </c>
      <c r="AJ280">
        <v>-1</v>
      </c>
      <c r="AK280" t="s">
        <v>2695</v>
      </c>
      <c r="AL280" t="s">
        <v>2696</v>
      </c>
      <c r="AM280" t="s">
        <v>2697</v>
      </c>
      <c r="AN280" t="s">
        <v>2698</v>
      </c>
      <c r="AO280" t="s">
        <v>2699</v>
      </c>
      <c r="AP280" t="s">
        <v>2700</v>
      </c>
      <c r="AQ280" t="s">
        <v>2701</v>
      </c>
      <c r="AR280" t="s">
        <v>2702</v>
      </c>
      <c r="AS280" t="s">
        <v>2703</v>
      </c>
    </row>
    <row r="281" spans="1:45" x14ac:dyDescent="0.45">
      <c r="A281">
        <v>280</v>
      </c>
      <c r="B281">
        <v>12624</v>
      </c>
      <c r="C281" t="s">
        <v>72</v>
      </c>
      <c r="D281" t="s">
        <v>73</v>
      </c>
      <c r="E281" t="s">
        <v>74</v>
      </c>
      <c r="F281" t="s">
        <v>75</v>
      </c>
      <c r="G281" t="s">
        <v>76</v>
      </c>
      <c r="H281">
        <v>70.772828588128235</v>
      </c>
      <c r="I281">
        <v>2</v>
      </c>
      <c r="J281">
        <v>7</v>
      </c>
      <c r="K281">
        <v>4</v>
      </c>
      <c r="L281">
        <v>3</v>
      </c>
      <c r="M281">
        <v>8</v>
      </c>
      <c r="N281">
        <v>4</v>
      </c>
      <c r="O281">
        <v>4</v>
      </c>
      <c r="P281">
        <v>9</v>
      </c>
      <c r="Q281">
        <v>1</v>
      </c>
      <c r="R281">
        <v>8</v>
      </c>
      <c r="S281">
        <v>8</v>
      </c>
      <c r="T281">
        <v>6</v>
      </c>
      <c r="U281">
        <v>2</v>
      </c>
      <c r="V281">
        <v>7</v>
      </c>
      <c r="W281">
        <v>3</v>
      </c>
      <c r="X281">
        <v>4</v>
      </c>
      <c r="Y281">
        <v>8</v>
      </c>
      <c r="Z281">
        <v>2</v>
      </c>
      <c r="AA281">
        <v>6</v>
      </c>
      <c r="AB281">
        <v>7</v>
      </c>
      <c r="AC281">
        <v>1</v>
      </c>
      <c r="AD281">
        <v>6</v>
      </c>
      <c r="AE281">
        <v>6</v>
      </c>
      <c r="AF281">
        <v>5</v>
      </c>
      <c r="AG281">
        <v>1</v>
      </c>
      <c r="AH281">
        <v>7</v>
      </c>
      <c r="AI281">
        <v>4</v>
      </c>
      <c r="AJ281">
        <v>3</v>
      </c>
      <c r="AK281" t="s">
        <v>2704</v>
      </c>
      <c r="AL281" t="s">
        <v>2705</v>
      </c>
      <c r="AM281" t="s">
        <v>2706</v>
      </c>
      <c r="AN281" t="s">
        <v>2707</v>
      </c>
      <c r="AO281" t="s">
        <v>2708</v>
      </c>
      <c r="AP281" t="s">
        <v>2709</v>
      </c>
      <c r="AQ281" t="s">
        <v>2710</v>
      </c>
      <c r="AR281" t="s">
        <v>2711</v>
      </c>
      <c r="AS281" t="s">
        <v>2712</v>
      </c>
    </row>
    <row r="282" spans="1:45" x14ac:dyDescent="0.45">
      <c r="A282">
        <v>281</v>
      </c>
      <c r="B282">
        <v>12625</v>
      </c>
      <c r="C282" t="s">
        <v>72</v>
      </c>
      <c r="D282" t="s">
        <v>79</v>
      </c>
      <c r="E282" t="s">
        <v>74</v>
      </c>
      <c r="F282" t="s">
        <v>75</v>
      </c>
      <c r="G282" t="s">
        <v>76</v>
      </c>
      <c r="H282">
        <v>96.872665591889103</v>
      </c>
      <c r="I282">
        <v>3</v>
      </c>
      <c r="J282">
        <v>6</v>
      </c>
      <c r="K282">
        <v>6</v>
      </c>
      <c r="L282">
        <v>0</v>
      </c>
      <c r="M282">
        <v>5</v>
      </c>
      <c r="N282">
        <v>7</v>
      </c>
      <c r="O282">
        <v>-2</v>
      </c>
      <c r="P282">
        <v>7</v>
      </c>
      <c r="Q282">
        <v>4</v>
      </c>
      <c r="R282">
        <v>3</v>
      </c>
      <c r="S282">
        <v>6</v>
      </c>
      <c r="T282">
        <v>8</v>
      </c>
      <c r="U282">
        <v>-2</v>
      </c>
      <c r="V282">
        <v>7</v>
      </c>
      <c r="W282">
        <v>6</v>
      </c>
      <c r="X282">
        <v>1</v>
      </c>
      <c r="Y282">
        <v>5</v>
      </c>
      <c r="Z282">
        <v>6</v>
      </c>
      <c r="AA282">
        <v>-1</v>
      </c>
      <c r="AB282">
        <v>6</v>
      </c>
      <c r="AC282">
        <v>5</v>
      </c>
      <c r="AD282">
        <v>1</v>
      </c>
      <c r="AE282">
        <v>3</v>
      </c>
      <c r="AF282">
        <v>7</v>
      </c>
      <c r="AG282">
        <v>-4</v>
      </c>
      <c r="AH282">
        <v>4</v>
      </c>
      <c r="AI282">
        <v>6</v>
      </c>
      <c r="AJ282">
        <v>-2</v>
      </c>
      <c r="AK282" t="s">
        <v>2713</v>
      </c>
      <c r="AL282" t="s">
        <v>2714</v>
      </c>
      <c r="AM282" t="s">
        <v>2715</v>
      </c>
      <c r="AN282" t="s">
        <v>2716</v>
      </c>
      <c r="AO282" t="s">
        <v>2717</v>
      </c>
      <c r="AP282" t="s">
        <v>2718</v>
      </c>
      <c r="AQ282" t="s">
        <v>2719</v>
      </c>
      <c r="AR282" t="s">
        <v>2720</v>
      </c>
      <c r="AS282" t="s">
        <v>2721</v>
      </c>
    </row>
    <row r="283" spans="1:45" x14ac:dyDescent="0.45">
      <c r="A283">
        <v>282</v>
      </c>
      <c r="B283">
        <v>12626</v>
      </c>
      <c r="C283" t="s">
        <v>72</v>
      </c>
      <c r="D283" t="s">
        <v>192</v>
      </c>
      <c r="E283" t="s">
        <v>74</v>
      </c>
      <c r="F283" t="s">
        <v>75</v>
      </c>
      <c r="G283" t="s">
        <v>76</v>
      </c>
      <c r="H283">
        <v>220.3058166118995</v>
      </c>
      <c r="I283">
        <v>4</v>
      </c>
      <c r="J283">
        <v>8</v>
      </c>
      <c r="K283">
        <v>8</v>
      </c>
      <c r="L283">
        <v>0</v>
      </c>
      <c r="M283">
        <v>7</v>
      </c>
      <c r="N283">
        <v>8</v>
      </c>
      <c r="O283">
        <v>-1</v>
      </c>
      <c r="P283">
        <v>9</v>
      </c>
      <c r="Q283">
        <v>9</v>
      </c>
      <c r="R283">
        <v>0</v>
      </c>
      <c r="S283">
        <v>8</v>
      </c>
      <c r="T283">
        <v>9</v>
      </c>
      <c r="U283">
        <v>-1</v>
      </c>
      <c r="V283">
        <v>7</v>
      </c>
      <c r="W283">
        <v>7</v>
      </c>
      <c r="X283">
        <v>0</v>
      </c>
      <c r="Y283">
        <v>6</v>
      </c>
      <c r="Z283">
        <v>8</v>
      </c>
      <c r="AA283">
        <v>-2</v>
      </c>
      <c r="AB283">
        <v>7</v>
      </c>
      <c r="AC283">
        <v>8</v>
      </c>
      <c r="AD283">
        <v>-1</v>
      </c>
      <c r="AE283">
        <v>6</v>
      </c>
      <c r="AF283">
        <v>8</v>
      </c>
      <c r="AG283">
        <v>-2</v>
      </c>
      <c r="AH283">
        <v>7</v>
      </c>
      <c r="AI283">
        <v>7</v>
      </c>
      <c r="AJ283">
        <v>0</v>
      </c>
      <c r="AK283" t="s">
        <v>2722</v>
      </c>
      <c r="AL283" t="s">
        <v>2723</v>
      </c>
      <c r="AM283" t="s">
        <v>2724</v>
      </c>
      <c r="AN283" t="s">
        <v>2725</v>
      </c>
      <c r="AO283" t="s">
        <v>2726</v>
      </c>
      <c r="AP283" t="s">
        <v>2727</v>
      </c>
      <c r="AQ283" t="s">
        <v>2728</v>
      </c>
      <c r="AR283" t="s">
        <v>2729</v>
      </c>
      <c r="AS283" t="s">
        <v>2730</v>
      </c>
    </row>
    <row r="284" spans="1:45" x14ac:dyDescent="0.45">
      <c r="A284">
        <v>283</v>
      </c>
      <c r="B284">
        <v>12627</v>
      </c>
      <c r="C284" t="s">
        <v>72</v>
      </c>
      <c r="D284" t="s">
        <v>79</v>
      </c>
      <c r="E284" t="s">
        <v>74</v>
      </c>
      <c r="F284" t="s">
        <v>77</v>
      </c>
      <c r="G284" t="s">
        <v>76</v>
      </c>
      <c r="H284">
        <v>67.215088829980886</v>
      </c>
      <c r="I284">
        <v>2</v>
      </c>
      <c r="J284">
        <v>7</v>
      </c>
      <c r="K284">
        <v>5</v>
      </c>
      <c r="L284">
        <v>2</v>
      </c>
      <c r="M284">
        <v>6</v>
      </c>
      <c r="N284">
        <v>5</v>
      </c>
      <c r="O284">
        <v>1</v>
      </c>
      <c r="P284">
        <v>8</v>
      </c>
      <c r="Q284">
        <v>2</v>
      </c>
      <c r="R284">
        <v>6</v>
      </c>
      <c r="S284">
        <v>7</v>
      </c>
      <c r="T284">
        <v>6</v>
      </c>
      <c r="U284">
        <v>1</v>
      </c>
      <c r="V284">
        <v>8</v>
      </c>
      <c r="W284">
        <v>5</v>
      </c>
      <c r="X284">
        <v>3</v>
      </c>
      <c r="Y284">
        <v>7</v>
      </c>
      <c r="Z284">
        <v>4</v>
      </c>
      <c r="AA284">
        <v>3</v>
      </c>
      <c r="AB284">
        <v>6</v>
      </c>
      <c r="AC284">
        <v>5</v>
      </c>
      <c r="AD284">
        <v>1</v>
      </c>
      <c r="AE284">
        <v>5</v>
      </c>
      <c r="AF284">
        <v>5</v>
      </c>
      <c r="AG284">
        <v>0</v>
      </c>
      <c r="AH284">
        <v>7</v>
      </c>
      <c r="AI284">
        <v>4</v>
      </c>
      <c r="AJ284">
        <v>3</v>
      </c>
      <c r="AK284" t="s">
        <v>2731</v>
      </c>
      <c r="AL284" t="s">
        <v>2732</v>
      </c>
      <c r="AM284" t="s">
        <v>2733</v>
      </c>
      <c r="AN284" t="s">
        <v>2734</v>
      </c>
      <c r="AO284" t="s">
        <v>2735</v>
      </c>
      <c r="AP284" t="s">
        <v>2736</v>
      </c>
      <c r="AQ284" t="s">
        <v>2737</v>
      </c>
      <c r="AR284" t="s">
        <v>2738</v>
      </c>
      <c r="AS284" t="s">
        <v>2739</v>
      </c>
    </row>
    <row r="285" spans="1:45" x14ac:dyDescent="0.45">
      <c r="A285">
        <v>284</v>
      </c>
      <c r="B285">
        <v>12628</v>
      </c>
      <c r="C285" t="s">
        <v>78</v>
      </c>
      <c r="D285" t="s">
        <v>73</v>
      </c>
      <c r="E285" t="s">
        <v>74</v>
      </c>
      <c r="F285" t="s">
        <v>77</v>
      </c>
      <c r="G285" t="s">
        <v>76</v>
      </c>
      <c r="H285">
        <v>57.766302457784683</v>
      </c>
      <c r="I285">
        <v>2</v>
      </c>
      <c r="J285">
        <v>7</v>
      </c>
      <c r="K285">
        <v>7</v>
      </c>
      <c r="L285">
        <v>0</v>
      </c>
      <c r="M285">
        <v>8</v>
      </c>
      <c r="N285">
        <v>7</v>
      </c>
      <c r="O285">
        <v>1</v>
      </c>
      <c r="P285">
        <v>9</v>
      </c>
      <c r="Q285">
        <v>5</v>
      </c>
      <c r="R285">
        <v>4</v>
      </c>
      <c r="S285">
        <v>8</v>
      </c>
      <c r="T285">
        <v>7</v>
      </c>
      <c r="U285">
        <v>1</v>
      </c>
      <c r="V285">
        <v>7</v>
      </c>
      <c r="W285">
        <v>5</v>
      </c>
      <c r="X285">
        <v>2</v>
      </c>
      <c r="Y285">
        <v>6</v>
      </c>
      <c r="Z285">
        <v>6</v>
      </c>
      <c r="AA285">
        <v>0</v>
      </c>
      <c r="AB285">
        <v>5</v>
      </c>
      <c r="AC285">
        <v>5</v>
      </c>
      <c r="AD285">
        <v>0</v>
      </c>
      <c r="AE285">
        <v>4</v>
      </c>
      <c r="AF285">
        <v>7</v>
      </c>
      <c r="AG285">
        <v>-3</v>
      </c>
      <c r="AH285">
        <v>5</v>
      </c>
      <c r="AI285">
        <v>6</v>
      </c>
      <c r="AJ285">
        <v>-1</v>
      </c>
      <c r="AK285" t="s">
        <v>2740</v>
      </c>
      <c r="AL285" t="s">
        <v>2741</v>
      </c>
      <c r="AM285" t="s">
        <v>2742</v>
      </c>
      <c r="AN285" t="s">
        <v>2743</v>
      </c>
      <c r="AO285" t="s">
        <v>2744</v>
      </c>
      <c r="AP285" t="s">
        <v>2745</v>
      </c>
      <c r="AQ285" t="s">
        <v>2746</v>
      </c>
      <c r="AR285" t="s">
        <v>2747</v>
      </c>
      <c r="AS285" t="s">
        <v>2748</v>
      </c>
    </row>
    <row r="286" spans="1:45" x14ac:dyDescent="0.45">
      <c r="A286">
        <v>285</v>
      </c>
      <c r="B286">
        <v>12629</v>
      </c>
      <c r="C286" t="s">
        <v>78</v>
      </c>
      <c r="D286" t="s">
        <v>190</v>
      </c>
      <c r="E286" t="s">
        <v>74</v>
      </c>
      <c r="F286" t="s">
        <v>77</v>
      </c>
      <c r="G286" t="s">
        <v>76</v>
      </c>
      <c r="H286">
        <v>99.46031303063414</v>
      </c>
      <c r="I286">
        <v>3</v>
      </c>
      <c r="J286">
        <v>7</v>
      </c>
      <c r="K286">
        <v>7</v>
      </c>
      <c r="L286">
        <v>0</v>
      </c>
      <c r="M286">
        <v>6</v>
      </c>
      <c r="N286">
        <v>7</v>
      </c>
      <c r="O286">
        <v>-1</v>
      </c>
      <c r="P286">
        <v>8</v>
      </c>
      <c r="Q286">
        <v>5</v>
      </c>
      <c r="R286">
        <v>3</v>
      </c>
      <c r="S286">
        <v>9</v>
      </c>
      <c r="T286">
        <v>8</v>
      </c>
      <c r="U286">
        <v>1</v>
      </c>
      <c r="V286">
        <v>6</v>
      </c>
      <c r="W286">
        <v>6</v>
      </c>
      <c r="X286">
        <v>0</v>
      </c>
      <c r="Y286">
        <v>8</v>
      </c>
      <c r="Z286">
        <v>6</v>
      </c>
      <c r="AA286">
        <v>2</v>
      </c>
      <c r="AB286">
        <v>7</v>
      </c>
      <c r="AC286">
        <v>6</v>
      </c>
      <c r="AD286">
        <v>1</v>
      </c>
      <c r="AE286">
        <v>5</v>
      </c>
      <c r="AF286">
        <v>7</v>
      </c>
      <c r="AG286">
        <v>-2</v>
      </c>
      <c r="AH286">
        <v>7</v>
      </c>
      <c r="AI286">
        <v>7</v>
      </c>
      <c r="AJ286">
        <v>0</v>
      </c>
      <c r="AK286" t="s">
        <v>2749</v>
      </c>
      <c r="AL286" t="s">
        <v>2750</v>
      </c>
      <c r="AM286" t="s">
        <v>2751</v>
      </c>
      <c r="AN286" t="s">
        <v>2752</v>
      </c>
      <c r="AO286" t="s">
        <v>2753</v>
      </c>
      <c r="AP286" t="s">
        <v>2754</v>
      </c>
      <c r="AQ286" t="s">
        <v>2755</v>
      </c>
      <c r="AR286" t="s">
        <v>2756</v>
      </c>
      <c r="AS286" t="s">
        <v>2757</v>
      </c>
    </row>
    <row r="287" spans="1:45" x14ac:dyDescent="0.45">
      <c r="A287">
        <v>286</v>
      </c>
      <c r="B287">
        <v>12630</v>
      </c>
      <c r="C287" t="s">
        <v>72</v>
      </c>
      <c r="D287" t="s">
        <v>73</v>
      </c>
      <c r="E287" t="s">
        <v>74</v>
      </c>
      <c r="F287" t="s">
        <v>77</v>
      </c>
      <c r="G287" t="s">
        <v>76</v>
      </c>
      <c r="H287">
        <v>40.982443905549381</v>
      </c>
      <c r="I287">
        <v>0</v>
      </c>
      <c r="J287">
        <v>8</v>
      </c>
      <c r="K287">
        <v>4</v>
      </c>
      <c r="L287">
        <v>4</v>
      </c>
      <c r="M287">
        <v>7</v>
      </c>
      <c r="N287">
        <v>4</v>
      </c>
      <c r="O287">
        <v>3</v>
      </c>
      <c r="P287">
        <v>9</v>
      </c>
      <c r="Q287">
        <v>2</v>
      </c>
      <c r="R287">
        <v>7</v>
      </c>
      <c r="S287">
        <v>8</v>
      </c>
      <c r="T287">
        <v>8</v>
      </c>
      <c r="U287">
        <v>0</v>
      </c>
      <c r="V287">
        <v>7</v>
      </c>
      <c r="W287">
        <v>5</v>
      </c>
      <c r="X287">
        <v>2</v>
      </c>
      <c r="Y287">
        <v>8</v>
      </c>
      <c r="Z287">
        <v>5</v>
      </c>
      <c r="AA287">
        <v>3</v>
      </c>
      <c r="AB287">
        <v>7</v>
      </c>
      <c r="AC287">
        <v>4</v>
      </c>
      <c r="AD287">
        <v>3</v>
      </c>
      <c r="AE287">
        <v>6</v>
      </c>
      <c r="AF287">
        <v>6</v>
      </c>
      <c r="AG287">
        <v>0</v>
      </c>
      <c r="AH287">
        <v>7</v>
      </c>
      <c r="AI287">
        <v>5</v>
      </c>
      <c r="AJ287">
        <v>2</v>
      </c>
      <c r="AK287" t="s">
        <v>2758</v>
      </c>
      <c r="AL287" t="s">
        <v>2759</v>
      </c>
      <c r="AM287" t="s">
        <v>2760</v>
      </c>
      <c r="AN287" t="s">
        <v>2761</v>
      </c>
      <c r="AO287" t="s">
        <v>2762</v>
      </c>
      <c r="AP287" t="s">
        <v>2763</v>
      </c>
      <c r="AQ287" t="s">
        <v>2764</v>
      </c>
      <c r="AR287" t="s">
        <v>2765</v>
      </c>
      <c r="AS287" t="s">
        <v>2766</v>
      </c>
    </row>
    <row r="288" spans="1:45" x14ac:dyDescent="0.45">
      <c r="A288">
        <v>287</v>
      </c>
      <c r="B288">
        <v>12631</v>
      </c>
      <c r="C288" t="s">
        <v>72</v>
      </c>
      <c r="D288" t="s">
        <v>190</v>
      </c>
      <c r="E288" t="s">
        <v>74</v>
      </c>
      <c r="F288" t="s">
        <v>77</v>
      </c>
      <c r="G288" t="s">
        <v>76</v>
      </c>
      <c r="H288">
        <v>67.014852647140088</v>
      </c>
      <c r="I288">
        <v>4</v>
      </c>
      <c r="J288">
        <v>8</v>
      </c>
      <c r="K288">
        <v>10</v>
      </c>
      <c r="L288">
        <v>-2</v>
      </c>
      <c r="M288">
        <v>7</v>
      </c>
      <c r="N288">
        <v>10</v>
      </c>
      <c r="O288">
        <v>-3</v>
      </c>
      <c r="P288">
        <v>8</v>
      </c>
      <c r="Q288">
        <v>7</v>
      </c>
      <c r="R288">
        <v>1</v>
      </c>
      <c r="S288">
        <v>9</v>
      </c>
      <c r="T288">
        <v>7</v>
      </c>
      <c r="U288">
        <v>2</v>
      </c>
      <c r="V288">
        <v>7</v>
      </c>
      <c r="W288">
        <v>8</v>
      </c>
      <c r="X288">
        <v>-1</v>
      </c>
      <c r="Y288">
        <v>6</v>
      </c>
      <c r="Z288">
        <v>7</v>
      </c>
      <c r="AA288">
        <v>-1</v>
      </c>
      <c r="AB288">
        <v>7</v>
      </c>
      <c r="AC288">
        <v>8</v>
      </c>
      <c r="AD288">
        <v>-1</v>
      </c>
      <c r="AE288">
        <v>6</v>
      </c>
      <c r="AF288">
        <v>8</v>
      </c>
      <c r="AG288">
        <v>-2</v>
      </c>
      <c r="AH288">
        <v>7</v>
      </c>
      <c r="AI288">
        <v>8</v>
      </c>
      <c r="AJ288">
        <v>-1</v>
      </c>
      <c r="AK288" t="s">
        <v>2767</v>
      </c>
      <c r="AL288" t="s">
        <v>2768</v>
      </c>
      <c r="AM288" t="s">
        <v>2769</v>
      </c>
      <c r="AN288" t="s">
        <v>2770</v>
      </c>
      <c r="AO288" t="s">
        <v>2771</v>
      </c>
      <c r="AP288" t="s">
        <v>2772</v>
      </c>
      <c r="AQ288" t="s">
        <v>2773</v>
      </c>
      <c r="AR288" t="s">
        <v>2774</v>
      </c>
      <c r="AS288" t="s">
        <v>2775</v>
      </c>
    </row>
    <row r="289" spans="1:45" x14ac:dyDescent="0.45">
      <c r="A289">
        <v>288</v>
      </c>
      <c r="B289">
        <v>12632</v>
      </c>
      <c r="C289" t="s">
        <v>78</v>
      </c>
      <c r="D289" t="s">
        <v>81</v>
      </c>
      <c r="E289" t="s">
        <v>74</v>
      </c>
      <c r="F289" t="s">
        <v>77</v>
      </c>
      <c r="G289" t="s">
        <v>76</v>
      </c>
      <c r="H289">
        <v>25.773509379703359</v>
      </c>
      <c r="I289">
        <v>0</v>
      </c>
      <c r="J289">
        <v>6</v>
      </c>
      <c r="K289">
        <v>8</v>
      </c>
      <c r="L289">
        <v>-2</v>
      </c>
      <c r="M289">
        <v>7</v>
      </c>
      <c r="N289">
        <v>8</v>
      </c>
      <c r="O289">
        <v>-1</v>
      </c>
      <c r="P289">
        <v>8</v>
      </c>
      <c r="Q289">
        <v>5</v>
      </c>
      <c r="R289">
        <v>3</v>
      </c>
      <c r="S289">
        <v>9</v>
      </c>
      <c r="T289">
        <v>9</v>
      </c>
      <c r="U289">
        <v>0</v>
      </c>
      <c r="V289">
        <v>7</v>
      </c>
      <c r="W289">
        <v>10</v>
      </c>
      <c r="X289">
        <v>-3</v>
      </c>
      <c r="Y289">
        <v>8</v>
      </c>
      <c r="Z289">
        <v>10</v>
      </c>
      <c r="AA289">
        <v>-2</v>
      </c>
      <c r="AB289">
        <v>7</v>
      </c>
      <c r="AC289">
        <v>9</v>
      </c>
      <c r="AD289">
        <v>-2</v>
      </c>
      <c r="AE289">
        <v>5</v>
      </c>
      <c r="AF289">
        <v>9</v>
      </c>
      <c r="AG289">
        <v>-4</v>
      </c>
      <c r="AH289">
        <v>8</v>
      </c>
      <c r="AI289">
        <v>10</v>
      </c>
      <c r="AJ289">
        <v>-2</v>
      </c>
      <c r="AK289" t="s">
        <v>2776</v>
      </c>
      <c r="AL289" t="s">
        <v>2777</v>
      </c>
      <c r="AM289" t="s">
        <v>2778</v>
      </c>
      <c r="AN289" t="s">
        <v>2779</v>
      </c>
      <c r="AO289" t="s">
        <v>2780</v>
      </c>
      <c r="AP289" t="s">
        <v>2781</v>
      </c>
      <c r="AQ289" t="s">
        <v>2782</v>
      </c>
      <c r="AR289" t="s">
        <v>2783</v>
      </c>
      <c r="AS289" t="s">
        <v>2784</v>
      </c>
    </row>
    <row r="290" spans="1:45" x14ac:dyDescent="0.45">
      <c r="A290">
        <v>289</v>
      </c>
      <c r="B290">
        <v>12633</v>
      </c>
      <c r="C290" t="s">
        <v>72</v>
      </c>
      <c r="D290" t="s">
        <v>73</v>
      </c>
      <c r="E290" t="s">
        <v>74</v>
      </c>
      <c r="F290" t="s">
        <v>189</v>
      </c>
      <c r="G290" t="s">
        <v>76</v>
      </c>
      <c r="H290">
        <v>29.79743673042605</v>
      </c>
      <c r="I290">
        <v>1</v>
      </c>
      <c r="J290">
        <v>7</v>
      </c>
      <c r="K290">
        <v>7</v>
      </c>
      <c r="L290">
        <v>0</v>
      </c>
      <c r="M290">
        <v>6</v>
      </c>
      <c r="N290">
        <v>7</v>
      </c>
      <c r="O290">
        <v>-1</v>
      </c>
      <c r="P290">
        <v>8</v>
      </c>
      <c r="Q290">
        <v>5</v>
      </c>
      <c r="R290">
        <v>3</v>
      </c>
      <c r="S290">
        <v>9</v>
      </c>
      <c r="T290">
        <v>6</v>
      </c>
      <c r="U290">
        <v>3</v>
      </c>
      <c r="V290">
        <v>6</v>
      </c>
      <c r="W290">
        <v>5</v>
      </c>
      <c r="X290">
        <v>1</v>
      </c>
      <c r="Y290">
        <v>7</v>
      </c>
      <c r="Z290">
        <v>5</v>
      </c>
      <c r="AA290">
        <v>2</v>
      </c>
      <c r="AB290">
        <v>7</v>
      </c>
      <c r="AC290">
        <v>5</v>
      </c>
      <c r="AD290">
        <v>2</v>
      </c>
      <c r="AE290">
        <v>5</v>
      </c>
      <c r="AF290">
        <v>5</v>
      </c>
      <c r="AG290">
        <v>0</v>
      </c>
      <c r="AH290">
        <v>6</v>
      </c>
      <c r="AI290">
        <v>6</v>
      </c>
      <c r="AJ290">
        <v>0</v>
      </c>
      <c r="AK290" t="s">
        <v>2785</v>
      </c>
      <c r="AL290" t="s">
        <v>2786</v>
      </c>
      <c r="AM290" t="s">
        <v>2787</v>
      </c>
      <c r="AN290" t="s">
        <v>2788</v>
      </c>
      <c r="AO290" t="s">
        <v>2789</v>
      </c>
      <c r="AP290" t="s">
        <v>2790</v>
      </c>
      <c r="AQ290" t="s">
        <v>2791</v>
      </c>
      <c r="AR290" t="s">
        <v>2792</v>
      </c>
      <c r="AS290" t="s">
        <v>2793</v>
      </c>
    </row>
    <row r="291" spans="1:45" x14ac:dyDescent="0.45">
      <c r="A291">
        <v>290</v>
      </c>
      <c r="B291">
        <v>12634</v>
      </c>
      <c r="C291" t="s">
        <v>78</v>
      </c>
      <c r="D291" t="s">
        <v>73</v>
      </c>
      <c r="E291" t="s">
        <v>74</v>
      </c>
      <c r="F291" t="s">
        <v>77</v>
      </c>
      <c r="G291" t="s">
        <v>76</v>
      </c>
      <c r="H291">
        <v>45.104991096016889</v>
      </c>
      <c r="I291">
        <v>2</v>
      </c>
      <c r="J291">
        <v>7</v>
      </c>
      <c r="K291">
        <v>8</v>
      </c>
      <c r="L291">
        <v>-1</v>
      </c>
      <c r="M291">
        <v>6</v>
      </c>
      <c r="N291">
        <v>8</v>
      </c>
      <c r="O291">
        <v>-2</v>
      </c>
      <c r="P291">
        <v>8</v>
      </c>
      <c r="Q291">
        <v>8</v>
      </c>
      <c r="R291">
        <v>0</v>
      </c>
      <c r="S291">
        <v>7</v>
      </c>
      <c r="T291">
        <v>8</v>
      </c>
      <c r="U291">
        <v>-1</v>
      </c>
      <c r="V291">
        <v>8</v>
      </c>
      <c r="W291">
        <v>8</v>
      </c>
      <c r="X291">
        <v>0</v>
      </c>
      <c r="Y291">
        <v>6</v>
      </c>
      <c r="Z291">
        <v>8</v>
      </c>
      <c r="AA291">
        <v>-2</v>
      </c>
      <c r="AB291">
        <v>7</v>
      </c>
      <c r="AC291">
        <v>8</v>
      </c>
      <c r="AD291">
        <v>-1</v>
      </c>
      <c r="AE291">
        <v>6</v>
      </c>
      <c r="AF291">
        <v>8</v>
      </c>
      <c r="AG291">
        <v>-2</v>
      </c>
      <c r="AH291">
        <v>7</v>
      </c>
      <c r="AI291">
        <v>8</v>
      </c>
      <c r="AJ291">
        <v>-1</v>
      </c>
      <c r="AK291" t="s">
        <v>2794</v>
      </c>
      <c r="AL291" t="s">
        <v>2795</v>
      </c>
      <c r="AM291" t="s">
        <v>2796</v>
      </c>
      <c r="AN291" t="s">
        <v>2797</v>
      </c>
      <c r="AO291" t="s">
        <v>2798</v>
      </c>
      <c r="AP291" t="s">
        <v>2799</v>
      </c>
      <c r="AQ291" t="s">
        <v>2800</v>
      </c>
      <c r="AR291" t="s">
        <v>2801</v>
      </c>
      <c r="AS291" t="s">
        <v>2802</v>
      </c>
    </row>
    <row r="292" spans="1:45" x14ac:dyDescent="0.45">
      <c r="A292">
        <v>291</v>
      </c>
      <c r="B292">
        <v>12635</v>
      </c>
      <c r="C292" t="s">
        <v>78</v>
      </c>
      <c r="D292" t="s">
        <v>81</v>
      </c>
      <c r="E292" t="s">
        <v>74</v>
      </c>
      <c r="F292" t="s">
        <v>77</v>
      </c>
      <c r="G292" t="s">
        <v>76</v>
      </c>
      <c r="H292">
        <v>61.339928034608413</v>
      </c>
      <c r="I292">
        <v>2</v>
      </c>
      <c r="J292">
        <v>7</v>
      </c>
      <c r="K292">
        <v>9</v>
      </c>
      <c r="L292">
        <v>-2</v>
      </c>
      <c r="M292">
        <v>8</v>
      </c>
      <c r="N292">
        <v>9</v>
      </c>
      <c r="O292">
        <v>-1</v>
      </c>
      <c r="P292">
        <v>9</v>
      </c>
      <c r="Q292">
        <v>3</v>
      </c>
      <c r="R292">
        <v>6</v>
      </c>
      <c r="S292">
        <v>8</v>
      </c>
      <c r="T292">
        <v>10</v>
      </c>
      <c r="U292">
        <v>-2</v>
      </c>
      <c r="V292">
        <v>9</v>
      </c>
      <c r="W292">
        <v>8</v>
      </c>
      <c r="X292">
        <v>1</v>
      </c>
      <c r="Y292">
        <v>6</v>
      </c>
      <c r="Z292">
        <v>8</v>
      </c>
      <c r="AA292">
        <v>-2</v>
      </c>
      <c r="AB292">
        <v>8</v>
      </c>
      <c r="AC292">
        <v>6</v>
      </c>
      <c r="AD292">
        <v>2</v>
      </c>
      <c r="AE292">
        <v>7</v>
      </c>
      <c r="AF292">
        <v>8</v>
      </c>
      <c r="AG292">
        <v>-1</v>
      </c>
      <c r="AH292">
        <v>8</v>
      </c>
      <c r="AI292">
        <v>8</v>
      </c>
      <c r="AJ292">
        <v>0</v>
      </c>
      <c r="AK292" t="s">
        <v>2803</v>
      </c>
      <c r="AL292" t="s">
        <v>2804</v>
      </c>
      <c r="AM292" t="s">
        <v>2805</v>
      </c>
      <c r="AN292" t="s">
        <v>2806</v>
      </c>
      <c r="AO292" t="s">
        <v>2807</v>
      </c>
      <c r="AP292" t="s">
        <v>2808</v>
      </c>
      <c r="AQ292" t="s">
        <v>2809</v>
      </c>
      <c r="AR292" t="s">
        <v>2810</v>
      </c>
      <c r="AS292" t="s">
        <v>2811</v>
      </c>
    </row>
    <row r="293" spans="1:45" x14ac:dyDescent="0.45">
      <c r="A293">
        <v>292</v>
      </c>
      <c r="B293">
        <v>12636</v>
      </c>
      <c r="C293" t="s">
        <v>72</v>
      </c>
      <c r="D293" t="s">
        <v>192</v>
      </c>
      <c r="E293" t="s">
        <v>74</v>
      </c>
      <c r="F293" t="s">
        <v>75</v>
      </c>
      <c r="G293" t="s">
        <v>161</v>
      </c>
      <c r="H293">
        <v>51.316450442993485</v>
      </c>
      <c r="I293">
        <v>2</v>
      </c>
      <c r="J293">
        <v>8</v>
      </c>
      <c r="K293">
        <v>6</v>
      </c>
      <c r="L293">
        <v>2</v>
      </c>
      <c r="M293">
        <v>9</v>
      </c>
      <c r="N293">
        <v>6</v>
      </c>
      <c r="O293">
        <v>3</v>
      </c>
      <c r="P293">
        <v>7</v>
      </c>
      <c r="Q293">
        <v>1</v>
      </c>
      <c r="R293">
        <v>6</v>
      </c>
      <c r="S293">
        <v>8</v>
      </c>
      <c r="T293">
        <v>6</v>
      </c>
      <c r="U293">
        <v>2</v>
      </c>
      <c r="V293">
        <v>7</v>
      </c>
      <c r="W293">
        <v>5</v>
      </c>
      <c r="X293">
        <v>2</v>
      </c>
      <c r="Y293">
        <v>6</v>
      </c>
      <c r="Z293">
        <v>6</v>
      </c>
      <c r="AA293">
        <v>0</v>
      </c>
      <c r="AB293">
        <v>5</v>
      </c>
      <c r="AC293">
        <v>5</v>
      </c>
      <c r="AD293">
        <v>0</v>
      </c>
      <c r="AE293">
        <v>6</v>
      </c>
      <c r="AF293">
        <v>6</v>
      </c>
      <c r="AG293">
        <v>0</v>
      </c>
      <c r="AH293">
        <v>5</v>
      </c>
      <c r="AI293">
        <v>6</v>
      </c>
      <c r="AJ293">
        <v>-1</v>
      </c>
      <c r="AK293" t="s">
        <v>2812</v>
      </c>
      <c r="AL293" t="s">
        <v>2813</v>
      </c>
      <c r="AM293" t="s">
        <v>2814</v>
      </c>
      <c r="AN293" t="s">
        <v>2815</v>
      </c>
      <c r="AO293" t="s">
        <v>2816</v>
      </c>
      <c r="AP293" t="s">
        <v>2817</v>
      </c>
      <c r="AQ293" t="s">
        <v>2818</v>
      </c>
      <c r="AR293" t="s">
        <v>2819</v>
      </c>
      <c r="AS293" t="s">
        <v>2820</v>
      </c>
    </row>
    <row r="294" spans="1:45" x14ac:dyDescent="0.45">
      <c r="A294">
        <v>293</v>
      </c>
      <c r="B294">
        <v>12637</v>
      </c>
      <c r="C294" t="s">
        <v>72</v>
      </c>
      <c r="D294" t="s">
        <v>81</v>
      </c>
      <c r="E294" t="s">
        <v>74</v>
      </c>
      <c r="F294" t="s">
        <v>77</v>
      </c>
      <c r="G294" t="s">
        <v>76</v>
      </c>
      <c r="H294">
        <v>36.76426561228746</v>
      </c>
      <c r="I294">
        <v>1</v>
      </c>
      <c r="J294">
        <v>6</v>
      </c>
      <c r="K294">
        <v>8</v>
      </c>
      <c r="L294">
        <v>-2</v>
      </c>
      <c r="M294">
        <v>7</v>
      </c>
      <c r="N294">
        <v>8</v>
      </c>
      <c r="O294">
        <v>-1</v>
      </c>
      <c r="P294">
        <v>6</v>
      </c>
      <c r="Q294">
        <v>5</v>
      </c>
      <c r="R294">
        <v>1</v>
      </c>
      <c r="S294">
        <v>8</v>
      </c>
      <c r="T294">
        <v>8</v>
      </c>
      <c r="U294">
        <v>0</v>
      </c>
      <c r="V294">
        <v>5</v>
      </c>
      <c r="W294">
        <v>5</v>
      </c>
      <c r="X294">
        <v>0</v>
      </c>
      <c r="Y294">
        <v>4</v>
      </c>
      <c r="Z294">
        <v>6</v>
      </c>
      <c r="AA294">
        <v>-2</v>
      </c>
      <c r="AB294">
        <v>5</v>
      </c>
      <c r="AC294">
        <v>5</v>
      </c>
      <c r="AD294">
        <v>0</v>
      </c>
      <c r="AE294">
        <v>5</v>
      </c>
      <c r="AF294">
        <v>6</v>
      </c>
      <c r="AG294">
        <v>-1</v>
      </c>
      <c r="AH294">
        <v>6</v>
      </c>
      <c r="AI294">
        <v>6</v>
      </c>
      <c r="AJ294">
        <v>0</v>
      </c>
      <c r="AK294" t="s">
        <v>2821</v>
      </c>
      <c r="AL294" t="s">
        <v>2822</v>
      </c>
      <c r="AM294" t="s">
        <v>2823</v>
      </c>
      <c r="AN294" t="s">
        <v>2824</v>
      </c>
      <c r="AO294" t="s">
        <v>2825</v>
      </c>
      <c r="AP294" t="s">
        <v>2826</v>
      </c>
      <c r="AQ294" t="s">
        <v>2827</v>
      </c>
      <c r="AR294" t="s">
        <v>2828</v>
      </c>
      <c r="AS294" t="s">
        <v>2829</v>
      </c>
    </row>
    <row r="295" spans="1:45" x14ac:dyDescent="0.45">
      <c r="A295">
        <v>294</v>
      </c>
      <c r="B295">
        <v>12638</v>
      </c>
      <c r="C295" t="s">
        <v>72</v>
      </c>
      <c r="D295" t="s">
        <v>81</v>
      </c>
      <c r="E295" t="s">
        <v>74</v>
      </c>
      <c r="F295" t="s">
        <v>77</v>
      </c>
      <c r="G295" t="s">
        <v>76</v>
      </c>
      <c r="H295">
        <v>49.63187851692156</v>
      </c>
      <c r="I295">
        <v>3</v>
      </c>
      <c r="J295">
        <v>7</v>
      </c>
      <c r="K295">
        <v>6</v>
      </c>
      <c r="L295">
        <v>1</v>
      </c>
      <c r="M295">
        <v>6</v>
      </c>
      <c r="N295">
        <v>6</v>
      </c>
      <c r="O295">
        <v>0</v>
      </c>
      <c r="P295">
        <v>5</v>
      </c>
      <c r="Q295">
        <v>3</v>
      </c>
      <c r="R295">
        <v>2</v>
      </c>
      <c r="S295">
        <v>4</v>
      </c>
      <c r="T295">
        <v>7</v>
      </c>
      <c r="U295">
        <v>-3</v>
      </c>
      <c r="V295">
        <v>6</v>
      </c>
      <c r="W295">
        <v>5</v>
      </c>
      <c r="X295">
        <v>1</v>
      </c>
      <c r="Y295">
        <v>5</v>
      </c>
      <c r="Z295">
        <v>6</v>
      </c>
      <c r="AA295">
        <v>-1</v>
      </c>
      <c r="AB295">
        <v>4</v>
      </c>
      <c r="AC295">
        <v>5</v>
      </c>
      <c r="AD295">
        <v>-1</v>
      </c>
      <c r="AE295">
        <v>5</v>
      </c>
      <c r="AF295">
        <v>5</v>
      </c>
      <c r="AG295">
        <v>0</v>
      </c>
      <c r="AH295">
        <v>6</v>
      </c>
      <c r="AI295">
        <v>6</v>
      </c>
      <c r="AJ295">
        <v>0</v>
      </c>
      <c r="AK295" t="s">
        <v>2830</v>
      </c>
      <c r="AL295" t="s">
        <v>2831</v>
      </c>
      <c r="AM295" t="s">
        <v>2832</v>
      </c>
      <c r="AN295" t="s">
        <v>2833</v>
      </c>
      <c r="AO295" t="s">
        <v>2834</v>
      </c>
      <c r="AP295" t="s">
        <v>2835</v>
      </c>
      <c r="AQ295" t="s">
        <v>2836</v>
      </c>
      <c r="AR295" t="s">
        <v>2837</v>
      </c>
      <c r="AS295" t="s">
        <v>2838</v>
      </c>
    </row>
    <row r="296" spans="1:45" x14ac:dyDescent="0.45">
      <c r="A296">
        <v>295</v>
      </c>
      <c r="B296">
        <v>12639</v>
      </c>
      <c r="C296" t="s">
        <v>78</v>
      </c>
      <c r="D296" t="s">
        <v>188</v>
      </c>
      <c r="E296" t="s">
        <v>74</v>
      </c>
      <c r="F296" t="s">
        <v>77</v>
      </c>
      <c r="G296" t="s">
        <v>76</v>
      </c>
      <c r="H296">
        <v>25.984365789218586</v>
      </c>
      <c r="I296">
        <v>0</v>
      </c>
      <c r="J296">
        <v>8</v>
      </c>
      <c r="K296">
        <v>8</v>
      </c>
      <c r="L296">
        <v>0</v>
      </c>
      <c r="M296">
        <v>9</v>
      </c>
      <c r="N296">
        <v>9</v>
      </c>
      <c r="O296">
        <v>0</v>
      </c>
      <c r="P296">
        <v>8</v>
      </c>
      <c r="Q296">
        <v>9</v>
      </c>
      <c r="R296">
        <v>-1</v>
      </c>
      <c r="S296">
        <v>7</v>
      </c>
      <c r="T296">
        <v>10</v>
      </c>
      <c r="U296">
        <v>-3</v>
      </c>
      <c r="V296">
        <v>6</v>
      </c>
      <c r="W296">
        <v>8</v>
      </c>
      <c r="X296">
        <v>-2</v>
      </c>
      <c r="Y296">
        <v>5</v>
      </c>
      <c r="Z296">
        <v>8</v>
      </c>
      <c r="AA296">
        <v>-3</v>
      </c>
      <c r="AB296">
        <v>4</v>
      </c>
      <c r="AC296">
        <v>9</v>
      </c>
      <c r="AD296">
        <v>-5</v>
      </c>
      <c r="AE296">
        <v>3</v>
      </c>
      <c r="AF296">
        <v>10</v>
      </c>
      <c r="AG296">
        <v>-7</v>
      </c>
      <c r="AH296">
        <v>6</v>
      </c>
      <c r="AI296">
        <v>10</v>
      </c>
      <c r="AJ296">
        <v>-4</v>
      </c>
      <c r="AK296" t="s">
        <v>2839</v>
      </c>
      <c r="AL296" t="s">
        <v>2840</v>
      </c>
      <c r="AM296" t="s">
        <v>2841</v>
      </c>
      <c r="AN296" t="s">
        <v>2842</v>
      </c>
      <c r="AO296" t="s">
        <v>2843</v>
      </c>
      <c r="AP296" t="s">
        <v>2844</v>
      </c>
      <c r="AQ296" t="s">
        <v>2845</v>
      </c>
      <c r="AR296" t="s">
        <v>2846</v>
      </c>
      <c r="AS296" t="s">
        <v>2847</v>
      </c>
    </row>
    <row r="297" spans="1:45" x14ac:dyDescent="0.45">
      <c r="A297">
        <v>296</v>
      </c>
      <c r="B297">
        <v>12640</v>
      </c>
      <c r="C297" t="s">
        <v>78</v>
      </c>
      <c r="D297" t="s">
        <v>192</v>
      </c>
      <c r="E297" t="s">
        <v>74</v>
      </c>
      <c r="F297" t="s">
        <v>77</v>
      </c>
      <c r="G297" t="s">
        <v>76</v>
      </c>
      <c r="H297">
        <v>12</v>
      </c>
      <c r="I297">
        <v>0</v>
      </c>
      <c r="J297">
        <v>6</v>
      </c>
      <c r="K297">
        <v>7</v>
      </c>
      <c r="L297">
        <v>-1</v>
      </c>
      <c r="M297">
        <v>7</v>
      </c>
      <c r="N297">
        <v>7</v>
      </c>
      <c r="O297">
        <v>0</v>
      </c>
      <c r="P297">
        <v>8</v>
      </c>
      <c r="Q297">
        <v>6</v>
      </c>
      <c r="R297">
        <v>2</v>
      </c>
      <c r="S297">
        <v>9</v>
      </c>
      <c r="T297">
        <v>7</v>
      </c>
      <c r="U297">
        <v>2</v>
      </c>
      <c r="V297">
        <v>7</v>
      </c>
      <c r="W297">
        <v>7</v>
      </c>
      <c r="X297">
        <v>0</v>
      </c>
      <c r="Y297">
        <v>8</v>
      </c>
      <c r="Z297">
        <v>1</v>
      </c>
      <c r="AA297">
        <v>7</v>
      </c>
      <c r="AB297">
        <v>7</v>
      </c>
      <c r="AC297">
        <v>5</v>
      </c>
      <c r="AD297">
        <v>2</v>
      </c>
      <c r="AE297">
        <v>5</v>
      </c>
      <c r="AF297">
        <v>7</v>
      </c>
      <c r="AG297">
        <v>-2</v>
      </c>
      <c r="AH297">
        <v>7</v>
      </c>
      <c r="AI297">
        <v>7</v>
      </c>
      <c r="AJ297">
        <v>0</v>
      </c>
      <c r="AK297" t="s">
        <v>2848</v>
      </c>
      <c r="AL297" t="s">
        <v>2849</v>
      </c>
      <c r="AM297" t="s">
        <v>2850</v>
      </c>
      <c r="AN297" t="s">
        <v>2851</v>
      </c>
      <c r="AO297" t="s">
        <v>2852</v>
      </c>
      <c r="AP297" t="s">
        <v>2853</v>
      </c>
      <c r="AQ297" t="s">
        <v>2854</v>
      </c>
      <c r="AR297" t="s">
        <v>2855</v>
      </c>
      <c r="AS297" t="s">
        <v>2856</v>
      </c>
    </row>
    <row r="298" spans="1:45" x14ac:dyDescent="0.45">
      <c r="A298">
        <v>297</v>
      </c>
      <c r="B298">
        <v>12641</v>
      </c>
      <c r="C298" t="s">
        <v>72</v>
      </c>
      <c r="D298" t="s">
        <v>73</v>
      </c>
      <c r="E298" t="s">
        <v>74</v>
      </c>
      <c r="F298" t="s">
        <v>77</v>
      </c>
      <c r="G298" t="s">
        <v>76</v>
      </c>
      <c r="H298">
        <v>68.317760226526588</v>
      </c>
      <c r="I298">
        <v>2</v>
      </c>
      <c r="J298">
        <v>6</v>
      </c>
      <c r="K298">
        <v>5</v>
      </c>
      <c r="L298">
        <v>1</v>
      </c>
      <c r="M298">
        <v>7</v>
      </c>
      <c r="N298">
        <v>10</v>
      </c>
      <c r="O298">
        <v>-3</v>
      </c>
      <c r="P298">
        <v>6</v>
      </c>
      <c r="Q298">
        <v>5</v>
      </c>
      <c r="R298">
        <v>1</v>
      </c>
      <c r="S298">
        <v>8</v>
      </c>
      <c r="T298">
        <v>5</v>
      </c>
      <c r="U298">
        <v>3</v>
      </c>
      <c r="V298">
        <v>5</v>
      </c>
      <c r="W298">
        <v>2</v>
      </c>
      <c r="X298">
        <v>3</v>
      </c>
      <c r="Y298">
        <v>6</v>
      </c>
      <c r="Z298">
        <v>3</v>
      </c>
      <c r="AA298">
        <v>3</v>
      </c>
      <c r="AB298">
        <v>5</v>
      </c>
      <c r="AC298">
        <v>2</v>
      </c>
      <c r="AD298">
        <v>3</v>
      </c>
      <c r="AE298">
        <v>4</v>
      </c>
      <c r="AF298">
        <v>5</v>
      </c>
      <c r="AG298">
        <v>-1</v>
      </c>
      <c r="AH298">
        <v>6</v>
      </c>
      <c r="AI298">
        <v>5</v>
      </c>
      <c r="AJ298">
        <v>1</v>
      </c>
      <c r="AK298" t="s">
        <v>2857</v>
      </c>
      <c r="AL298" t="s">
        <v>2858</v>
      </c>
      <c r="AM298" t="s">
        <v>2859</v>
      </c>
      <c r="AN298" t="s">
        <v>2860</v>
      </c>
      <c r="AO298" t="s">
        <v>2861</v>
      </c>
      <c r="AP298" t="s">
        <v>2862</v>
      </c>
      <c r="AQ298" t="s">
        <v>2863</v>
      </c>
      <c r="AR298" t="s">
        <v>2864</v>
      </c>
      <c r="AS298" t="s">
        <v>2865</v>
      </c>
    </row>
    <row r="299" spans="1:45" x14ac:dyDescent="0.45">
      <c r="A299">
        <v>298</v>
      </c>
      <c r="B299">
        <v>12642</v>
      </c>
      <c r="C299" t="s">
        <v>78</v>
      </c>
      <c r="D299" t="s">
        <v>73</v>
      </c>
      <c r="E299" t="s">
        <v>74</v>
      </c>
      <c r="F299" t="s">
        <v>77</v>
      </c>
      <c r="G299" t="s">
        <v>161</v>
      </c>
      <c r="H299">
        <v>12</v>
      </c>
      <c r="I299">
        <v>0</v>
      </c>
      <c r="J299">
        <v>7</v>
      </c>
      <c r="K299">
        <v>5</v>
      </c>
      <c r="L299">
        <v>2</v>
      </c>
      <c r="M299">
        <v>8</v>
      </c>
      <c r="N299">
        <v>5</v>
      </c>
      <c r="O299">
        <v>3</v>
      </c>
      <c r="P299">
        <v>6</v>
      </c>
      <c r="Q299">
        <v>5</v>
      </c>
      <c r="R299">
        <v>1</v>
      </c>
      <c r="S299">
        <v>7</v>
      </c>
      <c r="T299">
        <v>10</v>
      </c>
      <c r="U299">
        <v>-3</v>
      </c>
      <c r="V299">
        <v>8</v>
      </c>
      <c r="W299">
        <v>10</v>
      </c>
      <c r="X299">
        <v>-2</v>
      </c>
      <c r="Y299">
        <v>7</v>
      </c>
      <c r="Z299">
        <v>5</v>
      </c>
      <c r="AA299">
        <v>2</v>
      </c>
      <c r="AB299">
        <v>6</v>
      </c>
      <c r="AC299">
        <v>5</v>
      </c>
      <c r="AD299">
        <v>1</v>
      </c>
      <c r="AE299">
        <v>7</v>
      </c>
      <c r="AF299">
        <v>5</v>
      </c>
      <c r="AG299">
        <v>2</v>
      </c>
      <c r="AH299">
        <v>8</v>
      </c>
      <c r="AI299">
        <v>5</v>
      </c>
      <c r="AJ299">
        <v>3</v>
      </c>
      <c r="AK299" t="s">
        <v>2866</v>
      </c>
      <c r="AL299" t="s">
        <v>2867</v>
      </c>
      <c r="AM299" t="s">
        <v>2868</v>
      </c>
      <c r="AN299" t="s">
        <v>2869</v>
      </c>
      <c r="AO299" t="s">
        <v>2870</v>
      </c>
      <c r="AP299" t="s">
        <v>2871</v>
      </c>
      <c r="AQ299" t="s">
        <v>2872</v>
      </c>
      <c r="AR299" t="s">
        <v>2873</v>
      </c>
      <c r="AS299" t="s">
        <v>2874</v>
      </c>
    </row>
    <row r="300" spans="1:45" x14ac:dyDescent="0.45">
      <c r="A300">
        <v>299</v>
      </c>
      <c r="B300">
        <v>12643</v>
      </c>
      <c r="C300" t="s">
        <v>78</v>
      </c>
      <c r="D300" t="s">
        <v>73</v>
      </c>
      <c r="E300" t="s">
        <v>74</v>
      </c>
      <c r="F300" t="s">
        <v>75</v>
      </c>
      <c r="G300" t="s">
        <v>76</v>
      </c>
      <c r="H300">
        <v>32.44069611738707</v>
      </c>
      <c r="I300">
        <v>0</v>
      </c>
      <c r="J300">
        <v>6</v>
      </c>
      <c r="K300">
        <v>10</v>
      </c>
      <c r="L300">
        <v>-4</v>
      </c>
      <c r="M300">
        <v>7</v>
      </c>
      <c r="N300">
        <v>10</v>
      </c>
      <c r="O300">
        <v>-3</v>
      </c>
      <c r="P300">
        <v>8</v>
      </c>
      <c r="Q300">
        <v>10</v>
      </c>
      <c r="R300">
        <v>-2</v>
      </c>
      <c r="S300">
        <v>9</v>
      </c>
      <c r="T300">
        <v>10</v>
      </c>
      <c r="U300">
        <v>-1</v>
      </c>
      <c r="V300">
        <v>8</v>
      </c>
      <c r="W300">
        <v>10</v>
      </c>
      <c r="X300">
        <v>-2</v>
      </c>
      <c r="Y300">
        <v>7</v>
      </c>
      <c r="Z300">
        <v>10</v>
      </c>
      <c r="AA300">
        <v>-3</v>
      </c>
      <c r="AB300">
        <v>8</v>
      </c>
      <c r="AC300">
        <v>10</v>
      </c>
      <c r="AD300">
        <v>-2</v>
      </c>
      <c r="AE300">
        <v>6</v>
      </c>
      <c r="AF300">
        <v>10</v>
      </c>
      <c r="AG300">
        <v>-4</v>
      </c>
      <c r="AH300">
        <v>7</v>
      </c>
      <c r="AI300">
        <v>10</v>
      </c>
      <c r="AJ300">
        <v>-3</v>
      </c>
      <c r="AK300" t="s">
        <v>2875</v>
      </c>
      <c r="AL300" t="s">
        <v>2876</v>
      </c>
      <c r="AM300" t="s">
        <v>2877</v>
      </c>
      <c r="AN300" t="s">
        <v>2878</v>
      </c>
      <c r="AO300" t="s">
        <v>2879</v>
      </c>
      <c r="AP300" t="s">
        <v>2880</v>
      </c>
      <c r="AQ300" t="s">
        <v>2881</v>
      </c>
      <c r="AR300" t="s">
        <v>2882</v>
      </c>
      <c r="AS300" t="s">
        <v>2883</v>
      </c>
    </row>
    <row r="301" spans="1:45" x14ac:dyDescent="0.45">
      <c r="A301">
        <v>300</v>
      </c>
      <c r="B301">
        <v>12644</v>
      </c>
      <c r="C301" t="s">
        <v>78</v>
      </c>
      <c r="D301" t="s">
        <v>73</v>
      </c>
      <c r="E301" t="s">
        <v>74</v>
      </c>
      <c r="F301" t="s">
        <v>77</v>
      </c>
      <c r="G301" t="s">
        <v>76</v>
      </c>
      <c r="H301">
        <v>25.493077285704377</v>
      </c>
      <c r="I301">
        <v>1</v>
      </c>
      <c r="J301">
        <v>7</v>
      </c>
      <c r="K301">
        <v>9</v>
      </c>
      <c r="L301">
        <v>-2</v>
      </c>
      <c r="M301">
        <v>8</v>
      </c>
      <c r="N301">
        <v>9</v>
      </c>
      <c r="O301">
        <v>-1</v>
      </c>
      <c r="P301">
        <v>8</v>
      </c>
      <c r="Q301">
        <v>8</v>
      </c>
      <c r="R301">
        <v>0</v>
      </c>
      <c r="S301">
        <v>9</v>
      </c>
      <c r="T301">
        <v>10</v>
      </c>
      <c r="U301">
        <v>-1</v>
      </c>
      <c r="V301">
        <v>7</v>
      </c>
      <c r="W301">
        <v>8</v>
      </c>
      <c r="X301">
        <v>-1</v>
      </c>
      <c r="Y301">
        <v>6</v>
      </c>
      <c r="Z301">
        <v>8</v>
      </c>
      <c r="AA301">
        <v>-2</v>
      </c>
      <c r="AB301">
        <v>6</v>
      </c>
      <c r="AC301">
        <v>10</v>
      </c>
      <c r="AD301">
        <v>-4</v>
      </c>
      <c r="AE301">
        <v>5</v>
      </c>
      <c r="AF301">
        <v>9</v>
      </c>
      <c r="AG301">
        <v>-4</v>
      </c>
      <c r="AH301">
        <v>6</v>
      </c>
      <c r="AI301">
        <v>9</v>
      </c>
      <c r="AJ301">
        <v>-3</v>
      </c>
      <c r="AK301" t="s">
        <v>2884</v>
      </c>
      <c r="AL301" t="s">
        <v>2885</v>
      </c>
      <c r="AM301" t="s">
        <v>2886</v>
      </c>
      <c r="AN301" t="s">
        <v>2887</v>
      </c>
      <c r="AO301" t="s">
        <v>2888</v>
      </c>
      <c r="AP301" t="s">
        <v>2889</v>
      </c>
      <c r="AQ301" t="s">
        <v>2890</v>
      </c>
      <c r="AR301" t="s">
        <v>2891</v>
      </c>
      <c r="AS301" t="s">
        <v>2892</v>
      </c>
    </row>
    <row r="302" spans="1:45" x14ac:dyDescent="0.45">
      <c r="A302">
        <v>301</v>
      </c>
      <c r="B302">
        <v>12645</v>
      </c>
      <c r="C302" t="s">
        <v>78</v>
      </c>
      <c r="D302" t="s">
        <v>81</v>
      </c>
      <c r="E302" t="s">
        <v>74</v>
      </c>
      <c r="F302" t="s">
        <v>77</v>
      </c>
      <c r="G302" t="s">
        <v>76</v>
      </c>
      <c r="H302">
        <v>12</v>
      </c>
      <c r="I302">
        <v>0</v>
      </c>
      <c r="J302">
        <v>4</v>
      </c>
      <c r="K302">
        <v>8</v>
      </c>
      <c r="L302">
        <v>-4</v>
      </c>
      <c r="M302">
        <v>5</v>
      </c>
      <c r="N302">
        <v>7</v>
      </c>
      <c r="O302">
        <v>-2</v>
      </c>
      <c r="P302">
        <v>7</v>
      </c>
      <c r="Q302">
        <v>9</v>
      </c>
      <c r="R302">
        <v>-2</v>
      </c>
      <c r="S302">
        <v>6</v>
      </c>
      <c r="T302">
        <v>5</v>
      </c>
      <c r="U302">
        <v>1</v>
      </c>
      <c r="V302">
        <v>5</v>
      </c>
      <c r="W302">
        <v>7</v>
      </c>
      <c r="X302">
        <v>-2</v>
      </c>
      <c r="Y302">
        <v>6</v>
      </c>
      <c r="Z302">
        <v>7</v>
      </c>
      <c r="AA302">
        <v>-1</v>
      </c>
      <c r="AB302">
        <v>5</v>
      </c>
      <c r="AC302">
        <v>7</v>
      </c>
      <c r="AD302">
        <v>-2</v>
      </c>
      <c r="AE302">
        <v>6</v>
      </c>
      <c r="AF302">
        <v>6</v>
      </c>
      <c r="AG302">
        <v>0</v>
      </c>
      <c r="AH302">
        <v>7</v>
      </c>
      <c r="AI302">
        <v>7</v>
      </c>
      <c r="AJ302">
        <v>0</v>
      </c>
      <c r="AK302" t="s">
        <v>2893</v>
      </c>
      <c r="AL302" t="s">
        <v>2894</v>
      </c>
      <c r="AM302" t="s">
        <v>2895</v>
      </c>
      <c r="AN302" t="s">
        <v>2896</v>
      </c>
      <c r="AO302" t="s">
        <v>2897</v>
      </c>
      <c r="AP302" t="s">
        <v>2898</v>
      </c>
      <c r="AQ302" t="s">
        <v>2899</v>
      </c>
      <c r="AR302" t="s">
        <v>2900</v>
      </c>
      <c r="AS302" t="s">
        <v>2901</v>
      </c>
    </row>
    <row r="303" spans="1:45" x14ac:dyDescent="0.45">
      <c r="A303">
        <v>302</v>
      </c>
      <c r="B303">
        <v>12646</v>
      </c>
      <c r="C303" t="s">
        <v>72</v>
      </c>
      <c r="D303" t="s">
        <v>73</v>
      </c>
      <c r="E303" t="s">
        <v>74</v>
      </c>
      <c r="F303" t="s">
        <v>77</v>
      </c>
      <c r="G303" t="s">
        <v>76</v>
      </c>
      <c r="H303">
        <v>29.180053897591208</v>
      </c>
      <c r="I303">
        <v>0</v>
      </c>
      <c r="J303">
        <v>8</v>
      </c>
      <c r="K303">
        <v>7</v>
      </c>
      <c r="L303">
        <v>1</v>
      </c>
      <c r="M303">
        <v>7</v>
      </c>
      <c r="N303">
        <v>7</v>
      </c>
      <c r="O303">
        <v>0</v>
      </c>
      <c r="P303">
        <v>9</v>
      </c>
      <c r="Q303">
        <v>4</v>
      </c>
      <c r="R303">
        <v>5</v>
      </c>
      <c r="S303">
        <v>8</v>
      </c>
      <c r="T303">
        <v>8</v>
      </c>
      <c r="U303">
        <v>0</v>
      </c>
      <c r="V303">
        <v>7</v>
      </c>
      <c r="W303">
        <v>7</v>
      </c>
      <c r="X303">
        <v>0</v>
      </c>
      <c r="Y303">
        <v>6</v>
      </c>
      <c r="Z303">
        <v>7</v>
      </c>
      <c r="AA303">
        <v>-1</v>
      </c>
      <c r="AB303">
        <v>5</v>
      </c>
      <c r="AC303">
        <v>5</v>
      </c>
      <c r="AD303">
        <v>0</v>
      </c>
      <c r="AE303">
        <v>4</v>
      </c>
      <c r="AF303">
        <v>5</v>
      </c>
      <c r="AG303">
        <v>-1</v>
      </c>
      <c r="AH303">
        <v>7</v>
      </c>
      <c r="AI303">
        <v>7</v>
      </c>
      <c r="AJ303">
        <v>0</v>
      </c>
      <c r="AK303" t="s">
        <v>2902</v>
      </c>
      <c r="AL303" t="s">
        <v>2903</v>
      </c>
      <c r="AM303" t="s">
        <v>2904</v>
      </c>
      <c r="AN303" t="s">
        <v>2905</v>
      </c>
      <c r="AO303" t="s">
        <v>2906</v>
      </c>
      <c r="AP303" t="s">
        <v>2907</v>
      </c>
      <c r="AQ303" t="s">
        <v>2908</v>
      </c>
      <c r="AR303" t="s">
        <v>2909</v>
      </c>
      <c r="AS303" t="s">
        <v>2910</v>
      </c>
    </row>
    <row r="304" spans="1:45" x14ac:dyDescent="0.45">
      <c r="A304">
        <v>303</v>
      </c>
      <c r="B304">
        <v>12647</v>
      </c>
      <c r="C304" t="s">
        <v>78</v>
      </c>
      <c r="D304" t="s">
        <v>73</v>
      </c>
      <c r="E304" t="s">
        <v>74</v>
      </c>
      <c r="F304" t="s">
        <v>77</v>
      </c>
      <c r="G304" t="s">
        <v>76</v>
      </c>
      <c r="H304">
        <v>24.889605446300539</v>
      </c>
      <c r="I304">
        <v>2</v>
      </c>
      <c r="J304">
        <v>9</v>
      </c>
      <c r="K304">
        <v>6</v>
      </c>
      <c r="L304">
        <v>3</v>
      </c>
      <c r="M304">
        <v>8</v>
      </c>
      <c r="N304">
        <v>10</v>
      </c>
      <c r="O304">
        <v>-2</v>
      </c>
      <c r="P304">
        <v>8</v>
      </c>
      <c r="Q304">
        <v>5</v>
      </c>
      <c r="R304">
        <v>3</v>
      </c>
      <c r="S304">
        <v>9</v>
      </c>
      <c r="T304">
        <v>4</v>
      </c>
      <c r="U304">
        <v>5</v>
      </c>
      <c r="V304">
        <v>7</v>
      </c>
      <c r="W304">
        <v>3</v>
      </c>
      <c r="X304">
        <v>4</v>
      </c>
      <c r="Y304">
        <v>5</v>
      </c>
      <c r="Z304">
        <v>7</v>
      </c>
      <c r="AA304">
        <v>-2</v>
      </c>
      <c r="AB304">
        <v>6</v>
      </c>
      <c r="AC304">
        <v>4</v>
      </c>
      <c r="AD304">
        <v>2</v>
      </c>
      <c r="AE304">
        <v>4</v>
      </c>
      <c r="AF304">
        <v>4</v>
      </c>
      <c r="AG304">
        <v>0</v>
      </c>
      <c r="AH304">
        <v>7</v>
      </c>
      <c r="AI304">
        <v>5</v>
      </c>
      <c r="AJ304">
        <v>2</v>
      </c>
      <c r="AK304" t="s">
        <v>2911</v>
      </c>
      <c r="AL304" t="s">
        <v>2912</v>
      </c>
      <c r="AM304" t="s">
        <v>2913</v>
      </c>
      <c r="AN304" t="s">
        <v>2905</v>
      </c>
      <c r="AO304" t="s">
        <v>2914</v>
      </c>
      <c r="AP304" t="s">
        <v>2915</v>
      </c>
      <c r="AQ304" t="s">
        <v>2916</v>
      </c>
      <c r="AR304" t="s">
        <v>2917</v>
      </c>
      <c r="AS304" t="s">
        <v>2918</v>
      </c>
    </row>
    <row r="305" spans="1:45" x14ac:dyDescent="0.45">
      <c r="A305">
        <v>304</v>
      </c>
      <c r="B305">
        <v>12648</v>
      </c>
      <c r="C305" t="s">
        <v>78</v>
      </c>
      <c r="D305" t="s">
        <v>81</v>
      </c>
      <c r="E305" t="s">
        <v>74</v>
      </c>
      <c r="F305" t="s">
        <v>75</v>
      </c>
      <c r="G305" t="s">
        <v>76</v>
      </c>
      <c r="H305">
        <v>12</v>
      </c>
      <c r="I305">
        <v>0</v>
      </c>
      <c r="J305">
        <v>7</v>
      </c>
      <c r="K305">
        <v>10</v>
      </c>
      <c r="L305">
        <v>-3</v>
      </c>
      <c r="M305">
        <v>8</v>
      </c>
      <c r="N305">
        <v>10</v>
      </c>
      <c r="O305">
        <v>-2</v>
      </c>
      <c r="P305">
        <v>6</v>
      </c>
      <c r="Q305">
        <v>10</v>
      </c>
      <c r="R305">
        <v>-4</v>
      </c>
      <c r="S305">
        <v>7</v>
      </c>
      <c r="T305">
        <v>10</v>
      </c>
      <c r="U305">
        <v>-3</v>
      </c>
      <c r="V305">
        <v>8</v>
      </c>
      <c r="W305">
        <v>10</v>
      </c>
      <c r="X305">
        <v>-2</v>
      </c>
      <c r="Y305">
        <v>7</v>
      </c>
      <c r="Z305">
        <v>10</v>
      </c>
      <c r="AA305">
        <v>-3</v>
      </c>
      <c r="AB305">
        <v>8</v>
      </c>
      <c r="AC305">
        <v>10</v>
      </c>
      <c r="AD305">
        <v>-2</v>
      </c>
      <c r="AE305">
        <v>7</v>
      </c>
      <c r="AF305">
        <v>10</v>
      </c>
      <c r="AG305">
        <v>-3</v>
      </c>
      <c r="AH305">
        <v>6</v>
      </c>
      <c r="AI305">
        <v>10</v>
      </c>
      <c r="AJ305">
        <v>-4</v>
      </c>
      <c r="AK305" t="s">
        <v>2919</v>
      </c>
      <c r="AL305" t="s">
        <v>2920</v>
      </c>
      <c r="AM305" t="s">
        <v>2921</v>
      </c>
      <c r="AN305" t="s">
        <v>2922</v>
      </c>
      <c r="AO305" t="s">
        <v>2923</v>
      </c>
      <c r="AP305" t="s">
        <v>2924</v>
      </c>
      <c r="AQ305" t="s">
        <v>2925</v>
      </c>
      <c r="AR305" t="s">
        <v>2926</v>
      </c>
      <c r="AS305" t="s">
        <v>2927</v>
      </c>
    </row>
    <row r="306" spans="1:45" x14ac:dyDescent="0.45">
      <c r="A306">
        <v>305</v>
      </c>
      <c r="B306">
        <v>12649</v>
      </c>
      <c r="C306" t="s">
        <v>78</v>
      </c>
      <c r="D306" t="s">
        <v>73</v>
      </c>
      <c r="E306" t="s">
        <v>74</v>
      </c>
      <c r="F306" t="s">
        <v>77</v>
      </c>
      <c r="G306" t="s">
        <v>76</v>
      </c>
      <c r="H306">
        <v>32.57063773134351</v>
      </c>
      <c r="I306">
        <v>0</v>
      </c>
      <c r="J306">
        <v>8</v>
      </c>
      <c r="K306">
        <v>7</v>
      </c>
      <c r="L306">
        <v>1</v>
      </c>
      <c r="M306">
        <v>7</v>
      </c>
      <c r="N306">
        <v>9</v>
      </c>
      <c r="O306">
        <v>-2</v>
      </c>
      <c r="P306">
        <v>9</v>
      </c>
      <c r="Q306">
        <v>8</v>
      </c>
      <c r="R306">
        <v>1</v>
      </c>
      <c r="S306">
        <v>8</v>
      </c>
      <c r="T306">
        <v>6</v>
      </c>
      <c r="U306">
        <v>2</v>
      </c>
      <c r="V306">
        <v>9</v>
      </c>
      <c r="W306">
        <v>5</v>
      </c>
      <c r="X306">
        <v>4</v>
      </c>
      <c r="Y306">
        <v>8</v>
      </c>
      <c r="Z306">
        <v>3</v>
      </c>
      <c r="AA306">
        <v>5</v>
      </c>
      <c r="AB306">
        <v>9</v>
      </c>
      <c r="AC306">
        <v>9</v>
      </c>
      <c r="AD306">
        <v>0</v>
      </c>
      <c r="AE306">
        <v>8</v>
      </c>
      <c r="AF306">
        <v>3</v>
      </c>
      <c r="AG306">
        <v>5</v>
      </c>
      <c r="AH306">
        <v>9</v>
      </c>
      <c r="AI306">
        <v>4</v>
      </c>
      <c r="AJ306">
        <v>5</v>
      </c>
      <c r="AK306" t="s">
        <v>2928</v>
      </c>
      <c r="AL306" t="s">
        <v>2929</v>
      </c>
      <c r="AM306" t="s">
        <v>2930</v>
      </c>
      <c r="AN306" t="s">
        <v>2931</v>
      </c>
      <c r="AO306" t="s">
        <v>2932</v>
      </c>
      <c r="AP306" t="s">
        <v>2933</v>
      </c>
      <c r="AQ306" t="s">
        <v>2934</v>
      </c>
      <c r="AR306" t="s">
        <v>2935</v>
      </c>
      <c r="AS306" t="s">
        <v>2936</v>
      </c>
    </row>
    <row r="307" spans="1:45" x14ac:dyDescent="0.45">
      <c r="A307">
        <v>306</v>
      </c>
      <c r="B307">
        <v>12650</v>
      </c>
      <c r="C307" t="s">
        <v>72</v>
      </c>
      <c r="D307" t="s">
        <v>79</v>
      </c>
      <c r="E307" t="s">
        <v>74</v>
      </c>
      <c r="F307" t="s">
        <v>77</v>
      </c>
      <c r="G307" t="s">
        <v>76</v>
      </c>
      <c r="H307">
        <v>67.890443679752039</v>
      </c>
      <c r="I307">
        <v>3</v>
      </c>
      <c r="J307">
        <v>7</v>
      </c>
      <c r="K307">
        <v>3</v>
      </c>
      <c r="L307">
        <v>4</v>
      </c>
      <c r="M307">
        <v>8</v>
      </c>
      <c r="N307">
        <v>8</v>
      </c>
      <c r="O307">
        <v>0</v>
      </c>
      <c r="P307">
        <v>7</v>
      </c>
      <c r="Q307">
        <v>8</v>
      </c>
      <c r="R307">
        <v>-1</v>
      </c>
      <c r="S307">
        <v>8</v>
      </c>
      <c r="T307">
        <v>4</v>
      </c>
      <c r="U307">
        <v>4</v>
      </c>
      <c r="V307">
        <v>7</v>
      </c>
      <c r="W307">
        <v>4</v>
      </c>
      <c r="X307">
        <v>3</v>
      </c>
      <c r="Y307">
        <v>8</v>
      </c>
      <c r="Z307">
        <v>3</v>
      </c>
      <c r="AA307">
        <v>5</v>
      </c>
      <c r="AB307">
        <v>7</v>
      </c>
      <c r="AC307">
        <v>7</v>
      </c>
      <c r="AD307">
        <v>0</v>
      </c>
      <c r="AE307">
        <v>8</v>
      </c>
      <c r="AF307">
        <v>5</v>
      </c>
      <c r="AG307">
        <v>3</v>
      </c>
      <c r="AH307">
        <v>7</v>
      </c>
      <c r="AI307">
        <v>5</v>
      </c>
      <c r="AJ307">
        <v>2</v>
      </c>
      <c r="AK307" t="s">
        <v>2937</v>
      </c>
      <c r="AL307" t="s">
        <v>2938</v>
      </c>
      <c r="AM307" t="s">
        <v>2939</v>
      </c>
      <c r="AN307" t="s">
        <v>1675</v>
      </c>
      <c r="AO307" t="s">
        <v>2940</v>
      </c>
      <c r="AP307" t="s">
        <v>2941</v>
      </c>
      <c r="AQ307" t="s">
        <v>2942</v>
      </c>
      <c r="AR307" t="s">
        <v>2943</v>
      </c>
      <c r="AS307" t="s">
        <v>2944</v>
      </c>
    </row>
    <row r="308" spans="1:45" x14ac:dyDescent="0.45">
      <c r="A308">
        <v>307</v>
      </c>
      <c r="B308">
        <v>12651</v>
      </c>
      <c r="C308" t="s">
        <v>72</v>
      </c>
      <c r="D308" t="s">
        <v>192</v>
      </c>
      <c r="E308" t="s">
        <v>74</v>
      </c>
      <c r="F308" t="s">
        <v>75</v>
      </c>
      <c r="G308" t="s">
        <v>161</v>
      </c>
      <c r="H308">
        <v>12.333176127212651</v>
      </c>
      <c r="I308">
        <v>2</v>
      </c>
      <c r="J308">
        <v>7</v>
      </c>
      <c r="K308">
        <v>2</v>
      </c>
      <c r="L308">
        <v>5</v>
      </c>
      <c r="M308">
        <v>7</v>
      </c>
      <c r="N308">
        <v>2</v>
      </c>
      <c r="O308">
        <v>5</v>
      </c>
      <c r="P308">
        <v>8</v>
      </c>
      <c r="Q308">
        <v>2</v>
      </c>
      <c r="R308">
        <v>6</v>
      </c>
      <c r="S308">
        <v>9</v>
      </c>
      <c r="T308">
        <v>1</v>
      </c>
      <c r="U308">
        <v>8</v>
      </c>
      <c r="V308">
        <v>7</v>
      </c>
      <c r="W308">
        <v>2</v>
      </c>
      <c r="X308">
        <v>5</v>
      </c>
      <c r="Y308">
        <v>7</v>
      </c>
      <c r="Z308">
        <v>2</v>
      </c>
      <c r="AA308">
        <v>5</v>
      </c>
      <c r="AB308">
        <v>8</v>
      </c>
      <c r="AC308">
        <v>2</v>
      </c>
      <c r="AD308">
        <v>6</v>
      </c>
      <c r="AE308">
        <v>7</v>
      </c>
      <c r="AF308">
        <v>2</v>
      </c>
      <c r="AG308">
        <v>5</v>
      </c>
      <c r="AH308">
        <v>8</v>
      </c>
      <c r="AI308">
        <v>2</v>
      </c>
      <c r="AJ308">
        <v>6</v>
      </c>
      <c r="AK308" t="s">
        <v>2945</v>
      </c>
      <c r="AL308" t="s">
        <v>2946</v>
      </c>
      <c r="AM308" t="s">
        <v>2947</v>
      </c>
      <c r="AN308" t="s">
        <v>2948</v>
      </c>
      <c r="AO308" t="s">
        <v>2949</v>
      </c>
      <c r="AP308" t="s">
        <v>2950</v>
      </c>
      <c r="AQ308" t="s">
        <v>2951</v>
      </c>
      <c r="AR308" t="s">
        <v>2952</v>
      </c>
      <c r="AS308" t="s">
        <v>2953</v>
      </c>
    </row>
    <row r="309" spans="1:45" x14ac:dyDescent="0.45">
      <c r="A309">
        <v>308</v>
      </c>
      <c r="B309">
        <v>12652</v>
      </c>
      <c r="C309" t="s">
        <v>72</v>
      </c>
      <c r="D309" t="s">
        <v>79</v>
      </c>
      <c r="E309" t="s">
        <v>74</v>
      </c>
      <c r="F309" t="s">
        <v>75</v>
      </c>
      <c r="G309" t="s">
        <v>76</v>
      </c>
      <c r="H309">
        <v>219.2113405072491</v>
      </c>
      <c r="I309">
        <v>2</v>
      </c>
      <c r="J309">
        <v>7</v>
      </c>
      <c r="K309">
        <v>10</v>
      </c>
      <c r="L309">
        <v>-3</v>
      </c>
      <c r="M309">
        <v>6</v>
      </c>
      <c r="N309">
        <v>8</v>
      </c>
      <c r="O309">
        <v>-2</v>
      </c>
      <c r="P309">
        <v>4</v>
      </c>
      <c r="Q309">
        <v>8</v>
      </c>
      <c r="R309">
        <v>-4</v>
      </c>
      <c r="S309">
        <v>8</v>
      </c>
      <c r="T309">
        <v>8</v>
      </c>
      <c r="U309">
        <v>0</v>
      </c>
      <c r="V309">
        <v>6</v>
      </c>
      <c r="W309">
        <v>10</v>
      </c>
      <c r="X309">
        <v>-4</v>
      </c>
      <c r="Y309">
        <v>7</v>
      </c>
      <c r="Z309">
        <v>10</v>
      </c>
      <c r="AA309">
        <v>-3</v>
      </c>
      <c r="AB309">
        <v>5</v>
      </c>
      <c r="AC309">
        <v>6</v>
      </c>
      <c r="AD309">
        <v>-1</v>
      </c>
      <c r="AE309">
        <v>8</v>
      </c>
      <c r="AF309">
        <v>8</v>
      </c>
      <c r="AG309">
        <v>0</v>
      </c>
      <c r="AH309">
        <v>9</v>
      </c>
      <c r="AI309">
        <v>8</v>
      </c>
      <c r="AJ309">
        <v>1</v>
      </c>
      <c r="AK309" t="s">
        <v>2954</v>
      </c>
      <c r="AL309" t="s">
        <v>2955</v>
      </c>
      <c r="AM309" t="s">
        <v>2956</v>
      </c>
      <c r="AN309" t="s">
        <v>2957</v>
      </c>
      <c r="AO309" t="s">
        <v>2958</v>
      </c>
      <c r="AP309" t="s">
        <v>2959</v>
      </c>
      <c r="AQ309" t="s">
        <v>2960</v>
      </c>
      <c r="AR309" t="s">
        <v>2961</v>
      </c>
      <c r="AS309" t="s">
        <v>2962</v>
      </c>
    </row>
    <row r="310" spans="1:45" x14ac:dyDescent="0.45">
      <c r="A310">
        <v>309</v>
      </c>
      <c r="B310">
        <v>12653</v>
      </c>
      <c r="C310" t="s">
        <v>78</v>
      </c>
      <c r="D310" t="s">
        <v>73</v>
      </c>
      <c r="E310" t="s">
        <v>74</v>
      </c>
      <c r="F310" t="s">
        <v>77</v>
      </c>
      <c r="G310" t="s">
        <v>76</v>
      </c>
      <c r="H310">
        <v>57.593945901295918</v>
      </c>
      <c r="I310">
        <v>1</v>
      </c>
      <c r="J310">
        <v>8</v>
      </c>
      <c r="K310">
        <v>10</v>
      </c>
      <c r="L310">
        <v>-2</v>
      </c>
      <c r="M310">
        <v>9</v>
      </c>
      <c r="N310">
        <v>10</v>
      </c>
      <c r="O310">
        <v>-1</v>
      </c>
      <c r="P310">
        <v>7</v>
      </c>
      <c r="Q310">
        <v>10</v>
      </c>
      <c r="R310">
        <v>-3</v>
      </c>
      <c r="S310">
        <v>6</v>
      </c>
      <c r="T310">
        <v>10</v>
      </c>
      <c r="U310">
        <v>-4</v>
      </c>
      <c r="V310">
        <v>8</v>
      </c>
      <c r="W310">
        <v>10</v>
      </c>
      <c r="X310">
        <v>-2</v>
      </c>
      <c r="Y310">
        <v>7</v>
      </c>
      <c r="Z310">
        <v>9</v>
      </c>
      <c r="AA310">
        <v>-2</v>
      </c>
      <c r="AB310">
        <v>6</v>
      </c>
      <c r="AC310">
        <v>9</v>
      </c>
      <c r="AD310">
        <v>-3</v>
      </c>
      <c r="AE310">
        <v>5</v>
      </c>
      <c r="AF310">
        <v>10</v>
      </c>
      <c r="AG310">
        <v>-5</v>
      </c>
      <c r="AH310">
        <v>7</v>
      </c>
      <c r="AI310">
        <v>10</v>
      </c>
      <c r="AJ310">
        <v>-3</v>
      </c>
      <c r="AK310" t="s">
        <v>2963</v>
      </c>
      <c r="AL310" t="s">
        <v>2964</v>
      </c>
      <c r="AM310" t="s">
        <v>2965</v>
      </c>
      <c r="AN310" t="s">
        <v>2966</v>
      </c>
      <c r="AO310" t="s">
        <v>2967</v>
      </c>
      <c r="AP310" t="s">
        <v>2968</v>
      </c>
      <c r="AQ310" t="s">
        <v>2969</v>
      </c>
      <c r="AR310" t="s">
        <v>2970</v>
      </c>
      <c r="AS310" t="s">
        <v>2971</v>
      </c>
    </row>
    <row r="311" spans="1:45" x14ac:dyDescent="0.45">
      <c r="A311">
        <v>310</v>
      </c>
      <c r="B311">
        <v>12654</v>
      </c>
      <c r="C311" t="s">
        <v>72</v>
      </c>
      <c r="D311" t="s">
        <v>188</v>
      </c>
      <c r="E311" t="s">
        <v>74</v>
      </c>
      <c r="F311" t="s">
        <v>77</v>
      </c>
      <c r="G311" t="s">
        <v>76</v>
      </c>
      <c r="H311">
        <v>20.941939360557114</v>
      </c>
      <c r="I311">
        <v>0</v>
      </c>
      <c r="J311">
        <v>8</v>
      </c>
      <c r="K311">
        <v>7</v>
      </c>
      <c r="L311">
        <v>1</v>
      </c>
      <c r="M311">
        <v>7</v>
      </c>
      <c r="N311">
        <v>7</v>
      </c>
      <c r="O311">
        <v>0</v>
      </c>
      <c r="P311">
        <v>9</v>
      </c>
      <c r="Q311">
        <v>5</v>
      </c>
      <c r="R311">
        <v>4</v>
      </c>
      <c r="S311">
        <v>7</v>
      </c>
      <c r="T311">
        <v>8</v>
      </c>
      <c r="U311">
        <v>-1</v>
      </c>
      <c r="V311">
        <v>8</v>
      </c>
      <c r="W311">
        <v>8</v>
      </c>
      <c r="X311">
        <v>0</v>
      </c>
      <c r="Y311">
        <v>7</v>
      </c>
      <c r="Z311">
        <v>9</v>
      </c>
      <c r="AA311">
        <v>-2</v>
      </c>
      <c r="AB311">
        <v>8</v>
      </c>
      <c r="AC311">
        <v>9</v>
      </c>
      <c r="AD311">
        <v>-1</v>
      </c>
      <c r="AE311">
        <v>6</v>
      </c>
      <c r="AF311">
        <v>9</v>
      </c>
      <c r="AG311">
        <v>-3</v>
      </c>
      <c r="AH311">
        <v>7</v>
      </c>
      <c r="AI311">
        <v>10</v>
      </c>
      <c r="AJ311">
        <v>-3</v>
      </c>
      <c r="AK311" t="s">
        <v>2972</v>
      </c>
      <c r="AL311" t="s">
        <v>2973</v>
      </c>
      <c r="AM311" t="s">
        <v>2974</v>
      </c>
      <c r="AN311" t="s">
        <v>2975</v>
      </c>
      <c r="AO311" t="s">
        <v>2976</v>
      </c>
      <c r="AP311" t="s">
        <v>2977</v>
      </c>
      <c r="AQ311" t="s">
        <v>2978</v>
      </c>
      <c r="AR311" t="s">
        <v>2979</v>
      </c>
      <c r="AS311" t="s">
        <v>2980</v>
      </c>
    </row>
    <row r="312" spans="1:45" x14ac:dyDescent="0.45">
      <c r="A312">
        <v>311</v>
      </c>
      <c r="B312">
        <v>12655</v>
      </c>
      <c r="C312" t="s">
        <v>72</v>
      </c>
      <c r="D312" t="s">
        <v>188</v>
      </c>
      <c r="E312" t="s">
        <v>74</v>
      </c>
      <c r="F312" t="s">
        <v>77</v>
      </c>
      <c r="G312" t="s">
        <v>76</v>
      </c>
      <c r="H312">
        <v>16.669150897098412</v>
      </c>
      <c r="I312">
        <v>0</v>
      </c>
      <c r="J312">
        <v>7</v>
      </c>
      <c r="K312">
        <v>6</v>
      </c>
      <c r="L312">
        <v>1</v>
      </c>
      <c r="M312">
        <v>8</v>
      </c>
      <c r="N312">
        <v>5</v>
      </c>
      <c r="O312">
        <v>3</v>
      </c>
      <c r="P312">
        <v>6</v>
      </c>
      <c r="Q312">
        <v>4</v>
      </c>
      <c r="R312">
        <v>2</v>
      </c>
      <c r="S312">
        <v>9</v>
      </c>
      <c r="T312">
        <v>7</v>
      </c>
      <c r="U312">
        <v>2</v>
      </c>
      <c r="V312">
        <v>7</v>
      </c>
      <c r="W312">
        <v>5</v>
      </c>
      <c r="X312">
        <v>2</v>
      </c>
      <c r="Y312">
        <v>8</v>
      </c>
      <c r="Z312">
        <v>6</v>
      </c>
      <c r="AA312">
        <v>2</v>
      </c>
      <c r="AB312">
        <v>6</v>
      </c>
      <c r="AC312">
        <v>6</v>
      </c>
      <c r="AD312">
        <v>0</v>
      </c>
      <c r="AE312">
        <v>5</v>
      </c>
      <c r="AF312">
        <v>7</v>
      </c>
      <c r="AG312">
        <v>-2</v>
      </c>
      <c r="AH312">
        <v>7</v>
      </c>
      <c r="AI312">
        <v>7</v>
      </c>
      <c r="AJ312">
        <v>0</v>
      </c>
      <c r="AK312" t="s">
        <v>2981</v>
      </c>
      <c r="AL312" t="s">
        <v>2982</v>
      </c>
      <c r="AM312" t="s">
        <v>2983</v>
      </c>
      <c r="AN312" t="s">
        <v>2984</v>
      </c>
      <c r="AO312" t="s">
        <v>2985</v>
      </c>
      <c r="AP312" t="s">
        <v>2986</v>
      </c>
      <c r="AQ312" t="s">
        <v>2987</v>
      </c>
      <c r="AR312" t="s">
        <v>2988</v>
      </c>
      <c r="AS312" t="s">
        <v>2989</v>
      </c>
    </row>
    <row r="313" spans="1:45" x14ac:dyDescent="0.45">
      <c r="A313">
        <v>312</v>
      </c>
      <c r="B313">
        <v>12656</v>
      </c>
      <c r="C313" t="s">
        <v>78</v>
      </c>
      <c r="D313" t="s">
        <v>81</v>
      </c>
      <c r="E313" t="s">
        <v>74</v>
      </c>
      <c r="F313" t="s">
        <v>77</v>
      </c>
      <c r="G313" t="s">
        <v>76</v>
      </c>
      <c r="H313">
        <v>21.162094279206197</v>
      </c>
      <c r="I313">
        <v>0</v>
      </c>
      <c r="J313">
        <v>6</v>
      </c>
      <c r="K313">
        <v>8</v>
      </c>
      <c r="L313">
        <v>-2</v>
      </c>
      <c r="M313">
        <v>8</v>
      </c>
      <c r="N313">
        <v>9</v>
      </c>
      <c r="O313">
        <v>-1</v>
      </c>
      <c r="P313">
        <v>7</v>
      </c>
      <c r="Q313">
        <v>10</v>
      </c>
      <c r="R313">
        <v>-3</v>
      </c>
      <c r="S313">
        <v>8</v>
      </c>
      <c r="T313">
        <v>10</v>
      </c>
      <c r="U313">
        <v>-2</v>
      </c>
      <c r="V313">
        <v>7</v>
      </c>
      <c r="W313">
        <v>8</v>
      </c>
      <c r="X313">
        <v>-1</v>
      </c>
      <c r="Y313">
        <v>8</v>
      </c>
      <c r="Z313">
        <v>9</v>
      </c>
      <c r="AA313">
        <v>-1</v>
      </c>
      <c r="AB313">
        <v>7</v>
      </c>
      <c r="AC313">
        <v>8</v>
      </c>
      <c r="AD313">
        <v>-1</v>
      </c>
      <c r="AE313">
        <v>8</v>
      </c>
      <c r="AF313">
        <v>8</v>
      </c>
      <c r="AG313">
        <v>0</v>
      </c>
      <c r="AH313">
        <v>6</v>
      </c>
      <c r="AI313">
        <v>10</v>
      </c>
      <c r="AJ313">
        <v>-4</v>
      </c>
      <c r="AK313" t="s">
        <v>2990</v>
      </c>
      <c r="AL313" t="s">
        <v>2991</v>
      </c>
      <c r="AM313" t="s">
        <v>2992</v>
      </c>
      <c r="AN313" t="s">
        <v>2993</v>
      </c>
      <c r="AO313" t="s">
        <v>2994</v>
      </c>
      <c r="AP313" t="s">
        <v>2995</v>
      </c>
      <c r="AQ313" t="s">
        <v>2996</v>
      </c>
      <c r="AR313" t="s">
        <v>2997</v>
      </c>
      <c r="AS313" t="s">
        <v>2998</v>
      </c>
    </row>
    <row r="314" spans="1:45" x14ac:dyDescent="0.45">
      <c r="A314">
        <v>313</v>
      </c>
      <c r="B314">
        <v>12657</v>
      </c>
      <c r="C314" t="s">
        <v>78</v>
      </c>
      <c r="D314" t="s">
        <v>188</v>
      </c>
      <c r="E314" t="s">
        <v>74</v>
      </c>
      <c r="F314" t="s">
        <v>77</v>
      </c>
      <c r="G314" t="s">
        <v>76</v>
      </c>
      <c r="H314">
        <v>16.672525263306586</v>
      </c>
      <c r="I314">
        <v>0</v>
      </c>
      <c r="J314">
        <v>7</v>
      </c>
      <c r="K314">
        <v>6</v>
      </c>
      <c r="L314">
        <v>1</v>
      </c>
      <c r="M314">
        <v>6</v>
      </c>
      <c r="N314">
        <v>6</v>
      </c>
      <c r="O314">
        <v>0</v>
      </c>
      <c r="P314">
        <v>5</v>
      </c>
      <c r="Q314">
        <v>7</v>
      </c>
      <c r="R314">
        <v>-2</v>
      </c>
      <c r="S314">
        <v>8</v>
      </c>
      <c r="T314">
        <v>7</v>
      </c>
      <c r="U314">
        <v>1</v>
      </c>
      <c r="V314">
        <v>7</v>
      </c>
      <c r="W314">
        <v>7</v>
      </c>
      <c r="X314">
        <v>0</v>
      </c>
      <c r="Y314">
        <v>6</v>
      </c>
      <c r="Z314">
        <v>8</v>
      </c>
      <c r="AA314">
        <v>-2</v>
      </c>
      <c r="AB314">
        <v>5</v>
      </c>
      <c r="AC314">
        <v>5</v>
      </c>
      <c r="AD314">
        <v>0</v>
      </c>
      <c r="AE314">
        <v>4</v>
      </c>
      <c r="AF314">
        <v>5</v>
      </c>
      <c r="AG314">
        <v>-1</v>
      </c>
      <c r="AH314">
        <v>6</v>
      </c>
      <c r="AI314">
        <v>8</v>
      </c>
      <c r="AJ314">
        <v>-2</v>
      </c>
      <c r="AK314" t="s">
        <v>2999</v>
      </c>
      <c r="AL314" t="s">
        <v>3000</v>
      </c>
      <c r="AM314" t="s">
        <v>3001</v>
      </c>
      <c r="AN314" t="s">
        <v>3002</v>
      </c>
      <c r="AO314" t="s">
        <v>3003</v>
      </c>
      <c r="AP314" t="s">
        <v>3004</v>
      </c>
      <c r="AQ314" t="s">
        <v>3005</v>
      </c>
      <c r="AR314" t="s">
        <v>3006</v>
      </c>
      <c r="AS314" t="s">
        <v>3007</v>
      </c>
    </row>
    <row r="315" spans="1:45" x14ac:dyDescent="0.45">
      <c r="A315">
        <v>314</v>
      </c>
      <c r="B315">
        <v>12658</v>
      </c>
      <c r="C315" t="s">
        <v>72</v>
      </c>
      <c r="D315" t="s">
        <v>188</v>
      </c>
      <c r="E315" t="s">
        <v>74</v>
      </c>
      <c r="F315" t="s">
        <v>77</v>
      </c>
      <c r="G315" t="s">
        <v>76</v>
      </c>
      <c r="H315">
        <v>16.853699332144384</v>
      </c>
      <c r="I315">
        <v>0</v>
      </c>
      <c r="J315">
        <v>8</v>
      </c>
      <c r="K315">
        <v>7</v>
      </c>
      <c r="L315">
        <v>1</v>
      </c>
      <c r="M315">
        <v>9</v>
      </c>
      <c r="N315">
        <v>8</v>
      </c>
      <c r="O315">
        <v>1</v>
      </c>
      <c r="P315">
        <v>7</v>
      </c>
      <c r="Q315">
        <v>8</v>
      </c>
      <c r="R315">
        <v>-1</v>
      </c>
      <c r="S315">
        <v>8</v>
      </c>
      <c r="T315">
        <v>8</v>
      </c>
      <c r="U315">
        <v>0</v>
      </c>
      <c r="V315">
        <v>7</v>
      </c>
      <c r="W315">
        <v>5</v>
      </c>
      <c r="X315">
        <v>2</v>
      </c>
      <c r="Y315">
        <v>8</v>
      </c>
      <c r="Z315">
        <v>8</v>
      </c>
      <c r="AA315">
        <v>0</v>
      </c>
      <c r="AB315">
        <v>7</v>
      </c>
      <c r="AC315">
        <v>6</v>
      </c>
      <c r="AD315">
        <v>1</v>
      </c>
      <c r="AE315">
        <v>6</v>
      </c>
      <c r="AF315">
        <v>6</v>
      </c>
      <c r="AG315">
        <v>0</v>
      </c>
      <c r="AH315">
        <v>7</v>
      </c>
      <c r="AI315">
        <v>8</v>
      </c>
      <c r="AJ315">
        <v>-1</v>
      </c>
      <c r="AK315" t="s">
        <v>3008</v>
      </c>
      <c r="AL315" t="s">
        <v>3009</v>
      </c>
      <c r="AM315" t="s">
        <v>3010</v>
      </c>
      <c r="AN315" t="s">
        <v>3011</v>
      </c>
      <c r="AO315" t="s">
        <v>3012</v>
      </c>
      <c r="AP315" t="s">
        <v>3013</v>
      </c>
      <c r="AQ315" t="s">
        <v>3014</v>
      </c>
      <c r="AR315" t="s">
        <v>3015</v>
      </c>
      <c r="AS315" t="s">
        <v>3016</v>
      </c>
    </row>
    <row r="316" spans="1:45" x14ac:dyDescent="0.45">
      <c r="A316">
        <v>315</v>
      </c>
      <c r="B316">
        <v>12659</v>
      </c>
      <c r="C316" t="s">
        <v>78</v>
      </c>
      <c r="D316" t="s">
        <v>188</v>
      </c>
      <c r="E316" t="s">
        <v>74</v>
      </c>
      <c r="F316" t="s">
        <v>77</v>
      </c>
      <c r="G316" t="s">
        <v>76</v>
      </c>
      <c r="H316">
        <v>19.883375120681503</v>
      </c>
      <c r="I316">
        <v>0</v>
      </c>
      <c r="J316">
        <v>8</v>
      </c>
      <c r="K316">
        <v>4</v>
      </c>
      <c r="L316">
        <v>4</v>
      </c>
      <c r="M316">
        <v>7</v>
      </c>
      <c r="N316">
        <v>5</v>
      </c>
      <c r="O316">
        <v>2</v>
      </c>
      <c r="P316">
        <v>8</v>
      </c>
      <c r="Q316">
        <v>5</v>
      </c>
      <c r="R316">
        <v>3</v>
      </c>
      <c r="S316">
        <v>9</v>
      </c>
      <c r="T316">
        <v>7</v>
      </c>
      <c r="U316">
        <v>2</v>
      </c>
      <c r="V316">
        <v>8</v>
      </c>
      <c r="W316">
        <v>5</v>
      </c>
      <c r="X316">
        <v>3</v>
      </c>
      <c r="Y316">
        <v>7</v>
      </c>
      <c r="Z316">
        <v>8</v>
      </c>
      <c r="AA316">
        <v>-1</v>
      </c>
      <c r="AB316">
        <v>8</v>
      </c>
      <c r="AC316">
        <v>5</v>
      </c>
      <c r="AD316">
        <v>3</v>
      </c>
      <c r="AE316">
        <v>7</v>
      </c>
      <c r="AF316">
        <v>6</v>
      </c>
      <c r="AG316">
        <v>1</v>
      </c>
      <c r="AH316">
        <v>8</v>
      </c>
      <c r="AI316">
        <v>8</v>
      </c>
      <c r="AJ316">
        <v>0</v>
      </c>
      <c r="AK316" t="s">
        <v>3017</v>
      </c>
      <c r="AL316" t="s">
        <v>3018</v>
      </c>
      <c r="AM316" t="s">
        <v>3019</v>
      </c>
      <c r="AN316" t="s">
        <v>3020</v>
      </c>
      <c r="AO316" t="s">
        <v>3021</v>
      </c>
      <c r="AP316" t="s">
        <v>3022</v>
      </c>
      <c r="AQ316" t="s">
        <v>3023</v>
      </c>
      <c r="AR316" t="s">
        <v>3024</v>
      </c>
      <c r="AS316" t="s">
        <v>3025</v>
      </c>
    </row>
    <row r="317" spans="1:45" x14ac:dyDescent="0.45">
      <c r="A317">
        <v>316</v>
      </c>
      <c r="B317">
        <v>12660</v>
      </c>
      <c r="C317" t="s">
        <v>72</v>
      </c>
      <c r="D317" t="s">
        <v>81</v>
      </c>
      <c r="E317" t="s">
        <v>74</v>
      </c>
      <c r="F317" t="s">
        <v>77</v>
      </c>
      <c r="G317" t="s">
        <v>76</v>
      </c>
      <c r="H317">
        <v>23.434193889157577</v>
      </c>
      <c r="I317">
        <v>0</v>
      </c>
      <c r="J317">
        <v>7</v>
      </c>
      <c r="K317">
        <v>6</v>
      </c>
      <c r="L317">
        <v>1</v>
      </c>
      <c r="M317">
        <v>8</v>
      </c>
      <c r="N317">
        <v>8</v>
      </c>
      <c r="O317">
        <v>0</v>
      </c>
      <c r="P317">
        <v>6</v>
      </c>
      <c r="Q317">
        <v>5</v>
      </c>
      <c r="R317">
        <v>1</v>
      </c>
      <c r="S317">
        <v>8</v>
      </c>
      <c r="T317">
        <v>6</v>
      </c>
      <c r="U317">
        <v>2</v>
      </c>
      <c r="V317">
        <v>7</v>
      </c>
      <c r="W317">
        <v>6</v>
      </c>
      <c r="X317">
        <v>1</v>
      </c>
      <c r="Y317">
        <v>7</v>
      </c>
      <c r="Z317">
        <v>7</v>
      </c>
      <c r="AA317">
        <v>0</v>
      </c>
      <c r="AB317">
        <v>6</v>
      </c>
      <c r="AC317">
        <v>6</v>
      </c>
      <c r="AD317">
        <v>0</v>
      </c>
      <c r="AE317">
        <v>5</v>
      </c>
      <c r="AF317">
        <v>7</v>
      </c>
      <c r="AG317">
        <v>-2</v>
      </c>
      <c r="AH317">
        <v>7</v>
      </c>
      <c r="AI317">
        <v>7</v>
      </c>
      <c r="AJ317">
        <v>0</v>
      </c>
      <c r="AK317" t="s">
        <v>3026</v>
      </c>
      <c r="AL317" t="s">
        <v>3027</v>
      </c>
      <c r="AM317" t="s">
        <v>3028</v>
      </c>
      <c r="AN317" t="s">
        <v>3029</v>
      </c>
      <c r="AO317" t="s">
        <v>3030</v>
      </c>
      <c r="AP317" t="s">
        <v>3031</v>
      </c>
      <c r="AQ317" t="s">
        <v>3032</v>
      </c>
      <c r="AR317" t="s">
        <v>3033</v>
      </c>
      <c r="AS317" t="s">
        <v>3034</v>
      </c>
    </row>
    <row r="318" spans="1:45" x14ac:dyDescent="0.45">
      <c r="A318">
        <v>317</v>
      </c>
      <c r="B318">
        <v>12661</v>
      </c>
      <c r="C318" t="s">
        <v>72</v>
      </c>
      <c r="D318" t="s">
        <v>188</v>
      </c>
      <c r="E318" t="s">
        <v>74</v>
      </c>
      <c r="F318" t="s">
        <v>77</v>
      </c>
      <c r="G318" t="s">
        <v>76</v>
      </c>
      <c r="H318">
        <v>13.189205483468264</v>
      </c>
      <c r="I318">
        <v>0</v>
      </c>
      <c r="J318">
        <v>7</v>
      </c>
      <c r="K318">
        <v>7</v>
      </c>
      <c r="L318">
        <v>0</v>
      </c>
      <c r="M318">
        <v>8</v>
      </c>
      <c r="N318">
        <v>7</v>
      </c>
      <c r="O318">
        <v>1</v>
      </c>
      <c r="P318">
        <v>9</v>
      </c>
      <c r="Q318">
        <v>5</v>
      </c>
      <c r="R318">
        <v>4</v>
      </c>
      <c r="S318">
        <v>7</v>
      </c>
      <c r="T318">
        <v>8</v>
      </c>
      <c r="U318">
        <v>-1</v>
      </c>
      <c r="V318">
        <v>8</v>
      </c>
      <c r="W318">
        <v>5</v>
      </c>
      <c r="X318">
        <v>3</v>
      </c>
      <c r="Y318">
        <v>7</v>
      </c>
      <c r="Z318">
        <v>8</v>
      </c>
      <c r="AA318">
        <v>-1</v>
      </c>
      <c r="AB318">
        <v>8</v>
      </c>
      <c r="AC318">
        <v>5</v>
      </c>
      <c r="AD318">
        <v>3</v>
      </c>
      <c r="AE318">
        <v>5</v>
      </c>
      <c r="AF318">
        <v>7</v>
      </c>
      <c r="AG318">
        <v>-2</v>
      </c>
      <c r="AH318">
        <v>8</v>
      </c>
      <c r="AI318">
        <v>8</v>
      </c>
      <c r="AJ318">
        <v>0</v>
      </c>
      <c r="AK318" t="s">
        <v>3035</v>
      </c>
      <c r="AL318" t="s">
        <v>3036</v>
      </c>
      <c r="AM318" t="s">
        <v>3037</v>
      </c>
      <c r="AN318" t="s">
        <v>3038</v>
      </c>
      <c r="AO318" t="s">
        <v>3039</v>
      </c>
      <c r="AP318" t="s">
        <v>3040</v>
      </c>
      <c r="AQ318" t="s">
        <v>3041</v>
      </c>
      <c r="AR318" t="s">
        <v>3042</v>
      </c>
      <c r="AS318" t="s">
        <v>3043</v>
      </c>
    </row>
    <row r="319" spans="1:45" x14ac:dyDescent="0.45">
      <c r="A319">
        <v>318</v>
      </c>
      <c r="B319">
        <v>12662</v>
      </c>
      <c r="C319" t="s">
        <v>72</v>
      </c>
      <c r="D319" t="s">
        <v>81</v>
      </c>
      <c r="E319" t="s">
        <v>74</v>
      </c>
      <c r="F319" t="s">
        <v>75</v>
      </c>
      <c r="G319" t="s">
        <v>76</v>
      </c>
      <c r="H319">
        <v>21.746024411486641</v>
      </c>
      <c r="I319">
        <v>0</v>
      </c>
      <c r="J319">
        <v>6</v>
      </c>
      <c r="K319">
        <v>4</v>
      </c>
      <c r="L319">
        <v>2</v>
      </c>
      <c r="M319">
        <v>5</v>
      </c>
      <c r="N319">
        <v>4</v>
      </c>
      <c r="O319">
        <v>1</v>
      </c>
      <c r="P319">
        <v>7</v>
      </c>
      <c r="Q319">
        <v>6</v>
      </c>
      <c r="R319">
        <v>1</v>
      </c>
      <c r="S319">
        <v>8</v>
      </c>
      <c r="T319">
        <v>7</v>
      </c>
      <c r="U319">
        <v>1</v>
      </c>
      <c r="V319">
        <v>7</v>
      </c>
      <c r="W319">
        <v>5</v>
      </c>
      <c r="X319">
        <v>2</v>
      </c>
      <c r="Y319">
        <v>8</v>
      </c>
      <c r="Z319">
        <v>8</v>
      </c>
      <c r="AA319">
        <v>0</v>
      </c>
      <c r="AB319">
        <v>7</v>
      </c>
      <c r="AC319">
        <v>5</v>
      </c>
      <c r="AD319">
        <v>2</v>
      </c>
      <c r="AE319">
        <v>6</v>
      </c>
      <c r="AF319">
        <v>5</v>
      </c>
      <c r="AG319">
        <v>1</v>
      </c>
      <c r="AH319">
        <v>7</v>
      </c>
      <c r="AI319">
        <v>8</v>
      </c>
      <c r="AJ319">
        <v>-1</v>
      </c>
      <c r="AK319" t="s">
        <v>3044</v>
      </c>
      <c r="AL319" t="s">
        <v>3045</v>
      </c>
      <c r="AM319" t="s">
        <v>3046</v>
      </c>
      <c r="AN319" t="s">
        <v>3047</v>
      </c>
      <c r="AO319" t="s">
        <v>3048</v>
      </c>
      <c r="AP319" t="s">
        <v>3049</v>
      </c>
      <c r="AQ319" t="s">
        <v>3050</v>
      </c>
      <c r="AR319" t="s">
        <v>3051</v>
      </c>
      <c r="AS319" t="s">
        <v>3052</v>
      </c>
    </row>
    <row r="320" spans="1:45" x14ac:dyDescent="0.45">
      <c r="A320">
        <v>319</v>
      </c>
      <c r="B320">
        <v>12663</v>
      </c>
      <c r="C320" t="s">
        <v>72</v>
      </c>
      <c r="D320" t="s">
        <v>188</v>
      </c>
      <c r="E320" t="s">
        <v>74</v>
      </c>
      <c r="F320" t="s">
        <v>77</v>
      </c>
      <c r="G320" t="s">
        <v>76</v>
      </c>
      <c r="H320">
        <v>15.418228397582919</v>
      </c>
      <c r="I320">
        <v>0</v>
      </c>
      <c r="J320">
        <v>8</v>
      </c>
      <c r="K320">
        <v>8</v>
      </c>
      <c r="L320">
        <v>0</v>
      </c>
      <c r="M320">
        <v>7</v>
      </c>
      <c r="N320">
        <v>8</v>
      </c>
      <c r="O320">
        <v>-1</v>
      </c>
      <c r="P320">
        <v>9</v>
      </c>
      <c r="Q320">
        <v>10</v>
      </c>
      <c r="R320">
        <v>-1</v>
      </c>
      <c r="S320">
        <v>8</v>
      </c>
      <c r="T320">
        <v>10</v>
      </c>
      <c r="U320">
        <v>-2</v>
      </c>
      <c r="V320">
        <v>9</v>
      </c>
      <c r="W320">
        <v>9</v>
      </c>
      <c r="X320">
        <v>0</v>
      </c>
      <c r="Y320">
        <v>7</v>
      </c>
      <c r="Z320">
        <v>10</v>
      </c>
      <c r="AA320">
        <v>-3</v>
      </c>
      <c r="AB320">
        <v>8</v>
      </c>
      <c r="AC320">
        <v>8</v>
      </c>
      <c r="AD320">
        <v>0</v>
      </c>
      <c r="AE320">
        <v>6</v>
      </c>
      <c r="AF320">
        <v>8</v>
      </c>
      <c r="AG320">
        <v>-2</v>
      </c>
      <c r="AH320">
        <v>8</v>
      </c>
      <c r="AI320">
        <v>10</v>
      </c>
      <c r="AJ320">
        <v>-2</v>
      </c>
      <c r="AK320" t="s">
        <v>3053</v>
      </c>
      <c r="AL320" t="s">
        <v>3054</v>
      </c>
      <c r="AM320" t="s">
        <v>3055</v>
      </c>
      <c r="AN320" t="s">
        <v>3056</v>
      </c>
      <c r="AO320" t="s">
        <v>3057</v>
      </c>
      <c r="AP320" t="s">
        <v>3058</v>
      </c>
      <c r="AQ320" t="s">
        <v>3059</v>
      </c>
      <c r="AR320" t="s">
        <v>3060</v>
      </c>
      <c r="AS320" t="s">
        <v>3061</v>
      </c>
    </row>
    <row r="321" spans="1:45" x14ac:dyDescent="0.45">
      <c r="A321">
        <v>320</v>
      </c>
      <c r="B321">
        <v>12664</v>
      </c>
      <c r="C321" t="s">
        <v>78</v>
      </c>
      <c r="D321" t="s">
        <v>73</v>
      </c>
      <c r="E321" t="s">
        <v>74</v>
      </c>
      <c r="F321" t="s">
        <v>75</v>
      </c>
      <c r="G321" t="s">
        <v>76</v>
      </c>
      <c r="H321">
        <v>30.473517806818467</v>
      </c>
      <c r="I321">
        <v>0</v>
      </c>
      <c r="J321">
        <v>7</v>
      </c>
      <c r="K321">
        <v>5</v>
      </c>
      <c r="L321">
        <v>2</v>
      </c>
      <c r="M321">
        <v>8</v>
      </c>
      <c r="N321">
        <v>7</v>
      </c>
      <c r="O321">
        <v>1</v>
      </c>
      <c r="P321">
        <v>9</v>
      </c>
      <c r="Q321">
        <v>7</v>
      </c>
      <c r="R321">
        <v>2</v>
      </c>
      <c r="S321">
        <v>8</v>
      </c>
      <c r="T321">
        <v>9</v>
      </c>
      <c r="U321">
        <v>-1</v>
      </c>
      <c r="V321">
        <v>9</v>
      </c>
      <c r="W321">
        <v>5</v>
      </c>
      <c r="X321">
        <v>4</v>
      </c>
      <c r="Y321">
        <v>7</v>
      </c>
      <c r="Z321">
        <v>6</v>
      </c>
      <c r="AA321">
        <v>1</v>
      </c>
      <c r="AB321">
        <v>8</v>
      </c>
      <c r="AC321">
        <v>5</v>
      </c>
      <c r="AD321">
        <v>3</v>
      </c>
      <c r="AE321">
        <v>6</v>
      </c>
      <c r="AF321">
        <v>7</v>
      </c>
      <c r="AG321">
        <v>-1</v>
      </c>
      <c r="AH321">
        <v>9</v>
      </c>
      <c r="AI321">
        <v>7</v>
      </c>
      <c r="AJ321">
        <v>2</v>
      </c>
      <c r="AK321" t="s">
        <v>3062</v>
      </c>
      <c r="AL321" t="s">
        <v>3063</v>
      </c>
      <c r="AM321" t="s">
        <v>3064</v>
      </c>
      <c r="AN321" t="s">
        <v>3065</v>
      </c>
      <c r="AO321" t="s">
        <v>3066</v>
      </c>
      <c r="AP321" t="s">
        <v>3067</v>
      </c>
      <c r="AQ321" t="s">
        <v>3068</v>
      </c>
      <c r="AR321" t="s">
        <v>3069</v>
      </c>
      <c r="AS321" t="s">
        <v>3070</v>
      </c>
    </row>
    <row r="322" spans="1:45" x14ac:dyDescent="0.45">
      <c r="A322">
        <v>321</v>
      </c>
      <c r="B322">
        <v>12665</v>
      </c>
      <c r="C322" t="s">
        <v>72</v>
      </c>
      <c r="D322" t="s">
        <v>188</v>
      </c>
      <c r="E322" t="s">
        <v>74</v>
      </c>
      <c r="F322" t="s">
        <v>77</v>
      </c>
      <c r="G322" t="s">
        <v>76</v>
      </c>
      <c r="H322">
        <v>16.256873801040314</v>
      </c>
      <c r="I322">
        <v>0</v>
      </c>
      <c r="J322">
        <v>7</v>
      </c>
      <c r="K322">
        <v>8</v>
      </c>
      <c r="L322">
        <v>-1</v>
      </c>
      <c r="M322">
        <v>8</v>
      </c>
      <c r="N322">
        <v>8</v>
      </c>
      <c r="O322">
        <v>0</v>
      </c>
      <c r="P322">
        <v>9</v>
      </c>
      <c r="Q322">
        <v>7</v>
      </c>
      <c r="R322">
        <v>2</v>
      </c>
      <c r="S322">
        <v>8</v>
      </c>
      <c r="T322">
        <v>9</v>
      </c>
      <c r="U322">
        <v>-1</v>
      </c>
      <c r="V322">
        <v>7</v>
      </c>
      <c r="W322">
        <v>9</v>
      </c>
      <c r="X322">
        <v>-2</v>
      </c>
      <c r="Y322">
        <v>8</v>
      </c>
      <c r="Z322">
        <v>9</v>
      </c>
      <c r="AA322">
        <v>-1</v>
      </c>
      <c r="AB322">
        <v>7</v>
      </c>
      <c r="AC322">
        <v>7</v>
      </c>
      <c r="AD322">
        <v>0</v>
      </c>
      <c r="AE322">
        <v>6</v>
      </c>
      <c r="AF322">
        <v>9</v>
      </c>
      <c r="AG322">
        <v>-3</v>
      </c>
      <c r="AH322">
        <v>8</v>
      </c>
      <c r="AI322">
        <v>9</v>
      </c>
      <c r="AJ322">
        <v>-1</v>
      </c>
      <c r="AK322" t="s">
        <v>3071</v>
      </c>
      <c r="AL322" t="s">
        <v>3072</v>
      </c>
      <c r="AM322" t="s">
        <v>3073</v>
      </c>
      <c r="AN322" t="s">
        <v>3074</v>
      </c>
      <c r="AO322" t="s">
        <v>3075</v>
      </c>
      <c r="AP322" t="s">
        <v>3076</v>
      </c>
      <c r="AQ322" t="s">
        <v>3077</v>
      </c>
      <c r="AR322" t="s">
        <v>3078</v>
      </c>
      <c r="AS322" t="s">
        <v>3079</v>
      </c>
    </row>
    <row r="323" spans="1:45" x14ac:dyDescent="0.45">
      <c r="A323">
        <v>322</v>
      </c>
      <c r="B323">
        <v>12666</v>
      </c>
      <c r="C323" t="s">
        <v>78</v>
      </c>
      <c r="D323" t="s">
        <v>81</v>
      </c>
      <c r="E323" t="s">
        <v>74</v>
      </c>
      <c r="F323" t="s">
        <v>77</v>
      </c>
      <c r="G323" t="s">
        <v>76</v>
      </c>
      <c r="H323">
        <v>25.362896743820713</v>
      </c>
      <c r="I323">
        <v>0</v>
      </c>
      <c r="J323">
        <v>6</v>
      </c>
      <c r="K323">
        <v>5</v>
      </c>
      <c r="L323">
        <v>1</v>
      </c>
      <c r="M323">
        <v>5</v>
      </c>
      <c r="N323">
        <v>5</v>
      </c>
      <c r="O323">
        <v>0</v>
      </c>
      <c r="P323">
        <v>8</v>
      </c>
      <c r="Q323">
        <v>5</v>
      </c>
      <c r="R323">
        <v>3</v>
      </c>
      <c r="S323">
        <v>7</v>
      </c>
      <c r="T323">
        <v>7</v>
      </c>
      <c r="U323">
        <v>0</v>
      </c>
      <c r="V323">
        <v>6</v>
      </c>
      <c r="W323">
        <v>5</v>
      </c>
      <c r="X323">
        <v>1</v>
      </c>
      <c r="Y323">
        <v>7</v>
      </c>
      <c r="Z323">
        <v>7</v>
      </c>
      <c r="AA323">
        <v>0</v>
      </c>
      <c r="AB323">
        <v>6</v>
      </c>
      <c r="AC323">
        <v>5</v>
      </c>
      <c r="AD323">
        <v>1</v>
      </c>
      <c r="AE323">
        <v>5</v>
      </c>
      <c r="AF323">
        <v>5</v>
      </c>
      <c r="AG323">
        <v>0</v>
      </c>
      <c r="AH323">
        <v>6</v>
      </c>
      <c r="AI323">
        <v>7</v>
      </c>
      <c r="AJ323">
        <v>-1</v>
      </c>
      <c r="AK323" t="s">
        <v>3080</v>
      </c>
      <c r="AL323" t="s">
        <v>3081</v>
      </c>
      <c r="AM323" t="s">
        <v>3082</v>
      </c>
      <c r="AN323" t="s">
        <v>3083</v>
      </c>
      <c r="AO323" t="s">
        <v>3084</v>
      </c>
      <c r="AP323" t="s">
        <v>3085</v>
      </c>
      <c r="AQ323" t="s">
        <v>3084</v>
      </c>
      <c r="AR323" t="s">
        <v>3086</v>
      </c>
      <c r="AS323" t="s">
        <v>3087</v>
      </c>
    </row>
    <row r="324" spans="1:45" x14ac:dyDescent="0.45">
      <c r="A324">
        <v>323</v>
      </c>
      <c r="B324">
        <v>12667</v>
      </c>
      <c r="C324" t="s">
        <v>78</v>
      </c>
      <c r="D324" t="s">
        <v>81</v>
      </c>
      <c r="E324" t="s">
        <v>74</v>
      </c>
      <c r="F324" t="s">
        <v>75</v>
      </c>
      <c r="G324" t="s">
        <v>76</v>
      </c>
      <c r="H324">
        <v>23.326446966869465</v>
      </c>
      <c r="I324">
        <v>0</v>
      </c>
      <c r="J324">
        <v>7</v>
      </c>
      <c r="K324">
        <v>7</v>
      </c>
      <c r="L324">
        <v>0</v>
      </c>
      <c r="M324">
        <v>6</v>
      </c>
      <c r="N324">
        <v>7</v>
      </c>
      <c r="O324">
        <v>-1</v>
      </c>
      <c r="P324">
        <v>8</v>
      </c>
      <c r="Q324">
        <v>8</v>
      </c>
      <c r="R324">
        <v>0</v>
      </c>
      <c r="S324">
        <v>7</v>
      </c>
      <c r="T324">
        <v>8</v>
      </c>
      <c r="U324">
        <v>-1</v>
      </c>
      <c r="V324">
        <v>8</v>
      </c>
      <c r="W324">
        <v>6</v>
      </c>
      <c r="X324">
        <v>2</v>
      </c>
      <c r="Y324">
        <v>7</v>
      </c>
      <c r="Z324">
        <v>7</v>
      </c>
      <c r="AA324">
        <v>0</v>
      </c>
      <c r="AB324">
        <v>6</v>
      </c>
      <c r="AC324">
        <v>6</v>
      </c>
      <c r="AD324">
        <v>0</v>
      </c>
      <c r="AE324">
        <v>5</v>
      </c>
      <c r="AF324">
        <v>7</v>
      </c>
      <c r="AG324">
        <v>-2</v>
      </c>
      <c r="AH324">
        <v>7</v>
      </c>
      <c r="AI324">
        <v>7</v>
      </c>
      <c r="AJ324">
        <v>0</v>
      </c>
      <c r="AK324" t="s">
        <v>3088</v>
      </c>
      <c r="AL324" t="s">
        <v>3089</v>
      </c>
      <c r="AM324" t="s">
        <v>3090</v>
      </c>
      <c r="AN324" t="s">
        <v>3091</v>
      </c>
      <c r="AO324" t="s">
        <v>3092</v>
      </c>
      <c r="AP324" t="s">
        <v>3093</v>
      </c>
      <c r="AQ324" t="s">
        <v>3094</v>
      </c>
      <c r="AR324" t="s">
        <v>3095</v>
      </c>
      <c r="AS324" t="s">
        <v>3096</v>
      </c>
    </row>
    <row r="325" spans="1:45" x14ac:dyDescent="0.45">
      <c r="A325">
        <v>324</v>
      </c>
      <c r="B325">
        <v>12668</v>
      </c>
      <c r="C325" t="s">
        <v>72</v>
      </c>
      <c r="D325" t="s">
        <v>188</v>
      </c>
      <c r="E325" t="s">
        <v>74</v>
      </c>
      <c r="F325" t="s">
        <v>77</v>
      </c>
      <c r="G325" t="s">
        <v>76</v>
      </c>
      <c r="H325">
        <v>12</v>
      </c>
      <c r="I325">
        <v>0</v>
      </c>
      <c r="J325">
        <v>7</v>
      </c>
      <c r="K325">
        <v>7</v>
      </c>
      <c r="L325">
        <v>0</v>
      </c>
      <c r="M325">
        <v>8</v>
      </c>
      <c r="N325">
        <v>7</v>
      </c>
      <c r="O325">
        <v>1</v>
      </c>
      <c r="P325">
        <v>6</v>
      </c>
      <c r="Q325">
        <v>5</v>
      </c>
      <c r="R325">
        <v>1</v>
      </c>
      <c r="S325">
        <v>9</v>
      </c>
      <c r="T325">
        <v>7</v>
      </c>
      <c r="U325">
        <v>2</v>
      </c>
      <c r="V325">
        <v>7</v>
      </c>
      <c r="W325">
        <v>7</v>
      </c>
      <c r="X325">
        <v>0</v>
      </c>
      <c r="Y325">
        <v>6</v>
      </c>
      <c r="Z325">
        <v>7</v>
      </c>
      <c r="AA325">
        <v>-1</v>
      </c>
      <c r="AB325">
        <v>8</v>
      </c>
      <c r="AC325">
        <v>5</v>
      </c>
      <c r="AD325">
        <v>3</v>
      </c>
      <c r="AE325">
        <v>5</v>
      </c>
      <c r="AF325">
        <v>5</v>
      </c>
      <c r="AG325">
        <v>0</v>
      </c>
      <c r="AH325">
        <v>6</v>
      </c>
      <c r="AI325">
        <v>8</v>
      </c>
      <c r="AJ325">
        <v>-2</v>
      </c>
      <c r="AK325" t="s">
        <v>3097</v>
      </c>
      <c r="AL325" t="s">
        <v>3098</v>
      </c>
      <c r="AM325" t="s">
        <v>3099</v>
      </c>
      <c r="AN325" t="s">
        <v>3100</v>
      </c>
      <c r="AO325" t="s">
        <v>3101</v>
      </c>
      <c r="AP325" t="s">
        <v>3102</v>
      </c>
      <c r="AQ325" t="s">
        <v>3103</v>
      </c>
      <c r="AR325" t="s">
        <v>3104</v>
      </c>
      <c r="AS325" t="s">
        <v>3105</v>
      </c>
    </row>
    <row r="326" spans="1:45" x14ac:dyDescent="0.45">
      <c r="A326">
        <v>325</v>
      </c>
      <c r="B326">
        <v>12669</v>
      </c>
      <c r="C326" t="s">
        <v>78</v>
      </c>
      <c r="D326" t="s">
        <v>73</v>
      </c>
      <c r="E326" t="s">
        <v>74</v>
      </c>
      <c r="F326" t="s">
        <v>77</v>
      </c>
      <c r="G326" t="s">
        <v>76</v>
      </c>
      <c r="H326">
        <v>35.101855093697857</v>
      </c>
      <c r="I326">
        <v>1</v>
      </c>
      <c r="J326">
        <v>7</v>
      </c>
      <c r="K326">
        <v>2</v>
      </c>
      <c r="L326">
        <v>5</v>
      </c>
      <c r="M326">
        <v>8</v>
      </c>
      <c r="N326">
        <v>2</v>
      </c>
      <c r="O326">
        <v>6</v>
      </c>
      <c r="P326">
        <v>7</v>
      </c>
      <c r="Q326">
        <v>6</v>
      </c>
      <c r="R326">
        <v>1</v>
      </c>
      <c r="S326">
        <v>8</v>
      </c>
      <c r="T326">
        <v>7</v>
      </c>
      <c r="U326">
        <v>1</v>
      </c>
      <c r="V326">
        <v>8</v>
      </c>
      <c r="W326">
        <v>2</v>
      </c>
      <c r="X326">
        <v>6</v>
      </c>
      <c r="Y326">
        <v>9</v>
      </c>
      <c r="Z326">
        <v>5</v>
      </c>
      <c r="AA326">
        <v>4</v>
      </c>
      <c r="AB326">
        <v>8</v>
      </c>
      <c r="AC326">
        <v>5</v>
      </c>
      <c r="AD326">
        <v>3</v>
      </c>
      <c r="AE326">
        <v>7</v>
      </c>
      <c r="AF326">
        <v>6</v>
      </c>
      <c r="AG326">
        <v>1</v>
      </c>
      <c r="AH326">
        <v>8</v>
      </c>
      <c r="AI326">
        <v>5</v>
      </c>
      <c r="AJ326">
        <v>3</v>
      </c>
      <c r="AK326" t="s">
        <v>3106</v>
      </c>
      <c r="AL326" t="s">
        <v>3107</v>
      </c>
      <c r="AM326" t="s">
        <v>3108</v>
      </c>
      <c r="AN326" t="s">
        <v>3109</v>
      </c>
      <c r="AO326" t="s">
        <v>3110</v>
      </c>
      <c r="AP326" t="s">
        <v>3111</v>
      </c>
      <c r="AQ326" t="s">
        <v>3112</v>
      </c>
      <c r="AR326" t="s">
        <v>3113</v>
      </c>
      <c r="AS326" t="s">
        <v>3114</v>
      </c>
    </row>
    <row r="327" spans="1:45" x14ac:dyDescent="0.45">
      <c r="A327">
        <v>326</v>
      </c>
      <c r="B327">
        <v>12670</v>
      </c>
      <c r="C327" t="s">
        <v>72</v>
      </c>
      <c r="D327" t="s">
        <v>79</v>
      </c>
      <c r="E327" t="s">
        <v>74</v>
      </c>
      <c r="F327" t="s">
        <v>77</v>
      </c>
      <c r="G327" t="s">
        <v>76</v>
      </c>
      <c r="H327">
        <v>58.561444966306951</v>
      </c>
      <c r="I327">
        <v>2</v>
      </c>
      <c r="J327">
        <v>7</v>
      </c>
      <c r="K327">
        <v>8</v>
      </c>
      <c r="L327">
        <v>-1</v>
      </c>
      <c r="M327">
        <v>7</v>
      </c>
      <c r="N327">
        <v>9</v>
      </c>
      <c r="O327">
        <v>-2</v>
      </c>
      <c r="P327">
        <v>8</v>
      </c>
      <c r="Q327">
        <v>9</v>
      </c>
      <c r="R327">
        <v>-1</v>
      </c>
      <c r="S327">
        <v>8</v>
      </c>
      <c r="T327">
        <v>10</v>
      </c>
      <c r="U327">
        <v>-2</v>
      </c>
      <c r="V327">
        <v>6</v>
      </c>
      <c r="W327">
        <v>8</v>
      </c>
      <c r="X327">
        <v>-2</v>
      </c>
      <c r="Y327">
        <v>6</v>
      </c>
      <c r="Z327">
        <v>10</v>
      </c>
      <c r="AA327">
        <v>-4</v>
      </c>
      <c r="AB327">
        <v>6</v>
      </c>
      <c r="AC327">
        <v>9</v>
      </c>
      <c r="AD327">
        <v>-3</v>
      </c>
      <c r="AE327">
        <v>6</v>
      </c>
      <c r="AF327">
        <v>9</v>
      </c>
      <c r="AG327">
        <v>-3</v>
      </c>
      <c r="AH327">
        <v>6</v>
      </c>
      <c r="AI327">
        <v>10</v>
      </c>
      <c r="AJ327">
        <v>-4</v>
      </c>
      <c r="AK327" t="s">
        <v>3115</v>
      </c>
      <c r="AL327" t="s">
        <v>3116</v>
      </c>
      <c r="AM327" t="s">
        <v>3117</v>
      </c>
      <c r="AN327" t="s">
        <v>3118</v>
      </c>
      <c r="AO327" t="s">
        <v>3119</v>
      </c>
      <c r="AP327" t="s">
        <v>3120</v>
      </c>
      <c r="AQ327" t="s">
        <v>3121</v>
      </c>
      <c r="AR327" t="s">
        <v>3122</v>
      </c>
      <c r="AS327" t="s">
        <v>3123</v>
      </c>
    </row>
    <row r="328" spans="1:45" x14ac:dyDescent="0.45">
      <c r="A328">
        <v>327</v>
      </c>
      <c r="B328">
        <v>12671</v>
      </c>
      <c r="C328" t="s">
        <v>72</v>
      </c>
      <c r="D328" t="s">
        <v>81</v>
      </c>
      <c r="E328" t="s">
        <v>74</v>
      </c>
      <c r="F328" t="s">
        <v>77</v>
      </c>
      <c r="G328" t="s">
        <v>76</v>
      </c>
      <c r="H328">
        <v>19.035889284805496</v>
      </c>
      <c r="I328">
        <v>0</v>
      </c>
      <c r="J328">
        <v>7</v>
      </c>
      <c r="K328">
        <v>7</v>
      </c>
      <c r="L328">
        <v>0</v>
      </c>
      <c r="M328">
        <v>8</v>
      </c>
      <c r="N328">
        <v>7</v>
      </c>
      <c r="O328">
        <v>1</v>
      </c>
      <c r="P328">
        <v>6</v>
      </c>
      <c r="Q328">
        <v>7</v>
      </c>
      <c r="R328">
        <v>-1</v>
      </c>
      <c r="S328">
        <v>8</v>
      </c>
      <c r="T328">
        <v>9</v>
      </c>
      <c r="U328">
        <v>-1</v>
      </c>
      <c r="V328">
        <v>9</v>
      </c>
      <c r="W328">
        <v>7</v>
      </c>
      <c r="X328">
        <v>2</v>
      </c>
      <c r="Y328">
        <v>7</v>
      </c>
      <c r="Z328">
        <v>8</v>
      </c>
      <c r="AA328">
        <v>-1</v>
      </c>
      <c r="AB328">
        <v>6</v>
      </c>
      <c r="AC328">
        <v>5</v>
      </c>
      <c r="AD328">
        <v>1</v>
      </c>
      <c r="AE328">
        <v>8</v>
      </c>
      <c r="AF328">
        <v>7</v>
      </c>
      <c r="AG328">
        <v>1</v>
      </c>
      <c r="AH328">
        <v>7</v>
      </c>
      <c r="AI328">
        <v>8</v>
      </c>
      <c r="AJ328">
        <v>-1</v>
      </c>
      <c r="AK328" t="s">
        <v>3124</v>
      </c>
      <c r="AL328" t="s">
        <v>3125</v>
      </c>
      <c r="AM328" t="s">
        <v>3126</v>
      </c>
      <c r="AN328" t="s">
        <v>3127</v>
      </c>
      <c r="AO328" t="s">
        <v>3128</v>
      </c>
      <c r="AP328" t="s">
        <v>3129</v>
      </c>
      <c r="AQ328" t="s">
        <v>3130</v>
      </c>
      <c r="AR328" t="s">
        <v>3131</v>
      </c>
      <c r="AS328" t="s">
        <v>3132</v>
      </c>
    </row>
    <row r="329" spans="1:45" x14ac:dyDescent="0.45">
      <c r="A329">
        <v>328</v>
      </c>
      <c r="B329">
        <v>12672</v>
      </c>
      <c r="C329" t="s">
        <v>78</v>
      </c>
      <c r="D329" t="s">
        <v>79</v>
      </c>
      <c r="E329" t="s">
        <v>74</v>
      </c>
      <c r="F329" t="s">
        <v>75</v>
      </c>
      <c r="G329" t="s">
        <v>76</v>
      </c>
      <c r="H329">
        <v>83.392659369885664</v>
      </c>
      <c r="I329">
        <v>3</v>
      </c>
      <c r="J329">
        <v>8</v>
      </c>
      <c r="K329">
        <v>7</v>
      </c>
      <c r="L329">
        <v>1</v>
      </c>
      <c r="M329">
        <v>9</v>
      </c>
      <c r="N329">
        <v>8</v>
      </c>
      <c r="O329">
        <v>1</v>
      </c>
      <c r="P329">
        <v>7</v>
      </c>
      <c r="Q329">
        <v>9</v>
      </c>
      <c r="R329">
        <v>-2</v>
      </c>
      <c r="S329">
        <v>8</v>
      </c>
      <c r="T329">
        <v>9</v>
      </c>
      <c r="U329">
        <v>-1</v>
      </c>
      <c r="V329">
        <v>7</v>
      </c>
      <c r="W329">
        <v>9</v>
      </c>
      <c r="X329">
        <v>-2</v>
      </c>
      <c r="Y329">
        <v>8</v>
      </c>
      <c r="Z329">
        <v>8</v>
      </c>
      <c r="AA329">
        <v>0</v>
      </c>
      <c r="AB329">
        <v>6</v>
      </c>
      <c r="AC329">
        <v>7</v>
      </c>
      <c r="AD329">
        <v>-1</v>
      </c>
      <c r="AE329">
        <v>7</v>
      </c>
      <c r="AF329">
        <v>7</v>
      </c>
      <c r="AG329">
        <v>0</v>
      </c>
      <c r="AH329">
        <v>6</v>
      </c>
      <c r="AI329">
        <v>9</v>
      </c>
      <c r="AJ329">
        <v>-3</v>
      </c>
      <c r="AK329" t="s">
        <v>3133</v>
      </c>
      <c r="AL329" t="s">
        <v>3134</v>
      </c>
      <c r="AM329" t="s">
        <v>3135</v>
      </c>
      <c r="AN329" t="s">
        <v>3136</v>
      </c>
      <c r="AO329" t="s">
        <v>3137</v>
      </c>
      <c r="AP329" t="s">
        <v>3138</v>
      </c>
      <c r="AQ329" t="s">
        <v>3139</v>
      </c>
      <c r="AR329" t="s">
        <v>3140</v>
      </c>
      <c r="AS329" t="s">
        <v>3141</v>
      </c>
    </row>
    <row r="330" spans="1:45" x14ac:dyDescent="0.45">
      <c r="A330">
        <v>329</v>
      </c>
      <c r="B330">
        <v>12673</v>
      </c>
      <c r="C330" t="s">
        <v>72</v>
      </c>
      <c r="D330" t="s">
        <v>81</v>
      </c>
      <c r="E330" t="s">
        <v>74</v>
      </c>
      <c r="F330" t="s">
        <v>77</v>
      </c>
      <c r="G330" t="s">
        <v>76</v>
      </c>
      <c r="H330">
        <v>13.491123587526593</v>
      </c>
      <c r="I330">
        <v>0</v>
      </c>
      <c r="J330">
        <v>8</v>
      </c>
      <c r="K330">
        <v>7</v>
      </c>
      <c r="L330">
        <v>1</v>
      </c>
      <c r="M330">
        <v>7</v>
      </c>
      <c r="N330">
        <v>7</v>
      </c>
      <c r="O330">
        <v>0</v>
      </c>
      <c r="P330">
        <v>9</v>
      </c>
      <c r="Q330">
        <v>9</v>
      </c>
      <c r="R330">
        <v>0</v>
      </c>
      <c r="S330">
        <v>8</v>
      </c>
      <c r="T330">
        <v>9</v>
      </c>
      <c r="U330">
        <v>-1</v>
      </c>
      <c r="V330">
        <v>7</v>
      </c>
      <c r="W330">
        <v>9</v>
      </c>
      <c r="X330">
        <v>-2</v>
      </c>
      <c r="Y330">
        <v>8</v>
      </c>
      <c r="Z330">
        <v>9</v>
      </c>
      <c r="AA330">
        <v>-1</v>
      </c>
      <c r="AB330">
        <v>7</v>
      </c>
      <c r="AC330">
        <v>5</v>
      </c>
      <c r="AD330">
        <v>2</v>
      </c>
      <c r="AE330">
        <v>6</v>
      </c>
      <c r="AF330">
        <v>6</v>
      </c>
      <c r="AG330">
        <v>0</v>
      </c>
      <c r="AH330">
        <v>8</v>
      </c>
      <c r="AI330">
        <v>9</v>
      </c>
      <c r="AJ330">
        <v>-1</v>
      </c>
      <c r="AK330" t="s">
        <v>3142</v>
      </c>
      <c r="AL330" t="s">
        <v>3143</v>
      </c>
      <c r="AM330" t="s">
        <v>3144</v>
      </c>
      <c r="AN330" t="s">
        <v>3145</v>
      </c>
      <c r="AO330" t="s">
        <v>3146</v>
      </c>
      <c r="AP330" t="s">
        <v>3147</v>
      </c>
      <c r="AQ330" t="s">
        <v>3148</v>
      </c>
      <c r="AR330" t="s">
        <v>3149</v>
      </c>
      <c r="AS330" t="s">
        <v>3150</v>
      </c>
    </row>
    <row r="331" spans="1:45" x14ac:dyDescent="0.45">
      <c r="A331">
        <v>330</v>
      </c>
      <c r="B331">
        <v>12674</v>
      </c>
      <c r="C331" t="s">
        <v>78</v>
      </c>
      <c r="D331" t="s">
        <v>188</v>
      </c>
      <c r="E331" t="s">
        <v>74</v>
      </c>
      <c r="F331" t="s">
        <v>77</v>
      </c>
      <c r="G331" t="s">
        <v>76</v>
      </c>
      <c r="H331">
        <v>13.455637584605176</v>
      </c>
      <c r="I331">
        <v>0</v>
      </c>
      <c r="J331">
        <v>7</v>
      </c>
      <c r="K331">
        <v>3</v>
      </c>
      <c r="L331">
        <v>4</v>
      </c>
      <c r="M331">
        <v>8</v>
      </c>
      <c r="N331">
        <v>3</v>
      </c>
      <c r="O331">
        <v>5</v>
      </c>
      <c r="P331">
        <v>9</v>
      </c>
      <c r="Q331">
        <v>5</v>
      </c>
      <c r="R331">
        <v>4</v>
      </c>
      <c r="S331">
        <v>8</v>
      </c>
      <c r="T331">
        <v>6</v>
      </c>
      <c r="U331">
        <v>2</v>
      </c>
      <c r="V331">
        <v>9</v>
      </c>
      <c r="W331">
        <v>4</v>
      </c>
      <c r="X331">
        <v>5</v>
      </c>
      <c r="Y331">
        <v>7</v>
      </c>
      <c r="Z331">
        <v>5</v>
      </c>
      <c r="AA331">
        <v>2</v>
      </c>
      <c r="AB331">
        <v>6</v>
      </c>
      <c r="AC331">
        <v>5</v>
      </c>
      <c r="AD331">
        <v>1</v>
      </c>
      <c r="AE331">
        <v>5</v>
      </c>
      <c r="AF331">
        <v>5</v>
      </c>
      <c r="AG331">
        <v>0</v>
      </c>
      <c r="AH331">
        <v>7</v>
      </c>
      <c r="AI331">
        <v>5</v>
      </c>
      <c r="AJ331">
        <v>2</v>
      </c>
      <c r="AK331" t="s">
        <v>3151</v>
      </c>
      <c r="AL331" t="s">
        <v>3152</v>
      </c>
      <c r="AM331" t="s">
        <v>3153</v>
      </c>
      <c r="AN331" t="s">
        <v>3154</v>
      </c>
      <c r="AO331" t="s">
        <v>3155</v>
      </c>
      <c r="AP331" t="s">
        <v>3156</v>
      </c>
      <c r="AQ331" t="s">
        <v>3157</v>
      </c>
      <c r="AR331" t="s">
        <v>3158</v>
      </c>
      <c r="AS331" t="s">
        <v>3159</v>
      </c>
    </row>
    <row r="332" spans="1:45" x14ac:dyDescent="0.45">
      <c r="A332">
        <v>331</v>
      </c>
      <c r="B332">
        <v>12675</v>
      </c>
      <c r="C332" t="s">
        <v>78</v>
      </c>
      <c r="D332" t="s">
        <v>73</v>
      </c>
      <c r="E332" t="s">
        <v>74</v>
      </c>
      <c r="F332" t="s">
        <v>77</v>
      </c>
      <c r="G332" t="s">
        <v>76</v>
      </c>
      <c r="H332">
        <v>26.633126491530575</v>
      </c>
      <c r="I332">
        <v>1</v>
      </c>
      <c r="J332">
        <v>8</v>
      </c>
      <c r="K332">
        <v>4</v>
      </c>
      <c r="L332">
        <v>4</v>
      </c>
      <c r="M332">
        <v>7</v>
      </c>
      <c r="N332">
        <v>4</v>
      </c>
      <c r="O332">
        <v>3</v>
      </c>
      <c r="P332">
        <v>8</v>
      </c>
      <c r="Q332">
        <v>5</v>
      </c>
      <c r="R332">
        <v>3</v>
      </c>
      <c r="S332">
        <v>9</v>
      </c>
      <c r="T332">
        <v>6</v>
      </c>
      <c r="U332">
        <v>3</v>
      </c>
      <c r="V332">
        <v>7</v>
      </c>
      <c r="W332">
        <v>4</v>
      </c>
      <c r="X332">
        <v>3</v>
      </c>
      <c r="Y332">
        <v>8</v>
      </c>
      <c r="Z332">
        <v>5</v>
      </c>
      <c r="AA332">
        <v>3</v>
      </c>
      <c r="AB332">
        <v>6</v>
      </c>
      <c r="AC332">
        <v>3</v>
      </c>
      <c r="AD332">
        <v>3</v>
      </c>
      <c r="AE332">
        <v>7</v>
      </c>
      <c r="AF332">
        <v>4</v>
      </c>
      <c r="AG332">
        <v>3</v>
      </c>
      <c r="AH332">
        <v>7</v>
      </c>
      <c r="AI332">
        <v>5</v>
      </c>
      <c r="AJ332">
        <v>2</v>
      </c>
      <c r="AK332" t="s">
        <v>3160</v>
      </c>
      <c r="AL332" t="s">
        <v>3161</v>
      </c>
      <c r="AM332" t="s">
        <v>3162</v>
      </c>
      <c r="AN332" t="s">
        <v>3163</v>
      </c>
      <c r="AO332" t="s">
        <v>3164</v>
      </c>
      <c r="AP332" t="s">
        <v>3165</v>
      </c>
      <c r="AQ332" t="s">
        <v>3166</v>
      </c>
      <c r="AR332" t="s">
        <v>3167</v>
      </c>
      <c r="AS332" t="s">
        <v>3168</v>
      </c>
    </row>
    <row r="333" spans="1:45" x14ac:dyDescent="0.45">
      <c r="A333">
        <v>332</v>
      </c>
      <c r="B333">
        <v>12676</v>
      </c>
      <c r="C333" t="s">
        <v>72</v>
      </c>
      <c r="D333" t="s">
        <v>188</v>
      </c>
      <c r="E333" t="s">
        <v>74</v>
      </c>
      <c r="F333" t="s">
        <v>77</v>
      </c>
      <c r="G333" t="s">
        <v>76</v>
      </c>
      <c r="H333">
        <v>21.494607292331743</v>
      </c>
      <c r="I333">
        <v>0</v>
      </c>
      <c r="J333">
        <v>8</v>
      </c>
      <c r="K333">
        <v>7</v>
      </c>
      <c r="L333">
        <v>1</v>
      </c>
      <c r="M333">
        <v>9</v>
      </c>
      <c r="N333">
        <v>7</v>
      </c>
      <c r="O333">
        <v>2</v>
      </c>
      <c r="P333">
        <v>7</v>
      </c>
      <c r="Q333">
        <v>9</v>
      </c>
      <c r="R333">
        <v>-2</v>
      </c>
      <c r="S333">
        <v>8</v>
      </c>
      <c r="T333">
        <v>9</v>
      </c>
      <c r="U333">
        <v>-1</v>
      </c>
      <c r="V333">
        <v>7</v>
      </c>
      <c r="W333">
        <v>8</v>
      </c>
      <c r="X333">
        <v>-1</v>
      </c>
      <c r="Y333">
        <v>6</v>
      </c>
      <c r="Z333">
        <v>9</v>
      </c>
      <c r="AA333">
        <v>-3</v>
      </c>
      <c r="AB333">
        <v>5</v>
      </c>
      <c r="AC333">
        <v>7</v>
      </c>
      <c r="AD333">
        <v>-2</v>
      </c>
      <c r="AE333">
        <v>6</v>
      </c>
      <c r="AF333">
        <v>9</v>
      </c>
      <c r="AG333">
        <v>-3</v>
      </c>
      <c r="AH333">
        <v>7</v>
      </c>
      <c r="AI333">
        <v>9</v>
      </c>
      <c r="AJ333">
        <v>-2</v>
      </c>
      <c r="AK333" t="s">
        <v>3169</v>
      </c>
      <c r="AL333" t="s">
        <v>3170</v>
      </c>
      <c r="AM333" t="s">
        <v>3171</v>
      </c>
      <c r="AN333" t="s">
        <v>3172</v>
      </c>
      <c r="AO333" t="s">
        <v>3173</v>
      </c>
      <c r="AP333" t="s">
        <v>3174</v>
      </c>
      <c r="AQ333" t="s">
        <v>3175</v>
      </c>
      <c r="AR333" t="s">
        <v>3176</v>
      </c>
      <c r="AS333" t="s">
        <v>3177</v>
      </c>
    </row>
    <row r="334" spans="1:45" x14ac:dyDescent="0.45">
      <c r="A334">
        <v>333</v>
      </c>
      <c r="B334">
        <v>12677</v>
      </c>
      <c r="C334" t="s">
        <v>78</v>
      </c>
      <c r="D334" t="s">
        <v>79</v>
      </c>
      <c r="E334" t="s">
        <v>74</v>
      </c>
      <c r="F334" t="s">
        <v>75</v>
      </c>
      <c r="G334" t="s">
        <v>76</v>
      </c>
      <c r="H334">
        <v>86.95655635314948</v>
      </c>
      <c r="I334">
        <v>1</v>
      </c>
      <c r="J334">
        <v>8</v>
      </c>
      <c r="K334">
        <v>6</v>
      </c>
      <c r="L334">
        <v>2</v>
      </c>
      <c r="M334">
        <v>9</v>
      </c>
      <c r="N334">
        <v>6</v>
      </c>
      <c r="O334">
        <v>3</v>
      </c>
      <c r="P334">
        <v>7</v>
      </c>
      <c r="Q334">
        <v>8</v>
      </c>
      <c r="R334">
        <v>-1</v>
      </c>
      <c r="S334">
        <v>8</v>
      </c>
      <c r="T334">
        <v>8</v>
      </c>
      <c r="U334">
        <v>0</v>
      </c>
      <c r="V334">
        <v>6</v>
      </c>
      <c r="W334">
        <v>6</v>
      </c>
      <c r="X334">
        <v>0</v>
      </c>
      <c r="Y334">
        <v>7</v>
      </c>
      <c r="Z334">
        <v>7</v>
      </c>
      <c r="AA334">
        <v>0</v>
      </c>
      <c r="AB334">
        <v>5</v>
      </c>
      <c r="AC334">
        <v>6</v>
      </c>
      <c r="AD334">
        <v>-1</v>
      </c>
      <c r="AE334">
        <v>6</v>
      </c>
      <c r="AF334">
        <v>7</v>
      </c>
      <c r="AG334">
        <v>-1</v>
      </c>
      <c r="AH334">
        <v>7</v>
      </c>
      <c r="AI334">
        <v>7</v>
      </c>
      <c r="AJ334">
        <v>0</v>
      </c>
      <c r="AK334" t="s">
        <v>3178</v>
      </c>
      <c r="AL334" t="s">
        <v>3179</v>
      </c>
      <c r="AM334" t="s">
        <v>3180</v>
      </c>
      <c r="AN334" t="s">
        <v>3181</v>
      </c>
      <c r="AO334" t="s">
        <v>3182</v>
      </c>
      <c r="AP334" t="s">
        <v>3183</v>
      </c>
      <c r="AQ334" t="s">
        <v>3184</v>
      </c>
      <c r="AR334" t="s">
        <v>3185</v>
      </c>
      <c r="AS334" t="s">
        <v>3186</v>
      </c>
    </row>
    <row r="335" spans="1:45" x14ac:dyDescent="0.45">
      <c r="A335">
        <v>334</v>
      </c>
      <c r="B335">
        <v>12678</v>
      </c>
      <c r="C335" t="s">
        <v>72</v>
      </c>
      <c r="D335" t="s">
        <v>190</v>
      </c>
      <c r="E335" t="s">
        <v>74</v>
      </c>
      <c r="F335" t="s">
        <v>75</v>
      </c>
      <c r="G335" t="s">
        <v>161</v>
      </c>
      <c r="H335">
        <v>143.22514320672158</v>
      </c>
      <c r="I335">
        <v>3</v>
      </c>
      <c r="J335">
        <v>8</v>
      </c>
      <c r="K335">
        <v>2</v>
      </c>
      <c r="L335">
        <v>6</v>
      </c>
      <c r="M335">
        <v>7</v>
      </c>
      <c r="N335">
        <v>2</v>
      </c>
      <c r="O335">
        <v>5</v>
      </c>
      <c r="P335">
        <v>9</v>
      </c>
      <c r="Q335">
        <v>3</v>
      </c>
      <c r="R335">
        <v>6</v>
      </c>
      <c r="S335">
        <v>8</v>
      </c>
      <c r="T335">
        <v>5</v>
      </c>
      <c r="U335">
        <v>3</v>
      </c>
      <c r="V335">
        <v>9</v>
      </c>
      <c r="W335">
        <v>1</v>
      </c>
      <c r="X335">
        <v>8</v>
      </c>
      <c r="Y335">
        <v>8</v>
      </c>
      <c r="Z335">
        <v>1</v>
      </c>
      <c r="AA335">
        <v>7</v>
      </c>
      <c r="AB335">
        <v>9</v>
      </c>
      <c r="AC335">
        <v>1</v>
      </c>
      <c r="AD335">
        <v>8</v>
      </c>
      <c r="AE335">
        <v>7</v>
      </c>
      <c r="AF335">
        <v>3</v>
      </c>
      <c r="AG335">
        <v>4</v>
      </c>
      <c r="AH335">
        <v>9</v>
      </c>
      <c r="AI335">
        <v>1</v>
      </c>
      <c r="AJ335">
        <v>8</v>
      </c>
      <c r="AK335" t="s">
        <v>3187</v>
      </c>
      <c r="AL335" t="s">
        <v>3188</v>
      </c>
      <c r="AM335" t="s">
        <v>3189</v>
      </c>
      <c r="AN335" t="s">
        <v>3190</v>
      </c>
      <c r="AO335" t="s">
        <v>3191</v>
      </c>
      <c r="AP335" t="s">
        <v>3192</v>
      </c>
      <c r="AQ335" t="s">
        <v>3193</v>
      </c>
      <c r="AR335" t="s">
        <v>3194</v>
      </c>
      <c r="AS335" t="s">
        <v>3195</v>
      </c>
    </row>
    <row r="336" spans="1:45" x14ac:dyDescent="0.45">
      <c r="A336">
        <v>335</v>
      </c>
      <c r="B336">
        <v>12679</v>
      </c>
      <c r="C336" t="s">
        <v>78</v>
      </c>
      <c r="D336" t="s">
        <v>188</v>
      </c>
      <c r="E336" t="s">
        <v>74</v>
      </c>
      <c r="F336" t="s">
        <v>77</v>
      </c>
      <c r="G336" t="s">
        <v>76</v>
      </c>
      <c r="H336">
        <v>14.806608746231747</v>
      </c>
      <c r="I336">
        <v>0</v>
      </c>
      <c r="J336">
        <v>8</v>
      </c>
      <c r="K336">
        <v>7</v>
      </c>
      <c r="L336">
        <v>1</v>
      </c>
      <c r="M336">
        <v>7</v>
      </c>
      <c r="N336">
        <v>7</v>
      </c>
      <c r="O336">
        <v>0</v>
      </c>
      <c r="P336">
        <v>7</v>
      </c>
      <c r="Q336">
        <v>8</v>
      </c>
      <c r="R336">
        <v>-1</v>
      </c>
      <c r="S336">
        <v>8</v>
      </c>
      <c r="T336">
        <v>10</v>
      </c>
      <c r="U336">
        <v>-2</v>
      </c>
      <c r="V336">
        <v>8</v>
      </c>
      <c r="W336">
        <v>9</v>
      </c>
      <c r="X336">
        <v>-1</v>
      </c>
      <c r="Y336">
        <v>7</v>
      </c>
      <c r="Z336">
        <v>10</v>
      </c>
      <c r="AA336">
        <v>-3</v>
      </c>
      <c r="AC336">
        <v>8</v>
      </c>
      <c r="AF336">
        <v>8</v>
      </c>
      <c r="AI336">
        <v>10</v>
      </c>
      <c r="AK336" t="s">
        <v>216</v>
      </c>
      <c r="AL336" t="s">
        <v>216</v>
      </c>
      <c r="AM336" t="s">
        <v>216</v>
      </c>
      <c r="AN336" t="s">
        <v>216</v>
      </c>
      <c r="AO336" t="s">
        <v>216</v>
      </c>
      <c r="AP336" t="s">
        <v>216</v>
      </c>
      <c r="AQ336" t="s">
        <v>216</v>
      </c>
      <c r="AR336" t="s">
        <v>216</v>
      </c>
      <c r="AS336" t="s">
        <v>216</v>
      </c>
    </row>
    <row r="337" spans="1:45" x14ac:dyDescent="0.45">
      <c r="A337">
        <v>336</v>
      </c>
      <c r="B337">
        <v>12680</v>
      </c>
      <c r="C337" t="s">
        <v>72</v>
      </c>
      <c r="D337" t="s">
        <v>81</v>
      </c>
      <c r="E337" t="s">
        <v>74</v>
      </c>
      <c r="F337" t="s">
        <v>77</v>
      </c>
      <c r="G337" t="s">
        <v>76</v>
      </c>
      <c r="H337">
        <v>20.793069406099796</v>
      </c>
      <c r="I337">
        <v>0</v>
      </c>
      <c r="J337">
        <v>7</v>
      </c>
      <c r="K337">
        <v>4</v>
      </c>
      <c r="L337">
        <v>3</v>
      </c>
      <c r="M337">
        <v>8</v>
      </c>
      <c r="N337">
        <v>5</v>
      </c>
      <c r="O337">
        <v>3</v>
      </c>
      <c r="P337">
        <v>6</v>
      </c>
      <c r="Q337">
        <v>5</v>
      </c>
      <c r="R337">
        <v>1</v>
      </c>
      <c r="S337">
        <v>9</v>
      </c>
      <c r="T337">
        <v>6</v>
      </c>
      <c r="U337">
        <v>3</v>
      </c>
      <c r="V337">
        <v>8</v>
      </c>
      <c r="W337">
        <v>5</v>
      </c>
      <c r="X337">
        <v>3</v>
      </c>
      <c r="Y337">
        <v>7</v>
      </c>
      <c r="Z337">
        <v>6</v>
      </c>
      <c r="AA337">
        <v>1</v>
      </c>
      <c r="AB337">
        <v>6</v>
      </c>
      <c r="AC337">
        <v>5</v>
      </c>
      <c r="AD337">
        <v>1</v>
      </c>
      <c r="AE337">
        <v>8</v>
      </c>
      <c r="AF337">
        <v>5</v>
      </c>
      <c r="AG337">
        <v>3</v>
      </c>
      <c r="AH337">
        <v>5</v>
      </c>
      <c r="AI337">
        <v>6</v>
      </c>
      <c r="AJ337">
        <v>-1</v>
      </c>
      <c r="AK337" t="s">
        <v>3196</v>
      </c>
      <c r="AL337" t="s">
        <v>3197</v>
      </c>
      <c r="AM337" t="s">
        <v>3198</v>
      </c>
      <c r="AN337" t="s">
        <v>3199</v>
      </c>
      <c r="AO337" t="s">
        <v>3200</v>
      </c>
      <c r="AP337" t="s">
        <v>3201</v>
      </c>
      <c r="AQ337" t="s">
        <v>3202</v>
      </c>
      <c r="AR337" t="s">
        <v>3203</v>
      </c>
      <c r="AS337" t="s">
        <v>3204</v>
      </c>
    </row>
    <row r="338" spans="1:45" x14ac:dyDescent="0.45">
      <c r="A338">
        <v>337</v>
      </c>
      <c r="B338">
        <v>12681</v>
      </c>
      <c r="C338" t="s">
        <v>78</v>
      </c>
      <c r="D338" t="s">
        <v>73</v>
      </c>
      <c r="E338" t="s">
        <v>74</v>
      </c>
      <c r="F338" t="s">
        <v>77</v>
      </c>
      <c r="G338" t="s">
        <v>76</v>
      </c>
      <c r="H338">
        <v>26.515504121593221</v>
      </c>
      <c r="I338">
        <v>0</v>
      </c>
      <c r="J338">
        <v>7</v>
      </c>
      <c r="K338">
        <v>7</v>
      </c>
      <c r="L338">
        <v>0</v>
      </c>
      <c r="M338">
        <v>8</v>
      </c>
      <c r="N338">
        <v>8</v>
      </c>
      <c r="O338">
        <v>0</v>
      </c>
      <c r="P338">
        <v>9</v>
      </c>
      <c r="Q338">
        <v>7</v>
      </c>
      <c r="R338">
        <v>2</v>
      </c>
      <c r="S338">
        <v>8</v>
      </c>
      <c r="T338">
        <v>7</v>
      </c>
      <c r="U338">
        <v>1</v>
      </c>
      <c r="V338">
        <v>8</v>
      </c>
      <c r="W338">
        <v>6</v>
      </c>
      <c r="X338">
        <v>2</v>
      </c>
      <c r="Y338">
        <v>9</v>
      </c>
      <c r="Z338">
        <v>8</v>
      </c>
      <c r="AA338">
        <v>1</v>
      </c>
      <c r="AB338">
        <v>8</v>
      </c>
      <c r="AC338">
        <v>6</v>
      </c>
      <c r="AD338">
        <v>2</v>
      </c>
      <c r="AE338">
        <v>7</v>
      </c>
      <c r="AF338">
        <v>8</v>
      </c>
      <c r="AG338">
        <v>-1</v>
      </c>
      <c r="AH338">
        <v>8</v>
      </c>
      <c r="AI338">
        <v>8</v>
      </c>
      <c r="AJ338">
        <v>0</v>
      </c>
      <c r="AK338" t="s">
        <v>3205</v>
      </c>
      <c r="AL338" t="s">
        <v>3206</v>
      </c>
      <c r="AM338" t="s">
        <v>3207</v>
      </c>
      <c r="AN338" t="s">
        <v>3208</v>
      </c>
      <c r="AO338" t="s">
        <v>3209</v>
      </c>
      <c r="AP338" t="s">
        <v>3210</v>
      </c>
      <c r="AQ338" t="s">
        <v>3211</v>
      </c>
      <c r="AR338" t="s">
        <v>3212</v>
      </c>
      <c r="AS338" t="s">
        <v>3213</v>
      </c>
    </row>
    <row r="339" spans="1:45" x14ac:dyDescent="0.45">
      <c r="A339">
        <v>338</v>
      </c>
      <c r="B339">
        <v>12682</v>
      </c>
      <c r="C339" t="s">
        <v>78</v>
      </c>
      <c r="D339" t="s">
        <v>188</v>
      </c>
      <c r="E339" t="s">
        <v>74</v>
      </c>
      <c r="F339" t="s">
        <v>77</v>
      </c>
      <c r="G339" t="s">
        <v>76</v>
      </c>
      <c r="H339">
        <v>13.586592018886273</v>
      </c>
      <c r="I339">
        <v>0</v>
      </c>
      <c r="J339">
        <v>7</v>
      </c>
      <c r="K339">
        <v>8</v>
      </c>
      <c r="L339">
        <v>-1</v>
      </c>
      <c r="M339">
        <v>8</v>
      </c>
      <c r="N339">
        <v>8</v>
      </c>
      <c r="O339">
        <v>0</v>
      </c>
      <c r="P339">
        <v>9</v>
      </c>
      <c r="Q339">
        <v>9</v>
      </c>
      <c r="R339">
        <v>0</v>
      </c>
      <c r="S339">
        <v>8</v>
      </c>
      <c r="T339">
        <v>9</v>
      </c>
      <c r="U339">
        <v>-1</v>
      </c>
      <c r="V339">
        <v>7</v>
      </c>
      <c r="W339">
        <v>8</v>
      </c>
      <c r="X339">
        <v>-1</v>
      </c>
      <c r="Y339">
        <v>6</v>
      </c>
      <c r="Z339">
        <v>9</v>
      </c>
      <c r="AA339">
        <v>-3</v>
      </c>
      <c r="AB339">
        <v>7</v>
      </c>
      <c r="AC339">
        <v>10</v>
      </c>
      <c r="AD339">
        <v>-3</v>
      </c>
      <c r="AE339">
        <v>6</v>
      </c>
      <c r="AF339">
        <v>9</v>
      </c>
      <c r="AG339">
        <v>-3</v>
      </c>
      <c r="AH339">
        <v>7</v>
      </c>
      <c r="AI339">
        <v>10</v>
      </c>
      <c r="AJ339">
        <v>-3</v>
      </c>
      <c r="AK339" t="s">
        <v>3214</v>
      </c>
      <c r="AL339" t="s">
        <v>3215</v>
      </c>
      <c r="AM339" t="s">
        <v>3216</v>
      </c>
      <c r="AN339" t="s">
        <v>3217</v>
      </c>
      <c r="AO339" t="s">
        <v>3218</v>
      </c>
      <c r="AP339" t="s">
        <v>3219</v>
      </c>
      <c r="AQ339" t="s">
        <v>3220</v>
      </c>
      <c r="AR339" t="s">
        <v>3221</v>
      </c>
      <c r="AS339" t="s">
        <v>3222</v>
      </c>
    </row>
    <row r="340" spans="1:45" x14ac:dyDescent="0.45">
      <c r="A340">
        <v>339</v>
      </c>
      <c r="B340">
        <v>12683</v>
      </c>
      <c r="C340" t="s">
        <v>72</v>
      </c>
      <c r="D340" t="s">
        <v>188</v>
      </c>
      <c r="E340" t="s">
        <v>74</v>
      </c>
      <c r="F340" t="s">
        <v>77</v>
      </c>
      <c r="G340" t="s">
        <v>76</v>
      </c>
      <c r="H340">
        <v>14.936353682077161</v>
      </c>
      <c r="I340">
        <v>0</v>
      </c>
      <c r="J340">
        <v>8</v>
      </c>
      <c r="K340">
        <v>7</v>
      </c>
      <c r="L340">
        <v>1</v>
      </c>
      <c r="M340">
        <v>7</v>
      </c>
      <c r="N340">
        <v>7</v>
      </c>
      <c r="O340">
        <v>0</v>
      </c>
      <c r="P340">
        <v>9</v>
      </c>
      <c r="Q340">
        <v>8</v>
      </c>
      <c r="R340">
        <v>1</v>
      </c>
      <c r="S340">
        <v>8</v>
      </c>
      <c r="T340">
        <v>8</v>
      </c>
      <c r="U340">
        <v>0</v>
      </c>
      <c r="V340">
        <v>6</v>
      </c>
      <c r="W340">
        <v>6</v>
      </c>
      <c r="X340">
        <v>0</v>
      </c>
      <c r="Y340">
        <v>7</v>
      </c>
      <c r="Z340">
        <v>7</v>
      </c>
      <c r="AA340">
        <v>0</v>
      </c>
      <c r="AB340">
        <v>6</v>
      </c>
      <c r="AC340">
        <v>6</v>
      </c>
      <c r="AD340">
        <v>0</v>
      </c>
      <c r="AE340">
        <v>7</v>
      </c>
      <c r="AF340">
        <v>6</v>
      </c>
      <c r="AG340">
        <v>1</v>
      </c>
      <c r="AH340">
        <v>7</v>
      </c>
      <c r="AI340">
        <v>7</v>
      </c>
      <c r="AJ340">
        <v>0</v>
      </c>
      <c r="AK340" t="s">
        <v>3223</v>
      </c>
      <c r="AL340" t="s">
        <v>3224</v>
      </c>
      <c r="AM340" t="s">
        <v>3225</v>
      </c>
      <c r="AN340" t="s">
        <v>3226</v>
      </c>
      <c r="AO340" t="s">
        <v>3227</v>
      </c>
      <c r="AP340" t="s">
        <v>3228</v>
      </c>
      <c r="AQ340" t="s">
        <v>3229</v>
      </c>
      <c r="AR340" t="s">
        <v>3230</v>
      </c>
      <c r="AS340" t="s">
        <v>3231</v>
      </c>
    </row>
    <row r="341" spans="1:45" x14ac:dyDescent="0.45">
      <c r="A341">
        <v>340</v>
      </c>
      <c r="B341">
        <v>12684</v>
      </c>
      <c r="C341" t="s">
        <v>78</v>
      </c>
      <c r="D341" t="s">
        <v>81</v>
      </c>
      <c r="E341" t="s">
        <v>74</v>
      </c>
      <c r="F341" t="s">
        <v>77</v>
      </c>
      <c r="G341" t="s">
        <v>76</v>
      </c>
      <c r="H341">
        <v>16.718147872687155</v>
      </c>
      <c r="I341">
        <v>0</v>
      </c>
      <c r="J341">
        <v>7</v>
      </c>
      <c r="K341">
        <v>7</v>
      </c>
      <c r="L341">
        <v>0</v>
      </c>
      <c r="M341">
        <v>8</v>
      </c>
      <c r="N341">
        <v>8</v>
      </c>
      <c r="O341">
        <v>0</v>
      </c>
      <c r="P341">
        <v>6</v>
      </c>
      <c r="Q341">
        <v>8</v>
      </c>
      <c r="R341">
        <v>-2</v>
      </c>
      <c r="S341">
        <v>7</v>
      </c>
      <c r="T341">
        <v>8</v>
      </c>
      <c r="U341">
        <v>-1</v>
      </c>
      <c r="V341">
        <v>8</v>
      </c>
      <c r="W341">
        <v>5</v>
      </c>
      <c r="X341">
        <v>3</v>
      </c>
      <c r="Y341">
        <v>7</v>
      </c>
      <c r="Z341">
        <v>8</v>
      </c>
      <c r="AA341">
        <v>-1</v>
      </c>
      <c r="AB341">
        <v>7</v>
      </c>
      <c r="AC341">
        <v>5</v>
      </c>
      <c r="AD341">
        <v>2</v>
      </c>
      <c r="AE341">
        <v>6</v>
      </c>
      <c r="AF341">
        <v>8</v>
      </c>
      <c r="AG341">
        <v>-2</v>
      </c>
      <c r="AH341">
        <v>8</v>
      </c>
      <c r="AI341">
        <v>8</v>
      </c>
      <c r="AJ341">
        <v>0</v>
      </c>
      <c r="AK341" t="s">
        <v>3232</v>
      </c>
      <c r="AL341" t="s">
        <v>3233</v>
      </c>
      <c r="AM341" t="s">
        <v>3234</v>
      </c>
      <c r="AN341" t="s">
        <v>3235</v>
      </c>
      <c r="AO341" t="s">
        <v>3236</v>
      </c>
      <c r="AP341" t="s">
        <v>3237</v>
      </c>
      <c r="AQ341" t="s">
        <v>3238</v>
      </c>
      <c r="AR341" t="s">
        <v>3239</v>
      </c>
      <c r="AS341" t="s">
        <v>3240</v>
      </c>
    </row>
    <row r="342" spans="1:45" x14ac:dyDescent="0.45">
      <c r="A342">
        <v>341</v>
      </c>
      <c r="B342">
        <v>12685</v>
      </c>
      <c r="C342" t="s">
        <v>72</v>
      </c>
      <c r="D342" t="s">
        <v>188</v>
      </c>
      <c r="E342" t="s">
        <v>74</v>
      </c>
      <c r="F342" t="s">
        <v>77</v>
      </c>
      <c r="G342" t="s">
        <v>76</v>
      </c>
      <c r="H342">
        <v>12</v>
      </c>
      <c r="I342">
        <v>0</v>
      </c>
      <c r="J342">
        <v>7</v>
      </c>
      <c r="K342">
        <v>8</v>
      </c>
      <c r="L342">
        <v>-1</v>
      </c>
      <c r="M342">
        <v>8</v>
      </c>
      <c r="N342">
        <v>8</v>
      </c>
      <c r="O342">
        <v>0</v>
      </c>
      <c r="P342">
        <v>6</v>
      </c>
      <c r="Q342">
        <v>8</v>
      </c>
      <c r="R342">
        <v>-2</v>
      </c>
      <c r="S342">
        <v>9</v>
      </c>
      <c r="T342">
        <v>9</v>
      </c>
      <c r="U342">
        <v>0</v>
      </c>
      <c r="V342">
        <v>5</v>
      </c>
      <c r="W342">
        <v>8</v>
      </c>
      <c r="X342">
        <v>-3</v>
      </c>
      <c r="Y342">
        <v>7</v>
      </c>
      <c r="Z342">
        <v>8</v>
      </c>
      <c r="AA342">
        <v>-1</v>
      </c>
      <c r="AB342">
        <v>6</v>
      </c>
      <c r="AC342">
        <v>7</v>
      </c>
      <c r="AD342">
        <v>-1</v>
      </c>
      <c r="AE342">
        <v>7</v>
      </c>
      <c r="AF342">
        <v>7</v>
      </c>
      <c r="AG342">
        <v>0</v>
      </c>
      <c r="AH342">
        <v>6</v>
      </c>
      <c r="AI342">
        <v>8</v>
      </c>
      <c r="AJ342">
        <v>-2</v>
      </c>
      <c r="AK342" t="s">
        <v>3241</v>
      </c>
      <c r="AL342" t="s">
        <v>3242</v>
      </c>
      <c r="AM342" t="s">
        <v>3243</v>
      </c>
      <c r="AN342" t="s">
        <v>3244</v>
      </c>
      <c r="AO342" t="s">
        <v>3245</v>
      </c>
      <c r="AP342" t="s">
        <v>3246</v>
      </c>
      <c r="AQ342" t="s">
        <v>3247</v>
      </c>
      <c r="AR342" t="s">
        <v>3248</v>
      </c>
      <c r="AS342" t="s">
        <v>3249</v>
      </c>
    </row>
    <row r="343" spans="1:45" x14ac:dyDescent="0.45">
      <c r="A343">
        <v>342</v>
      </c>
      <c r="B343">
        <v>12686</v>
      </c>
      <c r="C343" t="s">
        <v>78</v>
      </c>
      <c r="D343" t="s">
        <v>188</v>
      </c>
      <c r="E343" t="s">
        <v>74</v>
      </c>
      <c r="F343" t="s">
        <v>77</v>
      </c>
      <c r="G343" t="s">
        <v>76</v>
      </c>
      <c r="H343">
        <v>12</v>
      </c>
      <c r="I343">
        <v>0</v>
      </c>
      <c r="J343">
        <v>7</v>
      </c>
      <c r="K343">
        <v>5</v>
      </c>
      <c r="L343">
        <v>2</v>
      </c>
      <c r="M343">
        <v>8</v>
      </c>
      <c r="N343">
        <v>5</v>
      </c>
      <c r="O343">
        <v>3</v>
      </c>
      <c r="P343">
        <v>6</v>
      </c>
      <c r="Q343">
        <v>6</v>
      </c>
      <c r="R343">
        <v>0</v>
      </c>
      <c r="S343">
        <v>8</v>
      </c>
      <c r="T343">
        <v>7</v>
      </c>
      <c r="U343">
        <v>1</v>
      </c>
      <c r="V343">
        <v>7</v>
      </c>
      <c r="W343">
        <v>5</v>
      </c>
      <c r="X343">
        <v>2</v>
      </c>
      <c r="Y343">
        <v>6</v>
      </c>
      <c r="Z343">
        <v>8</v>
      </c>
      <c r="AA343">
        <v>-2</v>
      </c>
      <c r="AB343">
        <v>7</v>
      </c>
      <c r="AC343">
        <v>6</v>
      </c>
      <c r="AD343">
        <v>1</v>
      </c>
      <c r="AE343">
        <v>5</v>
      </c>
      <c r="AF343">
        <v>6</v>
      </c>
      <c r="AG343">
        <v>-1</v>
      </c>
      <c r="AH343">
        <v>6</v>
      </c>
      <c r="AI343">
        <v>7</v>
      </c>
      <c r="AJ343">
        <v>-1</v>
      </c>
      <c r="AK343" t="s">
        <v>3250</v>
      </c>
      <c r="AL343" t="s">
        <v>3251</v>
      </c>
      <c r="AM343" t="s">
        <v>3252</v>
      </c>
      <c r="AN343" t="s">
        <v>3253</v>
      </c>
      <c r="AO343" t="s">
        <v>3254</v>
      </c>
      <c r="AP343" t="s">
        <v>3255</v>
      </c>
      <c r="AQ343" t="s">
        <v>3256</v>
      </c>
      <c r="AR343" t="s">
        <v>3257</v>
      </c>
      <c r="AS343" t="s">
        <v>3258</v>
      </c>
    </row>
    <row r="344" spans="1:45" x14ac:dyDescent="0.45">
      <c r="A344">
        <v>343</v>
      </c>
      <c r="B344">
        <v>12687</v>
      </c>
      <c r="C344" t="s">
        <v>78</v>
      </c>
      <c r="D344" t="s">
        <v>81</v>
      </c>
      <c r="E344" t="s">
        <v>74</v>
      </c>
      <c r="F344" t="s">
        <v>77</v>
      </c>
      <c r="G344" t="s">
        <v>76</v>
      </c>
      <c r="H344">
        <v>15.381319407352597</v>
      </c>
      <c r="I344">
        <v>0</v>
      </c>
      <c r="J344">
        <v>9</v>
      </c>
      <c r="K344">
        <v>7</v>
      </c>
      <c r="L344">
        <v>2</v>
      </c>
      <c r="M344">
        <v>8</v>
      </c>
      <c r="N344">
        <v>7</v>
      </c>
      <c r="O344">
        <v>1</v>
      </c>
      <c r="P344">
        <v>9</v>
      </c>
      <c r="Q344">
        <v>8</v>
      </c>
      <c r="R344">
        <v>1</v>
      </c>
      <c r="S344">
        <v>8</v>
      </c>
      <c r="T344">
        <v>7</v>
      </c>
      <c r="U344">
        <v>1</v>
      </c>
      <c r="V344">
        <v>9</v>
      </c>
      <c r="W344">
        <v>8</v>
      </c>
      <c r="X344">
        <v>1</v>
      </c>
      <c r="Y344">
        <v>7</v>
      </c>
      <c r="Z344">
        <v>8</v>
      </c>
      <c r="AA344">
        <v>-1</v>
      </c>
      <c r="AB344">
        <v>8</v>
      </c>
      <c r="AC344">
        <v>8</v>
      </c>
      <c r="AD344">
        <v>0</v>
      </c>
      <c r="AE344">
        <v>7</v>
      </c>
      <c r="AF344">
        <v>7</v>
      </c>
      <c r="AG344">
        <v>0</v>
      </c>
      <c r="AH344">
        <v>8</v>
      </c>
      <c r="AI344">
        <v>8</v>
      </c>
      <c r="AJ344">
        <v>0</v>
      </c>
      <c r="AK344" t="s">
        <v>3259</v>
      </c>
      <c r="AL344" t="s">
        <v>3260</v>
      </c>
      <c r="AM344" t="s">
        <v>3261</v>
      </c>
      <c r="AN344" t="s">
        <v>3262</v>
      </c>
      <c r="AO344" t="s">
        <v>3263</v>
      </c>
      <c r="AP344" t="s">
        <v>3264</v>
      </c>
      <c r="AQ344" t="s">
        <v>3265</v>
      </c>
      <c r="AR344" t="s">
        <v>3266</v>
      </c>
      <c r="AS344" t="s">
        <v>3267</v>
      </c>
    </row>
    <row r="345" spans="1:45" x14ac:dyDescent="0.45">
      <c r="A345">
        <v>344</v>
      </c>
      <c r="B345">
        <v>12688</v>
      </c>
      <c r="C345" t="s">
        <v>78</v>
      </c>
      <c r="D345" t="s">
        <v>73</v>
      </c>
      <c r="E345" t="s">
        <v>74</v>
      </c>
      <c r="F345" t="s">
        <v>75</v>
      </c>
      <c r="G345" t="s">
        <v>76</v>
      </c>
      <c r="H345">
        <v>67.320076132262471</v>
      </c>
      <c r="I345">
        <v>2</v>
      </c>
      <c r="J345">
        <v>7</v>
      </c>
      <c r="K345">
        <v>7</v>
      </c>
      <c r="L345">
        <v>0</v>
      </c>
      <c r="M345">
        <v>8</v>
      </c>
      <c r="N345">
        <v>7</v>
      </c>
      <c r="O345">
        <v>1</v>
      </c>
      <c r="P345">
        <v>9</v>
      </c>
      <c r="Q345">
        <v>5</v>
      </c>
      <c r="R345">
        <v>4</v>
      </c>
      <c r="S345">
        <v>8</v>
      </c>
      <c r="T345">
        <v>8</v>
      </c>
      <c r="U345">
        <v>0</v>
      </c>
      <c r="V345">
        <v>7</v>
      </c>
      <c r="W345">
        <v>6</v>
      </c>
      <c r="X345">
        <v>1</v>
      </c>
      <c r="Y345">
        <v>6</v>
      </c>
      <c r="Z345">
        <v>5</v>
      </c>
      <c r="AA345">
        <v>1</v>
      </c>
      <c r="AB345">
        <v>6</v>
      </c>
      <c r="AC345">
        <v>5</v>
      </c>
      <c r="AD345">
        <v>1</v>
      </c>
      <c r="AE345">
        <v>5</v>
      </c>
      <c r="AF345">
        <v>6</v>
      </c>
      <c r="AG345">
        <v>-1</v>
      </c>
      <c r="AH345">
        <v>6</v>
      </c>
      <c r="AI345">
        <v>5</v>
      </c>
      <c r="AJ345">
        <v>1</v>
      </c>
      <c r="AK345" t="s">
        <v>3268</v>
      </c>
      <c r="AL345" t="s">
        <v>3269</v>
      </c>
      <c r="AM345" t="s">
        <v>3270</v>
      </c>
      <c r="AN345" t="s">
        <v>3271</v>
      </c>
      <c r="AO345" t="s">
        <v>3272</v>
      </c>
      <c r="AP345" t="s">
        <v>3273</v>
      </c>
      <c r="AQ345" t="s">
        <v>3274</v>
      </c>
      <c r="AR345" t="s">
        <v>3275</v>
      </c>
      <c r="AS345" t="s">
        <v>3276</v>
      </c>
    </row>
    <row r="346" spans="1:45" x14ac:dyDescent="0.45">
      <c r="A346">
        <v>345</v>
      </c>
      <c r="B346">
        <v>12689</v>
      </c>
      <c r="C346" t="s">
        <v>72</v>
      </c>
      <c r="D346" t="s">
        <v>81</v>
      </c>
      <c r="E346" t="s">
        <v>74</v>
      </c>
      <c r="F346" t="s">
        <v>77</v>
      </c>
      <c r="G346" t="s">
        <v>76</v>
      </c>
      <c r="H346">
        <v>12.069918907792498</v>
      </c>
      <c r="I346">
        <v>0</v>
      </c>
      <c r="J346">
        <v>8</v>
      </c>
      <c r="K346">
        <v>7</v>
      </c>
      <c r="L346">
        <v>1</v>
      </c>
      <c r="M346">
        <v>9</v>
      </c>
      <c r="N346">
        <v>7</v>
      </c>
      <c r="O346">
        <v>2</v>
      </c>
      <c r="P346">
        <v>7</v>
      </c>
      <c r="Q346">
        <v>5</v>
      </c>
      <c r="R346">
        <v>2</v>
      </c>
      <c r="S346">
        <v>8</v>
      </c>
      <c r="T346">
        <v>8</v>
      </c>
      <c r="U346">
        <v>0</v>
      </c>
      <c r="V346">
        <v>7</v>
      </c>
      <c r="W346">
        <v>7</v>
      </c>
      <c r="X346">
        <v>0</v>
      </c>
      <c r="Y346">
        <v>8</v>
      </c>
      <c r="Z346">
        <v>7</v>
      </c>
      <c r="AA346">
        <v>1</v>
      </c>
      <c r="AB346">
        <v>7</v>
      </c>
      <c r="AC346">
        <v>6</v>
      </c>
      <c r="AD346">
        <v>1</v>
      </c>
      <c r="AE346">
        <v>6</v>
      </c>
      <c r="AF346">
        <v>7</v>
      </c>
      <c r="AG346">
        <v>-1</v>
      </c>
      <c r="AH346">
        <v>7</v>
      </c>
      <c r="AI346">
        <v>7</v>
      </c>
      <c r="AJ346">
        <v>0</v>
      </c>
      <c r="AK346" t="s">
        <v>3277</v>
      </c>
      <c r="AL346" t="s">
        <v>3278</v>
      </c>
      <c r="AM346" t="s">
        <v>3279</v>
      </c>
      <c r="AN346" t="s">
        <v>3280</v>
      </c>
      <c r="AO346" t="s">
        <v>3281</v>
      </c>
      <c r="AP346" t="s">
        <v>3282</v>
      </c>
      <c r="AQ346" t="s">
        <v>3283</v>
      </c>
      <c r="AR346" t="s">
        <v>3284</v>
      </c>
      <c r="AS346" t="s">
        <v>3285</v>
      </c>
    </row>
    <row r="347" spans="1:45" x14ac:dyDescent="0.45">
      <c r="A347">
        <v>346</v>
      </c>
      <c r="B347">
        <v>12690</v>
      </c>
      <c r="C347" t="s">
        <v>72</v>
      </c>
      <c r="D347" t="s">
        <v>73</v>
      </c>
      <c r="E347" t="s">
        <v>74</v>
      </c>
      <c r="F347" t="s">
        <v>77</v>
      </c>
      <c r="G347" t="s">
        <v>76</v>
      </c>
      <c r="H347">
        <v>28.869904376097207</v>
      </c>
      <c r="I347">
        <v>1</v>
      </c>
      <c r="J347">
        <v>8</v>
      </c>
      <c r="K347">
        <v>9</v>
      </c>
      <c r="L347">
        <v>-1</v>
      </c>
      <c r="M347">
        <v>7</v>
      </c>
      <c r="N347">
        <v>8</v>
      </c>
      <c r="O347">
        <v>-1</v>
      </c>
      <c r="P347">
        <v>6</v>
      </c>
      <c r="Q347">
        <v>8</v>
      </c>
      <c r="R347">
        <v>-2</v>
      </c>
      <c r="S347">
        <v>8</v>
      </c>
      <c r="T347">
        <v>9</v>
      </c>
      <c r="U347">
        <v>-1</v>
      </c>
      <c r="V347">
        <v>7</v>
      </c>
      <c r="W347">
        <v>7</v>
      </c>
      <c r="X347">
        <v>0</v>
      </c>
      <c r="Y347">
        <v>8</v>
      </c>
      <c r="Z347">
        <v>8</v>
      </c>
      <c r="AA347">
        <v>0</v>
      </c>
      <c r="AB347">
        <v>6</v>
      </c>
      <c r="AC347">
        <v>7</v>
      </c>
      <c r="AD347">
        <v>-1</v>
      </c>
      <c r="AE347">
        <v>5</v>
      </c>
      <c r="AF347">
        <v>7</v>
      </c>
      <c r="AG347">
        <v>-2</v>
      </c>
      <c r="AH347">
        <v>6</v>
      </c>
      <c r="AI347">
        <v>8</v>
      </c>
      <c r="AJ347">
        <v>-2</v>
      </c>
      <c r="AK347" t="s">
        <v>3286</v>
      </c>
      <c r="AL347" t="s">
        <v>3287</v>
      </c>
      <c r="AM347" t="s">
        <v>3288</v>
      </c>
      <c r="AN347" t="s">
        <v>3289</v>
      </c>
      <c r="AO347" t="s">
        <v>3290</v>
      </c>
      <c r="AP347" t="s">
        <v>3291</v>
      </c>
      <c r="AQ347" t="s">
        <v>3292</v>
      </c>
      <c r="AR347" t="s">
        <v>3293</v>
      </c>
      <c r="AS347" t="s">
        <v>3294</v>
      </c>
    </row>
    <row r="348" spans="1:45" x14ac:dyDescent="0.45">
      <c r="A348">
        <v>347</v>
      </c>
      <c r="B348">
        <v>12691</v>
      </c>
      <c r="C348" t="s">
        <v>72</v>
      </c>
      <c r="D348" t="s">
        <v>81</v>
      </c>
      <c r="E348" t="s">
        <v>74</v>
      </c>
      <c r="F348" t="s">
        <v>77</v>
      </c>
      <c r="G348" t="s">
        <v>76</v>
      </c>
      <c r="H348">
        <v>18.18328571339428</v>
      </c>
      <c r="I348">
        <v>0</v>
      </c>
      <c r="J348">
        <v>8</v>
      </c>
      <c r="K348">
        <v>8</v>
      </c>
      <c r="L348">
        <v>0</v>
      </c>
      <c r="M348">
        <v>9</v>
      </c>
      <c r="N348">
        <v>8</v>
      </c>
      <c r="O348">
        <v>1</v>
      </c>
      <c r="P348">
        <v>7</v>
      </c>
      <c r="Q348">
        <v>7</v>
      </c>
      <c r="R348">
        <v>0</v>
      </c>
      <c r="S348">
        <v>8</v>
      </c>
      <c r="T348">
        <v>8</v>
      </c>
      <c r="U348">
        <v>0</v>
      </c>
      <c r="V348">
        <v>7</v>
      </c>
      <c r="W348">
        <v>6</v>
      </c>
      <c r="X348">
        <v>1</v>
      </c>
      <c r="Y348">
        <v>8</v>
      </c>
      <c r="Z348">
        <v>8</v>
      </c>
      <c r="AA348">
        <v>0</v>
      </c>
      <c r="AB348">
        <v>7</v>
      </c>
      <c r="AC348">
        <v>6</v>
      </c>
      <c r="AD348">
        <v>1</v>
      </c>
      <c r="AE348">
        <v>6</v>
      </c>
      <c r="AF348">
        <v>6</v>
      </c>
      <c r="AG348">
        <v>0</v>
      </c>
      <c r="AH348">
        <v>8</v>
      </c>
      <c r="AI348">
        <v>8</v>
      </c>
      <c r="AJ348">
        <v>0</v>
      </c>
      <c r="AK348" t="s">
        <v>3295</v>
      </c>
      <c r="AL348" t="s">
        <v>3296</v>
      </c>
      <c r="AM348" t="s">
        <v>3297</v>
      </c>
      <c r="AN348" t="s">
        <v>3298</v>
      </c>
      <c r="AO348" t="s">
        <v>3299</v>
      </c>
      <c r="AP348" t="s">
        <v>3300</v>
      </c>
      <c r="AQ348" t="s">
        <v>3301</v>
      </c>
      <c r="AR348" t="s">
        <v>3302</v>
      </c>
      <c r="AS348" t="s">
        <v>3303</v>
      </c>
    </row>
    <row r="349" spans="1:45" x14ac:dyDescent="0.45">
      <c r="A349">
        <v>348</v>
      </c>
      <c r="B349">
        <v>12692</v>
      </c>
      <c r="C349" t="s">
        <v>72</v>
      </c>
      <c r="D349" t="s">
        <v>81</v>
      </c>
      <c r="E349" t="s">
        <v>74</v>
      </c>
      <c r="F349" t="s">
        <v>77</v>
      </c>
      <c r="G349" t="s">
        <v>76</v>
      </c>
      <c r="H349">
        <v>21.829935364779054</v>
      </c>
      <c r="I349">
        <v>0</v>
      </c>
      <c r="J349">
        <v>7</v>
      </c>
      <c r="K349">
        <v>8</v>
      </c>
      <c r="L349">
        <v>-1</v>
      </c>
      <c r="M349">
        <v>8</v>
      </c>
      <c r="N349">
        <v>8</v>
      </c>
      <c r="O349">
        <v>0</v>
      </c>
      <c r="P349">
        <v>6</v>
      </c>
      <c r="Q349">
        <v>7</v>
      </c>
      <c r="R349">
        <v>-1</v>
      </c>
      <c r="S349">
        <v>9</v>
      </c>
      <c r="T349">
        <v>7</v>
      </c>
      <c r="U349">
        <v>2</v>
      </c>
      <c r="V349">
        <v>8</v>
      </c>
      <c r="W349">
        <v>6</v>
      </c>
      <c r="X349">
        <v>2</v>
      </c>
      <c r="Y349">
        <v>7</v>
      </c>
      <c r="Z349">
        <v>7</v>
      </c>
      <c r="AA349">
        <v>0</v>
      </c>
      <c r="AB349">
        <v>6</v>
      </c>
      <c r="AC349">
        <v>6</v>
      </c>
      <c r="AD349">
        <v>0</v>
      </c>
      <c r="AE349">
        <v>7</v>
      </c>
      <c r="AF349">
        <v>6</v>
      </c>
      <c r="AG349">
        <v>1</v>
      </c>
      <c r="AH349">
        <v>8</v>
      </c>
      <c r="AI349">
        <v>7</v>
      </c>
      <c r="AJ349">
        <v>1</v>
      </c>
      <c r="AK349" t="s">
        <v>3304</v>
      </c>
      <c r="AL349" t="s">
        <v>3305</v>
      </c>
      <c r="AM349" t="s">
        <v>3306</v>
      </c>
      <c r="AN349" t="s">
        <v>3307</v>
      </c>
      <c r="AO349" t="s">
        <v>3308</v>
      </c>
      <c r="AP349" t="s">
        <v>3309</v>
      </c>
      <c r="AQ349" t="s">
        <v>3310</v>
      </c>
      <c r="AR349" t="s">
        <v>3311</v>
      </c>
      <c r="AS349" t="s">
        <v>3312</v>
      </c>
    </row>
    <row r="350" spans="1:45" x14ac:dyDescent="0.45">
      <c r="A350">
        <v>349</v>
      </c>
      <c r="B350">
        <v>12693</v>
      </c>
      <c r="C350" t="s">
        <v>72</v>
      </c>
      <c r="D350" t="s">
        <v>81</v>
      </c>
      <c r="E350" t="s">
        <v>74</v>
      </c>
      <c r="F350" t="s">
        <v>77</v>
      </c>
      <c r="G350" t="s">
        <v>76</v>
      </c>
      <c r="H350">
        <v>18.940736922102833</v>
      </c>
      <c r="I350">
        <v>0</v>
      </c>
      <c r="J350">
        <v>7</v>
      </c>
      <c r="K350">
        <v>4</v>
      </c>
      <c r="L350">
        <v>3</v>
      </c>
      <c r="M350">
        <v>8</v>
      </c>
      <c r="N350">
        <v>4</v>
      </c>
      <c r="O350">
        <v>4</v>
      </c>
      <c r="P350">
        <v>6</v>
      </c>
      <c r="Q350">
        <v>5</v>
      </c>
      <c r="R350">
        <v>1</v>
      </c>
      <c r="S350">
        <v>8</v>
      </c>
      <c r="T350">
        <v>7</v>
      </c>
      <c r="U350">
        <v>1</v>
      </c>
      <c r="V350">
        <v>9</v>
      </c>
      <c r="W350">
        <v>5</v>
      </c>
      <c r="X350">
        <v>4</v>
      </c>
      <c r="Y350">
        <v>7</v>
      </c>
      <c r="Z350">
        <v>6</v>
      </c>
      <c r="AA350">
        <v>1</v>
      </c>
      <c r="AB350">
        <v>8</v>
      </c>
      <c r="AC350">
        <v>6</v>
      </c>
      <c r="AD350">
        <v>2</v>
      </c>
      <c r="AE350">
        <v>6</v>
      </c>
      <c r="AF350">
        <v>6</v>
      </c>
      <c r="AG350">
        <v>0</v>
      </c>
      <c r="AH350">
        <v>9</v>
      </c>
      <c r="AI350">
        <v>6</v>
      </c>
      <c r="AJ350">
        <v>3</v>
      </c>
      <c r="AK350" t="s">
        <v>3313</v>
      </c>
      <c r="AL350" t="s">
        <v>3314</v>
      </c>
      <c r="AM350" t="s">
        <v>3315</v>
      </c>
      <c r="AN350" t="s">
        <v>3316</v>
      </c>
      <c r="AO350" t="s">
        <v>3317</v>
      </c>
      <c r="AP350" t="s">
        <v>3318</v>
      </c>
      <c r="AQ350" t="s">
        <v>3319</v>
      </c>
      <c r="AR350" t="s">
        <v>3320</v>
      </c>
      <c r="AS350" t="s">
        <v>3321</v>
      </c>
    </row>
    <row r="351" spans="1:45" x14ac:dyDescent="0.45">
      <c r="A351">
        <v>350</v>
      </c>
      <c r="B351">
        <v>12694</v>
      </c>
      <c r="C351" t="s">
        <v>72</v>
      </c>
      <c r="D351" t="s">
        <v>81</v>
      </c>
      <c r="E351" t="s">
        <v>74</v>
      </c>
      <c r="F351" t="s">
        <v>77</v>
      </c>
      <c r="G351" t="s">
        <v>76</v>
      </c>
      <c r="H351">
        <v>25.591899975098052</v>
      </c>
      <c r="I351">
        <v>0</v>
      </c>
      <c r="J351">
        <v>7</v>
      </c>
      <c r="K351">
        <v>7</v>
      </c>
      <c r="L351">
        <v>0</v>
      </c>
      <c r="M351">
        <v>8</v>
      </c>
      <c r="N351">
        <v>7</v>
      </c>
      <c r="O351">
        <v>1</v>
      </c>
      <c r="P351">
        <v>6</v>
      </c>
      <c r="Q351">
        <v>8</v>
      </c>
      <c r="R351">
        <v>-2</v>
      </c>
      <c r="S351">
        <v>8</v>
      </c>
      <c r="T351">
        <v>8</v>
      </c>
      <c r="U351">
        <v>0</v>
      </c>
      <c r="V351">
        <v>6</v>
      </c>
      <c r="W351">
        <v>7</v>
      </c>
      <c r="X351">
        <v>-1</v>
      </c>
      <c r="Y351">
        <v>7</v>
      </c>
      <c r="Z351">
        <v>7</v>
      </c>
      <c r="AA351">
        <v>0</v>
      </c>
      <c r="AB351">
        <v>5</v>
      </c>
      <c r="AC351">
        <v>8</v>
      </c>
      <c r="AD351">
        <v>-3</v>
      </c>
      <c r="AE351">
        <v>4</v>
      </c>
      <c r="AF351">
        <v>7</v>
      </c>
      <c r="AG351">
        <v>-3</v>
      </c>
      <c r="AH351">
        <v>5</v>
      </c>
      <c r="AI351">
        <v>8</v>
      </c>
      <c r="AJ351">
        <v>-3</v>
      </c>
      <c r="AK351" t="s">
        <v>3322</v>
      </c>
      <c r="AL351" t="s">
        <v>3323</v>
      </c>
      <c r="AM351" t="s">
        <v>3324</v>
      </c>
      <c r="AN351" t="s">
        <v>3325</v>
      </c>
      <c r="AO351" t="s">
        <v>3326</v>
      </c>
      <c r="AP351" t="s">
        <v>3327</v>
      </c>
      <c r="AQ351" t="s">
        <v>3328</v>
      </c>
      <c r="AR351" t="s">
        <v>3329</v>
      </c>
      <c r="AS351" t="s">
        <v>3330</v>
      </c>
    </row>
    <row r="352" spans="1:45" x14ac:dyDescent="0.45">
      <c r="A352">
        <v>351</v>
      </c>
      <c r="B352">
        <v>12695</v>
      </c>
      <c r="C352" t="s">
        <v>72</v>
      </c>
      <c r="D352" t="s">
        <v>73</v>
      </c>
      <c r="E352" t="s">
        <v>74</v>
      </c>
      <c r="F352" t="s">
        <v>77</v>
      </c>
      <c r="G352" t="s">
        <v>76</v>
      </c>
      <c r="H352">
        <v>35.271364870345501</v>
      </c>
      <c r="I352">
        <v>2</v>
      </c>
      <c r="J352">
        <v>7</v>
      </c>
      <c r="K352">
        <v>8</v>
      </c>
      <c r="L352">
        <v>-1</v>
      </c>
      <c r="M352">
        <v>8</v>
      </c>
      <c r="N352">
        <v>8</v>
      </c>
      <c r="O352">
        <v>0</v>
      </c>
      <c r="P352">
        <v>9</v>
      </c>
      <c r="Q352">
        <v>6</v>
      </c>
      <c r="R352">
        <v>3</v>
      </c>
      <c r="S352">
        <v>8</v>
      </c>
      <c r="T352">
        <v>7</v>
      </c>
      <c r="U352">
        <v>1</v>
      </c>
      <c r="V352">
        <v>7</v>
      </c>
      <c r="W352">
        <v>6</v>
      </c>
      <c r="X352">
        <v>1</v>
      </c>
      <c r="Y352">
        <v>8</v>
      </c>
      <c r="Z352">
        <v>7</v>
      </c>
      <c r="AA352">
        <v>1</v>
      </c>
      <c r="AB352">
        <v>6</v>
      </c>
      <c r="AC352">
        <v>5</v>
      </c>
      <c r="AD352">
        <v>1</v>
      </c>
      <c r="AE352">
        <v>7</v>
      </c>
      <c r="AF352">
        <v>7</v>
      </c>
      <c r="AG352">
        <v>0</v>
      </c>
      <c r="AH352">
        <v>8</v>
      </c>
      <c r="AI352">
        <v>7</v>
      </c>
      <c r="AJ352">
        <v>1</v>
      </c>
      <c r="AK352" t="s">
        <v>3331</v>
      </c>
      <c r="AL352" t="s">
        <v>3332</v>
      </c>
      <c r="AM352" t="s">
        <v>3333</v>
      </c>
      <c r="AN352" t="s">
        <v>3334</v>
      </c>
      <c r="AO352" t="s">
        <v>3335</v>
      </c>
      <c r="AP352" t="s">
        <v>3336</v>
      </c>
      <c r="AQ352" t="s">
        <v>3337</v>
      </c>
      <c r="AR352" t="s">
        <v>3338</v>
      </c>
      <c r="AS352" t="s">
        <v>3339</v>
      </c>
    </row>
    <row r="353" spans="1:45" x14ac:dyDescent="0.45">
      <c r="A353">
        <v>352</v>
      </c>
      <c r="B353">
        <v>12696</v>
      </c>
      <c r="C353" t="s">
        <v>72</v>
      </c>
      <c r="D353" t="s">
        <v>73</v>
      </c>
      <c r="E353" t="s">
        <v>74</v>
      </c>
      <c r="F353" t="s">
        <v>77</v>
      </c>
      <c r="G353" t="s">
        <v>76</v>
      </c>
      <c r="H353">
        <v>27.965344578082892</v>
      </c>
      <c r="I353">
        <v>1</v>
      </c>
      <c r="J353">
        <v>8</v>
      </c>
      <c r="K353">
        <v>6</v>
      </c>
      <c r="L353">
        <v>2</v>
      </c>
      <c r="M353">
        <v>7</v>
      </c>
      <c r="N353">
        <v>6</v>
      </c>
      <c r="O353">
        <v>1</v>
      </c>
      <c r="P353">
        <v>6</v>
      </c>
      <c r="Q353">
        <v>8</v>
      </c>
      <c r="R353">
        <v>-2</v>
      </c>
      <c r="S353">
        <v>8</v>
      </c>
      <c r="T353">
        <v>7</v>
      </c>
      <c r="U353">
        <v>1</v>
      </c>
      <c r="V353">
        <v>7</v>
      </c>
      <c r="W353">
        <v>7</v>
      </c>
      <c r="X353">
        <v>0</v>
      </c>
      <c r="Y353">
        <v>6</v>
      </c>
      <c r="Z353">
        <v>7</v>
      </c>
      <c r="AA353">
        <v>-1</v>
      </c>
      <c r="AB353">
        <v>5</v>
      </c>
      <c r="AC353">
        <v>5</v>
      </c>
      <c r="AD353">
        <v>0</v>
      </c>
      <c r="AE353">
        <v>6</v>
      </c>
      <c r="AF353">
        <v>6</v>
      </c>
      <c r="AG353">
        <v>0</v>
      </c>
      <c r="AH353">
        <v>7</v>
      </c>
      <c r="AI353">
        <v>7</v>
      </c>
      <c r="AJ353">
        <v>0</v>
      </c>
      <c r="AK353" t="s">
        <v>3340</v>
      </c>
      <c r="AL353" t="s">
        <v>3341</v>
      </c>
      <c r="AM353" t="s">
        <v>3342</v>
      </c>
      <c r="AN353" t="s">
        <v>3343</v>
      </c>
      <c r="AO353" t="s">
        <v>3344</v>
      </c>
      <c r="AP353" t="s">
        <v>3345</v>
      </c>
      <c r="AQ353" t="s">
        <v>3346</v>
      </c>
      <c r="AR353" t="s">
        <v>3347</v>
      </c>
      <c r="AS353" t="s">
        <v>3348</v>
      </c>
    </row>
    <row r="354" spans="1:45" x14ac:dyDescent="0.45">
      <c r="A354">
        <v>353</v>
      </c>
      <c r="B354">
        <v>12697</v>
      </c>
      <c r="C354" t="s">
        <v>78</v>
      </c>
      <c r="D354" t="s">
        <v>79</v>
      </c>
      <c r="E354" t="s">
        <v>74</v>
      </c>
      <c r="F354" t="s">
        <v>77</v>
      </c>
      <c r="G354" t="s">
        <v>76</v>
      </c>
      <c r="H354">
        <v>84.867868707700836</v>
      </c>
      <c r="I354">
        <v>4</v>
      </c>
      <c r="J354">
        <v>7</v>
      </c>
      <c r="K354">
        <v>7</v>
      </c>
      <c r="L354">
        <v>0</v>
      </c>
      <c r="M354">
        <v>7</v>
      </c>
      <c r="N354">
        <v>7</v>
      </c>
      <c r="O354">
        <v>0</v>
      </c>
      <c r="P354">
        <v>8</v>
      </c>
      <c r="Q354">
        <v>8</v>
      </c>
      <c r="R354">
        <v>0</v>
      </c>
      <c r="S354">
        <v>7</v>
      </c>
      <c r="T354">
        <v>8</v>
      </c>
      <c r="U354">
        <v>-1</v>
      </c>
      <c r="V354">
        <v>6</v>
      </c>
      <c r="W354">
        <v>6</v>
      </c>
      <c r="X354">
        <v>0</v>
      </c>
      <c r="Y354">
        <v>7</v>
      </c>
      <c r="Z354">
        <v>7</v>
      </c>
      <c r="AA354">
        <v>0</v>
      </c>
      <c r="AB354">
        <v>6</v>
      </c>
      <c r="AC354">
        <v>5</v>
      </c>
      <c r="AD354">
        <v>1</v>
      </c>
      <c r="AE354">
        <v>5</v>
      </c>
      <c r="AF354">
        <v>7</v>
      </c>
      <c r="AG354">
        <v>-2</v>
      </c>
      <c r="AH354">
        <v>6</v>
      </c>
      <c r="AI354">
        <v>7</v>
      </c>
      <c r="AJ354">
        <v>-1</v>
      </c>
      <c r="AK354" t="s">
        <v>3349</v>
      </c>
      <c r="AL354" t="s">
        <v>3350</v>
      </c>
      <c r="AM354" t="s">
        <v>3351</v>
      </c>
      <c r="AN354" t="s">
        <v>3352</v>
      </c>
      <c r="AO354" t="s">
        <v>3353</v>
      </c>
      <c r="AP354" t="s">
        <v>3354</v>
      </c>
      <c r="AQ354" t="s">
        <v>3355</v>
      </c>
      <c r="AR354" t="s">
        <v>3356</v>
      </c>
      <c r="AS354" t="s">
        <v>3357</v>
      </c>
    </row>
    <row r="355" spans="1:45" x14ac:dyDescent="0.45">
      <c r="A355">
        <v>354</v>
      </c>
      <c r="B355">
        <v>12698</v>
      </c>
      <c r="C355" t="s">
        <v>72</v>
      </c>
      <c r="D355" t="s">
        <v>188</v>
      </c>
      <c r="E355" t="s">
        <v>74</v>
      </c>
      <c r="F355" t="s">
        <v>77</v>
      </c>
      <c r="G355" t="s">
        <v>76</v>
      </c>
      <c r="H355">
        <v>13.292739428794732</v>
      </c>
      <c r="I355">
        <v>0</v>
      </c>
      <c r="J355">
        <v>6</v>
      </c>
      <c r="K355">
        <v>9</v>
      </c>
      <c r="L355">
        <v>-3</v>
      </c>
      <c r="M355">
        <v>7</v>
      </c>
      <c r="N355">
        <v>9</v>
      </c>
      <c r="O355">
        <v>-2</v>
      </c>
      <c r="P355">
        <v>6</v>
      </c>
      <c r="Q355">
        <v>10</v>
      </c>
      <c r="R355">
        <v>-4</v>
      </c>
      <c r="S355">
        <v>6</v>
      </c>
      <c r="T355">
        <v>10</v>
      </c>
      <c r="U355">
        <v>-4</v>
      </c>
      <c r="V355">
        <v>6</v>
      </c>
      <c r="W355">
        <v>9</v>
      </c>
      <c r="X355">
        <v>-3</v>
      </c>
      <c r="Y355">
        <v>7</v>
      </c>
      <c r="Z355">
        <v>10</v>
      </c>
      <c r="AA355">
        <v>-3</v>
      </c>
      <c r="AB355">
        <v>6</v>
      </c>
      <c r="AC355">
        <v>8</v>
      </c>
      <c r="AD355">
        <v>-2</v>
      </c>
      <c r="AE355">
        <v>5</v>
      </c>
      <c r="AF355">
        <v>8</v>
      </c>
      <c r="AG355">
        <v>-3</v>
      </c>
      <c r="AH355">
        <v>6</v>
      </c>
      <c r="AI355">
        <v>9</v>
      </c>
      <c r="AJ355">
        <v>-3</v>
      </c>
      <c r="AK355" t="s">
        <v>3358</v>
      </c>
      <c r="AL355" t="s">
        <v>3359</v>
      </c>
      <c r="AM355" t="s">
        <v>3360</v>
      </c>
      <c r="AN355" t="s">
        <v>3361</v>
      </c>
      <c r="AO355" t="s">
        <v>3362</v>
      </c>
      <c r="AP355" t="s">
        <v>3363</v>
      </c>
      <c r="AQ355" t="s">
        <v>3364</v>
      </c>
      <c r="AR355" t="s">
        <v>3365</v>
      </c>
      <c r="AS355" t="s">
        <v>3366</v>
      </c>
    </row>
    <row r="356" spans="1:45" x14ac:dyDescent="0.45">
      <c r="A356">
        <v>355</v>
      </c>
      <c r="B356">
        <v>12699</v>
      </c>
      <c r="C356" t="s">
        <v>78</v>
      </c>
      <c r="D356" t="s">
        <v>188</v>
      </c>
      <c r="E356" t="s">
        <v>74</v>
      </c>
      <c r="F356" t="s">
        <v>77</v>
      </c>
      <c r="G356" t="s">
        <v>76</v>
      </c>
      <c r="H356">
        <v>12.502771161707546</v>
      </c>
      <c r="I356">
        <v>0</v>
      </c>
      <c r="J356">
        <v>8</v>
      </c>
      <c r="K356">
        <v>7</v>
      </c>
      <c r="L356">
        <v>1</v>
      </c>
      <c r="M356">
        <v>9</v>
      </c>
      <c r="N356">
        <v>8</v>
      </c>
      <c r="O356">
        <v>1</v>
      </c>
      <c r="P356">
        <v>8</v>
      </c>
      <c r="Q356">
        <v>8</v>
      </c>
      <c r="R356">
        <v>0</v>
      </c>
      <c r="S356">
        <v>7</v>
      </c>
      <c r="T356">
        <v>9</v>
      </c>
      <c r="U356">
        <v>-2</v>
      </c>
      <c r="V356">
        <v>8</v>
      </c>
      <c r="W356">
        <v>8</v>
      </c>
      <c r="X356">
        <v>0</v>
      </c>
      <c r="Y356">
        <v>9</v>
      </c>
      <c r="Z356">
        <v>10</v>
      </c>
      <c r="AA356">
        <v>-1</v>
      </c>
      <c r="AB356">
        <v>8</v>
      </c>
      <c r="AC356">
        <v>8</v>
      </c>
      <c r="AD356">
        <v>0</v>
      </c>
      <c r="AE356">
        <v>6</v>
      </c>
      <c r="AF356">
        <v>8</v>
      </c>
      <c r="AG356">
        <v>-2</v>
      </c>
      <c r="AH356">
        <v>8</v>
      </c>
      <c r="AI356">
        <v>9</v>
      </c>
      <c r="AJ356">
        <v>-1</v>
      </c>
      <c r="AK356" t="s">
        <v>3367</v>
      </c>
      <c r="AL356" t="s">
        <v>3368</v>
      </c>
      <c r="AM356" t="s">
        <v>3369</v>
      </c>
      <c r="AN356" t="s">
        <v>3370</v>
      </c>
      <c r="AO356" t="s">
        <v>3371</v>
      </c>
      <c r="AP356" t="s">
        <v>3372</v>
      </c>
      <c r="AQ356" t="s">
        <v>3373</v>
      </c>
      <c r="AR356" t="s">
        <v>3374</v>
      </c>
      <c r="AS356" t="s">
        <v>3375</v>
      </c>
    </row>
    <row r="357" spans="1:45" x14ac:dyDescent="0.45">
      <c r="A357">
        <v>356</v>
      </c>
      <c r="B357">
        <v>12700</v>
      </c>
      <c r="C357" t="s">
        <v>78</v>
      </c>
      <c r="D357" t="s">
        <v>188</v>
      </c>
      <c r="E357" t="s">
        <v>74</v>
      </c>
      <c r="F357" t="s">
        <v>77</v>
      </c>
      <c r="G357" t="s">
        <v>76</v>
      </c>
      <c r="H357">
        <v>15.742557486937738</v>
      </c>
      <c r="I357">
        <v>0</v>
      </c>
      <c r="J357">
        <v>7</v>
      </c>
      <c r="K357">
        <v>7</v>
      </c>
      <c r="L357">
        <v>0</v>
      </c>
      <c r="M357">
        <v>8</v>
      </c>
      <c r="N357">
        <v>7</v>
      </c>
      <c r="O357">
        <v>1</v>
      </c>
      <c r="P357">
        <v>6</v>
      </c>
      <c r="Q357">
        <v>8</v>
      </c>
      <c r="R357">
        <v>-2</v>
      </c>
      <c r="S357">
        <v>9</v>
      </c>
      <c r="T357">
        <v>10</v>
      </c>
      <c r="U357">
        <v>-1</v>
      </c>
      <c r="V357">
        <v>8</v>
      </c>
      <c r="W357">
        <v>9</v>
      </c>
      <c r="X357">
        <v>-1</v>
      </c>
      <c r="Y357">
        <v>9</v>
      </c>
      <c r="Z357">
        <v>10</v>
      </c>
      <c r="AA357">
        <v>-1</v>
      </c>
      <c r="AB357">
        <v>7</v>
      </c>
      <c r="AC357">
        <v>8</v>
      </c>
      <c r="AD357">
        <v>-1</v>
      </c>
      <c r="AE357">
        <v>6</v>
      </c>
      <c r="AF357">
        <v>8</v>
      </c>
      <c r="AG357">
        <v>-2</v>
      </c>
      <c r="AH357">
        <v>9</v>
      </c>
      <c r="AI357">
        <v>10</v>
      </c>
      <c r="AJ357">
        <v>-1</v>
      </c>
      <c r="AK357" t="s">
        <v>3376</v>
      </c>
      <c r="AL357" t="s">
        <v>3377</v>
      </c>
      <c r="AM357" t="s">
        <v>3378</v>
      </c>
      <c r="AN357" t="s">
        <v>3379</v>
      </c>
      <c r="AO357" t="s">
        <v>3380</v>
      </c>
      <c r="AP357" t="s">
        <v>3381</v>
      </c>
      <c r="AQ357" t="s">
        <v>3382</v>
      </c>
      <c r="AR357" t="s">
        <v>3383</v>
      </c>
      <c r="AS357" t="s">
        <v>3384</v>
      </c>
    </row>
    <row r="358" spans="1:45" x14ac:dyDescent="0.45">
      <c r="A358">
        <v>357</v>
      </c>
      <c r="B358">
        <v>12701</v>
      </c>
      <c r="C358" t="s">
        <v>78</v>
      </c>
      <c r="D358" t="s">
        <v>81</v>
      </c>
      <c r="E358" t="s">
        <v>74</v>
      </c>
      <c r="F358" t="s">
        <v>77</v>
      </c>
      <c r="G358" t="s">
        <v>76</v>
      </c>
      <c r="H358">
        <v>25.957773442227086</v>
      </c>
      <c r="I358">
        <v>0</v>
      </c>
      <c r="J358">
        <v>6</v>
      </c>
      <c r="K358">
        <v>9</v>
      </c>
      <c r="L358">
        <v>-3</v>
      </c>
      <c r="M358">
        <v>8</v>
      </c>
      <c r="N358">
        <v>9</v>
      </c>
      <c r="O358">
        <v>-1</v>
      </c>
      <c r="P358">
        <v>7</v>
      </c>
      <c r="Q358">
        <v>8</v>
      </c>
      <c r="R358">
        <v>-1</v>
      </c>
      <c r="S358">
        <v>8</v>
      </c>
      <c r="T358">
        <v>9</v>
      </c>
      <c r="U358">
        <v>-1</v>
      </c>
      <c r="V358">
        <v>7</v>
      </c>
      <c r="W358">
        <v>8</v>
      </c>
      <c r="X358">
        <v>-1</v>
      </c>
      <c r="Y358">
        <v>8</v>
      </c>
      <c r="Z358">
        <v>8</v>
      </c>
      <c r="AA358">
        <v>0</v>
      </c>
      <c r="AB358">
        <v>7</v>
      </c>
      <c r="AC358">
        <v>7</v>
      </c>
      <c r="AD358">
        <v>0</v>
      </c>
      <c r="AE358">
        <v>5</v>
      </c>
      <c r="AF358">
        <v>7</v>
      </c>
      <c r="AG358">
        <v>-2</v>
      </c>
      <c r="AH358">
        <v>7</v>
      </c>
      <c r="AI358">
        <v>8</v>
      </c>
      <c r="AJ358">
        <v>-1</v>
      </c>
      <c r="AK358" t="s">
        <v>3385</v>
      </c>
      <c r="AL358" t="s">
        <v>3386</v>
      </c>
      <c r="AM358" t="s">
        <v>3387</v>
      </c>
      <c r="AN358" t="s">
        <v>3388</v>
      </c>
      <c r="AO358" t="s">
        <v>3389</v>
      </c>
      <c r="AP358" t="s">
        <v>3390</v>
      </c>
      <c r="AQ358" t="s">
        <v>3391</v>
      </c>
      <c r="AR358" t="s">
        <v>3392</v>
      </c>
      <c r="AS358" t="s">
        <v>3393</v>
      </c>
    </row>
    <row r="359" spans="1:45" x14ac:dyDescent="0.45">
      <c r="A359">
        <v>358</v>
      </c>
      <c r="B359">
        <v>12702</v>
      </c>
      <c r="C359" t="s">
        <v>72</v>
      </c>
      <c r="D359" t="s">
        <v>188</v>
      </c>
      <c r="E359" t="s">
        <v>74</v>
      </c>
      <c r="F359" t="s">
        <v>77</v>
      </c>
      <c r="G359" t="s">
        <v>76</v>
      </c>
      <c r="H359">
        <v>15.110265671808389</v>
      </c>
      <c r="I359">
        <v>0</v>
      </c>
      <c r="J359">
        <v>5</v>
      </c>
      <c r="K359">
        <v>7</v>
      </c>
      <c r="L359">
        <v>-2</v>
      </c>
      <c r="M359">
        <v>6</v>
      </c>
      <c r="N359">
        <v>7</v>
      </c>
      <c r="O359">
        <v>-1</v>
      </c>
      <c r="P359">
        <v>8</v>
      </c>
      <c r="Q359">
        <v>7</v>
      </c>
      <c r="R359">
        <v>1</v>
      </c>
      <c r="S359">
        <v>9</v>
      </c>
      <c r="T359">
        <v>8</v>
      </c>
      <c r="U359">
        <v>1</v>
      </c>
      <c r="V359">
        <v>7</v>
      </c>
      <c r="W359">
        <v>7</v>
      </c>
      <c r="X359">
        <v>0</v>
      </c>
      <c r="Y359">
        <v>6</v>
      </c>
      <c r="Z359">
        <v>9</v>
      </c>
      <c r="AA359">
        <v>-3</v>
      </c>
      <c r="AB359">
        <v>8</v>
      </c>
      <c r="AC359">
        <v>8</v>
      </c>
      <c r="AD359">
        <v>0</v>
      </c>
      <c r="AE359">
        <v>5</v>
      </c>
      <c r="AF359">
        <v>8</v>
      </c>
      <c r="AG359">
        <v>-3</v>
      </c>
      <c r="AH359">
        <v>7</v>
      </c>
      <c r="AI359">
        <v>8</v>
      </c>
      <c r="AJ359">
        <v>-1</v>
      </c>
      <c r="AK359" t="s">
        <v>3394</v>
      </c>
      <c r="AL359" t="s">
        <v>3395</v>
      </c>
      <c r="AM359" t="s">
        <v>3396</v>
      </c>
      <c r="AN359" t="s">
        <v>3397</v>
      </c>
      <c r="AO359" t="s">
        <v>3398</v>
      </c>
      <c r="AP359" t="s">
        <v>3399</v>
      </c>
      <c r="AQ359" t="s">
        <v>3400</v>
      </c>
      <c r="AR359" t="s">
        <v>3401</v>
      </c>
      <c r="AS359" t="s">
        <v>3402</v>
      </c>
    </row>
    <row r="360" spans="1:45" x14ac:dyDescent="0.45">
      <c r="A360">
        <v>359</v>
      </c>
      <c r="B360">
        <v>12703</v>
      </c>
      <c r="C360" t="s">
        <v>72</v>
      </c>
      <c r="D360" t="s">
        <v>81</v>
      </c>
      <c r="E360" t="s">
        <v>74</v>
      </c>
      <c r="F360" t="s">
        <v>77</v>
      </c>
      <c r="G360" t="s">
        <v>76</v>
      </c>
      <c r="H360">
        <v>18.218602068343287</v>
      </c>
      <c r="I360">
        <v>1</v>
      </c>
      <c r="J360">
        <v>7</v>
      </c>
      <c r="K360">
        <v>4</v>
      </c>
      <c r="L360">
        <v>3</v>
      </c>
      <c r="M360">
        <v>8</v>
      </c>
      <c r="N360">
        <v>5</v>
      </c>
      <c r="O360">
        <v>3</v>
      </c>
      <c r="P360">
        <v>6</v>
      </c>
      <c r="Q360">
        <v>6</v>
      </c>
      <c r="R360">
        <v>0</v>
      </c>
      <c r="S360">
        <v>8</v>
      </c>
      <c r="T360">
        <v>7</v>
      </c>
      <c r="U360">
        <v>1</v>
      </c>
      <c r="V360">
        <v>7</v>
      </c>
      <c r="W360">
        <v>7</v>
      </c>
      <c r="X360">
        <v>0</v>
      </c>
      <c r="Y360">
        <v>6</v>
      </c>
      <c r="Z360">
        <v>6</v>
      </c>
      <c r="AA360">
        <v>0</v>
      </c>
      <c r="AB360">
        <v>5</v>
      </c>
      <c r="AC360">
        <v>4</v>
      </c>
      <c r="AD360">
        <v>1</v>
      </c>
      <c r="AE360">
        <v>6</v>
      </c>
      <c r="AF360">
        <v>6</v>
      </c>
      <c r="AG360">
        <v>0</v>
      </c>
      <c r="AH360">
        <v>7</v>
      </c>
      <c r="AI360">
        <v>7</v>
      </c>
      <c r="AJ360">
        <v>0</v>
      </c>
      <c r="AK360" t="s">
        <v>3403</v>
      </c>
      <c r="AL360" t="s">
        <v>3404</v>
      </c>
      <c r="AM360" t="s">
        <v>3405</v>
      </c>
      <c r="AN360" t="s">
        <v>3406</v>
      </c>
      <c r="AO360" t="s">
        <v>3407</v>
      </c>
      <c r="AP360" t="s">
        <v>3408</v>
      </c>
      <c r="AQ360" t="s">
        <v>3409</v>
      </c>
      <c r="AR360" t="s">
        <v>3410</v>
      </c>
      <c r="AS360" t="s">
        <v>3411</v>
      </c>
    </row>
    <row r="361" spans="1:45" x14ac:dyDescent="0.45">
      <c r="A361">
        <v>360</v>
      </c>
      <c r="B361">
        <v>12704</v>
      </c>
      <c r="C361" t="s">
        <v>78</v>
      </c>
      <c r="D361" t="s">
        <v>81</v>
      </c>
      <c r="E361" t="s">
        <v>74</v>
      </c>
      <c r="F361" t="s">
        <v>77</v>
      </c>
      <c r="G361" t="s">
        <v>76</v>
      </c>
      <c r="H361">
        <v>18.514557326781983</v>
      </c>
      <c r="I361">
        <v>0</v>
      </c>
      <c r="J361">
        <v>7</v>
      </c>
      <c r="K361">
        <v>9</v>
      </c>
      <c r="L361">
        <v>-2</v>
      </c>
      <c r="M361">
        <v>8</v>
      </c>
      <c r="N361">
        <v>8</v>
      </c>
      <c r="O361">
        <v>0</v>
      </c>
      <c r="P361">
        <v>6</v>
      </c>
      <c r="Q361">
        <v>8</v>
      </c>
      <c r="R361">
        <v>-2</v>
      </c>
      <c r="S361">
        <v>7</v>
      </c>
      <c r="T361">
        <v>8</v>
      </c>
      <c r="U361">
        <v>-1</v>
      </c>
      <c r="V361">
        <v>6</v>
      </c>
      <c r="W361">
        <v>7</v>
      </c>
      <c r="X361">
        <v>-1</v>
      </c>
      <c r="Y361">
        <v>8</v>
      </c>
      <c r="Z361">
        <v>7</v>
      </c>
      <c r="AA361">
        <v>1</v>
      </c>
      <c r="AB361">
        <v>5</v>
      </c>
      <c r="AC361">
        <v>6</v>
      </c>
      <c r="AD361">
        <v>-1</v>
      </c>
      <c r="AE361">
        <v>6</v>
      </c>
      <c r="AF361">
        <v>7</v>
      </c>
      <c r="AG361">
        <v>-1</v>
      </c>
      <c r="AH361">
        <v>7</v>
      </c>
      <c r="AI361">
        <v>8</v>
      </c>
      <c r="AJ361">
        <v>-1</v>
      </c>
      <c r="AK361" t="s">
        <v>3412</v>
      </c>
      <c r="AL361" t="s">
        <v>3413</v>
      </c>
      <c r="AM361" t="s">
        <v>3414</v>
      </c>
      <c r="AN361" t="s">
        <v>3415</v>
      </c>
      <c r="AO361" t="s">
        <v>3416</v>
      </c>
      <c r="AP361" t="s">
        <v>3417</v>
      </c>
      <c r="AQ361" t="s">
        <v>3418</v>
      </c>
      <c r="AR361" t="s">
        <v>3419</v>
      </c>
      <c r="AS361" t="s">
        <v>3420</v>
      </c>
    </row>
    <row r="362" spans="1:45" x14ac:dyDescent="0.45">
      <c r="A362">
        <v>361</v>
      </c>
      <c r="B362">
        <v>12705</v>
      </c>
      <c r="C362" t="s">
        <v>72</v>
      </c>
      <c r="D362" t="s">
        <v>188</v>
      </c>
      <c r="E362" t="s">
        <v>74</v>
      </c>
      <c r="F362" t="s">
        <v>77</v>
      </c>
      <c r="G362" t="s">
        <v>76</v>
      </c>
      <c r="H362">
        <v>12</v>
      </c>
      <c r="I362">
        <v>0</v>
      </c>
      <c r="J362">
        <v>6</v>
      </c>
      <c r="K362">
        <v>7</v>
      </c>
      <c r="L362">
        <v>-1</v>
      </c>
      <c r="M362">
        <v>7</v>
      </c>
      <c r="N362">
        <v>7</v>
      </c>
      <c r="O362">
        <v>0</v>
      </c>
      <c r="P362">
        <v>7</v>
      </c>
      <c r="Q362">
        <v>8</v>
      </c>
      <c r="R362">
        <v>-1</v>
      </c>
      <c r="S362">
        <v>8</v>
      </c>
      <c r="T362">
        <v>9</v>
      </c>
      <c r="U362">
        <v>-1</v>
      </c>
      <c r="V362">
        <v>5</v>
      </c>
      <c r="W362">
        <v>7</v>
      </c>
      <c r="X362">
        <v>-2</v>
      </c>
      <c r="Y362">
        <v>6</v>
      </c>
      <c r="Z362">
        <v>10</v>
      </c>
      <c r="AA362">
        <v>-4</v>
      </c>
      <c r="AB362">
        <v>4</v>
      </c>
      <c r="AC362">
        <v>8</v>
      </c>
      <c r="AD362">
        <v>-4</v>
      </c>
      <c r="AE362">
        <v>5</v>
      </c>
      <c r="AF362">
        <v>8</v>
      </c>
      <c r="AG362">
        <v>-3</v>
      </c>
      <c r="AH362">
        <v>6</v>
      </c>
      <c r="AI362">
        <v>10</v>
      </c>
      <c r="AJ362">
        <v>-4</v>
      </c>
      <c r="AK362" t="s">
        <v>3421</v>
      </c>
      <c r="AL362" t="s">
        <v>3422</v>
      </c>
      <c r="AM362" t="s">
        <v>3423</v>
      </c>
      <c r="AN362" t="s">
        <v>3424</v>
      </c>
      <c r="AO362" t="s">
        <v>3425</v>
      </c>
      <c r="AP362" t="s">
        <v>3426</v>
      </c>
      <c r="AQ362" t="s">
        <v>3427</v>
      </c>
      <c r="AR362" t="s">
        <v>3428</v>
      </c>
      <c r="AS362" t="s">
        <v>3429</v>
      </c>
    </row>
    <row r="363" spans="1:45" x14ac:dyDescent="0.45">
      <c r="A363">
        <v>362</v>
      </c>
      <c r="B363">
        <v>12706</v>
      </c>
      <c r="C363" t="s">
        <v>72</v>
      </c>
      <c r="D363" t="s">
        <v>188</v>
      </c>
      <c r="E363" t="s">
        <v>74</v>
      </c>
      <c r="F363" t="s">
        <v>77</v>
      </c>
      <c r="G363" t="s">
        <v>76</v>
      </c>
      <c r="H363">
        <v>16.270761270443494</v>
      </c>
      <c r="I363">
        <v>0</v>
      </c>
      <c r="J363">
        <v>7</v>
      </c>
      <c r="K363">
        <v>3</v>
      </c>
      <c r="L363">
        <v>4</v>
      </c>
      <c r="M363">
        <v>9</v>
      </c>
      <c r="N363">
        <v>3</v>
      </c>
      <c r="O363">
        <v>6</v>
      </c>
      <c r="P363">
        <v>8</v>
      </c>
      <c r="Q363">
        <v>5</v>
      </c>
      <c r="R363">
        <v>3</v>
      </c>
      <c r="S363">
        <v>9</v>
      </c>
      <c r="T363">
        <v>6</v>
      </c>
      <c r="U363">
        <v>3</v>
      </c>
      <c r="V363">
        <v>8</v>
      </c>
      <c r="W363">
        <v>5</v>
      </c>
      <c r="X363">
        <v>3</v>
      </c>
      <c r="Y363">
        <v>9</v>
      </c>
      <c r="Z363">
        <v>6</v>
      </c>
      <c r="AA363">
        <v>3</v>
      </c>
      <c r="AB363">
        <v>7</v>
      </c>
      <c r="AC363">
        <v>4</v>
      </c>
      <c r="AD363">
        <v>3</v>
      </c>
      <c r="AE363">
        <v>8</v>
      </c>
      <c r="AF363">
        <v>6</v>
      </c>
      <c r="AG363">
        <v>2</v>
      </c>
      <c r="AH363">
        <v>8</v>
      </c>
      <c r="AI363">
        <v>6</v>
      </c>
      <c r="AJ363">
        <v>2</v>
      </c>
      <c r="AK363" t="s">
        <v>3430</v>
      </c>
      <c r="AL363" t="s">
        <v>3431</v>
      </c>
      <c r="AM363" t="s">
        <v>3432</v>
      </c>
      <c r="AN363" t="s">
        <v>3433</v>
      </c>
      <c r="AO363" t="s">
        <v>3434</v>
      </c>
      <c r="AP363" t="s">
        <v>3435</v>
      </c>
      <c r="AQ363" t="s">
        <v>3436</v>
      </c>
      <c r="AR363" t="s">
        <v>3437</v>
      </c>
      <c r="AS363" t="s">
        <v>3438</v>
      </c>
    </row>
    <row r="364" spans="1:45" x14ac:dyDescent="0.45">
      <c r="A364">
        <v>363</v>
      </c>
      <c r="B364">
        <v>12707</v>
      </c>
      <c r="C364" t="s">
        <v>78</v>
      </c>
      <c r="D364" t="s">
        <v>81</v>
      </c>
      <c r="E364" t="s">
        <v>74</v>
      </c>
      <c r="F364" t="s">
        <v>77</v>
      </c>
      <c r="G364" t="s">
        <v>76</v>
      </c>
      <c r="H364">
        <v>25.836097824113111</v>
      </c>
      <c r="I364">
        <v>1</v>
      </c>
      <c r="J364">
        <v>7</v>
      </c>
      <c r="K364">
        <v>8</v>
      </c>
      <c r="L364">
        <v>-1</v>
      </c>
      <c r="M364">
        <v>8</v>
      </c>
      <c r="N364">
        <v>8</v>
      </c>
      <c r="O364">
        <v>0</v>
      </c>
      <c r="P364">
        <v>9</v>
      </c>
      <c r="Q364">
        <v>5</v>
      </c>
      <c r="R364">
        <v>4</v>
      </c>
      <c r="S364">
        <v>7</v>
      </c>
      <c r="T364">
        <v>7</v>
      </c>
      <c r="U364">
        <v>0</v>
      </c>
      <c r="V364">
        <v>8</v>
      </c>
      <c r="W364">
        <v>5</v>
      </c>
      <c r="X364">
        <v>3</v>
      </c>
      <c r="Y364">
        <v>6</v>
      </c>
      <c r="Z364">
        <v>8</v>
      </c>
      <c r="AA364">
        <v>-2</v>
      </c>
      <c r="AB364">
        <v>9</v>
      </c>
      <c r="AC364">
        <v>5</v>
      </c>
      <c r="AD364">
        <v>4</v>
      </c>
      <c r="AE364">
        <v>7</v>
      </c>
      <c r="AF364">
        <v>7</v>
      </c>
      <c r="AG364">
        <v>0</v>
      </c>
      <c r="AH364">
        <v>8</v>
      </c>
      <c r="AI364">
        <v>8</v>
      </c>
      <c r="AJ364">
        <v>0</v>
      </c>
      <c r="AK364" t="s">
        <v>3439</v>
      </c>
      <c r="AL364" t="s">
        <v>3440</v>
      </c>
      <c r="AM364" t="s">
        <v>3441</v>
      </c>
      <c r="AN364" t="s">
        <v>3442</v>
      </c>
      <c r="AO364" t="s">
        <v>3443</v>
      </c>
      <c r="AP364" t="s">
        <v>3444</v>
      </c>
      <c r="AQ364" t="s">
        <v>3445</v>
      </c>
      <c r="AR364" t="s">
        <v>3446</v>
      </c>
      <c r="AS364" t="s">
        <v>3447</v>
      </c>
    </row>
    <row r="365" spans="1:45" x14ac:dyDescent="0.45">
      <c r="A365">
        <v>364</v>
      </c>
      <c r="B365">
        <v>12708</v>
      </c>
      <c r="C365" t="s">
        <v>78</v>
      </c>
      <c r="D365" t="s">
        <v>73</v>
      </c>
      <c r="E365" t="s">
        <v>74</v>
      </c>
      <c r="F365" t="s">
        <v>77</v>
      </c>
      <c r="G365" t="s">
        <v>76</v>
      </c>
      <c r="H365">
        <v>18.182181126099756</v>
      </c>
      <c r="I365">
        <v>1</v>
      </c>
      <c r="J365">
        <v>8</v>
      </c>
      <c r="K365">
        <v>4</v>
      </c>
      <c r="L365">
        <v>4</v>
      </c>
      <c r="M365">
        <v>9</v>
      </c>
      <c r="N365">
        <v>5</v>
      </c>
      <c r="O365">
        <v>4</v>
      </c>
      <c r="P365">
        <v>7</v>
      </c>
      <c r="Q365">
        <v>5</v>
      </c>
      <c r="R365">
        <v>2</v>
      </c>
      <c r="S365">
        <v>8</v>
      </c>
      <c r="T365">
        <v>7</v>
      </c>
      <c r="U365">
        <v>1</v>
      </c>
      <c r="V365">
        <v>7</v>
      </c>
      <c r="W365">
        <v>5</v>
      </c>
      <c r="X365">
        <v>2</v>
      </c>
      <c r="Y365">
        <v>8</v>
      </c>
      <c r="Z365">
        <v>7</v>
      </c>
      <c r="AA365">
        <v>1</v>
      </c>
      <c r="AB365">
        <v>7</v>
      </c>
      <c r="AC365">
        <v>5</v>
      </c>
      <c r="AD365">
        <v>2</v>
      </c>
      <c r="AE365">
        <v>6</v>
      </c>
      <c r="AF365">
        <v>6</v>
      </c>
      <c r="AG365">
        <v>0</v>
      </c>
      <c r="AH365">
        <v>7</v>
      </c>
      <c r="AI365">
        <v>7</v>
      </c>
      <c r="AJ365">
        <v>0</v>
      </c>
      <c r="AK365" t="s">
        <v>3448</v>
      </c>
      <c r="AL365" t="s">
        <v>3449</v>
      </c>
      <c r="AM365" t="s">
        <v>3450</v>
      </c>
      <c r="AN365" t="s">
        <v>3451</v>
      </c>
      <c r="AO365" t="s">
        <v>3452</v>
      </c>
      <c r="AP365" t="s">
        <v>3453</v>
      </c>
      <c r="AQ365" t="s">
        <v>3454</v>
      </c>
      <c r="AR365" t="s">
        <v>3455</v>
      </c>
      <c r="AS365" t="s">
        <v>3456</v>
      </c>
    </row>
    <row r="366" spans="1:45" x14ac:dyDescent="0.45">
      <c r="A366">
        <v>365</v>
      </c>
      <c r="B366">
        <v>12709</v>
      </c>
      <c r="C366" t="s">
        <v>72</v>
      </c>
      <c r="D366" t="s">
        <v>81</v>
      </c>
      <c r="E366" t="s">
        <v>74</v>
      </c>
      <c r="F366" t="s">
        <v>77</v>
      </c>
      <c r="G366" t="s">
        <v>76</v>
      </c>
      <c r="H366">
        <v>46.942828274849099</v>
      </c>
      <c r="I366">
        <v>0</v>
      </c>
      <c r="J366">
        <v>6</v>
      </c>
      <c r="K366">
        <v>9</v>
      </c>
      <c r="L366">
        <v>-3</v>
      </c>
      <c r="M366">
        <v>7</v>
      </c>
      <c r="N366">
        <v>9</v>
      </c>
      <c r="O366">
        <v>-2</v>
      </c>
      <c r="P366">
        <v>6</v>
      </c>
      <c r="Q366">
        <v>8</v>
      </c>
      <c r="R366">
        <v>-2</v>
      </c>
      <c r="S366">
        <v>7</v>
      </c>
      <c r="T366">
        <v>9</v>
      </c>
      <c r="U366">
        <v>-2</v>
      </c>
      <c r="V366">
        <v>6</v>
      </c>
      <c r="W366">
        <v>9</v>
      </c>
      <c r="X366">
        <v>-3</v>
      </c>
      <c r="Y366">
        <v>8</v>
      </c>
      <c r="Z366">
        <v>7</v>
      </c>
      <c r="AA366">
        <v>1</v>
      </c>
      <c r="AB366">
        <v>7</v>
      </c>
      <c r="AC366">
        <v>7</v>
      </c>
      <c r="AD366">
        <v>0</v>
      </c>
      <c r="AE366">
        <v>5</v>
      </c>
      <c r="AF366">
        <v>7</v>
      </c>
      <c r="AG366">
        <v>-2</v>
      </c>
      <c r="AH366">
        <v>7</v>
      </c>
      <c r="AI366">
        <v>7</v>
      </c>
      <c r="AJ366">
        <v>0</v>
      </c>
      <c r="AK366" t="s">
        <v>3457</v>
      </c>
      <c r="AL366" t="s">
        <v>3458</v>
      </c>
      <c r="AM366" t="s">
        <v>3459</v>
      </c>
      <c r="AN366" t="s">
        <v>3460</v>
      </c>
      <c r="AO366" t="s">
        <v>3461</v>
      </c>
      <c r="AP366" t="s">
        <v>3462</v>
      </c>
      <c r="AQ366" t="s">
        <v>3463</v>
      </c>
      <c r="AR366" t="s">
        <v>3464</v>
      </c>
      <c r="AS366" t="s">
        <v>3465</v>
      </c>
    </row>
    <row r="367" spans="1:45" x14ac:dyDescent="0.45">
      <c r="A367">
        <v>366</v>
      </c>
      <c r="B367">
        <v>12710</v>
      </c>
      <c r="C367" t="s">
        <v>78</v>
      </c>
      <c r="D367" t="s">
        <v>73</v>
      </c>
      <c r="E367" t="s">
        <v>74</v>
      </c>
      <c r="F367" t="s">
        <v>75</v>
      </c>
      <c r="G367" t="s">
        <v>76</v>
      </c>
      <c r="H367">
        <v>68.883594394844124</v>
      </c>
      <c r="I367">
        <v>1</v>
      </c>
      <c r="J367">
        <v>7</v>
      </c>
      <c r="K367">
        <v>7</v>
      </c>
      <c r="L367">
        <v>0</v>
      </c>
      <c r="M367">
        <v>8</v>
      </c>
      <c r="N367">
        <v>8</v>
      </c>
      <c r="O367">
        <v>0</v>
      </c>
      <c r="P367">
        <v>6</v>
      </c>
      <c r="Q367">
        <v>8</v>
      </c>
      <c r="R367">
        <v>-2</v>
      </c>
      <c r="S367">
        <v>9</v>
      </c>
      <c r="T367">
        <v>8</v>
      </c>
      <c r="U367">
        <v>1</v>
      </c>
      <c r="V367">
        <v>7</v>
      </c>
      <c r="W367">
        <v>5</v>
      </c>
      <c r="X367">
        <v>2</v>
      </c>
      <c r="Y367">
        <v>6</v>
      </c>
      <c r="Z367">
        <v>6</v>
      </c>
      <c r="AA367">
        <v>0</v>
      </c>
      <c r="AB367">
        <v>7</v>
      </c>
      <c r="AC367">
        <v>5</v>
      </c>
      <c r="AD367">
        <v>2</v>
      </c>
      <c r="AE367">
        <v>6</v>
      </c>
      <c r="AF367">
        <v>6</v>
      </c>
      <c r="AG367">
        <v>0</v>
      </c>
      <c r="AH367">
        <v>5</v>
      </c>
      <c r="AI367">
        <v>6</v>
      </c>
      <c r="AJ367">
        <v>-1</v>
      </c>
      <c r="AK367" t="s">
        <v>3466</v>
      </c>
      <c r="AL367" t="s">
        <v>3467</v>
      </c>
      <c r="AM367" t="s">
        <v>3468</v>
      </c>
      <c r="AN367" t="s">
        <v>3469</v>
      </c>
      <c r="AO367" t="s">
        <v>3470</v>
      </c>
      <c r="AP367" t="s">
        <v>3471</v>
      </c>
      <c r="AQ367" t="s">
        <v>3472</v>
      </c>
      <c r="AR367" t="s">
        <v>3473</v>
      </c>
      <c r="AS367" t="s">
        <v>3474</v>
      </c>
    </row>
    <row r="368" spans="1:45" x14ac:dyDescent="0.45">
      <c r="A368">
        <v>367</v>
      </c>
      <c r="B368">
        <v>12711</v>
      </c>
      <c r="C368" t="s">
        <v>72</v>
      </c>
      <c r="D368" t="s">
        <v>188</v>
      </c>
      <c r="E368" t="s">
        <v>74</v>
      </c>
      <c r="F368" t="s">
        <v>77</v>
      </c>
      <c r="G368" t="s">
        <v>76</v>
      </c>
      <c r="H368">
        <v>16.818679472200255</v>
      </c>
      <c r="I368">
        <v>0</v>
      </c>
      <c r="J368">
        <v>6</v>
      </c>
      <c r="K368">
        <v>8</v>
      </c>
      <c r="L368">
        <v>-2</v>
      </c>
      <c r="M368">
        <v>6</v>
      </c>
      <c r="N368">
        <v>9</v>
      </c>
      <c r="O368">
        <v>-3</v>
      </c>
      <c r="P368">
        <v>7</v>
      </c>
      <c r="Q368">
        <v>8</v>
      </c>
      <c r="R368">
        <v>-1</v>
      </c>
      <c r="S368">
        <v>8</v>
      </c>
      <c r="T368">
        <v>8</v>
      </c>
      <c r="U368">
        <v>0</v>
      </c>
      <c r="V368">
        <v>5</v>
      </c>
      <c r="W368">
        <v>9</v>
      </c>
      <c r="X368">
        <v>-4</v>
      </c>
      <c r="Y368">
        <v>8</v>
      </c>
      <c r="Z368">
        <v>10</v>
      </c>
      <c r="AA368">
        <v>-2</v>
      </c>
      <c r="AB368">
        <v>6</v>
      </c>
      <c r="AC368">
        <v>10</v>
      </c>
      <c r="AD368">
        <v>-4</v>
      </c>
      <c r="AE368">
        <v>7</v>
      </c>
      <c r="AF368">
        <v>9</v>
      </c>
      <c r="AG368">
        <v>-2</v>
      </c>
      <c r="AH368">
        <v>6</v>
      </c>
      <c r="AI368">
        <v>10</v>
      </c>
      <c r="AJ368">
        <v>-4</v>
      </c>
      <c r="AK368" t="s">
        <v>3475</v>
      </c>
      <c r="AL368" t="s">
        <v>3476</v>
      </c>
      <c r="AM368" t="s">
        <v>3477</v>
      </c>
      <c r="AN368" t="s">
        <v>3478</v>
      </c>
      <c r="AO368" t="s">
        <v>3479</v>
      </c>
      <c r="AP368" t="s">
        <v>3480</v>
      </c>
      <c r="AQ368" t="s">
        <v>3481</v>
      </c>
      <c r="AR368" t="s">
        <v>3482</v>
      </c>
      <c r="AS368" t="s">
        <v>3483</v>
      </c>
    </row>
    <row r="369" spans="1:45" x14ac:dyDescent="0.45">
      <c r="A369">
        <v>368</v>
      </c>
      <c r="B369">
        <v>12712</v>
      </c>
      <c r="C369" t="s">
        <v>72</v>
      </c>
      <c r="D369" t="s">
        <v>81</v>
      </c>
      <c r="E369" t="s">
        <v>74</v>
      </c>
      <c r="F369" t="s">
        <v>75</v>
      </c>
      <c r="G369" t="s">
        <v>76</v>
      </c>
      <c r="H369">
        <v>29.223706589345699</v>
      </c>
      <c r="I369">
        <v>2</v>
      </c>
      <c r="J369">
        <v>8</v>
      </c>
      <c r="K369">
        <v>7</v>
      </c>
      <c r="L369">
        <v>1</v>
      </c>
      <c r="M369">
        <v>7</v>
      </c>
      <c r="N369">
        <v>7</v>
      </c>
      <c r="O369">
        <v>0</v>
      </c>
      <c r="P369">
        <v>9</v>
      </c>
      <c r="Q369">
        <v>8</v>
      </c>
      <c r="R369">
        <v>1</v>
      </c>
      <c r="S369">
        <v>8</v>
      </c>
      <c r="T369">
        <v>8</v>
      </c>
      <c r="U369">
        <v>0</v>
      </c>
      <c r="V369">
        <v>6</v>
      </c>
      <c r="W369">
        <v>6</v>
      </c>
      <c r="X369">
        <v>0</v>
      </c>
      <c r="Y369">
        <v>5</v>
      </c>
      <c r="Z369">
        <v>8</v>
      </c>
      <c r="AA369">
        <v>-3</v>
      </c>
      <c r="AB369">
        <v>4</v>
      </c>
      <c r="AC369">
        <v>6</v>
      </c>
      <c r="AD369">
        <v>-2</v>
      </c>
      <c r="AE369">
        <v>5</v>
      </c>
      <c r="AF369">
        <v>7</v>
      </c>
      <c r="AG369">
        <v>-2</v>
      </c>
      <c r="AH369">
        <v>8</v>
      </c>
      <c r="AI369">
        <v>8</v>
      </c>
      <c r="AJ369">
        <v>0</v>
      </c>
      <c r="AK369" t="s">
        <v>3484</v>
      </c>
      <c r="AL369" t="s">
        <v>3485</v>
      </c>
      <c r="AM369" t="s">
        <v>3486</v>
      </c>
      <c r="AN369" t="s">
        <v>3487</v>
      </c>
      <c r="AO369" t="s">
        <v>3488</v>
      </c>
      <c r="AP369" t="s">
        <v>3489</v>
      </c>
      <c r="AQ369" t="s">
        <v>3490</v>
      </c>
      <c r="AR369" t="s">
        <v>3491</v>
      </c>
      <c r="AS369" t="s">
        <v>3492</v>
      </c>
    </row>
    <row r="370" spans="1:45" x14ac:dyDescent="0.45">
      <c r="A370">
        <v>369</v>
      </c>
      <c r="B370">
        <v>12713</v>
      </c>
      <c r="C370" t="s">
        <v>78</v>
      </c>
      <c r="D370" t="s">
        <v>81</v>
      </c>
      <c r="E370" t="s">
        <v>74</v>
      </c>
      <c r="F370" t="s">
        <v>77</v>
      </c>
      <c r="G370" t="s">
        <v>76</v>
      </c>
      <c r="H370">
        <v>14.334666874127459</v>
      </c>
      <c r="I370">
        <v>0</v>
      </c>
      <c r="J370">
        <v>8</v>
      </c>
      <c r="K370">
        <v>6</v>
      </c>
      <c r="L370">
        <v>2</v>
      </c>
      <c r="M370">
        <v>7</v>
      </c>
      <c r="N370">
        <v>6</v>
      </c>
      <c r="O370">
        <v>1</v>
      </c>
      <c r="P370">
        <v>6</v>
      </c>
      <c r="Q370">
        <v>8</v>
      </c>
      <c r="R370">
        <v>-2</v>
      </c>
      <c r="S370">
        <v>8</v>
      </c>
      <c r="T370">
        <v>9</v>
      </c>
      <c r="U370">
        <v>-1</v>
      </c>
      <c r="V370">
        <v>7</v>
      </c>
      <c r="W370">
        <v>8</v>
      </c>
      <c r="X370">
        <v>-1</v>
      </c>
      <c r="Y370">
        <v>7</v>
      </c>
      <c r="Z370">
        <v>8</v>
      </c>
      <c r="AA370">
        <v>-1</v>
      </c>
      <c r="AB370">
        <v>6</v>
      </c>
      <c r="AC370">
        <v>5</v>
      </c>
      <c r="AD370">
        <v>1</v>
      </c>
      <c r="AE370">
        <v>5</v>
      </c>
      <c r="AF370">
        <v>7</v>
      </c>
      <c r="AG370">
        <v>-2</v>
      </c>
      <c r="AH370">
        <v>7</v>
      </c>
      <c r="AI370">
        <v>8</v>
      </c>
      <c r="AJ370">
        <v>-1</v>
      </c>
      <c r="AK370" t="s">
        <v>3493</v>
      </c>
      <c r="AL370" t="s">
        <v>3494</v>
      </c>
      <c r="AM370" t="s">
        <v>3495</v>
      </c>
      <c r="AN370" t="s">
        <v>3496</v>
      </c>
      <c r="AO370" t="s">
        <v>3497</v>
      </c>
      <c r="AP370" t="s">
        <v>3498</v>
      </c>
      <c r="AQ370" t="s">
        <v>3499</v>
      </c>
      <c r="AR370" t="s">
        <v>3500</v>
      </c>
      <c r="AS370" t="s">
        <v>3501</v>
      </c>
    </row>
    <row r="371" spans="1:45" x14ac:dyDescent="0.45">
      <c r="A371">
        <v>370</v>
      </c>
      <c r="B371">
        <v>12714</v>
      </c>
      <c r="C371" t="s">
        <v>78</v>
      </c>
      <c r="D371" t="s">
        <v>188</v>
      </c>
      <c r="E371" t="s">
        <v>74</v>
      </c>
      <c r="F371" t="s">
        <v>77</v>
      </c>
      <c r="G371" t="s">
        <v>76</v>
      </c>
      <c r="H371">
        <v>18.287658310058934</v>
      </c>
      <c r="I371">
        <v>0</v>
      </c>
      <c r="J371">
        <v>8</v>
      </c>
      <c r="K371">
        <v>6</v>
      </c>
      <c r="L371">
        <v>2</v>
      </c>
      <c r="M371">
        <v>9</v>
      </c>
      <c r="N371">
        <v>7</v>
      </c>
      <c r="O371">
        <v>2</v>
      </c>
      <c r="P371">
        <v>8</v>
      </c>
      <c r="Q371">
        <v>7</v>
      </c>
      <c r="R371">
        <v>1</v>
      </c>
      <c r="S371">
        <v>7</v>
      </c>
      <c r="T371">
        <v>9</v>
      </c>
      <c r="U371">
        <v>-2</v>
      </c>
      <c r="V371">
        <v>8</v>
      </c>
      <c r="W371">
        <v>7</v>
      </c>
      <c r="X371">
        <v>1</v>
      </c>
      <c r="Y371">
        <v>9</v>
      </c>
      <c r="Z371">
        <v>9</v>
      </c>
      <c r="AA371">
        <v>0</v>
      </c>
      <c r="AB371">
        <v>8</v>
      </c>
      <c r="AC371">
        <v>9</v>
      </c>
      <c r="AD371">
        <v>-1</v>
      </c>
      <c r="AE371">
        <v>7</v>
      </c>
      <c r="AF371">
        <v>9</v>
      </c>
      <c r="AG371">
        <v>-2</v>
      </c>
      <c r="AH371">
        <v>9</v>
      </c>
      <c r="AI371">
        <v>9</v>
      </c>
      <c r="AJ371">
        <v>0</v>
      </c>
      <c r="AK371" t="s">
        <v>3502</v>
      </c>
      <c r="AL371" t="s">
        <v>3503</v>
      </c>
      <c r="AM371" t="s">
        <v>3504</v>
      </c>
      <c r="AN371" t="s">
        <v>3505</v>
      </c>
      <c r="AO371" t="s">
        <v>3506</v>
      </c>
      <c r="AP371" t="s">
        <v>3507</v>
      </c>
      <c r="AQ371" t="s">
        <v>3508</v>
      </c>
      <c r="AR371" t="s">
        <v>3509</v>
      </c>
      <c r="AS371" t="s">
        <v>3510</v>
      </c>
    </row>
    <row r="372" spans="1:45" x14ac:dyDescent="0.45">
      <c r="A372">
        <v>371</v>
      </c>
      <c r="B372">
        <v>12715</v>
      </c>
      <c r="C372" t="s">
        <v>78</v>
      </c>
      <c r="D372" t="s">
        <v>79</v>
      </c>
      <c r="E372" t="s">
        <v>74</v>
      </c>
      <c r="F372" t="s">
        <v>75</v>
      </c>
      <c r="G372" t="s">
        <v>76</v>
      </c>
      <c r="H372">
        <v>57.925657763033932</v>
      </c>
      <c r="I372">
        <v>3</v>
      </c>
      <c r="J372">
        <v>7</v>
      </c>
      <c r="K372">
        <v>4</v>
      </c>
      <c r="L372">
        <v>3</v>
      </c>
      <c r="M372">
        <v>8</v>
      </c>
      <c r="N372">
        <v>4</v>
      </c>
      <c r="O372">
        <v>4</v>
      </c>
      <c r="P372">
        <v>6</v>
      </c>
      <c r="Q372">
        <v>5</v>
      </c>
      <c r="R372">
        <v>1</v>
      </c>
      <c r="S372">
        <v>7</v>
      </c>
      <c r="T372">
        <v>5</v>
      </c>
      <c r="U372">
        <v>2</v>
      </c>
      <c r="V372">
        <v>8</v>
      </c>
      <c r="W372">
        <v>5</v>
      </c>
      <c r="X372">
        <v>3</v>
      </c>
      <c r="Y372">
        <v>7</v>
      </c>
      <c r="Z372">
        <v>4</v>
      </c>
      <c r="AA372">
        <v>3</v>
      </c>
      <c r="AB372">
        <v>8</v>
      </c>
      <c r="AC372">
        <v>5</v>
      </c>
      <c r="AD372">
        <v>3</v>
      </c>
      <c r="AE372">
        <v>7</v>
      </c>
      <c r="AF372">
        <v>6</v>
      </c>
      <c r="AG372">
        <v>1</v>
      </c>
      <c r="AH372">
        <v>6</v>
      </c>
      <c r="AI372">
        <v>5</v>
      </c>
      <c r="AJ372">
        <v>1</v>
      </c>
      <c r="AK372" t="s">
        <v>3511</v>
      </c>
      <c r="AL372" t="s">
        <v>3512</v>
      </c>
      <c r="AM372" t="s">
        <v>3513</v>
      </c>
      <c r="AN372" t="s">
        <v>3514</v>
      </c>
      <c r="AO372" t="s">
        <v>3515</v>
      </c>
      <c r="AP372" t="s">
        <v>3516</v>
      </c>
      <c r="AQ372" t="s">
        <v>3517</v>
      </c>
      <c r="AR372" t="s">
        <v>3518</v>
      </c>
      <c r="AS372" t="s">
        <v>3519</v>
      </c>
    </row>
    <row r="373" spans="1:45" x14ac:dyDescent="0.45">
      <c r="A373">
        <v>372</v>
      </c>
      <c r="B373">
        <v>12716</v>
      </c>
      <c r="C373" t="s">
        <v>72</v>
      </c>
      <c r="D373" t="s">
        <v>73</v>
      </c>
      <c r="E373" t="s">
        <v>74</v>
      </c>
      <c r="F373" t="s">
        <v>77</v>
      </c>
      <c r="G373" t="s">
        <v>76</v>
      </c>
      <c r="H373">
        <v>32.5114094180405</v>
      </c>
      <c r="I373">
        <v>2</v>
      </c>
      <c r="J373">
        <v>8</v>
      </c>
      <c r="K373">
        <v>6</v>
      </c>
      <c r="L373">
        <v>2</v>
      </c>
      <c r="M373">
        <v>9</v>
      </c>
      <c r="N373">
        <v>6</v>
      </c>
      <c r="O373">
        <v>3</v>
      </c>
      <c r="P373">
        <v>8</v>
      </c>
      <c r="Q373">
        <v>8</v>
      </c>
      <c r="R373">
        <v>0</v>
      </c>
      <c r="S373">
        <v>9</v>
      </c>
      <c r="T373">
        <v>8</v>
      </c>
      <c r="U373">
        <v>1</v>
      </c>
      <c r="V373">
        <v>7</v>
      </c>
      <c r="W373">
        <v>6</v>
      </c>
      <c r="X373">
        <v>1</v>
      </c>
      <c r="Y373">
        <v>8</v>
      </c>
      <c r="Z373">
        <v>7</v>
      </c>
      <c r="AA373">
        <v>1</v>
      </c>
      <c r="AB373">
        <v>7</v>
      </c>
      <c r="AC373">
        <v>5</v>
      </c>
      <c r="AD373">
        <v>2</v>
      </c>
      <c r="AE373">
        <v>8</v>
      </c>
      <c r="AF373">
        <v>6</v>
      </c>
      <c r="AG373">
        <v>2</v>
      </c>
      <c r="AH373">
        <v>7</v>
      </c>
      <c r="AI373">
        <v>6</v>
      </c>
      <c r="AJ373">
        <v>1</v>
      </c>
      <c r="AK373" t="s">
        <v>3520</v>
      </c>
      <c r="AL373" t="s">
        <v>3521</v>
      </c>
      <c r="AM373" t="s">
        <v>3522</v>
      </c>
      <c r="AN373" t="s">
        <v>3523</v>
      </c>
      <c r="AO373" t="s">
        <v>3524</v>
      </c>
      <c r="AP373" t="s">
        <v>3525</v>
      </c>
      <c r="AQ373" t="s">
        <v>3526</v>
      </c>
      <c r="AR373" t="s">
        <v>3527</v>
      </c>
      <c r="AS373" t="s">
        <v>3528</v>
      </c>
    </row>
    <row r="374" spans="1:45" x14ac:dyDescent="0.45">
      <c r="A374">
        <v>373</v>
      </c>
      <c r="B374">
        <v>12717</v>
      </c>
      <c r="C374" t="s">
        <v>72</v>
      </c>
      <c r="D374" t="s">
        <v>73</v>
      </c>
      <c r="E374" t="s">
        <v>74</v>
      </c>
      <c r="F374" t="s">
        <v>77</v>
      </c>
      <c r="G374" t="s">
        <v>76</v>
      </c>
      <c r="H374">
        <v>74.379603978091083</v>
      </c>
      <c r="I374">
        <v>2</v>
      </c>
      <c r="J374">
        <v>7</v>
      </c>
      <c r="K374">
        <v>8</v>
      </c>
      <c r="L374">
        <v>-1</v>
      </c>
      <c r="M374">
        <v>8</v>
      </c>
      <c r="N374">
        <v>8</v>
      </c>
      <c r="O374">
        <v>0</v>
      </c>
      <c r="P374">
        <v>6</v>
      </c>
      <c r="Q374">
        <v>9</v>
      </c>
      <c r="R374">
        <v>-3</v>
      </c>
      <c r="S374">
        <v>7</v>
      </c>
      <c r="T374">
        <v>9</v>
      </c>
      <c r="U374">
        <v>-2</v>
      </c>
      <c r="V374">
        <v>8</v>
      </c>
      <c r="W374">
        <v>5</v>
      </c>
      <c r="X374">
        <v>3</v>
      </c>
      <c r="Y374">
        <v>7</v>
      </c>
      <c r="Z374">
        <v>5</v>
      </c>
      <c r="AA374">
        <v>2</v>
      </c>
      <c r="AB374">
        <v>6</v>
      </c>
      <c r="AC374">
        <v>5</v>
      </c>
      <c r="AD374">
        <v>1</v>
      </c>
      <c r="AE374">
        <v>5</v>
      </c>
      <c r="AF374">
        <v>6</v>
      </c>
      <c r="AG374">
        <v>-1</v>
      </c>
      <c r="AH374">
        <v>7</v>
      </c>
      <c r="AI374">
        <v>5</v>
      </c>
      <c r="AJ374">
        <v>2</v>
      </c>
      <c r="AK374" t="s">
        <v>3529</v>
      </c>
      <c r="AL374" t="s">
        <v>3530</v>
      </c>
      <c r="AM374" t="s">
        <v>3531</v>
      </c>
      <c r="AN374" t="s">
        <v>3532</v>
      </c>
      <c r="AO374" t="s">
        <v>3533</v>
      </c>
      <c r="AP374" t="s">
        <v>3534</v>
      </c>
      <c r="AQ374" t="s">
        <v>3535</v>
      </c>
      <c r="AR374" t="s">
        <v>3536</v>
      </c>
      <c r="AS374" t="s">
        <v>3537</v>
      </c>
    </row>
    <row r="375" spans="1:45" x14ac:dyDescent="0.45">
      <c r="A375">
        <v>374</v>
      </c>
      <c r="B375">
        <v>12718</v>
      </c>
      <c r="C375" t="s">
        <v>72</v>
      </c>
      <c r="D375" t="s">
        <v>73</v>
      </c>
      <c r="E375" t="s">
        <v>74</v>
      </c>
      <c r="F375" t="s">
        <v>77</v>
      </c>
      <c r="G375" t="s">
        <v>76</v>
      </c>
      <c r="H375">
        <v>32.601505194681039</v>
      </c>
      <c r="I375">
        <v>1</v>
      </c>
      <c r="J375">
        <v>7</v>
      </c>
      <c r="K375">
        <v>6</v>
      </c>
      <c r="L375">
        <v>1</v>
      </c>
      <c r="M375">
        <v>8</v>
      </c>
      <c r="N375">
        <v>6</v>
      </c>
      <c r="O375">
        <v>2</v>
      </c>
      <c r="P375">
        <v>6</v>
      </c>
      <c r="Q375">
        <v>7</v>
      </c>
      <c r="R375">
        <v>-1</v>
      </c>
      <c r="S375">
        <v>8</v>
      </c>
      <c r="T375">
        <v>7</v>
      </c>
      <c r="U375">
        <v>1</v>
      </c>
      <c r="V375">
        <v>7</v>
      </c>
      <c r="W375">
        <v>6</v>
      </c>
      <c r="X375">
        <v>1</v>
      </c>
      <c r="Y375">
        <v>6</v>
      </c>
      <c r="Z375">
        <v>6</v>
      </c>
      <c r="AA375">
        <v>0</v>
      </c>
      <c r="AB375">
        <v>7</v>
      </c>
      <c r="AC375">
        <v>6</v>
      </c>
      <c r="AD375">
        <v>1</v>
      </c>
      <c r="AE375">
        <v>5</v>
      </c>
      <c r="AF375">
        <v>6</v>
      </c>
      <c r="AG375">
        <v>-1</v>
      </c>
      <c r="AH375">
        <v>8</v>
      </c>
      <c r="AI375">
        <v>6</v>
      </c>
      <c r="AJ375">
        <v>2</v>
      </c>
      <c r="AK375" t="s">
        <v>3538</v>
      </c>
      <c r="AL375" t="s">
        <v>3539</v>
      </c>
      <c r="AM375" t="s">
        <v>3540</v>
      </c>
      <c r="AN375" t="s">
        <v>3541</v>
      </c>
      <c r="AO375" t="s">
        <v>3542</v>
      </c>
      <c r="AP375" t="s">
        <v>3543</v>
      </c>
      <c r="AQ375" t="s">
        <v>3544</v>
      </c>
      <c r="AR375" t="s">
        <v>3545</v>
      </c>
      <c r="AS375" t="s">
        <v>3546</v>
      </c>
    </row>
    <row r="376" spans="1:45" x14ac:dyDescent="0.45">
      <c r="A376">
        <v>375</v>
      </c>
      <c r="B376">
        <v>12719</v>
      </c>
      <c r="C376" t="s">
        <v>72</v>
      </c>
      <c r="D376" t="s">
        <v>73</v>
      </c>
      <c r="E376" t="s">
        <v>74</v>
      </c>
      <c r="F376" t="s">
        <v>77</v>
      </c>
      <c r="G376" t="s">
        <v>76</v>
      </c>
      <c r="H376">
        <v>59.657926275255136</v>
      </c>
      <c r="I376">
        <v>1</v>
      </c>
      <c r="J376">
        <v>8</v>
      </c>
      <c r="K376">
        <v>8</v>
      </c>
      <c r="L376">
        <v>0</v>
      </c>
      <c r="M376">
        <v>7</v>
      </c>
      <c r="N376">
        <v>8</v>
      </c>
      <c r="O376">
        <v>-1</v>
      </c>
      <c r="P376">
        <v>9</v>
      </c>
      <c r="Q376">
        <v>8</v>
      </c>
      <c r="R376">
        <v>1</v>
      </c>
      <c r="S376">
        <v>8</v>
      </c>
      <c r="T376">
        <v>8</v>
      </c>
      <c r="U376">
        <v>0</v>
      </c>
      <c r="V376">
        <v>9</v>
      </c>
      <c r="W376">
        <v>7</v>
      </c>
      <c r="X376">
        <v>2</v>
      </c>
      <c r="Y376">
        <v>7</v>
      </c>
      <c r="Z376">
        <v>6</v>
      </c>
      <c r="AA376">
        <v>1</v>
      </c>
      <c r="AB376">
        <v>6</v>
      </c>
      <c r="AC376">
        <v>6</v>
      </c>
      <c r="AD376">
        <v>0</v>
      </c>
      <c r="AE376">
        <v>5</v>
      </c>
      <c r="AF376">
        <v>5</v>
      </c>
      <c r="AG376">
        <v>0</v>
      </c>
      <c r="AH376">
        <v>8</v>
      </c>
      <c r="AI376">
        <v>7</v>
      </c>
      <c r="AJ376">
        <v>1</v>
      </c>
      <c r="AK376" t="s">
        <v>3547</v>
      </c>
      <c r="AL376" t="s">
        <v>3548</v>
      </c>
      <c r="AM376" t="s">
        <v>3549</v>
      </c>
      <c r="AN376" t="s">
        <v>3550</v>
      </c>
      <c r="AO376" t="s">
        <v>3551</v>
      </c>
      <c r="AP376" t="s">
        <v>3552</v>
      </c>
      <c r="AQ376" t="s">
        <v>3553</v>
      </c>
      <c r="AR376" t="s">
        <v>3554</v>
      </c>
      <c r="AS376" t="s">
        <v>3555</v>
      </c>
    </row>
    <row r="377" spans="1:45" x14ac:dyDescent="0.45">
      <c r="A377">
        <v>376</v>
      </c>
      <c r="B377">
        <v>12720</v>
      </c>
      <c r="C377" t="s">
        <v>72</v>
      </c>
      <c r="D377" t="s">
        <v>81</v>
      </c>
      <c r="E377" t="s">
        <v>74</v>
      </c>
      <c r="F377" t="s">
        <v>77</v>
      </c>
      <c r="G377" t="s">
        <v>76</v>
      </c>
      <c r="H377">
        <v>18.785665330489277</v>
      </c>
      <c r="I377">
        <v>0</v>
      </c>
      <c r="J377">
        <v>8</v>
      </c>
      <c r="K377">
        <v>6</v>
      </c>
      <c r="L377">
        <v>2</v>
      </c>
      <c r="M377">
        <v>7</v>
      </c>
      <c r="N377">
        <v>6</v>
      </c>
      <c r="O377">
        <v>1</v>
      </c>
      <c r="P377">
        <v>9</v>
      </c>
      <c r="Q377">
        <v>5</v>
      </c>
      <c r="R377">
        <v>4</v>
      </c>
      <c r="S377">
        <v>8</v>
      </c>
      <c r="T377">
        <v>7</v>
      </c>
      <c r="U377">
        <v>1</v>
      </c>
      <c r="V377">
        <v>9</v>
      </c>
      <c r="W377">
        <v>6</v>
      </c>
      <c r="X377">
        <v>3</v>
      </c>
      <c r="Y377">
        <v>7</v>
      </c>
      <c r="Z377">
        <v>7</v>
      </c>
      <c r="AA377">
        <v>0</v>
      </c>
      <c r="AB377">
        <v>8</v>
      </c>
      <c r="AC377">
        <v>5</v>
      </c>
      <c r="AD377">
        <v>3</v>
      </c>
      <c r="AE377">
        <v>6</v>
      </c>
      <c r="AF377">
        <v>6</v>
      </c>
      <c r="AG377">
        <v>0</v>
      </c>
      <c r="AH377">
        <v>8</v>
      </c>
      <c r="AI377">
        <v>7</v>
      </c>
      <c r="AJ377">
        <v>1</v>
      </c>
      <c r="AK377" t="s">
        <v>3556</v>
      </c>
      <c r="AL377" t="s">
        <v>3557</v>
      </c>
      <c r="AM377" t="s">
        <v>3558</v>
      </c>
      <c r="AN377" t="s">
        <v>217</v>
      </c>
      <c r="AO377" t="s">
        <v>3559</v>
      </c>
      <c r="AP377" t="s">
        <v>3560</v>
      </c>
      <c r="AQ377" t="s">
        <v>3561</v>
      </c>
      <c r="AR377" t="s">
        <v>3562</v>
      </c>
      <c r="AS377" t="s">
        <v>3563</v>
      </c>
    </row>
    <row r="378" spans="1:45" x14ac:dyDescent="0.45">
      <c r="A378">
        <v>377</v>
      </c>
      <c r="B378">
        <v>12721</v>
      </c>
      <c r="C378" t="s">
        <v>78</v>
      </c>
      <c r="D378" t="s">
        <v>81</v>
      </c>
      <c r="E378" t="s">
        <v>74</v>
      </c>
      <c r="F378" t="s">
        <v>77</v>
      </c>
      <c r="G378" t="s">
        <v>76</v>
      </c>
      <c r="H378">
        <v>13.875214382941952</v>
      </c>
      <c r="I378">
        <v>0</v>
      </c>
      <c r="J378">
        <v>7</v>
      </c>
      <c r="K378">
        <v>7</v>
      </c>
      <c r="L378">
        <v>0</v>
      </c>
      <c r="M378">
        <v>6</v>
      </c>
      <c r="N378">
        <v>8</v>
      </c>
      <c r="O378">
        <v>-2</v>
      </c>
      <c r="P378">
        <v>8</v>
      </c>
      <c r="Q378">
        <v>7</v>
      </c>
      <c r="R378">
        <v>1</v>
      </c>
      <c r="S378">
        <v>9</v>
      </c>
      <c r="T378">
        <v>7</v>
      </c>
      <c r="U378">
        <v>2</v>
      </c>
      <c r="V378">
        <v>6</v>
      </c>
      <c r="W378">
        <v>8</v>
      </c>
      <c r="X378">
        <v>-2</v>
      </c>
      <c r="Y378">
        <v>7</v>
      </c>
      <c r="Z378">
        <v>9</v>
      </c>
      <c r="AA378">
        <v>-2</v>
      </c>
      <c r="AB378">
        <v>5</v>
      </c>
      <c r="AC378">
        <v>7</v>
      </c>
      <c r="AD378">
        <v>-2</v>
      </c>
      <c r="AE378">
        <v>6</v>
      </c>
      <c r="AF378">
        <v>7</v>
      </c>
      <c r="AG378">
        <v>-1</v>
      </c>
      <c r="AH378">
        <v>7</v>
      </c>
      <c r="AI378">
        <v>8</v>
      </c>
      <c r="AJ378">
        <v>-1</v>
      </c>
      <c r="AK378" t="s">
        <v>3564</v>
      </c>
      <c r="AL378" t="s">
        <v>3565</v>
      </c>
      <c r="AM378" t="s">
        <v>3566</v>
      </c>
      <c r="AN378" t="s">
        <v>3567</v>
      </c>
      <c r="AO378" t="s">
        <v>3568</v>
      </c>
      <c r="AP378" t="s">
        <v>3569</v>
      </c>
      <c r="AQ378" t="s">
        <v>3570</v>
      </c>
      <c r="AR378" t="s">
        <v>3571</v>
      </c>
      <c r="AS378" t="s">
        <v>3572</v>
      </c>
    </row>
    <row r="379" spans="1:45" x14ac:dyDescent="0.45">
      <c r="A379">
        <v>378</v>
      </c>
      <c r="B379">
        <v>12722</v>
      </c>
      <c r="C379" t="s">
        <v>72</v>
      </c>
      <c r="D379" t="s">
        <v>188</v>
      </c>
      <c r="E379" t="s">
        <v>74</v>
      </c>
      <c r="F379" t="s">
        <v>77</v>
      </c>
      <c r="G379" t="s">
        <v>76</v>
      </c>
      <c r="H379">
        <v>18.12689272860187</v>
      </c>
      <c r="I379">
        <v>0</v>
      </c>
      <c r="J379">
        <v>8</v>
      </c>
      <c r="K379">
        <v>6</v>
      </c>
      <c r="L379">
        <v>2</v>
      </c>
      <c r="M379">
        <v>9</v>
      </c>
      <c r="N379">
        <v>7</v>
      </c>
      <c r="O379">
        <v>2</v>
      </c>
      <c r="P379">
        <v>7</v>
      </c>
      <c r="Q379">
        <v>5</v>
      </c>
      <c r="R379">
        <v>2</v>
      </c>
      <c r="S379">
        <v>8</v>
      </c>
      <c r="T379">
        <v>8</v>
      </c>
      <c r="U379">
        <v>0</v>
      </c>
      <c r="V379">
        <v>9</v>
      </c>
      <c r="W379">
        <v>7</v>
      </c>
      <c r="X379">
        <v>2</v>
      </c>
      <c r="Y379">
        <v>7</v>
      </c>
      <c r="Z379">
        <v>7</v>
      </c>
      <c r="AA379">
        <v>0</v>
      </c>
      <c r="AB379">
        <v>8</v>
      </c>
      <c r="AC379">
        <v>7</v>
      </c>
      <c r="AD379">
        <v>1</v>
      </c>
      <c r="AE379">
        <v>6</v>
      </c>
      <c r="AF379">
        <v>7</v>
      </c>
      <c r="AG379">
        <v>-1</v>
      </c>
      <c r="AH379">
        <v>7</v>
      </c>
      <c r="AI379">
        <v>8</v>
      </c>
      <c r="AJ379">
        <v>-1</v>
      </c>
      <c r="AK379" t="s">
        <v>3573</v>
      </c>
      <c r="AL379" t="s">
        <v>3574</v>
      </c>
      <c r="AM379" t="s">
        <v>3575</v>
      </c>
      <c r="AN379" t="s">
        <v>3576</v>
      </c>
      <c r="AO379" t="s">
        <v>3577</v>
      </c>
      <c r="AP379" t="s">
        <v>3578</v>
      </c>
      <c r="AQ379" t="s">
        <v>3579</v>
      </c>
      <c r="AR379" t="s">
        <v>3580</v>
      </c>
      <c r="AS379" t="s">
        <v>3581</v>
      </c>
    </row>
    <row r="380" spans="1:45" x14ac:dyDescent="0.45">
      <c r="A380">
        <v>379</v>
      </c>
      <c r="B380">
        <v>12723</v>
      </c>
      <c r="C380" t="s">
        <v>72</v>
      </c>
      <c r="D380" t="s">
        <v>188</v>
      </c>
      <c r="E380" t="s">
        <v>74</v>
      </c>
      <c r="F380" t="s">
        <v>77</v>
      </c>
      <c r="G380" t="s">
        <v>76</v>
      </c>
      <c r="H380">
        <v>14.773397892892959</v>
      </c>
      <c r="I380">
        <v>0</v>
      </c>
      <c r="J380">
        <v>7</v>
      </c>
      <c r="K380">
        <v>8</v>
      </c>
      <c r="L380">
        <v>-1</v>
      </c>
      <c r="M380">
        <v>8</v>
      </c>
      <c r="N380">
        <v>8</v>
      </c>
      <c r="O380">
        <v>0</v>
      </c>
      <c r="P380">
        <v>9</v>
      </c>
      <c r="Q380">
        <v>9</v>
      </c>
      <c r="R380">
        <v>0</v>
      </c>
      <c r="S380">
        <v>8</v>
      </c>
      <c r="T380">
        <v>9</v>
      </c>
      <c r="U380">
        <v>-1</v>
      </c>
      <c r="V380">
        <v>7</v>
      </c>
      <c r="W380">
        <v>7</v>
      </c>
      <c r="X380">
        <v>0</v>
      </c>
      <c r="Y380">
        <v>8</v>
      </c>
      <c r="Z380">
        <v>9</v>
      </c>
      <c r="AA380">
        <v>-1</v>
      </c>
      <c r="AB380">
        <v>7</v>
      </c>
      <c r="AC380">
        <v>7</v>
      </c>
      <c r="AD380">
        <v>0</v>
      </c>
      <c r="AE380">
        <v>6</v>
      </c>
      <c r="AF380">
        <v>7</v>
      </c>
      <c r="AG380">
        <v>-1</v>
      </c>
      <c r="AH380">
        <v>8</v>
      </c>
      <c r="AI380">
        <v>9</v>
      </c>
      <c r="AJ380">
        <v>-1</v>
      </c>
      <c r="AK380" t="s">
        <v>3582</v>
      </c>
      <c r="AL380" t="s">
        <v>3583</v>
      </c>
      <c r="AM380" t="s">
        <v>3584</v>
      </c>
      <c r="AN380" t="s">
        <v>3585</v>
      </c>
      <c r="AO380" t="s">
        <v>3586</v>
      </c>
      <c r="AP380" t="s">
        <v>3587</v>
      </c>
      <c r="AQ380" t="s">
        <v>3588</v>
      </c>
      <c r="AR380" t="s">
        <v>3589</v>
      </c>
      <c r="AS380" t="s">
        <v>3590</v>
      </c>
    </row>
    <row r="381" spans="1:45" x14ac:dyDescent="0.45">
      <c r="A381">
        <v>380</v>
      </c>
      <c r="B381">
        <v>12724</v>
      </c>
      <c r="C381" t="s">
        <v>78</v>
      </c>
      <c r="D381" t="s">
        <v>188</v>
      </c>
      <c r="E381" t="s">
        <v>74</v>
      </c>
      <c r="F381" t="s">
        <v>77</v>
      </c>
      <c r="G381" t="s">
        <v>76</v>
      </c>
      <c r="H381">
        <v>18.438804071098293</v>
      </c>
      <c r="I381">
        <v>0</v>
      </c>
      <c r="J381">
        <v>7</v>
      </c>
      <c r="K381">
        <v>8</v>
      </c>
      <c r="L381">
        <v>-1</v>
      </c>
      <c r="M381">
        <v>8</v>
      </c>
      <c r="N381">
        <v>8</v>
      </c>
      <c r="O381">
        <v>0</v>
      </c>
      <c r="P381">
        <v>9</v>
      </c>
      <c r="Q381">
        <v>5</v>
      </c>
      <c r="R381">
        <v>4</v>
      </c>
      <c r="S381">
        <v>7</v>
      </c>
      <c r="T381">
        <v>8</v>
      </c>
      <c r="U381">
        <v>-1</v>
      </c>
      <c r="V381">
        <v>8</v>
      </c>
      <c r="W381">
        <v>6</v>
      </c>
      <c r="X381">
        <v>2</v>
      </c>
      <c r="Y381">
        <v>7</v>
      </c>
      <c r="Z381">
        <v>9</v>
      </c>
      <c r="AA381">
        <v>-2</v>
      </c>
      <c r="AB381">
        <v>6</v>
      </c>
      <c r="AC381">
        <v>5</v>
      </c>
      <c r="AD381">
        <v>1</v>
      </c>
      <c r="AE381">
        <v>5</v>
      </c>
      <c r="AF381">
        <v>7</v>
      </c>
      <c r="AG381">
        <v>-2</v>
      </c>
      <c r="AH381">
        <v>6</v>
      </c>
      <c r="AI381">
        <v>8</v>
      </c>
      <c r="AJ381">
        <v>-2</v>
      </c>
      <c r="AK381" t="s">
        <v>3591</v>
      </c>
      <c r="AL381" t="s">
        <v>3592</v>
      </c>
      <c r="AM381" t="s">
        <v>3593</v>
      </c>
      <c r="AN381" t="s">
        <v>3594</v>
      </c>
      <c r="AO381" t="s">
        <v>3595</v>
      </c>
      <c r="AP381" t="s">
        <v>3596</v>
      </c>
      <c r="AQ381" t="s">
        <v>3597</v>
      </c>
      <c r="AR381" t="s">
        <v>3598</v>
      </c>
      <c r="AS381" t="s">
        <v>3599</v>
      </c>
    </row>
    <row r="382" spans="1:45" x14ac:dyDescent="0.45">
      <c r="A382">
        <v>381</v>
      </c>
      <c r="B382">
        <v>12725</v>
      </c>
      <c r="C382" t="s">
        <v>78</v>
      </c>
      <c r="D382" t="s">
        <v>188</v>
      </c>
      <c r="E382" t="s">
        <v>74</v>
      </c>
      <c r="F382" t="s">
        <v>189</v>
      </c>
      <c r="G382" t="s">
        <v>76</v>
      </c>
      <c r="H382">
        <v>13.350333994675893</v>
      </c>
      <c r="I382">
        <v>0</v>
      </c>
      <c r="J382">
        <v>7</v>
      </c>
      <c r="K382">
        <v>9</v>
      </c>
      <c r="L382">
        <v>-2</v>
      </c>
      <c r="M382">
        <v>8</v>
      </c>
      <c r="N382">
        <v>9</v>
      </c>
      <c r="O382">
        <v>-1</v>
      </c>
      <c r="P382">
        <v>6</v>
      </c>
      <c r="Q382">
        <v>8</v>
      </c>
      <c r="R382">
        <v>-2</v>
      </c>
      <c r="S382">
        <v>9</v>
      </c>
      <c r="T382">
        <v>9</v>
      </c>
      <c r="U382">
        <v>0</v>
      </c>
      <c r="V382">
        <v>7</v>
      </c>
      <c r="W382">
        <v>8</v>
      </c>
      <c r="X382">
        <v>-1</v>
      </c>
      <c r="Y382">
        <v>8</v>
      </c>
      <c r="Z382">
        <v>10</v>
      </c>
      <c r="AA382">
        <v>-2</v>
      </c>
      <c r="AB382">
        <v>6</v>
      </c>
      <c r="AC382">
        <v>8</v>
      </c>
      <c r="AD382">
        <v>-2</v>
      </c>
      <c r="AE382">
        <v>5</v>
      </c>
      <c r="AF382">
        <v>8</v>
      </c>
      <c r="AG382">
        <v>-3</v>
      </c>
      <c r="AH382">
        <v>7</v>
      </c>
      <c r="AI382">
        <v>10</v>
      </c>
      <c r="AJ382">
        <v>-3</v>
      </c>
      <c r="AK382" t="s">
        <v>3600</v>
      </c>
      <c r="AL382" t="s">
        <v>3601</v>
      </c>
      <c r="AM382" t="s">
        <v>3602</v>
      </c>
      <c r="AN382" t="s">
        <v>3603</v>
      </c>
      <c r="AO382" t="s">
        <v>3604</v>
      </c>
      <c r="AP382" t="s">
        <v>3605</v>
      </c>
      <c r="AQ382" t="s">
        <v>3606</v>
      </c>
      <c r="AR382" t="s">
        <v>3607</v>
      </c>
      <c r="AS382" t="s">
        <v>3608</v>
      </c>
    </row>
    <row r="383" spans="1:45" x14ac:dyDescent="0.45">
      <c r="A383">
        <v>382</v>
      </c>
      <c r="B383">
        <v>12726</v>
      </c>
      <c r="C383" t="s">
        <v>72</v>
      </c>
      <c r="D383" t="s">
        <v>188</v>
      </c>
      <c r="E383" t="s">
        <v>74</v>
      </c>
      <c r="F383" t="s">
        <v>77</v>
      </c>
      <c r="G383" t="s">
        <v>76</v>
      </c>
      <c r="H383">
        <v>21.258895760174006</v>
      </c>
      <c r="I383">
        <v>1</v>
      </c>
      <c r="J383">
        <v>9</v>
      </c>
      <c r="K383">
        <v>5</v>
      </c>
      <c r="L383">
        <v>4</v>
      </c>
      <c r="M383">
        <v>8</v>
      </c>
      <c r="N383">
        <v>5</v>
      </c>
      <c r="O383">
        <v>3</v>
      </c>
      <c r="P383">
        <v>7</v>
      </c>
      <c r="Q383">
        <v>4</v>
      </c>
      <c r="R383">
        <v>3</v>
      </c>
      <c r="S383">
        <v>8</v>
      </c>
      <c r="T383">
        <v>8</v>
      </c>
      <c r="U383">
        <v>0</v>
      </c>
      <c r="V383">
        <v>7</v>
      </c>
      <c r="W383">
        <v>4</v>
      </c>
      <c r="X383">
        <v>3</v>
      </c>
      <c r="Y383">
        <v>6</v>
      </c>
      <c r="Z383">
        <v>8</v>
      </c>
      <c r="AA383">
        <v>-2</v>
      </c>
      <c r="AB383">
        <v>7</v>
      </c>
      <c r="AC383">
        <v>4</v>
      </c>
      <c r="AD383">
        <v>3</v>
      </c>
      <c r="AE383">
        <v>6</v>
      </c>
      <c r="AF383">
        <v>5</v>
      </c>
      <c r="AG383">
        <v>1</v>
      </c>
      <c r="AH383">
        <v>8</v>
      </c>
      <c r="AI383">
        <v>7</v>
      </c>
      <c r="AJ383">
        <v>1</v>
      </c>
      <c r="AK383" t="s">
        <v>3609</v>
      </c>
      <c r="AL383" t="s">
        <v>3610</v>
      </c>
      <c r="AM383" t="s">
        <v>3611</v>
      </c>
      <c r="AN383" t="s">
        <v>3612</v>
      </c>
      <c r="AO383" t="s">
        <v>3613</v>
      </c>
      <c r="AP383" t="s">
        <v>3614</v>
      </c>
      <c r="AQ383" t="s">
        <v>3615</v>
      </c>
      <c r="AR383" t="s">
        <v>3616</v>
      </c>
      <c r="AS383" t="s">
        <v>3617</v>
      </c>
    </row>
    <row r="384" spans="1:45" x14ac:dyDescent="0.45">
      <c r="A384">
        <v>383</v>
      </c>
      <c r="B384">
        <v>12727</v>
      </c>
      <c r="C384" t="s">
        <v>78</v>
      </c>
      <c r="D384" t="s">
        <v>190</v>
      </c>
      <c r="E384" t="s">
        <v>74</v>
      </c>
      <c r="F384" t="s">
        <v>75</v>
      </c>
      <c r="G384" t="s">
        <v>76</v>
      </c>
      <c r="H384">
        <v>90.414380698726006</v>
      </c>
      <c r="I384">
        <v>2</v>
      </c>
      <c r="J384">
        <v>9</v>
      </c>
      <c r="K384">
        <v>1</v>
      </c>
      <c r="L384">
        <v>8</v>
      </c>
      <c r="M384">
        <v>8</v>
      </c>
      <c r="N384">
        <v>1</v>
      </c>
      <c r="O384">
        <v>7</v>
      </c>
      <c r="P384">
        <v>7</v>
      </c>
      <c r="Q384">
        <v>4</v>
      </c>
      <c r="R384">
        <v>3</v>
      </c>
      <c r="S384">
        <v>8</v>
      </c>
      <c r="T384">
        <v>5</v>
      </c>
      <c r="U384">
        <v>3</v>
      </c>
      <c r="V384">
        <v>7</v>
      </c>
      <c r="W384">
        <v>5</v>
      </c>
      <c r="X384">
        <v>2</v>
      </c>
      <c r="Y384">
        <v>8</v>
      </c>
      <c r="Z384">
        <v>4</v>
      </c>
      <c r="AA384">
        <v>4</v>
      </c>
      <c r="AB384">
        <v>7</v>
      </c>
      <c r="AC384">
        <v>4</v>
      </c>
      <c r="AD384">
        <v>3</v>
      </c>
      <c r="AE384">
        <v>8</v>
      </c>
      <c r="AF384">
        <v>5</v>
      </c>
      <c r="AG384">
        <v>3</v>
      </c>
      <c r="AH384">
        <v>6</v>
      </c>
      <c r="AI384">
        <v>3</v>
      </c>
      <c r="AJ384">
        <v>3</v>
      </c>
      <c r="AK384" t="s">
        <v>3618</v>
      </c>
      <c r="AL384" t="s">
        <v>3619</v>
      </c>
      <c r="AM384" t="s">
        <v>3620</v>
      </c>
      <c r="AN384" t="s">
        <v>3621</v>
      </c>
      <c r="AO384" t="s">
        <v>3622</v>
      </c>
      <c r="AP384" t="s">
        <v>3623</v>
      </c>
      <c r="AQ384" t="s">
        <v>3624</v>
      </c>
      <c r="AR384" t="s">
        <v>3625</v>
      </c>
      <c r="AS384" t="s">
        <v>3626</v>
      </c>
    </row>
    <row r="385" spans="1:45" x14ac:dyDescent="0.45">
      <c r="A385">
        <v>384</v>
      </c>
      <c r="B385">
        <v>12728</v>
      </c>
      <c r="C385" t="s">
        <v>78</v>
      </c>
      <c r="D385" t="s">
        <v>188</v>
      </c>
      <c r="E385" t="s">
        <v>74</v>
      </c>
      <c r="F385" t="s">
        <v>77</v>
      </c>
      <c r="G385" t="s">
        <v>76</v>
      </c>
      <c r="H385">
        <v>12</v>
      </c>
      <c r="I385">
        <v>0</v>
      </c>
      <c r="J385">
        <v>7</v>
      </c>
      <c r="K385">
        <v>7</v>
      </c>
      <c r="L385">
        <v>0</v>
      </c>
      <c r="M385">
        <v>6</v>
      </c>
      <c r="N385">
        <v>7</v>
      </c>
      <c r="O385">
        <v>-1</v>
      </c>
      <c r="P385">
        <v>8</v>
      </c>
      <c r="Q385">
        <v>7</v>
      </c>
      <c r="R385">
        <v>1</v>
      </c>
      <c r="S385">
        <v>9</v>
      </c>
      <c r="T385">
        <v>9</v>
      </c>
      <c r="U385">
        <v>0</v>
      </c>
      <c r="V385">
        <v>7</v>
      </c>
      <c r="W385">
        <v>8</v>
      </c>
      <c r="X385">
        <v>-1</v>
      </c>
      <c r="Y385">
        <v>8</v>
      </c>
      <c r="Z385">
        <v>10</v>
      </c>
      <c r="AA385">
        <v>-2</v>
      </c>
      <c r="AB385">
        <v>7</v>
      </c>
      <c r="AC385">
        <v>8</v>
      </c>
      <c r="AD385">
        <v>-1</v>
      </c>
      <c r="AE385">
        <v>6</v>
      </c>
      <c r="AF385">
        <v>7</v>
      </c>
      <c r="AG385">
        <v>-1</v>
      </c>
      <c r="AH385">
        <v>8</v>
      </c>
      <c r="AI385">
        <v>10</v>
      </c>
      <c r="AJ385">
        <v>-2</v>
      </c>
      <c r="AK385" t="s">
        <v>3627</v>
      </c>
      <c r="AL385" t="s">
        <v>3628</v>
      </c>
      <c r="AM385" t="s">
        <v>3629</v>
      </c>
      <c r="AN385" t="s">
        <v>3630</v>
      </c>
      <c r="AO385" t="s">
        <v>3631</v>
      </c>
      <c r="AP385" t="s">
        <v>3632</v>
      </c>
      <c r="AQ385" t="s">
        <v>3633</v>
      </c>
      <c r="AR385" t="s">
        <v>3634</v>
      </c>
      <c r="AS385" t="s">
        <v>3635</v>
      </c>
    </row>
    <row r="386" spans="1:45" x14ac:dyDescent="0.45">
      <c r="A386">
        <v>385</v>
      </c>
      <c r="B386">
        <v>12729</v>
      </c>
      <c r="C386" t="s">
        <v>78</v>
      </c>
      <c r="D386" t="s">
        <v>79</v>
      </c>
      <c r="E386" t="s">
        <v>74</v>
      </c>
      <c r="F386" t="s">
        <v>77</v>
      </c>
      <c r="G386" t="s">
        <v>76</v>
      </c>
      <c r="H386">
        <v>37.094163354900736</v>
      </c>
      <c r="I386">
        <v>2</v>
      </c>
      <c r="J386">
        <v>7</v>
      </c>
      <c r="K386">
        <v>3</v>
      </c>
      <c r="L386">
        <v>4</v>
      </c>
      <c r="M386">
        <v>6</v>
      </c>
      <c r="N386">
        <v>3</v>
      </c>
      <c r="O386">
        <v>3</v>
      </c>
      <c r="P386">
        <v>8</v>
      </c>
      <c r="Q386">
        <v>4</v>
      </c>
      <c r="R386">
        <v>4</v>
      </c>
      <c r="S386">
        <v>9</v>
      </c>
      <c r="T386">
        <v>6</v>
      </c>
      <c r="U386">
        <v>3</v>
      </c>
      <c r="V386">
        <v>7</v>
      </c>
      <c r="W386">
        <v>4</v>
      </c>
      <c r="X386">
        <v>3</v>
      </c>
      <c r="Y386">
        <v>6</v>
      </c>
      <c r="Z386">
        <v>5</v>
      </c>
      <c r="AA386">
        <v>1</v>
      </c>
      <c r="AB386">
        <v>7</v>
      </c>
      <c r="AC386">
        <v>4</v>
      </c>
      <c r="AD386">
        <v>3</v>
      </c>
      <c r="AE386">
        <v>5</v>
      </c>
      <c r="AF386">
        <v>5</v>
      </c>
      <c r="AG386">
        <v>0</v>
      </c>
      <c r="AH386">
        <v>6</v>
      </c>
      <c r="AI386">
        <v>5</v>
      </c>
      <c r="AJ386">
        <v>1</v>
      </c>
      <c r="AK386" t="s">
        <v>3636</v>
      </c>
      <c r="AL386" t="s">
        <v>3637</v>
      </c>
      <c r="AM386" t="s">
        <v>3638</v>
      </c>
      <c r="AN386" t="s">
        <v>3639</v>
      </c>
      <c r="AO386" t="s">
        <v>3640</v>
      </c>
      <c r="AP386" t="s">
        <v>3641</v>
      </c>
      <c r="AQ386" t="s">
        <v>3642</v>
      </c>
      <c r="AR386" t="s">
        <v>3643</v>
      </c>
      <c r="AS386" t="s">
        <v>3644</v>
      </c>
    </row>
    <row r="387" spans="1:45" x14ac:dyDescent="0.45">
      <c r="A387">
        <v>386</v>
      </c>
      <c r="B387">
        <v>12730</v>
      </c>
      <c r="C387" t="s">
        <v>72</v>
      </c>
      <c r="D387" t="s">
        <v>81</v>
      </c>
      <c r="E387" t="s">
        <v>74</v>
      </c>
      <c r="F387" t="s">
        <v>75</v>
      </c>
      <c r="G387" t="s">
        <v>76</v>
      </c>
      <c r="H387">
        <v>29.255482617924837</v>
      </c>
      <c r="I387">
        <v>0</v>
      </c>
      <c r="J387">
        <v>7</v>
      </c>
      <c r="K387">
        <v>8</v>
      </c>
      <c r="L387">
        <v>-1</v>
      </c>
      <c r="M387">
        <v>6</v>
      </c>
      <c r="N387">
        <v>8</v>
      </c>
      <c r="O387">
        <v>-2</v>
      </c>
      <c r="P387">
        <v>7</v>
      </c>
      <c r="Q387">
        <v>9</v>
      </c>
      <c r="R387">
        <v>-2</v>
      </c>
      <c r="S387">
        <v>5</v>
      </c>
      <c r="T387">
        <v>8</v>
      </c>
      <c r="U387">
        <v>-3</v>
      </c>
      <c r="V387">
        <v>8</v>
      </c>
      <c r="W387">
        <v>7</v>
      </c>
      <c r="X387">
        <v>1</v>
      </c>
      <c r="Y387">
        <v>4</v>
      </c>
      <c r="Z387">
        <v>8</v>
      </c>
      <c r="AA387">
        <v>-4</v>
      </c>
      <c r="AB387">
        <v>6</v>
      </c>
      <c r="AC387">
        <v>7</v>
      </c>
      <c r="AD387">
        <v>-1</v>
      </c>
      <c r="AE387">
        <v>5</v>
      </c>
      <c r="AF387">
        <v>7</v>
      </c>
      <c r="AG387">
        <v>-2</v>
      </c>
      <c r="AH387">
        <v>7</v>
      </c>
      <c r="AI387">
        <v>8</v>
      </c>
      <c r="AJ387">
        <v>-1</v>
      </c>
      <c r="AK387" t="s">
        <v>3645</v>
      </c>
      <c r="AL387" t="s">
        <v>3646</v>
      </c>
      <c r="AM387" t="s">
        <v>3647</v>
      </c>
      <c r="AN387" t="s">
        <v>3648</v>
      </c>
      <c r="AO387" t="s">
        <v>3649</v>
      </c>
      <c r="AP387" t="s">
        <v>3650</v>
      </c>
      <c r="AQ387" t="s">
        <v>3651</v>
      </c>
      <c r="AR387" t="s">
        <v>3652</v>
      </c>
      <c r="AS387" t="s">
        <v>3653</v>
      </c>
    </row>
    <row r="388" spans="1:45" x14ac:dyDescent="0.45">
      <c r="A388">
        <v>387</v>
      </c>
      <c r="B388">
        <v>12731</v>
      </c>
      <c r="C388" t="s">
        <v>78</v>
      </c>
      <c r="D388" t="s">
        <v>73</v>
      </c>
      <c r="E388" t="s">
        <v>74</v>
      </c>
      <c r="F388" t="s">
        <v>77</v>
      </c>
      <c r="G388" t="s">
        <v>76</v>
      </c>
      <c r="H388">
        <v>55.697175084285476</v>
      </c>
      <c r="I388">
        <v>2</v>
      </c>
      <c r="J388">
        <v>7</v>
      </c>
      <c r="K388">
        <v>5</v>
      </c>
      <c r="L388">
        <v>2</v>
      </c>
      <c r="M388">
        <v>8</v>
      </c>
      <c r="N388">
        <v>5</v>
      </c>
      <c r="O388">
        <v>3</v>
      </c>
      <c r="P388">
        <v>9</v>
      </c>
      <c r="Q388">
        <v>5</v>
      </c>
      <c r="R388">
        <v>4</v>
      </c>
      <c r="S388">
        <v>8</v>
      </c>
      <c r="T388">
        <v>5</v>
      </c>
      <c r="U388">
        <v>3</v>
      </c>
      <c r="V388">
        <v>9</v>
      </c>
      <c r="W388">
        <v>5</v>
      </c>
      <c r="X388">
        <v>4</v>
      </c>
      <c r="Y388">
        <v>8</v>
      </c>
      <c r="Z388">
        <v>5</v>
      </c>
      <c r="AA388">
        <v>3</v>
      </c>
      <c r="AB388">
        <v>7</v>
      </c>
      <c r="AC388">
        <v>5</v>
      </c>
      <c r="AD388">
        <v>2</v>
      </c>
      <c r="AE388">
        <v>8</v>
      </c>
      <c r="AF388">
        <v>5</v>
      </c>
      <c r="AG388">
        <v>3</v>
      </c>
      <c r="AH388">
        <v>9</v>
      </c>
      <c r="AI388">
        <v>5</v>
      </c>
      <c r="AJ388">
        <v>4</v>
      </c>
      <c r="AK388" t="s">
        <v>3654</v>
      </c>
      <c r="AL388" t="s">
        <v>3655</v>
      </c>
      <c r="AM388" t="s">
        <v>3656</v>
      </c>
      <c r="AN388" t="s">
        <v>3657</v>
      </c>
      <c r="AO388" t="s">
        <v>3658</v>
      </c>
      <c r="AP388" t="s">
        <v>3659</v>
      </c>
      <c r="AQ388" t="s">
        <v>3660</v>
      </c>
      <c r="AR388" t="s">
        <v>3661</v>
      </c>
      <c r="AS388" t="s">
        <v>3662</v>
      </c>
    </row>
    <row r="389" spans="1:45" x14ac:dyDescent="0.45">
      <c r="A389">
        <v>388</v>
      </c>
      <c r="B389">
        <v>12732</v>
      </c>
      <c r="C389" t="s">
        <v>78</v>
      </c>
      <c r="D389" t="s">
        <v>188</v>
      </c>
      <c r="E389" t="s">
        <v>74</v>
      </c>
      <c r="F389" t="s">
        <v>77</v>
      </c>
      <c r="G389" t="s">
        <v>76</v>
      </c>
      <c r="H389">
        <v>15.020886174324577</v>
      </c>
      <c r="I389">
        <v>0</v>
      </c>
      <c r="J389">
        <v>6</v>
      </c>
      <c r="K389">
        <v>7</v>
      </c>
      <c r="L389">
        <v>-1</v>
      </c>
      <c r="M389">
        <v>7</v>
      </c>
      <c r="N389">
        <v>7</v>
      </c>
      <c r="O389">
        <v>0</v>
      </c>
      <c r="P389">
        <v>8</v>
      </c>
      <c r="Q389">
        <v>5</v>
      </c>
      <c r="R389">
        <v>3</v>
      </c>
      <c r="S389">
        <v>9</v>
      </c>
      <c r="T389">
        <v>8</v>
      </c>
      <c r="U389">
        <v>1</v>
      </c>
      <c r="V389">
        <v>7</v>
      </c>
      <c r="W389">
        <v>6</v>
      </c>
      <c r="X389">
        <v>1</v>
      </c>
      <c r="Y389">
        <v>8</v>
      </c>
      <c r="Z389">
        <v>8</v>
      </c>
      <c r="AA389">
        <v>0</v>
      </c>
      <c r="AB389">
        <v>6</v>
      </c>
      <c r="AC389">
        <v>5</v>
      </c>
      <c r="AD389">
        <v>1</v>
      </c>
      <c r="AE389">
        <v>5</v>
      </c>
      <c r="AF389">
        <v>5</v>
      </c>
      <c r="AG389">
        <v>0</v>
      </c>
      <c r="AH389">
        <v>7</v>
      </c>
      <c r="AI389">
        <v>8</v>
      </c>
      <c r="AJ389">
        <v>-1</v>
      </c>
      <c r="AK389" t="s">
        <v>3663</v>
      </c>
      <c r="AL389" t="s">
        <v>3664</v>
      </c>
      <c r="AM389" t="s">
        <v>3665</v>
      </c>
      <c r="AN389" t="s">
        <v>3666</v>
      </c>
      <c r="AO389" t="s">
        <v>3667</v>
      </c>
      <c r="AP389" t="s">
        <v>3668</v>
      </c>
      <c r="AQ389" t="s">
        <v>3669</v>
      </c>
      <c r="AR389" t="s">
        <v>3670</v>
      </c>
      <c r="AS389" t="s">
        <v>3671</v>
      </c>
    </row>
    <row r="390" spans="1:45" x14ac:dyDescent="0.45">
      <c r="A390">
        <v>389</v>
      </c>
      <c r="B390">
        <v>12733</v>
      </c>
      <c r="C390" t="s">
        <v>78</v>
      </c>
      <c r="D390" t="s">
        <v>81</v>
      </c>
      <c r="E390" t="s">
        <v>74</v>
      </c>
      <c r="F390" t="s">
        <v>77</v>
      </c>
      <c r="G390" t="s">
        <v>76</v>
      </c>
      <c r="H390">
        <v>21.98653578409694</v>
      </c>
      <c r="I390">
        <v>0</v>
      </c>
      <c r="J390">
        <v>8</v>
      </c>
      <c r="K390">
        <v>6</v>
      </c>
      <c r="L390">
        <v>2</v>
      </c>
      <c r="M390">
        <v>7</v>
      </c>
      <c r="N390">
        <v>8</v>
      </c>
      <c r="O390">
        <v>-1</v>
      </c>
      <c r="P390">
        <v>6</v>
      </c>
      <c r="Q390">
        <v>7</v>
      </c>
      <c r="R390">
        <v>-1</v>
      </c>
      <c r="S390">
        <v>7</v>
      </c>
      <c r="T390">
        <v>8</v>
      </c>
      <c r="U390">
        <v>-1</v>
      </c>
      <c r="V390">
        <v>8</v>
      </c>
      <c r="W390">
        <v>6</v>
      </c>
      <c r="X390">
        <v>2</v>
      </c>
      <c r="Y390">
        <v>6</v>
      </c>
      <c r="Z390">
        <v>8</v>
      </c>
      <c r="AA390">
        <v>-2</v>
      </c>
      <c r="AB390">
        <v>7</v>
      </c>
      <c r="AC390">
        <v>5</v>
      </c>
      <c r="AD390">
        <v>2</v>
      </c>
      <c r="AE390">
        <v>5</v>
      </c>
      <c r="AF390">
        <v>5</v>
      </c>
      <c r="AG390">
        <v>0</v>
      </c>
      <c r="AH390">
        <v>6</v>
      </c>
      <c r="AI390">
        <v>8</v>
      </c>
      <c r="AJ390">
        <v>-2</v>
      </c>
      <c r="AK390" t="s">
        <v>3672</v>
      </c>
      <c r="AL390" t="s">
        <v>3673</v>
      </c>
      <c r="AM390" t="s">
        <v>3674</v>
      </c>
      <c r="AN390" t="s">
        <v>3675</v>
      </c>
      <c r="AO390" t="s">
        <v>3676</v>
      </c>
      <c r="AP390" t="s">
        <v>3677</v>
      </c>
      <c r="AQ390" t="s">
        <v>3678</v>
      </c>
      <c r="AR390" t="s">
        <v>3679</v>
      </c>
      <c r="AS390" t="s">
        <v>3680</v>
      </c>
    </row>
    <row r="391" spans="1:45" x14ac:dyDescent="0.45">
      <c r="A391">
        <v>390</v>
      </c>
      <c r="B391">
        <v>12734</v>
      </c>
      <c r="C391" t="s">
        <v>72</v>
      </c>
      <c r="D391" t="s">
        <v>79</v>
      </c>
      <c r="E391" t="s">
        <v>74</v>
      </c>
      <c r="F391" t="s">
        <v>75</v>
      </c>
      <c r="G391" t="s">
        <v>76</v>
      </c>
      <c r="H391">
        <v>35.315906845948973</v>
      </c>
      <c r="I391">
        <v>3</v>
      </c>
      <c r="J391">
        <v>7</v>
      </c>
      <c r="K391">
        <v>10</v>
      </c>
      <c r="L391">
        <v>-3</v>
      </c>
      <c r="M391">
        <v>6</v>
      </c>
      <c r="N391">
        <v>10</v>
      </c>
      <c r="O391">
        <v>-4</v>
      </c>
      <c r="P391">
        <v>4</v>
      </c>
      <c r="Q391">
        <v>5</v>
      </c>
      <c r="R391">
        <v>-1</v>
      </c>
      <c r="S391">
        <v>8</v>
      </c>
      <c r="T391">
        <v>9</v>
      </c>
      <c r="U391">
        <v>-1</v>
      </c>
      <c r="V391">
        <v>7</v>
      </c>
      <c r="W391">
        <v>7</v>
      </c>
      <c r="X391">
        <v>0</v>
      </c>
      <c r="Y391">
        <v>6</v>
      </c>
      <c r="Z391">
        <v>8</v>
      </c>
      <c r="AA391">
        <v>-2</v>
      </c>
      <c r="AB391">
        <v>7</v>
      </c>
      <c r="AC391">
        <v>5</v>
      </c>
      <c r="AD391">
        <v>2</v>
      </c>
      <c r="AE391">
        <v>6</v>
      </c>
      <c r="AF391">
        <v>5</v>
      </c>
      <c r="AG391">
        <v>1</v>
      </c>
      <c r="AH391">
        <v>6</v>
      </c>
      <c r="AI391">
        <v>8</v>
      </c>
      <c r="AJ391">
        <v>-2</v>
      </c>
      <c r="AK391" t="s">
        <v>3681</v>
      </c>
      <c r="AL391" t="s">
        <v>3682</v>
      </c>
      <c r="AM391" t="s">
        <v>3683</v>
      </c>
      <c r="AN391" t="s">
        <v>3684</v>
      </c>
      <c r="AO391" t="s">
        <v>3685</v>
      </c>
      <c r="AP391" t="s">
        <v>3686</v>
      </c>
      <c r="AQ391" t="s">
        <v>3687</v>
      </c>
      <c r="AR391" t="s">
        <v>3688</v>
      </c>
      <c r="AS391" t="s">
        <v>3689</v>
      </c>
    </row>
    <row r="392" spans="1:45" x14ac:dyDescent="0.45">
      <c r="A392">
        <v>391</v>
      </c>
      <c r="B392">
        <v>12735</v>
      </c>
      <c r="C392" t="s">
        <v>78</v>
      </c>
      <c r="D392" t="s">
        <v>81</v>
      </c>
      <c r="E392" t="s">
        <v>74</v>
      </c>
      <c r="F392" t="s">
        <v>77</v>
      </c>
      <c r="G392" t="s">
        <v>76</v>
      </c>
      <c r="H392">
        <v>13.913131000062391</v>
      </c>
      <c r="I392">
        <v>0</v>
      </c>
      <c r="J392">
        <v>7</v>
      </c>
      <c r="K392">
        <v>4</v>
      </c>
      <c r="L392">
        <v>3</v>
      </c>
      <c r="M392">
        <v>6</v>
      </c>
      <c r="N392">
        <v>5</v>
      </c>
      <c r="O392">
        <v>1</v>
      </c>
      <c r="P392">
        <v>8</v>
      </c>
      <c r="Q392">
        <v>7</v>
      </c>
      <c r="R392">
        <v>1</v>
      </c>
      <c r="S392">
        <v>7</v>
      </c>
      <c r="T392">
        <v>7</v>
      </c>
      <c r="U392">
        <v>0</v>
      </c>
      <c r="V392">
        <v>6</v>
      </c>
      <c r="W392">
        <v>5</v>
      </c>
      <c r="X392">
        <v>1</v>
      </c>
      <c r="Y392">
        <v>5</v>
      </c>
      <c r="Z392">
        <v>7</v>
      </c>
      <c r="AA392">
        <v>-2</v>
      </c>
      <c r="AB392">
        <v>6</v>
      </c>
      <c r="AC392">
        <v>5</v>
      </c>
      <c r="AD392">
        <v>1</v>
      </c>
      <c r="AE392">
        <v>5</v>
      </c>
      <c r="AF392">
        <v>5</v>
      </c>
      <c r="AG392">
        <v>0</v>
      </c>
      <c r="AH392">
        <v>7</v>
      </c>
      <c r="AI392">
        <v>7</v>
      </c>
      <c r="AJ392">
        <v>0</v>
      </c>
      <c r="AK392" t="s">
        <v>3690</v>
      </c>
      <c r="AL392" t="s">
        <v>3691</v>
      </c>
      <c r="AM392" t="s">
        <v>3692</v>
      </c>
      <c r="AN392" t="s">
        <v>3693</v>
      </c>
      <c r="AO392" t="s">
        <v>3694</v>
      </c>
      <c r="AP392" t="s">
        <v>3695</v>
      </c>
      <c r="AQ392" t="s">
        <v>3696</v>
      </c>
      <c r="AR392" t="s">
        <v>3697</v>
      </c>
      <c r="AS392" t="s">
        <v>3698</v>
      </c>
    </row>
    <row r="393" spans="1:45" x14ac:dyDescent="0.45">
      <c r="A393">
        <v>392</v>
      </c>
      <c r="B393">
        <v>12736</v>
      </c>
      <c r="C393" t="s">
        <v>72</v>
      </c>
      <c r="D393" t="s">
        <v>192</v>
      </c>
      <c r="E393" t="s">
        <v>74</v>
      </c>
      <c r="F393" t="s">
        <v>75</v>
      </c>
      <c r="G393" t="s">
        <v>76</v>
      </c>
      <c r="H393">
        <v>134.44292884597559</v>
      </c>
      <c r="I393">
        <v>4</v>
      </c>
      <c r="J393">
        <v>8</v>
      </c>
      <c r="K393">
        <v>2</v>
      </c>
      <c r="L393">
        <v>6</v>
      </c>
      <c r="M393">
        <v>9</v>
      </c>
      <c r="N393">
        <v>3</v>
      </c>
      <c r="O393">
        <v>6</v>
      </c>
      <c r="P393">
        <v>7</v>
      </c>
      <c r="Q393">
        <v>3</v>
      </c>
      <c r="R393">
        <v>4</v>
      </c>
      <c r="S393">
        <v>8</v>
      </c>
      <c r="T393">
        <v>6</v>
      </c>
      <c r="U393">
        <v>2</v>
      </c>
      <c r="V393">
        <v>9</v>
      </c>
      <c r="W393">
        <v>5</v>
      </c>
      <c r="X393">
        <v>4</v>
      </c>
      <c r="Y393">
        <v>7</v>
      </c>
      <c r="Z393">
        <v>5</v>
      </c>
      <c r="AA393">
        <v>2</v>
      </c>
      <c r="AB393">
        <v>6</v>
      </c>
      <c r="AC393">
        <v>5</v>
      </c>
      <c r="AD393">
        <v>1</v>
      </c>
      <c r="AE393">
        <v>7</v>
      </c>
      <c r="AF393">
        <v>5</v>
      </c>
      <c r="AG393">
        <v>2</v>
      </c>
      <c r="AH393">
        <v>8</v>
      </c>
      <c r="AI393">
        <v>5</v>
      </c>
      <c r="AJ393">
        <v>3</v>
      </c>
      <c r="AK393" t="s">
        <v>3699</v>
      </c>
      <c r="AL393" t="s">
        <v>3700</v>
      </c>
      <c r="AM393" t="s">
        <v>3701</v>
      </c>
      <c r="AN393" t="s">
        <v>3702</v>
      </c>
      <c r="AO393" t="s">
        <v>3703</v>
      </c>
      <c r="AP393" t="s">
        <v>3704</v>
      </c>
      <c r="AQ393" t="s">
        <v>3705</v>
      </c>
      <c r="AR393" t="s">
        <v>3706</v>
      </c>
      <c r="AS393" t="s">
        <v>3707</v>
      </c>
    </row>
    <row r="394" spans="1:45" x14ac:dyDescent="0.45">
      <c r="A394">
        <v>393</v>
      </c>
      <c r="B394">
        <v>12737</v>
      </c>
      <c r="C394" t="s">
        <v>72</v>
      </c>
      <c r="D394" t="s">
        <v>73</v>
      </c>
      <c r="E394" t="s">
        <v>74</v>
      </c>
      <c r="F394" t="s">
        <v>77</v>
      </c>
      <c r="G394" t="s">
        <v>76</v>
      </c>
      <c r="H394">
        <v>24.670203317883299</v>
      </c>
      <c r="I394">
        <v>2</v>
      </c>
      <c r="J394">
        <v>8</v>
      </c>
      <c r="K394">
        <v>7</v>
      </c>
      <c r="L394">
        <v>1</v>
      </c>
      <c r="M394">
        <v>8</v>
      </c>
      <c r="N394">
        <v>7</v>
      </c>
      <c r="O394">
        <v>1</v>
      </c>
      <c r="P394">
        <v>8</v>
      </c>
      <c r="Q394">
        <v>5</v>
      </c>
      <c r="R394">
        <v>3</v>
      </c>
      <c r="S394">
        <v>7</v>
      </c>
      <c r="T394">
        <v>8</v>
      </c>
      <c r="U394">
        <v>-1</v>
      </c>
      <c r="V394">
        <v>7</v>
      </c>
      <c r="W394">
        <v>7</v>
      </c>
      <c r="X394">
        <v>0</v>
      </c>
      <c r="Y394">
        <v>6</v>
      </c>
      <c r="Z394">
        <v>7</v>
      </c>
      <c r="AA394">
        <v>-1</v>
      </c>
      <c r="AB394">
        <v>6</v>
      </c>
      <c r="AC394">
        <v>5</v>
      </c>
      <c r="AD394">
        <v>1</v>
      </c>
      <c r="AE394">
        <v>5</v>
      </c>
      <c r="AF394">
        <v>6</v>
      </c>
      <c r="AG394">
        <v>-1</v>
      </c>
      <c r="AH394">
        <v>7</v>
      </c>
      <c r="AI394">
        <v>7</v>
      </c>
      <c r="AJ394">
        <v>0</v>
      </c>
      <c r="AK394" t="s">
        <v>3708</v>
      </c>
      <c r="AL394" t="s">
        <v>3709</v>
      </c>
      <c r="AM394" t="s">
        <v>3710</v>
      </c>
      <c r="AN394" t="s">
        <v>3711</v>
      </c>
      <c r="AO394" t="s">
        <v>3712</v>
      </c>
      <c r="AP394" t="s">
        <v>3713</v>
      </c>
      <c r="AQ394" t="s">
        <v>3714</v>
      </c>
      <c r="AR394" t="s">
        <v>3715</v>
      </c>
      <c r="AS394" t="s">
        <v>3716</v>
      </c>
    </row>
    <row r="395" spans="1:45" x14ac:dyDescent="0.45">
      <c r="A395">
        <v>394</v>
      </c>
      <c r="B395">
        <v>12738</v>
      </c>
      <c r="C395" t="s">
        <v>78</v>
      </c>
      <c r="D395" t="s">
        <v>81</v>
      </c>
      <c r="E395" t="s">
        <v>74</v>
      </c>
      <c r="F395" t="s">
        <v>77</v>
      </c>
      <c r="G395" t="s">
        <v>76</v>
      </c>
      <c r="H395">
        <v>12</v>
      </c>
      <c r="I395">
        <v>1</v>
      </c>
      <c r="J395">
        <v>7</v>
      </c>
      <c r="K395">
        <v>9</v>
      </c>
      <c r="L395">
        <v>-2</v>
      </c>
      <c r="M395">
        <v>8</v>
      </c>
      <c r="N395">
        <v>9</v>
      </c>
      <c r="O395">
        <v>-1</v>
      </c>
      <c r="P395">
        <v>9</v>
      </c>
      <c r="Q395">
        <v>9</v>
      </c>
      <c r="R395">
        <v>0</v>
      </c>
      <c r="S395">
        <v>7</v>
      </c>
      <c r="T395">
        <v>7</v>
      </c>
      <c r="U395">
        <v>0</v>
      </c>
      <c r="V395">
        <v>8</v>
      </c>
      <c r="W395">
        <v>8</v>
      </c>
      <c r="X395">
        <v>0</v>
      </c>
      <c r="Y395">
        <v>6</v>
      </c>
      <c r="Z395">
        <v>6</v>
      </c>
      <c r="AA395">
        <v>0</v>
      </c>
      <c r="AB395">
        <v>7</v>
      </c>
      <c r="AC395">
        <v>8</v>
      </c>
      <c r="AD395">
        <v>-1</v>
      </c>
      <c r="AE395">
        <v>6</v>
      </c>
      <c r="AF395">
        <v>10</v>
      </c>
      <c r="AG395">
        <v>-4</v>
      </c>
      <c r="AH395">
        <v>8</v>
      </c>
      <c r="AI395">
        <v>10</v>
      </c>
      <c r="AJ395">
        <v>-2</v>
      </c>
      <c r="AK395" t="s">
        <v>3717</v>
      </c>
      <c r="AL395" t="s">
        <v>3718</v>
      </c>
      <c r="AM395" t="s">
        <v>3719</v>
      </c>
      <c r="AN395" t="s">
        <v>3720</v>
      </c>
      <c r="AO395" t="s">
        <v>3721</v>
      </c>
      <c r="AP395" t="s">
        <v>3722</v>
      </c>
      <c r="AQ395" t="s">
        <v>3723</v>
      </c>
      <c r="AR395" t="s">
        <v>3724</v>
      </c>
      <c r="AS395" t="s">
        <v>3725</v>
      </c>
    </row>
    <row r="396" spans="1:45" x14ac:dyDescent="0.45">
      <c r="A396">
        <v>395</v>
      </c>
      <c r="B396">
        <v>12739</v>
      </c>
      <c r="C396" t="s">
        <v>78</v>
      </c>
      <c r="D396" t="s">
        <v>190</v>
      </c>
      <c r="E396" t="s">
        <v>74</v>
      </c>
      <c r="F396" t="s">
        <v>77</v>
      </c>
      <c r="G396" t="s">
        <v>76</v>
      </c>
      <c r="H396">
        <v>36.801474328622469</v>
      </c>
      <c r="I396">
        <v>1</v>
      </c>
      <c r="J396">
        <v>7</v>
      </c>
      <c r="K396">
        <v>7</v>
      </c>
      <c r="L396">
        <v>0</v>
      </c>
      <c r="M396">
        <v>8</v>
      </c>
      <c r="N396">
        <v>7</v>
      </c>
      <c r="O396">
        <v>1</v>
      </c>
      <c r="P396">
        <v>6</v>
      </c>
      <c r="Q396">
        <v>5</v>
      </c>
      <c r="R396">
        <v>1</v>
      </c>
      <c r="S396">
        <v>8</v>
      </c>
      <c r="T396">
        <v>7</v>
      </c>
      <c r="U396">
        <v>1</v>
      </c>
      <c r="V396">
        <v>7</v>
      </c>
      <c r="W396">
        <v>5</v>
      </c>
      <c r="X396">
        <v>2</v>
      </c>
      <c r="Y396">
        <v>6</v>
      </c>
      <c r="Z396">
        <v>6</v>
      </c>
      <c r="AA396">
        <v>0</v>
      </c>
      <c r="AB396">
        <v>5</v>
      </c>
      <c r="AC396">
        <v>5</v>
      </c>
      <c r="AD396">
        <v>0</v>
      </c>
      <c r="AE396">
        <v>4</v>
      </c>
      <c r="AF396">
        <v>6</v>
      </c>
      <c r="AG396">
        <v>-2</v>
      </c>
      <c r="AH396">
        <v>6</v>
      </c>
      <c r="AI396">
        <v>6</v>
      </c>
      <c r="AJ396">
        <v>0</v>
      </c>
      <c r="AK396" t="s">
        <v>3726</v>
      </c>
      <c r="AL396" t="s">
        <v>3727</v>
      </c>
      <c r="AM396" t="s">
        <v>3728</v>
      </c>
      <c r="AN396" t="s">
        <v>3729</v>
      </c>
      <c r="AO396" t="s">
        <v>3730</v>
      </c>
      <c r="AP396" t="s">
        <v>3731</v>
      </c>
      <c r="AQ396" t="s">
        <v>3732</v>
      </c>
      <c r="AR396" t="s">
        <v>3733</v>
      </c>
      <c r="AS396" t="s">
        <v>3734</v>
      </c>
    </row>
    <row r="397" spans="1:45" x14ac:dyDescent="0.45">
      <c r="A397">
        <v>396</v>
      </c>
      <c r="B397">
        <v>12740</v>
      </c>
      <c r="C397" t="s">
        <v>72</v>
      </c>
      <c r="D397" t="s">
        <v>73</v>
      </c>
      <c r="E397" t="s">
        <v>74</v>
      </c>
      <c r="F397" t="s">
        <v>189</v>
      </c>
      <c r="G397" t="s">
        <v>76</v>
      </c>
      <c r="H397">
        <v>28.414981546846931</v>
      </c>
      <c r="I397">
        <v>1</v>
      </c>
      <c r="J397">
        <v>8</v>
      </c>
      <c r="K397">
        <v>2</v>
      </c>
      <c r="L397">
        <v>6</v>
      </c>
      <c r="M397">
        <v>9</v>
      </c>
      <c r="N397">
        <v>2</v>
      </c>
      <c r="O397">
        <v>7</v>
      </c>
      <c r="P397">
        <v>7</v>
      </c>
      <c r="Q397">
        <v>4</v>
      </c>
      <c r="R397">
        <v>3</v>
      </c>
      <c r="S397">
        <v>8</v>
      </c>
      <c r="T397">
        <v>5</v>
      </c>
      <c r="U397">
        <v>3</v>
      </c>
      <c r="V397">
        <v>9</v>
      </c>
      <c r="W397">
        <v>5</v>
      </c>
      <c r="X397">
        <v>4</v>
      </c>
      <c r="Y397">
        <v>8</v>
      </c>
      <c r="Z397">
        <v>3</v>
      </c>
      <c r="AA397">
        <v>5</v>
      </c>
      <c r="AB397">
        <v>7</v>
      </c>
      <c r="AC397">
        <v>5</v>
      </c>
      <c r="AD397">
        <v>2</v>
      </c>
      <c r="AE397">
        <v>9</v>
      </c>
      <c r="AF397">
        <v>5</v>
      </c>
      <c r="AG397">
        <v>4</v>
      </c>
      <c r="AH397">
        <v>8</v>
      </c>
      <c r="AI397">
        <v>5</v>
      </c>
      <c r="AJ397">
        <v>3</v>
      </c>
      <c r="AK397" t="s">
        <v>3735</v>
      </c>
      <c r="AL397" t="s">
        <v>3736</v>
      </c>
      <c r="AM397" t="s">
        <v>3737</v>
      </c>
      <c r="AN397" t="s">
        <v>3738</v>
      </c>
      <c r="AO397" t="s">
        <v>3739</v>
      </c>
      <c r="AP397" t="s">
        <v>3740</v>
      </c>
      <c r="AQ397" t="s">
        <v>3741</v>
      </c>
      <c r="AR397" t="s">
        <v>3742</v>
      </c>
      <c r="AS397" t="s">
        <v>3743</v>
      </c>
    </row>
    <row r="398" spans="1:45" x14ac:dyDescent="0.45">
      <c r="A398">
        <v>397</v>
      </c>
      <c r="B398">
        <v>12741</v>
      </c>
      <c r="C398" t="s">
        <v>72</v>
      </c>
      <c r="D398" t="s">
        <v>81</v>
      </c>
      <c r="E398" t="s">
        <v>74</v>
      </c>
      <c r="F398" t="s">
        <v>77</v>
      </c>
      <c r="G398" t="s">
        <v>76</v>
      </c>
      <c r="H398">
        <v>25.252540362353248</v>
      </c>
      <c r="I398">
        <v>0</v>
      </c>
      <c r="J398">
        <v>8</v>
      </c>
      <c r="K398">
        <v>8</v>
      </c>
      <c r="L398">
        <v>0</v>
      </c>
      <c r="M398">
        <v>7</v>
      </c>
      <c r="N398">
        <v>8</v>
      </c>
      <c r="O398">
        <v>-1</v>
      </c>
      <c r="P398">
        <v>6</v>
      </c>
      <c r="Q398">
        <v>7</v>
      </c>
      <c r="R398">
        <v>-1</v>
      </c>
      <c r="S398">
        <v>7</v>
      </c>
      <c r="T398">
        <v>7</v>
      </c>
      <c r="U398">
        <v>0</v>
      </c>
      <c r="V398">
        <v>8</v>
      </c>
      <c r="W398">
        <v>7</v>
      </c>
      <c r="X398">
        <v>1</v>
      </c>
      <c r="Y398">
        <v>5</v>
      </c>
      <c r="Z398">
        <v>8</v>
      </c>
      <c r="AA398">
        <v>-3</v>
      </c>
      <c r="AB398">
        <v>7</v>
      </c>
      <c r="AC398">
        <v>7</v>
      </c>
      <c r="AD398">
        <v>0</v>
      </c>
      <c r="AE398">
        <v>5</v>
      </c>
      <c r="AF398">
        <v>8</v>
      </c>
      <c r="AG398">
        <v>-3</v>
      </c>
      <c r="AH398">
        <v>7</v>
      </c>
      <c r="AI398">
        <v>8</v>
      </c>
      <c r="AJ398">
        <v>-1</v>
      </c>
      <c r="AK398" t="s">
        <v>3744</v>
      </c>
      <c r="AL398" t="s">
        <v>3745</v>
      </c>
      <c r="AM398" t="s">
        <v>3746</v>
      </c>
      <c r="AN398" t="s">
        <v>3747</v>
      </c>
      <c r="AO398" t="s">
        <v>3748</v>
      </c>
      <c r="AP398" t="s">
        <v>3749</v>
      </c>
      <c r="AQ398" t="s">
        <v>3750</v>
      </c>
      <c r="AR398" t="s">
        <v>3751</v>
      </c>
      <c r="AS398" t="s">
        <v>3752</v>
      </c>
    </row>
    <row r="399" spans="1:45" x14ac:dyDescent="0.45">
      <c r="A399">
        <v>398</v>
      </c>
      <c r="B399">
        <v>12742</v>
      </c>
      <c r="C399" t="s">
        <v>72</v>
      </c>
      <c r="D399" t="s">
        <v>188</v>
      </c>
      <c r="E399" t="s">
        <v>74</v>
      </c>
      <c r="F399" t="s">
        <v>77</v>
      </c>
      <c r="G399" t="s">
        <v>76</v>
      </c>
      <c r="H399">
        <v>12</v>
      </c>
      <c r="I399">
        <v>0</v>
      </c>
      <c r="J399">
        <v>7</v>
      </c>
      <c r="K399">
        <v>9</v>
      </c>
      <c r="L399">
        <v>-2</v>
      </c>
      <c r="M399">
        <v>8</v>
      </c>
      <c r="N399">
        <v>9</v>
      </c>
      <c r="O399">
        <v>-1</v>
      </c>
      <c r="P399">
        <v>6</v>
      </c>
      <c r="Q399">
        <v>8</v>
      </c>
      <c r="R399">
        <v>-2</v>
      </c>
      <c r="S399">
        <v>8</v>
      </c>
      <c r="T399">
        <v>9</v>
      </c>
      <c r="U399">
        <v>-1</v>
      </c>
      <c r="V399">
        <v>9</v>
      </c>
      <c r="W399">
        <v>7</v>
      </c>
      <c r="X399">
        <v>2</v>
      </c>
      <c r="Y399">
        <v>7</v>
      </c>
      <c r="Z399">
        <v>9</v>
      </c>
      <c r="AA399">
        <v>-2</v>
      </c>
      <c r="AB399">
        <v>6</v>
      </c>
      <c r="AC399">
        <v>8</v>
      </c>
      <c r="AD399">
        <v>-2</v>
      </c>
      <c r="AE399">
        <v>5</v>
      </c>
      <c r="AF399">
        <v>8</v>
      </c>
      <c r="AG399">
        <v>-3</v>
      </c>
      <c r="AH399">
        <v>3</v>
      </c>
      <c r="AI399">
        <v>8</v>
      </c>
      <c r="AJ399">
        <v>-5</v>
      </c>
      <c r="AK399" t="s">
        <v>3753</v>
      </c>
      <c r="AL399" t="s">
        <v>3754</v>
      </c>
      <c r="AM399" t="s">
        <v>3755</v>
      </c>
      <c r="AN399" t="s">
        <v>3756</v>
      </c>
      <c r="AO399" t="s">
        <v>3757</v>
      </c>
      <c r="AP399" t="s">
        <v>3758</v>
      </c>
      <c r="AQ399" t="s">
        <v>3759</v>
      </c>
      <c r="AR399" t="s">
        <v>3760</v>
      </c>
      <c r="AS399" t="s">
        <v>3761</v>
      </c>
    </row>
    <row r="400" spans="1:45" x14ac:dyDescent="0.45">
      <c r="A400">
        <v>399</v>
      </c>
      <c r="B400">
        <v>12743</v>
      </c>
      <c r="C400" t="s">
        <v>72</v>
      </c>
      <c r="D400" t="s">
        <v>81</v>
      </c>
      <c r="E400" t="s">
        <v>74</v>
      </c>
      <c r="F400" t="s">
        <v>75</v>
      </c>
      <c r="G400" t="s">
        <v>76</v>
      </c>
      <c r="H400">
        <v>24.811244643832339</v>
      </c>
      <c r="I400">
        <v>0</v>
      </c>
      <c r="J400">
        <v>5</v>
      </c>
      <c r="K400">
        <v>7</v>
      </c>
      <c r="L400">
        <v>-2</v>
      </c>
      <c r="M400">
        <v>6</v>
      </c>
      <c r="N400">
        <v>7</v>
      </c>
      <c r="O400">
        <v>-1</v>
      </c>
      <c r="P400">
        <v>7</v>
      </c>
      <c r="Q400">
        <v>5</v>
      </c>
      <c r="R400">
        <v>2</v>
      </c>
      <c r="T400">
        <v>8</v>
      </c>
      <c r="W400">
        <v>7</v>
      </c>
      <c r="Z400">
        <v>8</v>
      </c>
      <c r="AC400">
        <v>6</v>
      </c>
      <c r="AF400">
        <v>6</v>
      </c>
      <c r="AI400">
        <v>8</v>
      </c>
      <c r="AK400" t="s">
        <v>216</v>
      </c>
      <c r="AL400" t="s">
        <v>216</v>
      </c>
      <c r="AM400" t="s">
        <v>216</v>
      </c>
      <c r="AN400" t="s">
        <v>216</v>
      </c>
      <c r="AO400" t="s">
        <v>216</v>
      </c>
      <c r="AP400" t="s">
        <v>216</v>
      </c>
      <c r="AQ400" t="s">
        <v>216</v>
      </c>
      <c r="AR400" t="s">
        <v>216</v>
      </c>
      <c r="AS400" t="s">
        <v>216</v>
      </c>
    </row>
    <row r="401" spans="1:45" x14ac:dyDescent="0.45">
      <c r="A401">
        <v>400</v>
      </c>
      <c r="B401">
        <v>12744</v>
      </c>
      <c r="C401" t="s">
        <v>72</v>
      </c>
      <c r="D401" t="s">
        <v>79</v>
      </c>
      <c r="E401" t="s">
        <v>74</v>
      </c>
      <c r="F401" t="s">
        <v>77</v>
      </c>
      <c r="G401" t="s">
        <v>76</v>
      </c>
      <c r="H401">
        <v>37.311246644564896</v>
      </c>
      <c r="I401">
        <v>3</v>
      </c>
      <c r="J401">
        <v>8</v>
      </c>
      <c r="K401">
        <v>8</v>
      </c>
      <c r="L401">
        <v>0</v>
      </c>
      <c r="M401">
        <v>9</v>
      </c>
      <c r="N401">
        <v>9</v>
      </c>
      <c r="O401">
        <v>0</v>
      </c>
      <c r="P401">
        <v>7</v>
      </c>
      <c r="Q401">
        <v>8</v>
      </c>
      <c r="R401">
        <v>-1</v>
      </c>
      <c r="S401">
        <v>8</v>
      </c>
      <c r="T401">
        <v>8</v>
      </c>
      <c r="U401">
        <v>0</v>
      </c>
      <c r="V401">
        <v>7</v>
      </c>
      <c r="W401">
        <v>7</v>
      </c>
      <c r="X401">
        <v>0</v>
      </c>
      <c r="Y401">
        <v>8</v>
      </c>
      <c r="Z401">
        <v>7</v>
      </c>
      <c r="AA401">
        <v>1</v>
      </c>
      <c r="AB401">
        <v>7</v>
      </c>
      <c r="AC401">
        <v>7</v>
      </c>
      <c r="AD401">
        <v>0</v>
      </c>
      <c r="AE401">
        <v>6</v>
      </c>
      <c r="AF401">
        <v>7</v>
      </c>
      <c r="AG401">
        <v>-1</v>
      </c>
      <c r="AH401">
        <v>8</v>
      </c>
      <c r="AI401">
        <v>8</v>
      </c>
      <c r="AJ401">
        <v>0</v>
      </c>
      <c r="AK401" t="s">
        <v>3762</v>
      </c>
      <c r="AL401" t="s">
        <v>3763</v>
      </c>
      <c r="AM401" t="s">
        <v>3764</v>
      </c>
      <c r="AN401" t="s">
        <v>3765</v>
      </c>
      <c r="AO401" t="s">
        <v>3766</v>
      </c>
      <c r="AP401" t="s">
        <v>3767</v>
      </c>
      <c r="AQ401" t="s">
        <v>3768</v>
      </c>
      <c r="AR401" t="s">
        <v>3769</v>
      </c>
      <c r="AS401" t="s">
        <v>3770</v>
      </c>
    </row>
    <row r="402" spans="1:45" x14ac:dyDescent="0.45">
      <c r="A402">
        <v>401</v>
      </c>
      <c r="B402">
        <v>12745</v>
      </c>
      <c r="C402" t="s">
        <v>72</v>
      </c>
      <c r="D402" t="s">
        <v>81</v>
      </c>
      <c r="E402" t="s">
        <v>80</v>
      </c>
      <c r="F402" t="s">
        <v>77</v>
      </c>
      <c r="G402" t="s">
        <v>76</v>
      </c>
      <c r="H402">
        <v>13.230576735736584</v>
      </c>
      <c r="I402">
        <v>0</v>
      </c>
      <c r="J402">
        <v>8</v>
      </c>
      <c r="K402">
        <v>4</v>
      </c>
      <c r="L402">
        <v>4</v>
      </c>
      <c r="M402">
        <v>9</v>
      </c>
      <c r="N402">
        <v>4</v>
      </c>
      <c r="O402">
        <v>5</v>
      </c>
      <c r="P402">
        <v>8</v>
      </c>
      <c r="Q402">
        <v>3</v>
      </c>
      <c r="R402">
        <v>5</v>
      </c>
      <c r="S402">
        <v>7</v>
      </c>
      <c r="T402">
        <v>5</v>
      </c>
      <c r="U402">
        <v>2</v>
      </c>
      <c r="V402">
        <v>8</v>
      </c>
      <c r="W402">
        <v>5</v>
      </c>
      <c r="X402">
        <v>3</v>
      </c>
      <c r="Y402">
        <v>6</v>
      </c>
      <c r="Z402">
        <v>2</v>
      </c>
      <c r="AA402">
        <v>4</v>
      </c>
      <c r="AB402">
        <v>7</v>
      </c>
      <c r="AC402">
        <v>2</v>
      </c>
      <c r="AD402">
        <v>5</v>
      </c>
      <c r="AE402">
        <v>6</v>
      </c>
      <c r="AF402">
        <v>5</v>
      </c>
      <c r="AG402">
        <v>1</v>
      </c>
      <c r="AH402">
        <v>7</v>
      </c>
      <c r="AI402">
        <v>2</v>
      </c>
      <c r="AJ402">
        <v>5</v>
      </c>
      <c r="AK402" t="s">
        <v>3771</v>
      </c>
      <c r="AL402" t="s">
        <v>3772</v>
      </c>
      <c r="AM402" t="s">
        <v>3773</v>
      </c>
      <c r="AN402" t="s">
        <v>3774</v>
      </c>
      <c r="AO402" t="s">
        <v>3775</v>
      </c>
      <c r="AP402" t="s">
        <v>3776</v>
      </c>
      <c r="AQ402" t="s">
        <v>3777</v>
      </c>
      <c r="AR402" t="s">
        <v>3778</v>
      </c>
      <c r="AS402" t="s">
        <v>3779</v>
      </c>
    </row>
    <row r="403" spans="1:45" x14ac:dyDescent="0.45">
      <c r="A403">
        <v>402</v>
      </c>
      <c r="B403">
        <v>12746</v>
      </c>
      <c r="C403" t="s">
        <v>78</v>
      </c>
      <c r="D403" t="s">
        <v>192</v>
      </c>
      <c r="E403" t="s">
        <v>74</v>
      </c>
      <c r="F403" t="s">
        <v>75</v>
      </c>
      <c r="G403" t="s">
        <v>76</v>
      </c>
      <c r="H403">
        <v>223.22624100216419</v>
      </c>
      <c r="I403">
        <v>4</v>
      </c>
      <c r="J403">
        <v>3</v>
      </c>
      <c r="K403">
        <v>7</v>
      </c>
      <c r="L403">
        <v>-4</v>
      </c>
      <c r="M403">
        <v>4</v>
      </c>
      <c r="N403">
        <v>7</v>
      </c>
      <c r="O403">
        <v>-3</v>
      </c>
      <c r="P403">
        <v>5</v>
      </c>
      <c r="Q403">
        <v>4</v>
      </c>
      <c r="R403">
        <v>1</v>
      </c>
      <c r="S403">
        <v>6</v>
      </c>
      <c r="T403">
        <v>6</v>
      </c>
      <c r="U403">
        <v>0</v>
      </c>
      <c r="V403">
        <v>4</v>
      </c>
      <c r="W403">
        <v>5</v>
      </c>
      <c r="X403">
        <v>-1</v>
      </c>
      <c r="Y403">
        <v>7</v>
      </c>
      <c r="Z403">
        <v>4</v>
      </c>
      <c r="AA403">
        <v>3</v>
      </c>
      <c r="AB403">
        <v>4</v>
      </c>
      <c r="AC403">
        <v>5</v>
      </c>
      <c r="AD403">
        <v>-1</v>
      </c>
      <c r="AE403">
        <v>5</v>
      </c>
      <c r="AF403">
        <v>5</v>
      </c>
      <c r="AG403">
        <v>0</v>
      </c>
      <c r="AH403">
        <v>6</v>
      </c>
      <c r="AI403">
        <v>5</v>
      </c>
      <c r="AJ403">
        <v>1</v>
      </c>
      <c r="AK403" t="s">
        <v>3780</v>
      </c>
      <c r="AL403" t="s">
        <v>3781</v>
      </c>
      <c r="AM403" t="s">
        <v>3782</v>
      </c>
      <c r="AN403" t="s">
        <v>3783</v>
      </c>
      <c r="AO403" t="s">
        <v>3784</v>
      </c>
      <c r="AP403" t="s">
        <v>3785</v>
      </c>
      <c r="AQ403" t="s">
        <v>3786</v>
      </c>
      <c r="AR403" t="s">
        <v>3787</v>
      </c>
      <c r="AS403" t="s">
        <v>3788</v>
      </c>
    </row>
    <row r="404" spans="1:45" x14ac:dyDescent="0.45">
      <c r="A404">
        <v>403</v>
      </c>
      <c r="B404">
        <v>12747</v>
      </c>
      <c r="C404" t="s">
        <v>72</v>
      </c>
      <c r="D404" t="s">
        <v>81</v>
      </c>
      <c r="E404" t="s">
        <v>74</v>
      </c>
      <c r="F404" t="s">
        <v>77</v>
      </c>
      <c r="G404" t="s">
        <v>76</v>
      </c>
      <c r="H404">
        <v>29.431749745655683</v>
      </c>
      <c r="I404">
        <v>0</v>
      </c>
      <c r="J404">
        <v>8</v>
      </c>
      <c r="K404">
        <v>7</v>
      </c>
      <c r="L404">
        <v>1</v>
      </c>
      <c r="M404">
        <v>7</v>
      </c>
      <c r="N404">
        <v>7</v>
      </c>
      <c r="O404">
        <v>0</v>
      </c>
      <c r="P404">
        <v>6</v>
      </c>
      <c r="Q404">
        <v>7</v>
      </c>
      <c r="R404">
        <v>-1</v>
      </c>
      <c r="S404">
        <v>5</v>
      </c>
      <c r="T404">
        <v>7</v>
      </c>
      <c r="U404">
        <v>-2</v>
      </c>
      <c r="V404">
        <v>7</v>
      </c>
      <c r="W404">
        <v>7</v>
      </c>
      <c r="X404">
        <v>0</v>
      </c>
      <c r="Y404">
        <v>8</v>
      </c>
      <c r="Z404">
        <v>7</v>
      </c>
      <c r="AA404">
        <v>1</v>
      </c>
      <c r="AB404">
        <v>6</v>
      </c>
      <c r="AC404">
        <v>7</v>
      </c>
      <c r="AD404">
        <v>-1</v>
      </c>
      <c r="AE404">
        <v>5</v>
      </c>
      <c r="AF404">
        <v>7</v>
      </c>
      <c r="AG404">
        <v>-2</v>
      </c>
      <c r="AH404">
        <v>7</v>
      </c>
      <c r="AI404">
        <v>7</v>
      </c>
      <c r="AJ404">
        <v>0</v>
      </c>
      <c r="AK404" t="s">
        <v>3789</v>
      </c>
      <c r="AL404" t="s">
        <v>3790</v>
      </c>
      <c r="AM404" t="s">
        <v>3791</v>
      </c>
      <c r="AN404" t="s">
        <v>3792</v>
      </c>
      <c r="AO404" t="s">
        <v>3793</v>
      </c>
      <c r="AP404" t="s">
        <v>3794</v>
      </c>
      <c r="AQ404" t="s">
        <v>3795</v>
      </c>
      <c r="AR404" t="s">
        <v>3796</v>
      </c>
      <c r="AS404" t="s">
        <v>3797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P1" workbookViewId="0">
      <selection activeCell="Q1" sqref="Q1"/>
    </sheetView>
  </sheetViews>
  <sheetFormatPr defaultRowHeight="14.25" x14ac:dyDescent="0.45"/>
  <cols>
    <col min="1" max="1" width="15.265625" bestFit="1" customWidth="1"/>
    <col min="2" max="2" width="17.3984375" bestFit="1" customWidth="1"/>
    <col min="3" max="3" width="16.3984375" bestFit="1" customWidth="1"/>
    <col min="4" max="4" width="26.59765625" bestFit="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82</v>
      </c>
      <c r="B1" t="s">
        <v>83</v>
      </c>
      <c r="C1" t="s">
        <v>84</v>
      </c>
      <c r="D1" t="s">
        <v>85</v>
      </c>
      <c r="E1" t="s">
        <v>86</v>
      </c>
      <c r="F1" t="s">
        <v>87</v>
      </c>
      <c r="G1" t="s">
        <v>88</v>
      </c>
      <c r="H1" t="s">
        <v>89</v>
      </c>
      <c r="I1" t="s">
        <v>90</v>
      </c>
      <c r="J1" t="s">
        <v>91</v>
      </c>
      <c r="K1" t="s">
        <v>92</v>
      </c>
      <c r="L1" t="s">
        <v>93</v>
      </c>
      <c r="M1" t="s">
        <v>94</v>
      </c>
      <c r="N1" t="s">
        <v>95</v>
      </c>
      <c r="O1" t="s">
        <v>96</v>
      </c>
      <c r="P1" t="s">
        <v>97</v>
      </c>
      <c r="Q1" t="s">
        <v>98</v>
      </c>
    </row>
    <row r="2" spans="1:17" x14ac:dyDescent="0.45">
      <c r="A2" s="19">
        <v>46016.586805555555</v>
      </c>
      <c r="B2" t="s">
        <v>72</v>
      </c>
      <c r="C2" t="s">
        <v>81</v>
      </c>
      <c r="D2" t="s">
        <v>74</v>
      </c>
      <c r="E2" t="s">
        <v>77</v>
      </c>
      <c r="F2" t="s">
        <v>99</v>
      </c>
      <c r="G2" t="s">
        <v>103</v>
      </c>
      <c r="H2" t="s">
        <v>101</v>
      </c>
      <c r="I2">
        <v>10</v>
      </c>
      <c r="J2">
        <v>8</v>
      </c>
      <c r="K2">
        <v>5</v>
      </c>
      <c r="L2">
        <v>5</v>
      </c>
      <c r="M2">
        <v>10</v>
      </c>
      <c r="N2">
        <v>10</v>
      </c>
      <c r="O2">
        <v>10</v>
      </c>
      <c r="P2">
        <v>10</v>
      </c>
      <c r="Q2">
        <v>10</v>
      </c>
    </row>
    <row r="3" spans="1:17" x14ac:dyDescent="0.45">
      <c r="A3" s="19">
        <v>46016.586805555555</v>
      </c>
      <c r="B3" t="s">
        <v>72</v>
      </c>
      <c r="C3" t="s">
        <v>81</v>
      </c>
      <c r="D3" t="s">
        <v>74</v>
      </c>
      <c r="E3" t="s">
        <v>77</v>
      </c>
      <c r="F3" t="s">
        <v>99</v>
      </c>
      <c r="G3" t="s">
        <v>103</v>
      </c>
      <c r="H3" t="s">
        <v>109</v>
      </c>
      <c r="I3">
        <v>8</v>
      </c>
      <c r="J3">
        <v>8</v>
      </c>
      <c r="K3">
        <v>6</v>
      </c>
      <c r="L3">
        <v>9</v>
      </c>
      <c r="M3">
        <v>10</v>
      </c>
      <c r="N3">
        <v>9</v>
      </c>
      <c r="O3">
        <v>8</v>
      </c>
      <c r="P3">
        <v>9</v>
      </c>
      <c r="Q3">
        <v>10</v>
      </c>
    </row>
    <row r="4" spans="1:17" x14ac:dyDescent="0.45">
      <c r="A4" s="19">
        <v>46016.588194444441</v>
      </c>
      <c r="B4" t="s">
        <v>78</v>
      </c>
      <c r="C4" t="s">
        <v>79</v>
      </c>
      <c r="D4" t="s">
        <v>74</v>
      </c>
      <c r="E4" t="s">
        <v>75</v>
      </c>
      <c r="F4" t="s">
        <v>99</v>
      </c>
      <c r="G4" t="s">
        <v>110</v>
      </c>
      <c r="H4" t="s">
        <v>105</v>
      </c>
      <c r="I4">
        <v>6</v>
      </c>
      <c r="J4">
        <v>5</v>
      </c>
      <c r="K4">
        <v>4</v>
      </c>
      <c r="L4">
        <v>5</v>
      </c>
      <c r="M4">
        <v>4</v>
      </c>
      <c r="N4">
        <v>4</v>
      </c>
      <c r="O4">
        <v>4</v>
      </c>
      <c r="P4">
        <v>10</v>
      </c>
      <c r="Q4">
        <v>4</v>
      </c>
    </row>
    <row r="5" spans="1:17" x14ac:dyDescent="0.45">
      <c r="A5" s="19">
        <v>46016.588194444441</v>
      </c>
      <c r="B5" t="s">
        <v>72</v>
      </c>
      <c r="C5" t="s">
        <v>188</v>
      </c>
      <c r="D5" t="s">
        <v>74</v>
      </c>
      <c r="E5" t="s">
        <v>77</v>
      </c>
      <c r="F5" t="s">
        <v>99</v>
      </c>
      <c r="G5" t="s">
        <v>193</v>
      </c>
      <c r="H5" t="s">
        <v>109</v>
      </c>
      <c r="I5">
        <v>10</v>
      </c>
      <c r="J5">
        <v>10</v>
      </c>
      <c r="K5">
        <v>8</v>
      </c>
      <c r="L5">
        <v>9</v>
      </c>
      <c r="M5">
        <v>9</v>
      </c>
      <c r="N5">
        <v>7</v>
      </c>
      <c r="O5">
        <v>10</v>
      </c>
      <c r="P5">
        <v>7</v>
      </c>
      <c r="Q5">
        <v>10</v>
      </c>
    </row>
    <row r="6" spans="1:17" x14ac:dyDescent="0.45">
      <c r="A6" s="19">
        <v>46016.588888888888</v>
      </c>
      <c r="B6" t="s">
        <v>72</v>
      </c>
      <c r="C6" t="s">
        <v>81</v>
      </c>
      <c r="D6" t="s">
        <v>74</v>
      </c>
      <c r="E6" t="s">
        <v>77</v>
      </c>
      <c r="F6" t="s">
        <v>99</v>
      </c>
      <c r="G6" t="s">
        <v>193</v>
      </c>
      <c r="H6" t="s">
        <v>109</v>
      </c>
      <c r="I6">
        <v>9</v>
      </c>
      <c r="J6">
        <v>9</v>
      </c>
      <c r="K6">
        <v>10</v>
      </c>
      <c r="L6">
        <v>9</v>
      </c>
      <c r="M6">
        <v>9</v>
      </c>
      <c r="N6">
        <v>9</v>
      </c>
      <c r="O6">
        <v>9</v>
      </c>
      <c r="P6">
        <v>9</v>
      </c>
      <c r="Q6">
        <v>9</v>
      </c>
    </row>
    <row r="7" spans="1:17" x14ac:dyDescent="0.45">
      <c r="A7" s="19">
        <v>46016.595138888886</v>
      </c>
      <c r="B7" t="s">
        <v>72</v>
      </c>
      <c r="C7" t="s">
        <v>73</v>
      </c>
      <c r="D7" t="s">
        <v>74</v>
      </c>
      <c r="E7" t="s">
        <v>75</v>
      </c>
      <c r="F7" t="s">
        <v>99</v>
      </c>
      <c r="G7" t="s">
        <v>106</v>
      </c>
      <c r="H7" t="s">
        <v>194</v>
      </c>
      <c r="I7">
        <v>8</v>
      </c>
      <c r="J7">
        <v>8</v>
      </c>
      <c r="K7">
        <v>5</v>
      </c>
      <c r="L7">
        <v>8</v>
      </c>
      <c r="M7">
        <v>6</v>
      </c>
      <c r="N7">
        <v>6</v>
      </c>
      <c r="O7">
        <v>4</v>
      </c>
      <c r="P7">
        <v>5</v>
      </c>
      <c r="Q7">
        <v>6</v>
      </c>
    </row>
    <row r="8" spans="1:17" x14ac:dyDescent="0.45">
      <c r="A8" s="19">
        <v>46016.59652777778</v>
      </c>
      <c r="B8" t="s">
        <v>72</v>
      </c>
      <c r="C8" t="s">
        <v>73</v>
      </c>
      <c r="D8" t="s">
        <v>74</v>
      </c>
      <c r="E8" t="s">
        <v>77</v>
      </c>
      <c r="F8" t="s">
        <v>99</v>
      </c>
      <c r="G8" t="s">
        <v>195</v>
      </c>
      <c r="H8" t="s">
        <v>104</v>
      </c>
      <c r="I8">
        <v>5</v>
      </c>
      <c r="J8">
        <v>4</v>
      </c>
      <c r="K8">
        <v>4</v>
      </c>
      <c r="L8">
        <v>6</v>
      </c>
      <c r="M8">
        <v>6</v>
      </c>
      <c r="N8">
        <v>7</v>
      </c>
      <c r="O8">
        <v>2</v>
      </c>
      <c r="P8">
        <v>4</v>
      </c>
      <c r="Q8">
        <v>4</v>
      </c>
    </row>
    <row r="9" spans="1:17" x14ac:dyDescent="0.45">
      <c r="A9" s="19">
        <v>46016.602777777778</v>
      </c>
      <c r="B9" t="s">
        <v>78</v>
      </c>
      <c r="C9" t="s">
        <v>79</v>
      </c>
      <c r="D9" t="s">
        <v>74</v>
      </c>
      <c r="E9" t="s">
        <v>75</v>
      </c>
      <c r="F9" t="s">
        <v>99</v>
      </c>
      <c r="G9" t="s">
        <v>193</v>
      </c>
      <c r="H9" t="s">
        <v>104</v>
      </c>
      <c r="I9">
        <v>1</v>
      </c>
      <c r="J9">
        <v>1</v>
      </c>
      <c r="K9">
        <v>2</v>
      </c>
      <c r="L9">
        <v>3</v>
      </c>
      <c r="M9">
        <v>6</v>
      </c>
      <c r="N9">
        <v>2</v>
      </c>
      <c r="O9">
        <v>7</v>
      </c>
      <c r="P9">
        <v>3</v>
      </c>
      <c r="Q9">
        <v>3</v>
      </c>
    </row>
    <row r="10" spans="1:17" x14ac:dyDescent="0.45">
      <c r="A10" s="19">
        <v>46016.649305555555</v>
      </c>
      <c r="B10" t="s">
        <v>72</v>
      </c>
      <c r="C10" t="s">
        <v>81</v>
      </c>
      <c r="D10" t="s">
        <v>80</v>
      </c>
      <c r="E10" t="s">
        <v>77</v>
      </c>
      <c r="F10" t="s">
        <v>102</v>
      </c>
      <c r="G10" t="s">
        <v>103</v>
      </c>
      <c r="H10" t="s">
        <v>101</v>
      </c>
      <c r="I10">
        <v>10</v>
      </c>
      <c r="J10">
        <v>10</v>
      </c>
      <c r="K10">
        <v>8</v>
      </c>
      <c r="L10">
        <v>7</v>
      </c>
      <c r="M10">
        <v>7</v>
      </c>
      <c r="N10">
        <v>5</v>
      </c>
      <c r="O10">
        <v>5</v>
      </c>
      <c r="P10">
        <v>9</v>
      </c>
      <c r="Q10">
        <v>8</v>
      </c>
    </row>
    <row r="11" spans="1:17" x14ac:dyDescent="0.45">
      <c r="A11" s="19">
        <v>46016.660416666666</v>
      </c>
      <c r="B11" t="s">
        <v>72</v>
      </c>
      <c r="C11" t="s">
        <v>81</v>
      </c>
      <c r="D11" t="s">
        <v>74</v>
      </c>
      <c r="E11" t="s">
        <v>77</v>
      </c>
      <c r="F11" t="s">
        <v>99</v>
      </c>
      <c r="G11" t="s">
        <v>195</v>
      </c>
      <c r="H11" t="s">
        <v>109</v>
      </c>
      <c r="I11">
        <v>7</v>
      </c>
      <c r="J11">
        <v>10</v>
      </c>
      <c r="K11">
        <v>1</v>
      </c>
      <c r="L11">
        <v>5</v>
      </c>
      <c r="M11">
        <v>8</v>
      </c>
      <c r="N11">
        <v>5</v>
      </c>
      <c r="O11">
        <v>5</v>
      </c>
      <c r="P11">
        <v>5</v>
      </c>
      <c r="Q11">
        <v>10</v>
      </c>
    </row>
    <row r="12" spans="1:17" x14ac:dyDescent="0.45">
      <c r="A12" s="19">
        <v>46016.661111111112</v>
      </c>
      <c r="B12" t="s">
        <v>78</v>
      </c>
      <c r="C12" t="s">
        <v>73</v>
      </c>
      <c r="D12" t="s">
        <v>74</v>
      </c>
      <c r="E12" t="s">
        <v>75</v>
      </c>
      <c r="F12" t="s">
        <v>102</v>
      </c>
      <c r="G12" t="s">
        <v>108</v>
      </c>
      <c r="H12" t="s">
        <v>194</v>
      </c>
      <c r="I12">
        <v>10</v>
      </c>
      <c r="J12">
        <v>3</v>
      </c>
      <c r="K12">
        <v>1</v>
      </c>
      <c r="L12">
        <v>7</v>
      </c>
      <c r="M12">
        <v>1</v>
      </c>
      <c r="N12">
        <v>5</v>
      </c>
      <c r="O12">
        <v>1</v>
      </c>
      <c r="P12">
        <v>8</v>
      </c>
      <c r="Q12">
        <v>6</v>
      </c>
    </row>
    <row r="13" spans="1:17" x14ac:dyDescent="0.45">
      <c r="A13" s="19">
        <v>46016.709027777775</v>
      </c>
      <c r="B13" t="s">
        <v>72</v>
      </c>
      <c r="C13" t="s">
        <v>188</v>
      </c>
      <c r="D13" t="s">
        <v>74</v>
      </c>
      <c r="E13" t="s">
        <v>77</v>
      </c>
      <c r="F13" t="s">
        <v>99</v>
      </c>
      <c r="G13" t="s">
        <v>193</v>
      </c>
      <c r="H13" t="s">
        <v>109</v>
      </c>
      <c r="I13">
        <v>5</v>
      </c>
      <c r="J13">
        <v>8</v>
      </c>
      <c r="K13">
        <v>5</v>
      </c>
      <c r="L13">
        <v>5</v>
      </c>
      <c r="M13">
        <v>6</v>
      </c>
      <c r="N13">
        <v>5</v>
      </c>
      <c r="O13">
        <v>5</v>
      </c>
      <c r="P13">
        <v>5</v>
      </c>
      <c r="Q13">
        <v>5</v>
      </c>
    </row>
    <row r="14" spans="1:17" x14ac:dyDescent="0.45">
      <c r="A14" s="19">
        <v>46016.745833333334</v>
      </c>
      <c r="B14" t="s">
        <v>72</v>
      </c>
      <c r="C14" t="s">
        <v>188</v>
      </c>
      <c r="D14" t="s">
        <v>74</v>
      </c>
      <c r="E14" t="s">
        <v>77</v>
      </c>
      <c r="F14" t="s">
        <v>99</v>
      </c>
      <c r="G14" t="s">
        <v>193</v>
      </c>
      <c r="H14" t="s">
        <v>109</v>
      </c>
      <c r="I14">
        <v>8</v>
      </c>
      <c r="J14">
        <v>7</v>
      </c>
      <c r="K14">
        <v>7</v>
      </c>
      <c r="L14">
        <v>7</v>
      </c>
      <c r="M14">
        <v>7</v>
      </c>
      <c r="N14">
        <v>8</v>
      </c>
      <c r="O14">
        <v>7</v>
      </c>
      <c r="P14">
        <v>7</v>
      </c>
      <c r="Q14">
        <v>7</v>
      </c>
    </row>
    <row r="15" spans="1:17" x14ac:dyDescent="0.45">
      <c r="A15" s="19">
        <v>46016.844444444447</v>
      </c>
      <c r="B15" t="s">
        <v>72</v>
      </c>
      <c r="C15" t="s">
        <v>73</v>
      </c>
      <c r="D15" t="s">
        <v>74</v>
      </c>
      <c r="E15" t="s">
        <v>75</v>
      </c>
      <c r="F15" t="s">
        <v>99</v>
      </c>
      <c r="G15" t="s">
        <v>195</v>
      </c>
      <c r="H15" t="s">
        <v>109</v>
      </c>
      <c r="I15">
        <v>10</v>
      </c>
      <c r="J15">
        <v>10</v>
      </c>
      <c r="K15">
        <v>8</v>
      </c>
      <c r="L15">
        <v>8</v>
      </c>
      <c r="M15">
        <v>8</v>
      </c>
      <c r="N15">
        <v>6</v>
      </c>
      <c r="O15">
        <v>6</v>
      </c>
      <c r="P15">
        <v>5</v>
      </c>
      <c r="Q15">
        <v>5</v>
      </c>
    </row>
    <row r="16" spans="1:17" x14ac:dyDescent="0.45">
      <c r="A16" s="19">
        <v>46016.84652777778</v>
      </c>
      <c r="B16" t="s">
        <v>78</v>
      </c>
      <c r="C16" t="s">
        <v>73</v>
      </c>
      <c r="D16" t="s">
        <v>74</v>
      </c>
      <c r="E16" t="s">
        <v>75</v>
      </c>
      <c r="F16" t="s">
        <v>99</v>
      </c>
      <c r="G16" t="s">
        <v>108</v>
      </c>
      <c r="H16" t="s">
        <v>104</v>
      </c>
      <c r="I16">
        <v>7</v>
      </c>
      <c r="J16">
        <v>9</v>
      </c>
      <c r="K16">
        <v>3</v>
      </c>
      <c r="L16">
        <v>6</v>
      </c>
      <c r="M16">
        <v>1</v>
      </c>
      <c r="N16">
        <v>1</v>
      </c>
      <c r="O16">
        <v>1</v>
      </c>
      <c r="P16">
        <v>1</v>
      </c>
      <c r="Q16">
        <v>1</v>
      </c>
    </row>
    <row r="17" spans="1:17" x14ac:dyDescent="0.45">
      <c r="A17" s="19">
        <v>46016.881249999999</v>
      </c>
      <c r="B17" t="s">
        <v>78</v>
      </c>
      <c r="C17" t="s">
        <v>79</v>
      </c>
      <c r="D17" t="s">
        <v>74</v>
      </c>
      <c r="E17" t="s">
        <v>75</v>
      </c>
      <c r="F17" t="s">
        <v>99</v>
      </c>
      <c r="G17" t="s">
        <v>106</v>
      </c>
      <c r="H17" t="s">
        <v>194</v>
      </c>
      <c r="I17">
        <v>8</v>
      </c>
      <c r="J17">
        <v>8</v>
      </c>
      <c r="K17">
        <v>8</v>
      </c>
      <c r="L17">
        <v>9</v>
      </c>
      <c r="M17">
        <v>7</v>
      </c>
      <c r="N17">
        <v>7</v>
      </c>
      <c r="O17">
        <v>9</v>
      </c>
      <c r="P17">
        <v>8</v>
      </c>
      <c r="Q17">
        <v>7</v>
      </c>
    </row>
    <row r="18" spans="1:17" x14ac:dyDescent="0.45">
      <c r="A18" s="19">
        <v>46016.885416666664</v>
      </c>
      <c r="B18" t="s">
        <v>72</v>
      </c>
      <c r="C18" t="s">
        <v>81</v>
      </c>
      <c r="D18" t="s">
        <v>74</v>
      </c>
      <c r="E18" t="s">
        <v>77</v>
      </c>
      <c r="F18" t="s">
        <v>99</v>
      </c>
      <c r="G18" t="s">
        <v>195</v>
      </c>
      <c r="H18" t="s">
        <v>104</v>
      </c>
      <c r="I18">
        <v>6</v>
      </c>
      <c r="J18">
        <v>7</v>
      </c>
      <c r="K18">
        <v>5</v>
      </c>
      <c r="L18">
        <v>5</v>
      </c>
      <c r="M18">
        <v>6</v>
      </c>
      <c r="N18">
        <v>7</v>
      </c>
      <c r="O18">
        <v>3</v>
      </c>
      <c r="P18">
        <v>4</v>
      </c>
      <c r="Q18">
        <v>5</v>
      </c>
    </row>
    <row r="19" spans="1:17" x14ac:dyDescent="0.45">
      <c r="A19" s="19">
        <v>46016.907638888886</v>
      </c>
      <c r="B19" t="s">
        <v>78</v>
      </c>
      <c r="C19" t="s">
        <v>79</v>
      </c>
      <c r="D19" t="s">
        <v>74</v>
      </c>
      <c r="E19" t="s">
        <v>77</v>
      </c>
      <c r="F19" t="s">
        <v>102</v>
      </c>
      <c r="G19" t="s">
        <v>103</v>
      </c>
      <c r="H19" t="s">
        <v>109</v>
      </c>
      <c r="I19">
        <v>6</v>
      </c>
      <c r="J19">
        <v>8</v>
      </c>
      <c r="K19">
        <v>7</v>
      </c>
      <c r="L19">
        <v>8</v>
      </c>
      <c r="M19">
        <v>8</v>
      </c>
      <c r="N19">
        <v>7</v>
      </c>
      <c r="O19">
        <v>7</v>
      </c>
      <c r="P19">
        <v>6</v>
      </c>
      <c r="Q19">
        <v>8</v>
      </c>
    </row>
    <row r="20" spans="1:17" x14ac:dyDescent="0.45">
      <c r="A20" s="19">
        <v>46016.910416666666</v>
      </c>
      <c r="B20" t="s">
        <v>78</v>
      </c>
      <c r="C20" t="s">
        <v>79</v>
      </c>
      <c r="D20" t="s">
        <v>74</v>
      </c>
      <c r="E20" t="s">
        <v>77</v>
      </c>
      <c r="F20" t="s">
        <v>99</v>
      </c>
      <c r="G20" t="s">
        <v>107</v>
      </c>
      <c r="H20" t="s">
        <v>194</v>
      </c>
      <c r="I20">
        <v>10</v>
      </c>
      <c r="J20">
        <v>10</v>
      </c>
      <c r="K20">
        <v>5</v>
      </c>
      <c r="L20">
        <v>5</v>
      </c>
      <c r="M20">
        <v>5</v>
      </c>
      <c r="N20">
        <v>3</v>
      </c>
      <c r="O20">
        <v>2</v>
      </c>
      <c r="P20">
        <v>5</v>
      </c>
      <c r="Q20">
        <v>8</v>
      </c>
    </row>
    <row r="21" spans="1:17" x14ac:dyDescent="0.45">
      <c r="A21" s="19">
        <v>46017.081250000003</v>
      </c>
      <c r="B21" t="s">
        <v>78</v>
      </c>
      <c r="C21" t="s">
        <v>73</v>
      </c>
      <c r="D21" t="s">
        <v>74</v>
      </c>
      <c r="E21" t="s">
        <v>75</v>
      </c>
      <c r="F21" t="s">
        <v>99</v>
      </c>
      <c r="G21" t="s">
        <v>110</v>
      </c>
      <c r="H21" t="s">
        <v>104</v>
      </c>
      <c r="I21">
        <v>9</v>
      </c>
      <c r="J21">
        <v>9</v>
      </c>
      <c r="K21">
        <v>7</v>
      </c>
      <c r="L21">
        <v>9</v>
      </c>
      <c r="M21">
        <v>7</v>
      </c>
      <c r="N21">
        <v>8</v>
      </c>
      <c r="O21">
        <v>5</v>
      </c>
      <c r="P21">
        <v>5</v>
      </c>
      <c r="Q21">
        <v>6</v>
      </c>
    </row>
    <row r="22" spans="1:17" x14ac:dyDescent="0.45">
      <c r="A22" s="19">
        <v>46017.3125</v>
      </c>
      <c r="B22" t="s">
        <v>72</v>
      </c>
      <c r="C22" t="s">
        <v>79</v>
      </c>
      <c r="D22" t="s">
        <v>74</v>
      </c>
      <c r="E22" t="s">
        <v>77</v>
      </c>
      <c r="F22" t="s">
        <v>99</v>
      </c>
      <c r="G22" t="s">
        <v>107</v>
      </c>
      <c r="H22" t="s">
        <v>105</v>
      </c>
      <c r="I22">
        <v>10</v>
      </c>
      <c r="J22">
        <v>10</v>
      </c>
      <c r="K22">
        <v>8</v>
      </c>
      <c r="L22">
        <v>7</v>
      </c>
      <c r="M22">
        <v>7</v>
      </c>
      <c r="N22">
        <v>7</v>
      </c>
      <c r="O22">
        <v>2</v>
      </c>
      <c r="P22">
        <v>3</v>
      </c>
      <c r="Q22">
        <v>3</v>
      </c>
    </row>
    <row r="23" spans="1:17" x14ac:dyDescent="0.45">
      <c r="A23" s="19">
        <v>46017.362500000003</v>
      </c>
      <c r="B23" t="s">
        <v>72</v>
      </c>
      <c r="C23" t="s">
        <v>188</v>
      </c>
      <c r="D23" t="s">
        <v>74</v>
      </c>
      <c r="E23" t="s">
        <v>77</v>
      </c>
      <c r="F23" t="s">
        <v>99</v>
      </c>
      <c r="G23" t="s">
        <v>103</v>
      </c>
      <c r="H23" t="s">
        <v>109</v>
      </c>
      <c r="I23">
        <v>8</v>
      </c>
      <c r="J23">
        <v>8</v>
      </c>
      <c r="K23">
        <v>5</v>
      </c>
      <c r="L23">
        <v>8</v>
      </c>
      <c r="M23">
        <v>8</v>
      </c>
      <c r="N23">
        <v>8</v>
      </c>
      <c r="O23">
        <v>8</v>
      </c>
      <c r="P23">
        <v>8</v>
      </c>
      <c r="Q23">
        <v>8</v>
      </c>
    </row>
    <row r="24" spans="1:17" x14ac:dyDescent="0.45">
      <c r="A24" s="19">
        <v>46017.4</v>
      </c>
      <c r="B24" t="s">
        <v>72</v>
      </c>
      <c r="C24" t="s">
        <v>79</v>
      </c>
      <c r="D24" t="s">
        <v>74</v>
      </c>
      <c r="E24" t="s">
        <v>75</v>
      </c>
      <c r="F24" t="s">
        <v>99</v>
      </c>
      <c r="G24" t="s">
        <v>106</v>
      </c>
      <c r="H24" t="s">
        <v>105</v>
      </c>
      <c r="I24">
        <v>5</v>
      </c>
      <c r="J24">
        <v>5</v>
      </c>
      <c r="K24">
        <v>5</v>
      </c>
      <c r="L24">
        <v>5</v>
      </c>
      <c r="M24">
        <v>5</v>
      </c>
      <c r="N24">
        <v>5</v>
      </c>
      <c r="O24">
        <v>5</v>
      </c>
      <c r="P24">
        <v>5</v>
      </c>
      <c r="Q24">
        <v>5</v>
      </c>
    </row>
    <row r="25" spans="1:17" x14ac:dyDescent="0.45">
      <c r="A25" s="19">
        <v>46017.484027777777</v>
      </c>
      <c r="B25" t="s">
        <v>72</v>
      </c>
      <c r="C25" t="s">
        <v>73</v>
      </c>
      <c r="D25" t="s">
        <v>80</v>
      </c>
      <c r="E25" t="s">
        <v>77</v>
      </c>
      <c r="F25" t="s">
        <v>99</v>
      </c>
      <c r="G25" t="s">
        <v>100</v>
      </c>
      <c r="H25" t="s">
        <v>104</v>
      </c>
      <c r="I25">
        <v>9</v>
      </c>
      <c r="J25">
        <v>8</v>
      </c>
      <c r="K25">
        <v>6</v>
      </c>
      <c r="L25">
        <v>9</v>
      </c>
      <c r="M25">
        <v>8</v>
      </c>
      <c r="N25">
        <v>10</v>
      </c>
      <c r="O25">
        <v>6</v>
      </c>
      <c r="P25">
        <v>6</v>
      </c>
      <c r="Q25">
        <v>8</v>
      </c>
    </row>
    <row r="26" spans="1:17" x14ac:dyDescent="0.45">
      <c r="A26" s="19">
        <v>46017.486111111109</v>
      </c>
      <c r="B26" t="s">
        <v>78</v>
      </c>
      <c r="C26" t="s">
        <v>73</v>
      </c>
      <c r="D26" t="s">
        <v>74</v>
      </c>
      <c r="E26" t="s">
        <v>75</v>
      </c>
      <c r="F26" t="s">
        <v>99</v>
      </c>
      <c r="G26" t="s">
        <v>108</v>
      </c>
      <c r="H26" t="s">
        <v>101</v>
      </c>
      <c r="I26">
        <v>6</v>
      </c>
      <c r="J26">
        <v>7</v>
      </c>
      <c r="K26">
        <v>5</v>
      </c>
      <c r="L26">
        <v>6</v>
      </c>
      <c r="M26">
        <v>7</v>
      </c>
      <c r="N26">
        <v>7</v>
      </c>
      <c r="O26">
        <v>3</v>
      </c>
      <c r="P26">
        <v>3</v>
      </c>
      <c r="Q26">
        <v>5</v>
      </c>
    </row>
    <row r="27" spans="1:17" x14ac:dyDescent="0.45">
      <c r="A27" s="19">
        <v>46017.489583333336</v>
      </c>
      <c r="B27" t="s">
        <v>78</v>
      </c>
      <c r="C27" t="s">
        <v>73</v>
      </c>
      <c r="D27" t="s">
        <v>74</v>
      </c>
      <c r="E27" t="s">
        <v>75</v>
      </c>
      <c r="F27" t="s">
        <v>99</v>
      </c>
      <c r="G27" t="s">
        <v>193</v>
      </c>
      <c r="H27" t="s">
        <v>194</v>
      </c>
      <c r="I27">
        <v>10</v>
      </c>
      <c r="J27">
        <v>10</v>
      </c>
      <c r="K27">
        <v>10</v>
      </c>
      <c r="L27">
        <v>6</v>
      </c>
      <c r="M27">
        <v>6</v>
      </c>
      <c r="N27">
        <v>10</v>
      </c>
      <c r="O27">
        <v>1</v>
      </c>
      <c r="P27">
        <v>4</v>
      </c>
      <c r="Q27">
        <v>10</v>
      </c>
    </row>
    <row r="28" spans="1:17" x14ac:dyDescent="0.45">
      <c r="A28" s="19">
        <v>46017.504166666666</v>
      </c>
      <c r="B28" t="s">
        <v>78</v>
      </c>
      <c r="C28" t="s">
        <v>188</v>
      </c>
      <c r="D28" t="s">
        <v>74</v>
      </c>
      <c r="E28" t="s">
        <v>77</v>
      </c>
      <c r="F28" t="s">
        <v>99</v>
      </c>
      <c r="G28" t="s">
        <v>193</v>
      </c>
      <c r="H28" t="s">
        <v>109</v>
      </c>
      <c r="I28">
        <v>1</v>
      </c>
      <c r="J28">
        <v>1</v>
      </c>
      <c r="K28">
        <v>1</v>
      </c>
      <c r="L28">
        <v>1</v>
      </c>
      <c r="M28">
        <v>1</v>
      </c>
      <c r="N28">
        <v>1</v>
      </c>
      <c r="O28">
        <v>1</v>
      </c>
      <c r="P28">
        <v>1</v>
      </c>
      <c r="Q28">
        <v>1</v>
      </c>
    </row>
    <row r="29" spans="1:17" x14ac:dyDescent="0.45">
      <c r="A29" s="19">
        <v>46017.504166666666</v>
      </c>
      <c r="B29" t="s">
        <v>78</v>
      </c>
      <c r="C29" t="s">
        <v>81</v>
      </c>
      <c r="D29" t="s">
        <v>74</v>
      </c>
      <c r="E29" t="s">
        <v>77</v>
      </c>
      <c r="F29" t="s">
        <v>99</v>
      </c>
      <c r="G29" t="s">
        <v>103</v>
      </c>
      <c r="H29" t="s">
        <v>109</v>
      </c>
      <c r="I29">
        <v>1</v>
      </c>
      <c r="J29">
        <v>1</v>
      </c>
      <c r="K29">
        <v>1</v>
      </c>
      <c r="L29">
        <v>1</v>
      </c>
      <c r="M29">
        <v>1</v>
      </c>
      <c r="N29">
        <v>1</v>
      </c>
      <c r="O29">
        <v>1</v>
      </c>
      <c r="P29">
        <v>1</v>
      </c>
      <c r="Q29">
        <v>1</v>
      </c>
    </row>
    <row r="30" spans="1:17" x14ac:dyDescent="0.45">
      <c r="A30" s="19">
        <v>46017.504861111112</v>
      </c>
      <c r="B30" t="s">
        <v>72</v>
      </c>
      <c r="C30" t="s">
        <v>188</v>
      </c>
      <c r="D30" t="s">
        <v>74</v>
      </c>
      <c r="E30" t="s">
        <v>77</v>
      </c>
      <c r="F30" t="s">
        <v>99</v>
      </c>
      <c r="G30" t="s">
        <v>103</v>
      </c>
      <c r="H30" t="s">
        <v>109</v>
      </c>
      <c r="I30">
        <v>10</v>
      </c>
      <c r="J30">
        <v>10</v>
      </c>
      <c r="K30">
        <v>9</v>
      </c>
      <c r="L30">
        <v>10</v>
      </c>
      <c r="M30">
        <v>10</v>
      </c>
      <c r="N30">
        <v>9</v>
      </c>
      <c r="O30">
        <v>10</v>
      </c>
      <c r="P30">
        <v>10</v>
      </c>
      <c r="Q30">
        <v>10</v>
      </c>
    </row>
    <row r="31" spans="1:17" x14ac:dyDescent="0.45">
      <c r="A31" s="19">
        <v>46017.504861111112</v>
      </c>
      <c r="B31" t="s">
        <v>72</v>
      </c>
      <c r="C31" t="s">
        <v>188</v>
      </c>
      <c r="D31" t="s">
        <v>74</v>
      </c>
      <c r="E31" t="s">
        <v>77</v>
      </c>
      <c r="F31" t="s">
        <v>99</v>
      </c>
      <c r="G31" t="s">
        <v>103</v>
      </c>
      <c r="H31" t="s">
        <v>109</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99</v>
      </c>
      <c r="G32" t="s">
        <v>100</v>
      </c>
      <c r="H32" t="s">
        <v>109</v>
      </c>
      <c r="I32">
        <v>10</v>
      </c>
      <c r="J32">
        <v>7</v>
      </c>
      <c r="K32">
        <v>10</v>
      </c>
      <c r="L32">
        <v>7</v>
      </c>
      <c r="M32">
        <v>10</v>
      </c>
      <c r="N32">
        <v>10</v>
      </c>
      <c r="O32">
        <v>3</v>
      </c>
      <c r="P32">
        <v>5</v>
      </c>
      <c r="Q32">
        <v>8</v>
      </c>
    </row>
    <row r="33" spans="1:17" x14ac:dyDescent="0.45">
      <c r="A33" s="19">
        <v>46017.505555555559</v>
      </c>
      <c r="B33" t="s">
        <v>72</v>
      </c>
      <c r="C33" t="s">
        <v>188</v>
      </c>
      <c r="D33" t="s">
        <v>74</v>
      </c>
      <c r="E33" t="s">
        <v>77</v>
      </c>
      <c r="F33" t="s">
        <v>99</v>
      </c>
      <c r="G33" t="s">
        <v>100</v>
      </c>
      <c r="H33" t="s">
        <v>109</v>
      </c>
      <c r="I33">
        <v>5</v>
      </c>
      <c r="J33">
        <v>5</v>
      </c>
      <c r="K33">
        <v>5</v>
      </c>
      <c r="L33">
        <v>5</v>
      </c>
      <c r="M33">
        <v>5</v>
      </c>
      <c r="N33">
        <v>5</v>
      </c>
      <c r="O33">
        <v>5</v>
      </c>
      <c r="P33">
        <v>5</v>
      </c>
      <c r="Q33">
        <v>5</v>
      </c>
    </row>
    <row r="34" spans="1:17" x14ac:dyDescent="0.45">
      <c r="A34" s="19">
        <v>46017.505555555559</v>
      </c>
      <c r="B34" t="s">
        <v>72</v>
      </c>
      <c r="C34" t="s">
        <v>81</v>
      </c>
      <c r="D34" t="s">
        <v>74</v>
      </c>
      <c r="E34" t="s">
        <v>77</v>
      </c>
      <c r="F34" t="s">
        <v>99</v>
      </c>
      <c r="G34" t="s">
        <v>100</v>
      </c>
      <c r="H34" t="s">
        <v>109</v>
      </c>
      <c r="I34">
        <v>8</v>
      </c>
      <c r="J34">
        <v>9</v>
      </c>
      <c r="K34">
        <v>7</v>
      </c>
      <c r="L34">
        <v>8</v>
      </c>
      <c r="M34">
        <v>8</v>
      </c>
      <c r="N34">
        <v>8</v>
      </c>
      <c r="O34">
        <v>3</v>
      </c>
      <c r="P34">
        <v>6</v>
      </c>
      <c r="Q34">
        <v>7</v>
      </c>
    </row>
    <row r="35" spans="1:17" x14ac:dyDescent="0.45">
      <c r="A35" s="19">
        <v>46017.505555555559</v>
      </c>
      <c r="B35" t="s">
        <v>78</v>
      </c>
      <c r="C35" t="s">
        <v>81</v>
      </c>
      <c r="D35" t="s">
        <v>74</v>
      </c>
      <c r="E35" t="s">
        <v>77</v>
      </c>
      <c r="F35" t="s">
        <v>99</v>
      </c>
      <c r="G35" t="s">
        <v>103</v>
      </c>
      <c r="H35" t="s">
        <v>101</v>
      </c>
      <c r="I35">
        <v>10</v>
      </c>
      <c r="J35">
        <v>10</v>
      </c>
      <c r="K35">
        <v>10</v>
      </c>
      <c r="L35">
        <v>10</v>
      </c>
      <c r="M35">
        <v>10</v>
      </c>
      <c r="N35">
        <v>10</v>
      </c>
      <c r="O35">
        <v>10</v>
      </c>
      <c r="P35">
        <v>10</v>
      </c>
      <c r="Q35">
        <v>10</v>
      </c>
    </row>
    <row r="36" spans="1:17" x14ac:dyDescent="0.45">
      <c r="A36" s="19">
        <v>46017.509722222225</v>
      </c>
      <c r="B36" t="s">
        <v>72</v>
      </c>
      <c r="C36" t="s">
        <v>73</v>
      </c>
      <c r="D36" t="s">
        <v>74</v>
      </c>
      <c r="E36" t="s">
        <v>189</v>
      </c>
      <c r="F36" t="s">
        <v>99</v>
      </c>
      <c r="G36" t="s">
        <v>103</v>
      </c>
      <c r="H36" t="s">
        <v>105</v>
      </c>
      <c r="I36">
        <v>10</v>
      </c>
      <c r="J36">
        <v>10</v>
      </c>
      <c r="K36">
        <v>10</v>
      </c>
      <c r="L36">
        <v>10</v>
      </c>
      <c r="M36">
        <v>10</v>
      </c>
      <c r="N36">
        <v>10</v>
      </c>
      <c r="O36">
        <v>10</v>
      </c>
      <c r="P36">
        <v>10</v>
      </c>
      <c r="Q36">
        <v>10</v>
      </c>
    </row>
    <row r="37" spans="1:17" x14ac:dyDescent="0.45">
      <c r="A37" s="19">
        <v>46017.510416666664</v>
      </c>
      <c r="B37" t="s">
        <v>72</v>
      </c>
      <c r="C37" t="s">
        <v>188</v>
      </c>
      <c r="D37" t="s">
        <v>74</v>
      </c>
      <c r="E37" t="s">
        <v>77</v>
      </c>
      <c r="F37" t="s">
        <v>99</v>
      </c>
      <c r="G37" t="s">
        <v>103</v>
      </c>
      <c r="H37" t="s">
        <v>109</v>
      </c>
      <c r="I37">
        <v>10</v>
      </c>
      <c r="J37">
        <v>9</v>
      </c>
      <c r="K37">
        <v>10</v>
      </c>
      <c r="L37">
        <v>8</v>
      </c>
      <c r="M37">
        <v>10</v>
      </c>
      <c r="N37">
        <v>9</v>
      </c>
      <c r="O37">
        <v>10</v>
      </c>
      <c r="P37">
        <v>10</v>
      </c>
      <c r="Q37">
        <v>10</v>
      </c>
    </row>
    <row r="38" spans="1:17" x14ac:dyDescent="0.45">
      <c r="A38" s="19">
        <v>46017.511111111111</v>
      </c>
      <c r="B38" t="s">
        <v>78</v>
      </c>
      <c r="C38" t="s">
        <v>188</v>
      </c>
      <c r="D38" t="s">
        <v>74</v>
      </c>
      <c r="E38" t="s">
        <v>77</v>
      </c>
      <c r="F38" t="s">
        <v>99</v>
      </c>
      <c r="G38" t="s">
        <v>103</v>
      </c>
      <c r="H38" t="s">
        <v>109</v>
      </c>
      <c r="I38">
        <v>10</v>
      </c>
      <c r="J38">
        <v>10</v>
      </c>
      <c r="K38">
        <v>10</v>
      </c>
      <c r="L38">
        <v>10</v>
      </c>
      <c r="M38">
        <v>9</v>
      </c>
      <c r="N38">
        <v>9</v>
      </c>
      <c r="O38">
        <v>9</v>
      </c>
      <c r="P38">
        <v>9</v>
      </c>
      <c r="Q38">
        <v>8</v>
      </c>
    </row>
    <row r="39" spans="1:17" x14ac:dyDescent="0.45">
      <c r="A39" s="19">
        <v>46017.511111111111</v>
      </c>
      <c r="B39" t="s">
        <v>72</v>
      </c>
      <c r="C39" t="s">
        <v>73</v>
      </c>
      <c r="D39" t="s">
        <v>74</v>
      </c>
      <c r="E39" t="s">
        <v>77</v>
      </c>
      <c r="F39" t="s">
        <v>99</v>
      </c>
      <c r="G39" t="s">
        <v>108</v>
      </c>
      <c r="H39" t="s">
        <v>101</v>
      </c>
      <c r="I39">
        <v>8</v>
      </c>
      <c r="J39">
        <v>8</v>
      </c>
      <c r="K39">
        <v>8</v>
      </c>
      <c r="L39">
        <v>8</v>
      </c>
      <c r="M39">
        <v>8</v>
      </c>
      <c r="N39">
        <v>8</v>
      </c>
      <c r="O39">
        <v>8</v>
      </c>
      <c r="P39">
        <v>8</v>
      </c>
      <c r="Q39">
        <v>8</v>
      </c>
    </row>
    <row r="40" spans="1:17" x14ac:dyDescent="0.45">
      <c r="A40" s="19">
        <v>46017.511111111111</v>
      </c>
      <c r="B40" t="s">
        <v>78</v>
      </c>
      <c r="C40" t="s">
        <v>81</v>
      </c>
      <c r="D40" t="s">
        <v>74</v>
      </c>
      <c r="E40" t="s">
        <v>77</v>
      </c>
      <c r="F40" t="s">
        <v>99</v>
      </c>
      <c r="G40" t="s">
        <v>103</v>
      </c>
      <c r="H40" t="s">
        <v>109</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99</v>
      </c>
      <c r="G41" t="s">
        <v>107</v>
      </c>
      <c r="H41" t="s">
        <v>101</v>
      </c>
      <c r="I41">
        <v>8</v>
      </c>
      <c r="J41">
        <v>8</v>
      </c>
      <c r="K41">
        <v>6</v>
      </c>
      <c r="L41">
        <v>8</v>
      </c>
      <c r="M41">
        <v>7</v>
      </c>
      <c r="N41">
        <v>8</v>
      </c>
      <c r="O41">
        <v>5</v>
      </c>
      <c r="P41">
        <v>6</v>
      </c>
      <c r="Q41">
        <v>7</v>
      </c>
    </row>
    <row r="42" spans="1:17" x14ac:dyDescent="0.45">
      <c r="A42" s="19">
        <v>46017.511805555558</v>
      </c>
      <c r="B42" t="s">
        <v>78</v>
      </c>
      <c r="C42" t="s">
        <v>73</v>
      </c>
      <c r="D42" t="s">
        <v>74</v>
      </c>
      <c r="E42" t="s">
        <v>77</v>
      </c>
      <c r="F42" t="s">
        <v>99</v>
      </c>
      <c r="G42" t="s">
        <v>106</v>
      </c>
      <c r="H42" t="s">
        <v>104</v>
      </c>
      <c r="I42">
        <v>9</v>
      </c>
      <c r="J42">
        <v>8</v>
      </c>
      <c r="K42">
        <v>7</v>
      </c>
      <c r="L42">
        <v>8</v>
      </c>
      <c r="M42">
        <v>7</v>
      </c>
      <c r="N42">
        <v>4</v>
      </c>
      <c r="O42">
        <v>2</v>
      </c>
      <c r="P42">
        <v>8</v>
      </c>
      <c r="Q42">
        <v>8</v>
      </c>
    </row>
    <row r="43" spans="1:17" x14ac:dyDescent="0.45">
      <c r="A43" s="19">
        <v>46017.513194444444</v>
      </c>
      <c r="B43" t="s">
        <v>72</v>
      </c>
      <c r="C43" t="s">
        <v>73</v>
      </c>
      <c r="D43" t="s">
        <v>74</v>
      </c>
      <c r="E43" t="s">
        <v>77</v>
      </c>
      <c r="F43" t="s">
        <v>99</v>
      </c>
      <c r="G43" t="s">
        <v>108</v>
      </c>
      <c r="H43" t="s">
        <v>105</v>
      </c>
      <c r="I43">
        <v>10</v>
      </c>
      <c r="J43">
        <v>10</v>
      </c>
      <c r="K43">
        <v>9</v>
      </c>
      <c r="L43">
        <v>8</v>
      </c>
      <c r="M43">
        <v>7</v>
      </c>
      <c r="N43">
        <v>9</v>
      </c>
      <c r="O43">
        <v>9</v>
      </c>
      <c r="P43">
        <v>8</v>
      </c>
      <c r="Q43">
        <v>8</v>
      </c>
    </row>
    <row r="44" spans="1:17" x14ac:dyDescent="0.45">
      <c r="A44" s="19">
        <v>46017.515277777777</v>
      </c>
      <c r="B44" t="s">
        <v>72</v>
      </c>
      <c r="C44" t="s">
        <v>73</v>
      </c>
      <c r="D44" t="s">
        <v>74</v>
      </c>
      <c r="E44" t="s">
        <v>77</v>
      </c>
      <c r="F44" t="s">
        <v>99</v>
      </c>
      <c r="G44" t="s">
        <v>107</v>
      </c>
      <c r="H44" t="s">
        <v>104</v>
      </c>
      <c r="I44">
        <v>6</v>
      </c>
      <c r="J44">
        <v>6</v>
      </c>
      <c r="K44">
        <v>8</v>
      </c>
      <c r="L44">
        <v>10</v>
      </c>
      <c r="M44">
        <v>9</v>
      </c>
      <c r="N44">
        <v>1</v>
      </c>
      <c r="O44">
        <v>7</v>
      </c>
      <c r="P44">
        <v>7</v>
      </c>
      <c r="Q44">
        <v>8</v>
      </c>
    </row>
    <row r="45" spans="1:17" x14ac:dyDescent="0.45">
      <c r="A45" s="19">
        <v>46017.515972222223</v>
      </c>
      <c r="B45" t="s">
        <v>78</v>
      </c>
      <c r="C45" t="s">
        <v>73</v>
      </c>
      <c r="D45" t="s">
        <v>74</v>
      </c>
      <c r="E45" t="s">
        <v>77</v>
      </c>
      <c r="F45" t="s">
        <v>99</v>
      </c>
      <c r="G45" t="s">
        <v>100</v>
      </c>
      <c r="H45" t="s">
        <v>101</v>
      </c>
      <c r="I45">
        <v>8</v>
      </c>
      <c r="J45">
        <v>8</v>
      </c>
      <c r="K45">
        <v>8</v>
      </c>
      <c r="L45">
        <v>8</v>
      </c>
      <c r="M45">
        <v>8</v>
      </c>
      <c r="N45">
        <v>8</v>
      </c>
      <c r="O45">
        <v>9</v>
      </c>
      <c r="P45">
        <v>5</v>
      </c>
      <c r="Q45">
        <v>9</v>
      </c>
    </row>
    <row r="46" spans="1:17" x14ac:dyDescent="0.45">
      <c r="A46" s="19">
        <v>46017.518750000003</v>
      </c>
      <c r="B46" t="s">
        <v>72</v>
      </c>
      <c r="C46" t="s">
        <v>79</v>
      </c>
      <c r="D46" t="s">
        <v>74</v>
      </c>
      <c r="E46" t="s">
        <v>77</v>
      </c>
      <c r="F46" t="s">
        <v>99</v>
      </c>
      <c r="G46" t="s">
        <v>100</v>
      </c>
      <c r="H46" t="s">
        <v>104</v>
      </c>
      <c r="I46">
        <v>10</v>
      </c>
      <c r="J46">
        <v>10</v>
      </c>
      <c r="K46">
        <v>10</v>
      </c>
      <c r="L46">
        <v>9</v>
      </c>
      <c r="M46">
        <v>10</v>
      </c>
      <c r="N46">
        <v>10</v>
      </c>
      <c r="O46">
        <v>10</v>
      </c>
      <c r="P46">
        <v>10</v>
      </c>
      <c r="Q46">
        <v>10</v>
      </c>
    </row>
    <row r="47" spans="1:17" x14ac:dyDescent="0.45">
      <c r="A47" s="19">
        <v>46017.519444444442</v>
      </c>
      <c r="B47" t="s">
        <v>72</v>
      </c>
      <c r="C47" t="s">
        <v>190</v>
      </c>
      <c r="D47" t="s">
        <v>80</v>
      </c>
      <c r="E47" t="s">
        <v>77</v>
      </c>
      <c r="F47" t="s">
        <v>99</v>
      </c>
      <c r="G47" t="s">
        <v>193</v>
      </c>
      <c r="H47" t="s">
        <v>104</v>
      </c>
      <c r="I47">
        <v>1</v>
      </c>
      <c r="J47">
        <v>1</v>
      </c>
      <c r="K47">
        <v>2</v>
      </c>
      <c r="L47">
        <v>1</v>
      </c>
      <c r="M47">
        <v>1</v>
      </c>
      <c r="N47">
        <v>1</v>
      </c>
      <c r="O47">
        <v>1</v>
      </c>
      <c r="P47">
        <v>1</v>
      </c>
      <c r="Q47">
        <v>1</v>
      </c>
    </row>
    <row r="48" spans="1:17" x14ac:dyDescent="0.45">
      <c r="A48" s="19">
        <v>46017.519444444442</v>
      </c>
      <c r="B48" t="s">
        <v>78</v>
      </c>
      <c r="C48" t="s">
        <v>73</v>
      </c>
      <c r="D48" t="s">
        <v>74</v>
      </c>
      <c r="E48" t="s">
        <v>77</v>
      </c>
      <c r="F48" t="s">
        <v>99</v>
      </c>
      <c r="G48" t="s">
        <v>193</v>
      </c>
      <c r="H48" t="s">
        <v>109</v>
      </c>
      <c r="I48">
        <v>8</v>
      </c>
      <c r="J48">
        <v>8</v>
      </c>
      <c r="K48">
        <v>8</v>
      </c>
      <c r="L48">
        <v>7</v>
      </c>
      <c r="M48">
        <v>6</v>
      </c>
      <c r="N48">
        <v>8</v>
      </c>
      <c r="O48">
        <v>8</v>
      </c>
      <c r="P48">
        <v>9</v>
      </c>
      <c r="Q48">
        <v>8</v>
      </c>
    </row>
    <row r="49" spans="1:17" x14ac:dyDescent="0.45">
      <c r="A49" s="19">
        <v>46017.520138888889</v>
      </c>
      <c r="B49" t="s">
        <v>72</v>
      </c>
      <c r="C49" t="s">
        <v>73</v>
      </c>
      <c r="D49" t="s">
        <v>74</v>
      </c>
      <c r="E49" t="s">
        <v>77</v>
      </c>
      <c r="F49" t="s">
        <v>99</v>
      </c>
      <c r="G49" t="s">
        <v>108</v>
      </c>
      <c r="H49" t="s">
        <v>105</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99</v>
      </c>
      <c r="G50" t="s">
        <v>107</v>
      </c>
      <c r="H50" t="s">
        <v>104</v>
      </c>
      <c r="I50">
        <v>8</v>
      </c>
      <c r="J50">
        <v>8</v>
      </c>
      <c r="K50">
        <v>7</v>
      </c>
      <c r="L50">
        <v>8</v>
      </c>
      <c r="M50">
        <v>6</v>
      </c>
      <c r="N50">
        <v>8</v>
      </c>
      <c r="O50">
        <v>6</v>
      </c>
      <c r="P50">
        <v>5</v>
      </c>
      <c r="Q50">
        <v>8</v>
      </c>
    </row>
    <row r="51" spans="1:17" x14ac:dyDescent="0.45">
      <c r="A51" s="19">
        <v>46017.521527777775</v>
      </c>
      <c r="B51" t="s">
        <v>72</v>
      </c>
      <c r="C51" t="s">
        <v>73</v>
      </c>
      <c r="D51" t="s">
        <v>74</v>
      </c>
      <c r="E51" t="s">
        <v>77</v>
      </c>
      <c r="F51" t="s">
        <v>99</v>
      </c>
      <c r="G51" t="s">
        <v>195</v>
      </c>
      <c r="H51" t="s">
        <v>105</v>
      </c>
      <c r="I51">
        <v>10</v>
      </c>
      <c r="J51">
        <v>10</v>
      </c>
      <c r="K51">
        <v>10</v>
      </c>
      <c r="L51">
        <v>8</v>
      </c>
      <c r="M51">
        <v>8</v>
      </c>
      <c r="N51">
        <v>8</v>
      </c>
      <c r="O51">
        <v>8</v>
      </c>
      <c r="P51">
        <v>8</v>
      </c>
      <c r="Q51">
        <v>8</v>
      </c>
    </row>
    <row r="52" spans="1:17" x14ac:dyDescent="0.45">
      <c r="A52" s="19">
        <v>46017.526388888888</v>
      </c>
      <c r="B52" t="s">
        <v>78</v>
      </c>
      <c r="C52" t="s">
        <v>81</v>
      </c>
      <c r="D52" t="s">
        <v>74</v>
      </c>
      <c r="E52" t="s">
        <v>77</v>
      </c>
      <c r="F52" t="s">
        <v>99</v>
      </c>
      <c r="G52" t="s">
        <v>103</v>
      </c>
      <c r="H52" t="s">
        <v>109</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99</v>
      </c>
      <c r="G53" t="s">
        <v>195</v>
      </c>
      <c r="H53" t="s">
        <v>101</v>
      </c>
      <c r="I53">
        <v>10</v>
      </c>
      <c r="J53">
        <v>10</v>
      </c>
      <c r="K53">
        <v>10</v>
      </c>
      <c r="L53">
        <v>10</v>
      </c>
      <c r="M53">
        <v>10</v>
      </c>
      <c r="N53">
        <v>10</v>
      </c>
      <c r="O53">
        <v>10</v>
      </c>
      <c r="P53">
        <v>10</v>
      </c>
      <c r="Q53">
        <v>8</v>
      </c>
    </row>
    <row r="54" spans="1:17" x14ac:dyDescent="0.45">
      <c r="A54" s="19">
        <v>46017.53125</v>
      </c>
      <c r="B54" t="s">
        <v>78</v>
      </c>
      <c r="C54" t="s">
        <v>81</v>
      </c>
      <c r="D54" t="s">
        <v>74</v>
      </c>
      <c r="E54" t="s">
        <v>75</v>
      </c>
      <c r="F54" t="s">
        <v>99</v>
      </c>
      <c r="G54" t="s">
        <v>103</v>
      </c>
      <c r="H54" t="s">
        <v>104</v>
      </c>
      <c r="I54">
        <v>10</v>
      </c>
      <c r="J54">
        <v>10</v>
      </c>
      <c r="K54">
        <v>10</v>
      </c>
      <c r="L54">
        <v>10</v>
      </c>
      <c r="M54">
        <v>10</v>
      </c>
      <c r="N54">
        <v>10</v>
      </c>
      <c r="O54">
        <v>10</v>
      </c>
      <c r="P54">
        <v>10</v>
      </c>
      <c r="Q54">
        <v>10</v>
      </c>
    </row>
    <row r="55" spans="1:17" x14ac:dyDescent="0.45">
      <c r="A55" s="19">
        <v>46017.53125</v>
      </c>
      <c r="B55" t="s">
        <v>72</v>
      </c>
      <c r="C55" t="s">
        <v>79</v>
      </c>
      <c r="D55" t="s">
        <v>74</v>
      </c>
      <c r="E55" t="s">
        <v>77</v>
      </c>
      <c r="F55" t="s">
        <v>99</v>
      </c>
      <c r="G55" t="s">
        <v>108</v>
      </c>
      <c r="H55" t="s">
        <v>104</v>
      </c>
      <c r="I55">
        <v>8</v>
      </c>
      <c r="J55">
        <v>7</v>
      </c>
      <c r="K55">
        <v>7</v>
      </c>
      <c r="L55">
        <v>8</v>
      </c>
      <c r="M55">
        <v>7</v>
      </c>
      <c r="N55">
        <v>8</v>
      </c>
      <c r="O55">
        <v>7</v>
      </c>
      <c r="P55">
        <v>7</v>
      </c>
      <c r="Q55">
        <v>8</v>
      </c>
    </row>
    <row r="56" spans="1:17" x14ac:dyDescent="0.45">
      <c r="A56" s="19">
        <v>46017.533333333333</v>
      </c>
      <c r="B56" t="s">
        <v>72</v>
      </c>
      <c r="C56" t="s">
        <v>73</v>
      </c>
      <c r="D56" t="s">
        <v>74</v>
      </c>
      <c r="E56" t="s">
        <v>77</v>
      </c>
      <c r="F56" t="s">
        <v>99</v>
      </c>
      <c r="G56" t="s">
        <v>108</v>
      </c>
      <c r="H56" t="s">
        <v>101</v>
      </c>
      <c r="I56">
        <v>10</v>
      </c>
      <c r="J56">
        <v>9</v>
      </c>
      <c r="K56">
        <v>3</v>
      </c>
      <c r="L56">
        <v>4</v>
      </c>
      <c r="M56">
        <v>3</v>
      </c>
      <c r="N56">
        <v>3</v>
      </c>
      <c r="O56">
        <v>1</v>
      </c>
      <c r="P56">
        <v>1</v>
      </c>
      <c r="Q56">
        <v>3</v>
      </c>
    </row>
    <row r="57" spans="1:17" x14ac:dyDescent="0.45">
      <c r="A57" s="19">
        <v>46017.537499999999</v>
      </c>
      <c r="B57" t="s">
        <v>78</v>
      </c>
      <c r="C57" t="s">
        <v>81</v>
      </c>
      <c r="D57" t="s">
        <v>74</v>
      </c>
      <c r="E57" t="s">
        <v>77</v>
      </c>
      <c r="F57" t="s">
        <v>99</v>
      </c>
      <c r="G57" t="s">
        <v>193</v>
      </c>
      <c r="H57" t="s">
        <v>109</v>
      </c>
      <c r="I57">
        <v>10</v>
      </c>
      <c r="J57">
        <v>10</v>
      </c>
      <c r="K57">
        <v>9</v>
      </c>
      <c r="L57">
        <v>10</v>
      </c>
      <c r="M57">
        <v>9</v>
      </c>
      <c r="N57">
        <v>10</v>
      </c>
      <c r="O57">
        <v>9</v>
      </c>
      <c r="P57">
        <v>10</v>
      </c>
      <c r="Q57">
        <v>9</v>
      </c>
    </row>
    <row r="58" spans="1:17" x14ac:dyDescent="0.45">
      <c r="A58" s="19">
        <v>46017.55972222222</v>
      </c>
      <c r="B58" t="s">
        <v>72</v>
      </c>
      <c r="C58" t="s">
        <v>73</v>
      </c>
      <c r="D58" t="s">
        <v>74</v>
      </c>
      <c r="E58" t="s">
        <v>77</v>
      </c>
      <c r="F58" t="s">
        <v>99</v>
      </c>
      <c r="G58" t="s">
        <v>103</v>
      </c>
      <c r="H58" t="s">
        <v>104</v>
      </c>
      <c r="I58">
        <v>10</v>
      </c>
      <c r="J58">
        <v>10</v>
      </c>
      <c r="K58">
        <v>1</v>
      </c>
      <c r="L58">
        <v>5</v>
      </c>
      <c r="M58">
        <v>7</v>
      </c>
      <c r="N58">
        <v>10</v>
      </c>
      <c r="O58">
        <v>9</v>
      </c>
      <c r="P58">
        <v>9</v>
      </c>
      <c r="Q58">
        <v>10</v>
      </c>
    </row>
    <row r="59" spans="1:17" x14ac:dyDescent="0.45">
      <c r="A59" s="19">
        <v>46017.580555555556</v>
      </c>
      <c r="B59" t="s">
        <v>72</v>
      </c>
      <c r="C59" t="s">
        <v>79</v>
      </c>
      <c r="D59" t="s">
        <v>74</v>
      </c>
      <c r="E59" t="s">
        <v>75</v>
      </c>
      <c r="F59" t="s">
        <v>99</v>
      </c>
      <c r="G59" t="s">
        <v>100</v>
      </c>
      <c r="H59" t="s">
        <v>101</v>
      </c>
      <c r="I59">
        <v>5</v>
      </c>
      <c r="J59">
        <v>5</v>
      </c>
      <c r="K59">
        <v>4</v>
      </c>
      <c r="L59">
        <v>8</v>
      </c>
      <c r="M59">
        <v>5</v>
      </c>
      <c r="N59">
        <v>7</v>
      </c>
      <c r="O59">
        <v>7</v>
      </c>
      <c r="P59">
        <v>7</v>
      </c>
      <c r="Q59">
        <v>7</v>
      </c>
    </row>
    <row r="60" spans="1:17" x14ac:dyDescent="0.45">
      <c r="A60" s="19">
        <v>46017.626388888886</v>
      </c>
      <c r="B60" t="s">
        <v>72</v>
      </c>
      <c r="C60" t="s">
        <v>188</v>
      </c>
      <c r="D60" t="s">
        <v>74</v>
      </c>
      <c r="E60" t="s">
        <v>77</v>
      </c>
      <c r="F60" t="s">
        <v>102</v>
      </c>
      <c r="G60" t="s">
        <v>193</v>
      </c>
      <c r="H60" t="s">
        <v>109</v>
      </c>
      <c r="I60">
        <v>9</v>
      </c>
      <c r="J60">
        <v>9</v>
      </c>
      <c r="K60">
        <v>9</v>
      </c>
      <c r="L60">
        <v>7</v>
      </c>
      <c r="M60">
        <v>7</v>
      </c>
      <c r="N60">
        <v>8</v>
      </c>
      <c r="O60">
        <v>8</v>
      </c>
      <c r="P60">
        <v>6</v>
      </c>
      <c r="Q60">
        <v>5</v>
      </c>
    </row>
    <row r="61" spans="1:17" x14ac:dyDescent="0.45">
      <c r="A61" s="19">
        <v>46017.688194444447</v>
      </c>
      <c r="B61" t="s">
        <v>78</v>
      </c>
      <c r="C61" t="s">
        <v>81</v>
      </c>
      <c r="D61" t="s">
        <v>74</v>
      </c>
      <c r="E61" t="s">
        <v>77</v>
      </c>
      <c r="F61" t="s">
        <v>99</v>
      </c>
      <c r="G61" t="s">
        <v>103</v>
      </c>
      <c r="H61" t="s">
        <v>109</v>
      </c>
      <c r="I61">
        <v>5</v>
      </c>
      <c r="J61">
        <v>5</v>
      </c>
      <c r="K61">
        <v>5</v>
      </c>
      <c r="L61">
        <v>5</v>
      </c>
      <c r="M61">
        <v>5</v>
      </c>
      <c r="N61">
        <v>8</v>
      </c>
      <c r="O61">
        <v>4</v>
      </c>
      <c r="P61">
        <v>5</v>
      </c>
      <c r="Q61">
        <v>5</v>
      </c>
    </row>
    <row r="62" spans="1:17" x14ac:dyDescent="0.45">
      <c r="A62" s="19">
        <v>46017.698611111111</v>
      </c>
      <c r="B62" t="s">
        <v>72</v>
      </c>
      <c r="C62" t="s">
        <v>73</v>
      </c>
      <c r="D62" t="s">
        <v>74</v>
      </c>
      <c r="E62" t="s">
        <v>75</v>
      </c>
      <c r="F62" t="s">
        <v>99</v>
      </c>
      <c r="G62" t="s">
        <v>195</v>
      </c>
      <c r="H62" t="s">
        <v>101</v>
      </c>
      <c r="I62">
        <v>8</v>
      </c>
      <c r="J62">
        <v>9</v>
      </c>
      <c r="K62">
        <v>9</v>
      </c>
      <c r="L62">
        <v>9</v>
      </c>
      <c r="M62">
        <v>9</v>
      </c>
      <c r="N62">
        <v>8</v>
      </c>
      <c r="O62">
        <v>8</v>
      </c>
      <c r="P62">
        <v>8</v>
      </c>
      <c r="Q62">
        <v>9</v>
      </c>
    </row>
    <row r="63" spans="1:17" x14ac:dyDescent="0.45">
      <c r="A63" s="19">
        <v>46017.711111111108</v>
      </c>
      <c r="B63" t="s">
        <v>72</v>
      </c>
      <c r="C63" t="s">
        <v>81</v>
      </c>
      <c r="D63" t="s">
        <v>74</v>
      </c>
      <c r="E63" t="s">
        <v>75</v>
      </c>
      <c r="F63" t="s">
        <v>99</v>
      </c>
      <c r="G63" t="s">
        <v>100</v>
      </c>
      <c r="H63" t="s">
        <v>109</v>
      </c>
      <c r="I63">
        <v>9</v>
      </c>
      <c r="J63">
        <v>9</v>
      </c>
      <c r="K63">
        <v>7</v>
      </c>
      <c r="L63">
        <v>6</v>
      </c>
      <c r="M63">
        <v>7</v>
      </c>
      <c r="N63">
        <v>5</v>
      </c>
      <c r="O63">
        <v>6</v>
      </c>
      <c r="P63">
        <v>8</v>
      </c>
      <c r="Q63">
        <v>5</v>
      </c>
    </row>
    <row r="64" spans="1:17" x14ac:dyDescent="0.45">
      <c r="A64" s="19">
        <v>46017.80972222222</v>
      </c>
      <c r="B64" t="s">
        <v>72</v>
      </c>
      <c r="C64" t="s">
        <v>190</v>
      </c>
      <c r="D64" t="s">
        <v>80</v>
      </c>
      <c r="E64" t="s">
        <v>77</v>
      </c>
      <c r="F64" t="s">
        <v>99</v>
      </c>
      <c r="G64" t="s">
        <v>195</v>
      </c>
      <c r="H64" t="s">
        <v>101</v>
      </c>
      <c r="I64">
        <v>9</v>
      </c>
      <c r="J64">
        <v>9</v>
      </c>
      <c r="K64">
        <v>9</v>
      </c>
      <c r="L64">
        <v>9</v>
      </c>
      <c r="M64">
        <v>8</v>
      </c>
      <c r="N64">
        <v>9</v>
      </c>
      <c r="O64">
        <v>9</v>
      </c>
      <c r="P64">
        <v>8</v>
      </c>
      <c r="Q64">
        <v>7</v>
      </c>
    </row>
    <row r="65" spans="1:17" x14ac:dyDescent="0.45">
      <c r="A65" s="19">
        <v>46018.36041666667</v>
      </c>
      <c r="B65" t="s">
        <v>72</v>
      </c>
      <c r="C65" t="s">
        <v>73</v>
      </c>
      <c r="D65" t="s">
        <v>74</v>
      </c>
      <c r="E65" t="s">
        <v>77</v>
      </c>
      <c r="F65" t="s">
        <v>102</v>
      </c>
      <c r="G65" t="s">
        <v>107</v>
      </c>
      <c r="H65" t="s">
        <v>104</v>
      </c>
      <c r="I65">
        <v>9</v>
      </c>
      <c r="J65">
        <v>10</v>
      </c>
      <c r="K65">
        <v>9</v>
      </c>
      <c r="L65">
        <v>10</v>
      </c>
      <c r="M65">
        <v>10</v>
      </c>
      <c r="N65">
        <v>5</v>
      </c>
      <c r="O65">
        <v>10</v>
      </c>
      <c r="P65">
        <v>7</v>
      </c>
      <c r="Q65">
        <v>9</v>
      </c>
    </row>
    <row r="66" spans="1:17" x14ac:dyDescent="0.45">
      <c r="A66" s="19">
        <v>46019.6</v>
      </c>
      <c r="B66" t="s">
        <v>72</v>
      </c>
      <c r="C66" t="s">
        <v>79</v>
      </c>
      <c r="D66" t="s">
        <v>80</v>
      </c>
      <c r="E66" t="s">
        <v>77</v>
      </c>
      <c r="F66" t="s">
        <v>99</v>
      </c>
      <c r="G66" t="s">
        <v>193</v>
      </c>
      <c r="H66" t="s">
        <v>104</v>
      </c>
      <c r="I66">
        <v>10</v>
      </c>
      <c r="J66">
        <v>10</v>
      </c>
      <c r="K66">
        <v>10</v>
      </c>
      <c r="L66">
        <v>10</v>
      </c>
      <c r="M66">
        <v>10</v>
      </c>
      <c r="N66">
        <v>10</v>
      </c>
      <c r="O66">
        <v>10</v>
      </c>
      <c r="P66">
        <v>10</v>
      </c>
      <c r="Q66">
        <v>10</v>
      </c>
    </row>
    <row r="67" spans="1:17" x14ac:dyDescent="0.45">
      <c r="A67" s="19">
        <v>46019.604166666664</v>
      </c>
      <c r="B67" t="s">
        <v>72</v>
      </c>
      <c r="C67" t="s">
        <v>81</v>
      </c>
      <c r="D67" t="s">
        <v>74</v>
      </c>
      <c r="E67" t="s">
        <v>189</v>
      </c>
      <c r="F67" t="s">
        <v>99</v>
      </c>
      <c r="G67" t="s">
        <v>103</v>
      </c>
      <c r="H67" t="s">
        <v>109</v>
      </c>
      <c r="I67">
        <v>7</v>
      </c>
      <c r="J67">
        <v>5</v>
      </c>
      <c r="K67">
        <v>3</v>
      </c>
      <c r="L67">
        <v>5</v>
      </c>
      <c r="M67">
        <v>4</v>
      </c>
      <c r="N67">
        <v>3</v>
      </c>
      <c r="O67">
        <v>5</v>
      </c>
      <c r="P67">
        <v>6</v>
      </c>
      <c r="Q67">
        <v>6</v>
      </c>
    </row>
    <row r="68" spans="1:17" x14ac:dyDescent="0.45">
      <c r="A68" s="19">
        <v>46019.626388888886</v>
      </c>
      <c r="B68" t="s">
        <v>78</v>
      </c>
      <c r="C68" t="s">
        <v>79</v>
      </c>
      <c r="D68" t="s">
        <v>74</v>
      </c>
      <c r="E68" t="s">
        <v>75</v>
      </c>
      <c r="F68" t="s">
        <v>99</v>
      </c>
      <c r="G68" t="s">
        <v>106</v>
      </c>
      <c r="H68" t="s">
        <v>104</v>
      </c>
      <c r="I68">
        <v>5</v>
      </c>
      <c r="J68">
        <v>5</v>
      </c>
      <c r="K68">
        <v>4</v>
      </c>
      <c r="L68">
        <v>4</v>
      </c>
      <c r="M68">
        <v>2</v>
      </c>
      <c r="N68">
        <v>3</v>
      </c>
      <c r="O68">
        <v>2</v>
      </c>
      <c r="P68">
        <v>3</v>
      </c>
      <c r="Q68">
        <v>3</v>
      </c>
    </row>
    <row r="69" spans="1:17" x14ac:dyDescent="0.45">
      <c r="A69" s="19">
        <v>46019.645833333336</v>
      </c>
      <c r="B69" t="s">
        <v>72</v>
      </c>
      <c r="C69" t="s">
        <v>79</v>
      </c>
      <c r="D69" t="s">
        <v>74</v>
      </c>
      <c r="E69" t="s">
        <v>77</v>
      </c>
      <c r="F69" t="s">
        <v>99</v>
      </c>
      <c r="G69" t="s">
        <v>110</v>
      </c>
      <c r="H69" t="s">
        <v>104</v>
      </c>
      <c r="I69">
        <v>4</v>
      </c>
      <c r="J69">
        <v>3</v>
      </c>
      <c r="K69">
        <v>1</v>
      </c>
      <c r="L69">
        <v>5</v>
      </c>
      <c r="M69">
        <v>4</v>
      </c>
      <c r="N69">
        <v>3</v>
      </c>
      <c r="O69">
        <v>1</v>
      </c>
      <c r="P69">
        <v>3</v>
      </c>
      <c r="Q69">
        <v>5</v>
      </c>
    </row>
    <row r="70" spans="1:17" x14ac:dyDescent="0.45">
      <c r="A70" s="19">
        <v>46019.647916666669</v>
      </c>
      <c r="B70" t="s">
        <v>78</v>
      </c>
      <c r="C70" t="s">
        <v>81</v>
      </c>
      <c r="D70" t="s">
        <v>74</v>
      </c>
      <c r="E70" t="s">
        <v>77</v>
      </c>
      <c r="F70" t="s">
        <v>99</v>
      </c>
      <c r="G70" t="s">
        <v>195</v>
      </c>
      <c r="H70" t="s">
        <v>109</v>
      </c>
      <c r="I70">
        <v>7</v>
      </c>
      <c r="J70">
        <v>7</v>
      </c>
      <c r="K70">
        <v>8</v>
      </c>
      <c r="L70">
        <v>9</v>
      </c>
      <c r="M70">
        <v>8</v>
      </c>
      <c r="N70">
        <v>10</v>
      </c>
      <c r="O70">
        <v>9</v>
      </c>
      <c r="P70">
        <v>9</v>
      </c>
      <c r="Q70">
        <v>9</v>
      </c>
    </row>
    <row r="71" spans="1:17" x14ac:dyDescent="0.45">
      <c r="A71" s="19">
        <v>46019.648611111108</v>
      </c>
      <c r="B71" t="s">
        <v>78</v>
      </c>
      <c r="C71" t="s">
        <v>79</v>
      </c>
      <c r="D71" t="s">
        <v>74</v>
      </c>
      <c r="E71" t="s">
        <v>75</v>
      </c>
      <c r="F71" t="s">
        <v>102</v>
      </c>
      <c r="G71" t="s">
        <v>107</v>
      </c>
      <c r="H71" t="s">
        <v>101</v>
      </c>
      <c r="I71">
        <v>6</v>
      </c>
      <c r="J71">
        <v>6</v>
      </c>
      <c r="K71">
        <v>5</v>
      </c>
      <c r="L71">
        <v>5</v>
      </c>
      <c r="M71">
        <v>5</v>
      </c>
      <c r="N71">
        <v>1</v>
      </c>
      <c r="O71">
        <v>5</v>
      </c>
      <c r="P71">
        <v>5</v>
      </c>
      <c r="Q71">
        <v>5</v>
      </c>
    </row>
    <row r="72" spans="1:17" x14ac:dyDescent="0.45">
      <c r="A72" s="19">
        <v>46019.650694444441</v>
      </c>
      <c r="B72" t="s">
        <v>72</v>
      </c>
      <c r="C72" t="s">
        <v>73</v>
      </c>
      <c r="D72" t="s">
        <v>74</v>
      </c>
      <c r="E72" t="s">
        <v>75</v>
      </c>
      <c r="F72" t="s">
        <v>99</v>
      </c>
      <c r="G72" t="s">
        <v>100</v>
      </c>
      <c r="H72" t="s">
        <v>104</v>
      </c>
      <c r="I72">
        <v>3</v>
      </c>
      <c r="J72">
        <v>3</v>
      </c>
      <c r="K72">
        <v>3</v>
      </c>
      <c r="L72">
        <v>5</v>
      </c>
      <c r="M72">
        <v>3</v>
      </c>
      <c r="N72">
        <v>3</v>
      </c>
      <c r="O72">
        <v>3</v>
      </c>
      <c r="P72">
        <v>3</v>
      </c>
      <c r="Q72">
        <v>4</v>
      </c>
    </row>
    <row r="73" spans="1:17" x14ac:dyDescent="0.45">
      <c r="A73" s="19">
        <v>46019.652083333334</v>
      </c>
      <c r="B73" t="s">
        <v>78</v>
      </c>
      <c r="C73" t="s">
        <v>73</v>
      </c>
      <c r="D73" t="s">
        <v>74</v>
      </c>
      <c r="E73" t="s">
        <v>77</v>
      </c>
      <c r="F73" t="s">
        <v>102</v>
      </c>
      <c r="G73" t="s">
        <v>195</v>
      </c>
      <c r="H73" t="s">
        <v>105</v>
      </c>
      <c r="I73">
        <v>8</v>
      </c>
      <c r="J73">
        <v>8</v>
      </c>
      <c r="K73">
        <v>4</v>
      </c>
      <c r="L73">
        <v>2</v>
      </c>
      <c r="M73">
        <v>6</v>
      </c>
      <c r="N73">
        <v>3</v>
      </c>
      <c r="O73">
        <v>8</v>
      </c>
      <c r="P73">
        <v>4</v>
      </c>
      <c r="Q73">
        <v>8</v>
      </c>
    </row>
    <row r="74" spans="1:17" x14ac:dyDescent="0.45">
      <c r="A74" s="19">
        <v>46019.658333333333</v>
      </c>
      <c r="B74" t="s">
        <v>78</v>
      </c>
      <c r="C74" t="s">
        <v>188</v>
      </c>
      <c r="D74" t="s">
        <v>74</v>
      </c>
      <c r="E74" t="s">
        <v>191</v>
      </c>
      <c r="F74" t="s">
        <v>99</v>
      </c>
      <c r="G74" t="s">
        <v>103</v>
      </c>
      <c r="H74" t="s">
        <v>109</v>
      </c>
      <c r="I74">
        <v>5</v>
      </c>
      <c r="J74">
        <v>5</v>
      </c>
      <c r="K74">
        <v>5</v>
      </c>
      <c r="L74">
        <v>5</v>
      </c>
      <c r="M74">
        <v>5</v>
      </c>
      <c r="N74">
        <v>10</v>
      </c>
      <c r="O74">
        <v>5</v>
      </c>
      <c r="P74">
        <v>5</v>
      </c>
      <c r="Q74">
        <v>10</v>
      </c>
    </row>
    <row r="75" spans="1:17" x14ac:dyDescent="0.45">
      <c r="A75" s="19">
        <v>46019.685416666667</v>
      </c>
      <c r="B75" t="s">
        <v>72</v>
      </c>
      <c r="C75" t="s">
        <v>73</v>
      </c>
      <c r="D75" t="s">
        <v>74</v>
      </c>
      <c r="E75" t="s">
        <v>77</v>
      </c>
      <c r="F75" t="s">
        <v>102</v>
      </c>
      <c r="G75" t="s">
        <v>195</v>
      </c>
      <c r="H75" t="s">
        <v>101</v>
      </c>
      <c r="I75">
        <v>5</v>
      </c>
      <c r="J75">
        <v>10</v>
      </c>
      <c r="K75">
        <v>2</v>
      </c>
      <c r="L75">
        <v>8</v>
      </c>
      <c r="M75">
        <v>5</v>
      </c>
      <c r="N75">
        <v>5</v>
      </c>
      <c r="O75">
        <v>1</v>
      </c>
      <c r="P75">
        <v>4</v>
      </c>
      <c r="Q75">
        <v>5</v>
      </c>
    </row>
    <row r="76" spans="1:17" x14ac:dyDescent="0.45">
      <c r="A76" s="19">
        <v>46019.6875</v>
      </c>
      <c r="B76" t="s">
        <v>78</v>
      </c>
      <c r="C76" t="s">
        <v>79</v>
      </c>
      <c r="D76" t="s">
        <v>74</v>
      </c>
      <c r="E76" t="s">
        <v>75</v>
      </c>
      <c r="F76" t="s">
        <v>99</v>
      </c>
      <c r="G76" t="s">
        <v>110</v>
      </c>
      <c r="H76" t="s">
        <v>104</v>
      </c>
      <c r="I76">
        <v>8</v>
      </c>
      <c r="J76">
        <v>9</v>
      </c>
      <c r="K76">
        <v>9</v>
      </c>
      <c r="L76">
        <v>9</v>
      </c>
      <c r="M76">
        <v>3</v>
      </c>
      <c r="N76">
        <v>3</v>
      </c>
      <c r="O76">
        <v>2</v>
      </c>
      <c r="P76">
        <v>2</v>
      </c>
      <c r="Q76">
        <v>6</v>
      </c>
    </row>
    <row r="77" spans="1:17" x14ac:dyDescent="0.45">
      <c r="A77" s="19">
        <v>46019.693749999999</v>
      </c>
      <c r="B77" t="s">
        <v>78</v>
      </c>
      <c r="C77" t="s">
        <v>79</v>
      </c>
      <c r="D77" t="s">
        <v>80</v>
      </c>
      <c r="E77" t="s">
        <v>191</v>
      </c>
      <c r="F77" t="s">
        <v>102</v>
      </c>
      <c r="G77" t="s">
        <v>103</v>
      </c>
      <c r="H77" t="s">
        <v>105</v>
      </c>
      <c r="I77">
        <v>5</v>
      </c>
      <c r="J77">
        <v>5</v>
      </c>
      <c r="K77">
        <v>5</v>
      </c>
      <c r="L77">
        <v>5</v>
      </c>
      <c r="M77">
        <v>5</v>
      </c>
      <c r="N77">
        <v>5</v>
      </c>
      <c r="O77">
        <v>5</v>
      </c>
      <c r="P77">
        <v>5</v>
      </c>
      <c r="Q77">
        <v>5</v>
      </c>
    </row>
    <row r="78" spans="1:17" x14ac:dyDescent="0.45">
      <c r="A78" s="19">
        <v>46019.697222222225</v>
      </c>
      <c r="B78" t="s">
        <v>72</v>
      </c>
      <c r="C78" t="s">
        <v>190</v>
      </c>
      <c r="D78" t="s">
        <v>74</v>
      </c>
      <c r="E78" t="s">
        <v>77</v>
      </c>
      <c r="F78" t="s">
        <v>99</v>
      </c>
      <c r="G78" t="s">
        <v>103</v>
      </c>
      <c r="H78" t="s">
        <v>104</v>
      </c>
      <c r="I78">
        <v>8</v>
      </c>
      <c r="J78">
        <v>8</v>
      </c>
      <c r="K78">
        <v>8</v>
      </c>
      <c r="L78">
        <v>8</v>
      </c>
      <c r="M78">
        <v>9</v>
      </c>
      <c r="N78">
        <v>7</v>
      </c>
      <c r="O78">
        <v>9</v>
      </c>
      <c r="P78">
        <v>10</v>
      </c>
      <c r="Q78">
        <v>8</v>
      </c>
    </row>
    <row r="79" spans="1:17" x14ac:dyDescent="0.45">
      <c r="A79" s="19">
        <v>46019.699305555558</v>
      </c>
      <c r="B79" t="s">
        <v>72</v>
      </c>
      <c r="C79" t="s">
        <v>73</v>
      </c>
      <c r="D79" t="s">
        <v>74</v>
      </c>
      <c r="E79" t="s">
        <v>75</v>
      </c>
      <c r="F79" t="s">
        <v>99</v>
      </c>
      <c r="G79" t="s">
        <v>108</v>
      </c>
      <c r="H79" t="s">
        <v>104</v>
      </c>
      <c r="I79">
        <v>8</v>
      </c>
      <c r="J79">
        <v>7</v>
      </c>
      <c r="K79">
        <v>9</v>
      </c>
      <c r="L79">
        <v>8</v>
      </c>
      <c r="M79">
        <v>8</v>
      </c>
      <c r="N79">
        <v>8</v>
      </c>
      <c r="O79">
        <v>6</v>
      </c>
      <c r="P79">
        <v>6</v>
      </c>
      <c r="Q79">
        <v>7</v>
      </c>
    </row>
    <row r="80" spans="1:17" x14ac:dyDescent="0.45">
      <c r="A80" s="19">
        <v>46019.737500000003</v>
      </c>
      <c r="B80" t="s">
        <v>72</v>
      </c>
      <c r="C80" t="s">
        <v>192</v>
      </c>
      <c r="D80" t="s">
        <v>74</v>
      </c>
      <c r="E80" t="s">
        <v>191</v>
      </c>
      <c r="F80" t="s">
        <v>196</v>
      </c>
      <c r="G80" t="s">
        <v>103</v>
      </c>
      <c r="H80" t="s">
        <v>109</v>
      </c>
      <c r="I80">
        <v>6</v>
      </c>
      <c r="J80">
        <v>2</v>
      </c>
      <c r="K80">
        <v>3</v>
      </c>
      <c r="L80">
        <v>2</v>
      </c>
      <c r="M80">
        <v>3</v>
      </c>
      <c r="N80">
        <v>7</v>
      </c>
      <c r="O80">
        <v>5</v>
      </c>
      <c r="P80">
        <v>5</v>
      </c>
      <c r="Q80">
        <v>7</v>
      </c>
    </row>
    <row r="81" spans="1:17" x14ac:dyDescent="0.45">
      <c r="A81" s="19">
        <v>46019.746527777781</v>
      </c>
      <c r="B81" t="s">
        <v>78</v>
      </c>
      <c r="C81" t="s">
        <v>81</v>
      </c>
      <c r="D81" t="s">
        <v>74</v>
      </c>
      <c r="E81" t="s">
        <v>77</v>
      </c>
      <c r="F81" t="s">
        <v>99</v>
      </c>
      <c r="G81" t="s">
        <v>103</v>
      </c>
      <c r="H81" t="s">
        <v>109</v>
      </c>
      <c r="I81">
        <v>8</v>
      </c>
      <c r="J81">
        <v>8</v>
      </c>
      <c r="K81">
        <v>8</v>
      </c>
      <c r="L81">
        <v>8</v>
      </c>
      <c r="M81">
        <v>8</v>
      </c>
      <c r="N81">
        <v>8</v>
      </c>
      <c r="O81">
        <v>8</v>
      </c>
      <c r="P81">
        <v>8</v>
      </c>
      <c r="Q81">
        <v>8</v>
      </c>
    </row>
    <row r="82" spans="1:17" x14ac:dyDescent="0.45">
      <c r="A82" s="19">
        <v>46019.775694444441</v>
      </c>
      <c r="B82" t="s">
        <v>78</v>
      </c>
      <c r="C82" t="s">
        <v>192</v>
      </c>
      <c r="D82" t="s">
        <v>74</v>
      </c>
      <c r="E82" t="s">
        <v>75</v>
      </c>
      <c r="F82" t="s">
        <v>196</v>
      </c>
      <c r="G82" t="s">
        <v>193</v>
      </c>
      <c r="H82" t="s">
        <v>109</v>
      </c>
      <c r="I82">
        <v>7</v>
      </c>
      <c r="J82">
        <v>7</v>
      </c>
      <c r="K82">
        <v>5</v>
      </c>
      <c r="L82">
        <v>5</v>
      </c>
      <c r="M82">
        <v>6</v>
      </c>
      <c r="N82">
        <v>5</v>
      </c>
      <c r="O82">
        <v>8</v>
      </c>
      <c r="P82">
        <v>6</v>
      </c>
      <c r="Q82">
        <v>8</v>
      </c>
    </row>
    <row r="83" spans="1:17" x14ac:dyDescent="0.45">
      <c r="A83" s="19">
        <v>46019.807638888888</v>
      </c>
      <c r="B83" t="s">
        <v>72</v>
      </c>
      <c r="C83" t="s">
        <v>192</v>
      </c>
      <c r="D83" t="s">
        <v>74</v>
      </c>
      <c r="E83" t="s">
        <v>77</v>
      </c>
      <c r="F83" t="s">
        <v>196</v>
      </c>
      <c r="G83" t="s">
        <v>103</v>
      </c>
      <c r="H83" t="s">
        <v>101</v>
      </c>
      <c r="I83">
        <v>8</v>
      </c>
      <c r="J83">
        <v>9</v>
      </c>
      <c r="K83">
        <v>5</v>
      </c>
      <c r="L83">
        <v>5</v>
      </c>
      <c r="M83">
        <v>5</v>
      </c>
      <c r="N83">
        <v>5</v>
      </c>
      <c r="O83">
        <v>1</v>
      </c>
      <c r="P83">
        <v>5</v>
      </c>
      <c r="Q83">
        <v>5</v>
      </c>
    </row>
    <row r="84" spans="1:17" x14ac:dyDescent="0.45">
      <c r="A84" s="19">
        <v>46019.814583333333</v>
      </c>
      <c r="B84" t="s">
        <v>72</v>
      </c>
      <c r="C84" t="s">
        <v>79</v>
      </c>
      <c r="D84" t="s">
        <v>74</v>
      </c>
      <c r="E84" t="s">
        <v>75</v>
      </c>
      <c r="F84" t="s">
        <v>99</v>
      </c>
      <c r="G84" t="s">
        <v>103</v>
      </c>
      <c r="H84" t="s">
        <v>104</v>
      </c>
      <c r="I84">
        <v>10</v>
      </c>
      <c r="J84">
        <v>8</v>
      </c>
      <c r="K84">
        <v>8</v>
      </c>
      <c r="L84">
        <v>7</v>
      </c>
      <c r="M84">
        <v>7</v>
      </c>
      <c r="N84">
        <v>6</v>
      </c>
      <c r="O84">
        <v>7</v>
      </c>
      <c r="P84">
        <v>6</v>
      </c>
      <c r="Q84">
        <v>8</v>
      </c>
    </row>
    <row r="85" spans="1:17" x14ac:dyDescent="0.45">
      <c r="A85" s="19">
        <v>46019.818055555559</v>
      </c>
      <c r="B85" t="s">
        <v>72</v>
      </c>
      <c r="C85" t="s">
        <v>73</v>
      </c>
      <c r="D85" t="s">
        <v>74</v>
      </c>
      <c r="E85" t="s">
        <v>189</v>
      </c>
      <c r="F85" t="s">
        <v>99</v>
      </c>
      <c r="G85" t="s">
        <v>103</v>
      </c>
      <c r="H85" t="s">
        <v>101</v>
      </c>
      <c r="I85">
        <v>6</v>
      </c>
      <c r="J85">
        <v>7</v>
      </c>
      <c r="K85">
        <v>5</v>
      </c>
      <c r="L85">
        <v>5</v>
      </c>
      <c r="M85">
        <v>5</v>
      </c>
      <c r="N85">
        <v>5</v>
      </c>
      <c r="O85">
        <v>5</v>
      </c>
      <c r="P85">
        <v>5</v>
      </c>
      <c r="Q85">
        <v>5</v>
      </c>
    </row>
    <row r="86" spans="1:17" x14ac:dyDescent="0.45">
      <c r="A86" s="19">
        <v>46019.819444444445</v>
      </c>
      <c r="B86" t="s">
        <v>72</v>
      </c>
      <c r="C86" t="s">
        <v>79</v>
      </c>
      <c r="D86" t="s">
        <v>74</v>
      </c>
      <c r="E86" t="s">
        <v>77</v>
      </c>
      <c r="F86" t="s">
        <v>99</v>
      </c>
      <c r="G86" t="s">
        <v>103</v>
      </c>
      <c r="H86" t="s">
        <v>104</v>
      </c>
      <c r="I86">
        <v>9</v>
      </c>
      <c r="J86">
        <v>9</v>
      </c>
      <c r="K86">
        <v>8</v>
      </c>
      <c r="L86">
        <v>9</v>
      </c>
      <c r="M86">
        <v>9</v>
      </c>
      <c r="N86">
        <v>9</v>
      </c>
      <c r="O86">
        <v>7</v>
      </c>
      <c r="P86">
        <v>8</v>
      </c>
      <c r="Q86">
        <v>8</v>
      </c>
    </row>
    <row r="87" spans="1:17" x14ac:dyDescent="0.45">
      <c r="A87" s="19">
        <v>46019.820138888892</v>
      </c>
      <c r="B87" t="s">
        <v>78</v>
      </c>
      <c r="C87" t="s">
        <v>73</v>
      </c>
      <c r="D87" t="s">
        <v>80</v>
      </c>
      <c r="E87" t="s">
        <v>77</v>
      </c>
      <c r="F87" t="s">
        <v>99</v>
      </c>
      <c r="G87" t="s">
        <v>103</v>
      </c>
      <c r="H87" t="s">
        <v>109</v>
      </c>
      <c r="I87">
        <v>5</v>
      </c>
      <c r="J87">
        <v>5</v>
      </c>
      <c r="K87">
        <v>10</v>
      </c>
      <c r="L87">
        <v>4</v>
      </c>
      <c r="M87">
        <v>4</v>
      </c>
      <c r="N87">
        <v>5</v>
      </c>
      <c r="O87">
        <v>5</v>
      </c>
      <c r="P87">
        <v>8</v>
      </c>
      <c r="Q87">
        <v>8</v>
      </c>
    </row>
    <row r="88" spans="1:17" x14ac:dyDescent="0.45">
      <c r="A88" s="19">
        <v>46019.824999999997</v>
      </c>
      <c r="B88" t="s">
        <v>78</v>
      </c>
      <c r="C88" t="s">
        <v>79</v>
      </c>
      <c r="D88" t="s">
        <v>74</v>
      </c>
      <c r="E88" t="s">
        <v>77</v>
      </c>
      <c r="F88" t="s">
        <v>99</v>
      </c>
      <c r="G88" t="s">
        <v>103</v>
      </c>
      <c r="H88" t="s">
        <v>104</v>
      </c>
      <c r="I88">
        <v>10</v>
      </c>
      <c r="J88">
        <v>9</v>
      </c>
      <c r="K88">
        <v>9</v>
      </c>
      <c r="L88">
        <v>9</v>
      </c>
      <c r="M88">
        <v>9</v>
      </c>
      <c r="N88">
        <v>9</v>
      </c>
      <c r="O88">
        <v>10</v>
      </c>
      <c r="P88">
        <v>9</v>
      </c>
      <c r="Q88">
        <v>10</v>
      </c>
    </row>
    <row r="89" spans="1:17" x14ac:dyDescent="0.45">
      <c r="A89" s="19">
        <v>46019.836805555555</v>
      </c>
      <c r="B89" t="s">
        <v>72</v>
      </c>
      <c r="C89" t="s">
        <v>79</v>
      </c>
      <c r="D89" t="s">
        <v>74</v>
      </c>
      <c r="E89" t="s">
        <v>191</v>
      </c>
      <c r="F89" t="s">
        <v>99</v>
      </c>
      <c r="G89" t="s">
        <v>193</v>
      </c>
      <c r="H89" t="s">
        <v>104</v>
      </c>
      <c r="I89">
        <v>10</v>
      </c>
      <c r="J89">
        <v>10</v>
      </c>
      <c r="K89">
        <v>10</v>
      </c>
      <c r="L89">
        <v>10</v>
      </c>
      <c r="M89">
        <v>10</v>
      </c>
      <c r="N89">
        <v>10</v>
      </c>
      <c r="O89">
        <v>10</v>
      </c>
      <c r="P89">
        <v>10</v>
      </c>
      <c r="Q89">
        <v>10</v>
      </c>
    </row>
    <row r="90" spans="1:17" x14ac:dyDescent="0.45">
      <c r="A90" s="19">
        <v>46019.838888888888</v>
      </c>
      <c r="B90" t="s">
        <v>72</v>
      </c>
      <c r="C90" t="s">
        <v>73</v>
      </c>
      <c r="D90" t="s">
        <v>74</v>
      </c>
      <c r="E90" t="s">
        <v>189</v>
      </c>
      <c r="F90" t="s">
        <v>99</v>
      </c>
      <c r="G90" t="s">
        <v>193</v>
      </c>
      <c r="H90" t="s">
        <v>101</v>
      </c>
      <c r="I90">
        <v>10</v>
      </c>
      <c r="J90">
        <v>9</v>
      </c>
      <c r="K90">
        <v>9</v>
      </c>
      <c r="L90">
        <v>9</v>
      </c>
      <c r="M90">
        <v>10</v>
      </c>
      <c r="N90">
        <v>9</v>
      </c>
      <c r="O90">
        <v>9</v>
      </c>
      <c r="P90">
        <v>8</v>
      </c>
      <c r="Q90">
        <v>9</v>
      </c>
    </row>
    <row r="91" spans="1:17" x14ac:dyDescent="0.45">
      <c r="A91" s="19">
        <v>46019.84097222222</v>
      </c>
      <c r="B91" t="s">
        <v>72</v>
      </c>
      <c r="C91" t="s">
        <v>73</v>
      </c>
      <c r="D91" t="s">
        <v>80</v>
      </c>
      <c r="E91" t="s">
        <v>77</v>
      </c>
      <c r="F91" t="s">
        <v>99</v>
      </c>
      <c r="G91" t="s">
        <v>193</v>
      </c>
      <c r="H91" t="s">
        <v>194</v>
      </c>
      <c r="I91">
        <v>6</v>
      </c>
      <c r="J91">
        <v>10</v>
      </c>
      <c r="K91">
        <v>8</v>
      </c>
      <c r="L91">
        <v>9</v>
      </c>
      <c r="M91">
        <v>9</v>
      </c>
      <c r="N91">
        <v>9</v>
      </c>
      <c r="O91">
        <v>8</v>
      </c>
      <c r="P91">
        <v>8</v>
      </c>
      <c r="Q91">
        <v>9</v>
      </c>
    </row>
    <row r="92" spans="1:17" x14ac:dyDescent="0.45">
      <c r="A92" s="19">
        <v>46019.848611111112</v>
      </c>
      <c r="B92" t="s">
        <v>72</v>
      </c>
      <c r="C92" t="s">
        <v>73</v>
      </c>
      <c r="D92" t="s">
        <v>74</v>
      </c>
      <c r="E92" t="s">
        <v>77</v>
      </c>
      <c r="F92" t="s">
        <v>99</v>
      </c>
      <c r="G92" t="s">
        <v>193</v>
      </c>
      <c r="H92" t="s">
        <v>104</v>
      </c>
      <c r="I92">
        <v>10</v>
      </c>
      <c r="J92">
        <v>9</v>
      </c>
      <c r="K92">
        <v>9</v>
      </c>
      <c r="L92">
        <v>9</v>
      </c>
      <c r="M92">
        <v>10</v>
      </c>
      <c r="N92">
        <v>9</v>
      </c>
      <c r="O92">
        <v>8</v>
      </c>
      <c r="P92">
        <v>8</v>
      </c>
      <c r="Q92">
        <v>10</v>
      </c>
    </row>
    <row r="93" spans="1:17" x14ac:dyDescent="0.45">
      <c r="A93" s="19">
        <v>46019.859722222223</v>
      </c>
      <c r="B93" t="s">
        <v>78</v>
      </c>
      <c r="C93" t="s">
        <v>73</v>
      </c>
      <c r="D93" t="s">
        <v>74</v>
      </c>
      <c r="E93" t="s">
        <v>77</v>
      </c>
      <c r="F93" t="s">
        <v>99</v>
      </c>
      <c r="G93" t="s">
        <v>193</v>
      </c>
      <c r="H93" t="s">
        <v>104</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99</v>
      </c>
      <c r="G94" t="s">
        <v>108</v>
      </c>
      <c r="H94" t="s">
        <v>104</v>
      </c>
      <c r="I94">
        <v>5</v>
      </c>
      <c r="J94">
        <v>8</v>
      </c>
      <c r="K94">
        <v>4</v>
      </c>
      <c r="L94">
        <v>9</v>
      </c>
      <c r="M94">
        <v>7</v>
      </c>
      <c r="N94">
        <v>5</v>
      </c>
      <c r="O94">
        <v>7</v>
      </c>
      <c r="P94">
        <v>8</v>
      </c>
      <c r="Q94">
        <v>10</v>
      </c>
    </row>
    <row r="95" spans="1:17" x14ac:dyDescent="0.45">
      <c r="A95" s="19">
        <v>46019.88958333333</v>
      </c>
      <c r="B95" t="s">
        <v>72</v>
      </c>
      <c r="C95" t="s">
        <v>73</v>
      </c>
      <c r="D95" t="s">
        <v>74</v>
      </c>
      <c r="E95" t="s">
        <v>75</v>
      </c>
      <c r="F95" t="s">
        <v>99</v>
      </c>
      <c r="G95" t="s">
        <v>193</v>
      </c>
      <c r="H95" t="s">
        <v>109</v>
      </c>
      <c r="I95">
        <v>9</v>
      </c>
      <c r="J95">
        <v>7</v>
      </c>
      <c r="K95">
        <v>5</v>
      </c>
      <c r="L95">
        <v>7</v>
      </c>
      <c r="M95">
        <v>5</v>
      </c>
      <c r="N95">
        <v>8</v>
      </c>
      <c r="O95">
        <v>5</v>
      </c>
      <c r="P95">
        <v>5</v>
      </c>
      <c r="Q95">
        <v>7</v>
      </c>
    </row>
    <row r="96" spans="1:17" x14ac:dyDescent="0.45">
      <c r="A96" s="19">
        <v>46019.900694444441</v>
      </c>
      <c r="B96" t="s">
        <v>72</v>
      </c>
      <c r="C96" t="s">
        <v>79</v>
      </c>
      <c r="D96" t="s">
        <v>74</v>
      </c>
      <c r="E96" t="s">
        <v>77</v>
      </c>
      <c r="F96" t="s">
        <v>99</v>
      </c>
      <c r="G96" t="s">
        <v>108</v>
      </c>
      <c r="H96" t="s">
        <v>105</v>
      </c>
      <c r="I96">
        <v>4</v>
      </c>
      <c r="J96">
        <v>6</v>
      </c>
      <c r="K96">
        <v>5</v>
      </c>
      <c r="L96">
        <v>5</v>
      </c>
      <c r="M96">
        <v>4</v>
      </c>
      <c r="N96">
        <v>4</v>
      </c>
      <c r="O96">
        <v>3</v>
      </c>
      <c r="P96">
        <v>4</v>
      </c>
      <c r="Q96">
        <v>3</v>
      </c>
    </row>
    <row r="97" spans="1:17" x14ac:dyDescent="0.45">
      <c r="A97" s="19">
        <v>46019.902083333334</v>
      </c>
      <c r="B97" t="s">
        <v>78</v>
      </c>
      <c r="C97" t="s">
        <v>188</v>
      </c>
      <c r="D97" t="s">
        <v>74</v>
      </c>
      <c r="E97" t="s">
        <v>77</v>
      </c>
      <c r="F97" t="s">
        <v>99</v>
      </c>
      <c r="G97" t="s">
        <v>193</v>
      </c>
      <c r="H97" t="s">
        <v>109</v>
      </c>
      <c r="I97">
        <v>8</v>
      </c>
      <c r="J97">
        <v>7</v>
      </c>
      <c r="K97">
        <v>5</v>
      </c>
      <c r="L97">
        <v>7</v>
      </c>
      <c r="M97">
        <v>7</v>
      </c>
      <c r="N97">
        <v>5</v>
      </c>
      <c r="O97">
        <v>5</v>
      </c>
      <c r="P97">
        <v>7</v>
      </c>
      <c r="Q97">
        <v>7</v>
      </c>
    </row>
    <row r="98" spans="1:17" x14ac:dyDescent="0.45">
      <c r="A98" s="19">
        <v>46019.902777777781</v>
      </c>
      <c r="B98" t="s">
        <v>72</v>
      </c>
      <c r="C98" t="s">
        <v>192</v>
      </c>
      <c r="D98" t="s">
        <v>74</v>
      </c>
      <c r="E98" t="s">
        <v>77</v>
      </c>
      <c r="F98" t="s">
        <v>102</v>
      </c>
      <c r="G98" t="s">
        <v>107</v>
      </c>
      <c r="H98" t="s">
        <v>194</v>
      </c>
      <c r="I98">
        <v>6</v>
      </c>
      <c r="J98">
        <v>6</v>
      </c>
      <c r="K98">
        <v>5</v>
      </c>
      <c r="L98">
        <v>5</v>
      </c>
      <c r="M98">
        <v>5</v>
      </c>
      <c r="N98">
        <v>5</v>
      </c>
      <c r="O98">
        <v>5</v>
      </c>
      <c r="P98">
        <v>5</v>
      </c>
      <c r="Q98">
        <v>5</v>
      </c>
    </row>
    <row r="99" spans="1:17" x14ac:dyDescent="0.45">
      <c r="A99" s="19">
        <v>46019.90347222222</v>
      </c>
      <c r="B99" t="s">
        <v>72</v>
      </c>
      <c r="C99" t="s">
        <v>73</v>
      </c>
      <c r="D99" t="s">
        <v>80</v>
      </c>
      <c r="E99" t="s">
        <v>77</v>
      </c>
      <c r="F99" t="s">
        <v>99</v>
      </c>
      <c r="G99" t="s">
        <v>195</v>
      </c>
      <c r="H99" t="s">
        <v>109</v>
      </c>
      <c r="I99">
        <v>8</v>
      </c>
      <c r="J99">
        <v>8</v>
      </c>
      <c r="K99">
        <v>5</v>
      </c>
      <c r="L99">
        <v>8</v>
      </c>
      <c r="M99">
        <v>6</v>
      </c>
      <c r="N99">
        <v>9</v>
      </c>
      <c r="O99">
        <v>5</v>
      </c>
      <c r="P99">
        <v>7</v>
      </c>
      <c r="Q99">
        <v>8</v>
      </c>
    </row>
    <row r="100" spans="1:17" x14ac:dyDescent="0.45">
      <c r="A100" s="19">
        <v>46019.904861111114</v>
      </c>
      <c r="B100" t="s">
        <v>78</v>
      </c>
      <c r="C100" t="s">
        <v>81</v>
      </c>
      <c r="D100" t="s">
        <v>74</v>
      </c>
      <c r="E100" t="s">
        <v>77</v>
      </c>
      <c r="F100" t="s">
        <v>99</v>
      </c>
      <c r="G100" t="s">
        <v>100</v>
      </c>
      <c r="H100" t="s">
        <v>101</v>
      </c>
      <c r="I100">
        <v>6</v>
      </c>
      <c r="J100">
        <v>6</v>
      </c>
      <c r="K100">
        <v>3</v>
      </c>
      <c r="L100">
        <v>6</v>
      </c>
      <c r="M100">
        <v>5</v>
      </c>
      <c r="N100">
        <v>6</v>
      </c>
      <c r="O100">
        <v>5</v>
      </c>
      <c r="P100">
        <v>6</v>
      </c>
      <c r="Q100">
        <v>6</v>
      </c>
    </row>
    <row r="101" spans="1:17" x14ac:dyDescent="0.45">
      <c r="A101" s="19">
        <v>46020.206944444442</v>
      </c>
      <c r="B101" t="s">
        <v>72</v>
      </c>
      <c r="C101" t="s">
        <v>192</v>
      </c>
      <c r="D101" t="s">
        <v>74</v>
      </c>
      <c r="E101" t="s">
        <v>77</v>
      </c>
      <c r="F101" t="s">
        <v>99</v>
      </c>
      <c r="G101" t="s">
        <v>103</v>
      </c>
      <c r="H101" t="s">
        <v>101</v>
      </c>
      <c r="I101">
        <v>8</v>
      </c>
      <c r="J101">
        <v>8</v>
      </c>
      <c r="K101">
        <v>8</v>
      </c>
      <c r="L101">
        <v>10</v>
      </c>
      <c r="M101">
        <v>10</v>
      </c>
      <c r="N101">
        <v>10</v>
      </c>
      <c r="O101">
        <v>10</v>
      </c>
      <c r="P101">
        <v>10</v>
      </c>
      <c r="Q101">
        <v>10</v>
      </c>
    </row>
    <row r="102" spans="1:17" x14ac:dyDescent="0.45">
      <c r="A102" s="19">
        <v>46020.280555555553</v>
      </c>
      <c r="B102" t="s">
        <v>72</v>
      </c>
      <c r="C102" t="s">
        <v>190</v>
      </c>
      <c r="D102" t="s">
        <v>74</v>
      </c>
      <c r="E102" t="s">
        <v>75</v>
      </c>
      <c r="F102" t="s">
        <v>99</v>
      </c>
      <c r="G102" t="s">
        <v>106</v>
      </c>
      <c r="H102" t="s">
        <v>194</v>
      </c>
      <c r="I102">
        <v>8</v>
      </c>
      <c r="J102">
        <v>8</v>
      </c>
      <c r="K102">
        <v>7</v>
      </c>
      <c r="L102">
        <v>8</v>
      </c>
      <c r="M102">
        <v>8</v>
      </c>
      <c r="N102">
        <v>7</v>
      </c>
      <c r="O102">
        <v>7</v>
      </c>
      <c r="P102">
        <v>7</v>
      </c>
      <c r="Q102">
        <v>8</v>
      </c>
    </row>
    <row r="103" spans="1:17" x14ac:dyDescent="0.45">
      <c r="A103" s="19">
        <v>46020.28125</v>
      </c>
      <c r="B103" t="s">
        <v>78</v>
      </c>
      <c r="C103" t="s">
        <v>188</v>
      </c>
      <c r="D103" t="s">
        <v>74</v>
      </c>
      <c r="E103" t="s">
        <v>77</v>
      </c>
      <c r="F103" t="s">
        <v>99</v>
      </c>
      <c r="G103" t="s">
        <v>103</v>
      </c>
      <c r="H103" t="s">
        <v>109</v>
      </c>
      <c r="I103">
        <v>5</v>
      </c>
      <c r="J103">
        <v>5</v>
      </c>
      <c r="K103">
        <v>5</v>
      </c>
      <c r="L103">
        <v>5</v>
      </c>
      <c r="M103">
        <v>5</v>
      </c>
      <c r="N103">
        <v>5</v>
      </c>
      <c r="O103">
        <v>5</v>
      </c>
      <c r="P103">
        <v>5</v>
      </c>
      <c r="Q103">
        <v>5</v>
      </c>
    </row>
    <row r="104" spans="1:17" x14ac:dyDescent="0.45">
      <c r="A104" s="19">
        <v>46020.282638888886</v>
      </c>
      <c r="B104" t="s">
        <v>72</v>
      </c>
      <c r="C104" t="s">
        <v>192</v>
      </c>
      <c r="D104" t="s">
        <v>74</v>
      </c>
      <c r="E104" t="s">
        <v>77</v>
      </c>
      <c r="F104" t="s">
        <v>99</v>
      </c>
      <c r="G104" t="s">
        <v>108</v>
      </c>
      <c r="H104" t="s">
        <v>104</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99</v>
      </c>
      <c r="G105" t="s">
        <v>195</v>
      </c>
      <c r="H105" t="s">
        <v>109</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99</v>
      </c>
      <c r="G106" t="s">
        <v>103</v>
      </c>
      <c r="H106" t="s">
        <v>101</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99</v>
      </c>
      <c r="G107" t="s">
        <v>193</v>
      </c>
      <c r="H107" t="s">
        <v>109</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99</v>
      </c>
      <c r="G108" t="s">
        <v>100</v>
      </c>
      <c r="H108" t="s">
        <v>101</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99</v>
      </c>
      <c r="G109" t="s">
        <v>103</v>
      </c>
      <c r="H109" t="s">
        <v>101</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99</v>
      </c>
      <c r="G110" t="s">
        <v>103</v>
      </c>
      <c r="H110" t="s">
        <v>101</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99</v>
      </c>
      <c r="G111" t="s">
        <v>110</v>
      </c>
      <c r="H111" t="s">
        <v>104</v>
      </c>
      <c r="I111">
        <v>7</v>
      </c>
      <c r="J111">
        <v>6</v>
      </c>
      <c r="K111">
        <v>8</v>
      </c>
      <c r="L111">
        <v>8</v>
      </c>
      <c r="M111">
        <v>7</v>
      </c>
      <c r="N111">
        <v>6</v>
      </c>
      <c r="O111">
        <v>5</v>
      </c>
      <c r="P111">
        <v>5</v>
      </c>
      <c r="Q111">
        <v>8</v>
      </c>
    </row>
    <row r="112" spans="1:17" x14ac:dyDescent="0.45">
      <c r="A112" s="19">
        <v>46020.398611111108</v>
      </c>
      <c r="B112" t="s">
        <v>78</v>
      </c>
      <c r="C112" t="s">
        <v>190</v>
      </c>
      <c r="D112" t="s">
        <v>74</v>
      </c>
      <c r="E112" t="s">
        <v>77</v>
      </c>
      <c r="F112" t="s">
        <v>99</v>
      </c>
      <c r="G112" t="s">
        <v>100</v>
      </c>
      <c r="H112" t="s">
        <v>101</v>
      </c>
      <c r="I112">
        <v>8</v>
      </c>
      <c r="J112">
        <v>8</v>
      </c>
      <c r="K112">
        <v>6</v>
      </c>
      <c r="L112">
        <v>7</v>
      </c>
      <c r="M112">
        <v>6</v>
      </c>
      <c r="N112">
        <v>7</v>
      </c>
      <c r="O112">
        <v>5</v>
      </c>
      <c r="P112">
        <v>5</v>
      </c>
      <c r="Q112">
        <v>5</v>
      </c>
    </row>
    <row r="113" spans="1:17" x14ac:dyDescent="0.45">
      <c r="A113" s="19">
        <v>46020.4</v>
      </c>
      <c r="B113" t="s">
        <v>72</v>
      </c>
      <c r="C113" t="s">
        <v>79</v>
      </c>
      <c r="D113" t="s">
        <v>74</v>
      </c>
      <c r="E113" t="s">
        <v>77</v>
      </c>
      <c r="F113" t="s">
        <v>99</v>
      </c>
      <c r="G113" t="s">
        <v>195</v>
      </c>
      <c r="H113" t="s">
        <v>104</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99</v>
      </c>
      <c r="G114" t="s">
        <v>193</v>
      </c>
      <c r="H114" t="s">
        <v>105</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99</v>
      </c>
      <c r="G115" t="s">
        <v>195</v>
      </c>
      <c r="H115" t="s">
        <v>194</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99</v>
      </c>
      <c r="G116" t="s">
        <v>103</v>
      </c>
      <c r="H116" t="s">
        <v>194</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99</v>
      </c>
      <c r="G117" t="s">
        <v>103</v>
      </c>
      <c r="H117" t="s">
        <v>109</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99</v>
      </c>
      <c r="G118" t="s">
        <v>110</v>
      </c>
      <c r="H118" t="s">
        <v>109</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99</v>
      </c>
      <c r="G119" t="s">
        <v>108</v>
      </c>
      <c r="H119" t="s">
        <v>101</v>
      </c>
      <c r="I119">
        <v>4</v>
      </c>
      <c r="J119">
        <v>1</v>
      </c>
      <c r="K119">
        <v>1</v>
      </c>
      <c r="L119">
        <v>5</v>
      </c>
      <c r="M119">
        <v>1</v>
      </c>
      <c r="N119">
        <v>3</v>
      </c>
      <c r="O119">
        <v>1</v>
      </c>
      <c r="P119">
        <v>1</v>
      </c>
      <c r="Q119">
        <v>5</v>
      </c>
    </row>
    <row r="120" spans="1:17" x14ac:dyDescent="0.45">
      <c r="A120" s="19">
        <v>46020.543055555558</v>
      </c>
      <c r="B120" t="s">
        <v>72</v>
      </c>
      <c r="C120" t="s">
        <v>192</v>
      </c>
      <c r="D120" t="s">
        <v>74</v>
      </c>
      <c r="E120" t="s">
        <v>77</v>
      </c>
      <c r="F120" t="s">
        <v>99</v>
      </c>
      <c r="G120" t="s">
        <v>110</v>
      </c>
      <c r="H120" t="s">
        <v>194</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99</v>
      </c>
      <c r="G121" t="s">
        <v>100</v>
      </c>
      <c r="H121" t="s">
        <v>105</v>
      </c>
      <c r="I121">
        <v>6</v>
      </c>
      <c r="J121">
        <v>6</v>
      </c>
      <c r="K121">
        <v>6</v>
      </c>
      <c r="L121">
        <v>6</v>
      </c>
      <c r="M121">
        <v>6</v>
      </c>
      <c r="N121">
        <v>6</v>
      </c>
      <c r="O121">
        <v>6</v>
      </c>
      <c r="P121">
        <v>6</v>
      </c>
      <c r="Q121">
        <v>6</v>
      </c>
    </row>
    <row r="122" spans="1:17" x14ac:dyDescent="0.45">
      <c r="A122" s="19">
        <v>46020.544444444444</v>
      </c>
      <c r="B122" t="s">
        <v>78</v>
      </c>
      <c r="C122" t="s">
        <v>190</v>
      </c>
      <c r="D122" t="s">
        <v>74</v>
      </c>
      <c r="E122" t="s">
        <v>75</v>
      </c>
      <c r="F122" t="s">
        <v>102</v>
      </c>
      <c r="G122" t="s">
        <v>107</v>
      </c>
      <c r="H122" t="s">
        <v>194</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99</v>
      </c>
      <c r="G123" t="s">
        <v>107</v>
      </c>
      <c r="H123" t="s">
        <v>109</v>
      </c>
      <c r="I123">
        <v>4</v>
      </c>
      <c r="J123">
        <v>4</v>
      </c>
      <c r="K123">
        <v>2</v>
      </c>
      <c r="L123">
        <v>5</v>
      </c>
      <c r="M123">
        <v>1</v>
      </c>
      <c r="N123">
        <v>1</v>
      </c>
      <c r="O123">
        <v>1</v>
      </c>
      <c r="P123">
        <v>4</v>
      </c>
      <c r="Q123">
        <v>4</v>
      </c>
    </row>
    <row r="124" spans="1:17" x14ac:dyDescent="0.45">
      <c r="A124" s="19">
        <v>46020.54583333333</v>
      </c>
      <c r="B124" t="s">
        <v>72</v>
      </c>
      <c r="C124" t="s">
        <v>188</v>
      </c>
      <c r="D124" t="s">
        <v>74</v>
      </c>
      <c r="E124" t="s">
        <v>77</v>
      </c>
      <c r="F124" t="s">
        <v>99</v>
      </c>
      <c r="G124" t="s">
        <v>193</v>
      </c>
      <c r="H124" t="s">
        <v>109</v>
      </c>
      <c r="I124">
        <v>7</v>
      </c>
      <c r="J124">
        <v>7</v>
      </c>
      <c r="K124">
        <v>7</v>
      </c>
      <c r="L124">
        <v>7</v>
      </c>
      <c r="M124">
        <v>7</v>
      </c>
      <c r="N124">
        <v>7</v>
      </c>
      <c r="O124">
        <v>7</v>
      </c>
      <c r="P124">
        <v>7</v>
      </c>
      <c r="Q124">
        <v>8</v>
      </c>
    </row>
    <row r="125" spans="1:17" x14ac:dyDescent="0.45">
      <c r="A125" s="19">
        <v>46020.589583333334</v>
      </c>
      <c r="B125" t="s">
        <v>72</v>
      </c>
      <c r="C125" t="s">
        <v>190</v>
      </c>
      <c r="D125" t="s">
        <v>74</v>
      </c>
      <c r="E125" t="s">
        <v>75</v>
      </c>
      <c r="F125" t="s">
        <v>99</v>
      </c>
      <c r="G125" t="s">
        <v>108</v>
      </c>
      <c r="H125" t="s">
        <v>101</v>
      </c>
      <c r="I125">
        <v>10</v>
      </c>
      <c r="J125">
        <v>9</v>
      </c>
      <c r="K125">
        <v>10</v>
      </c>
      <c r="L125">
        <v>10</v>
      </c>
      <c r="M125">
        <v>10</v>
      </c>
      <c r="N125">
        <v>8</v>
      </c>
      <c r="O125">
        <v>9</v>
      </c>
      <c r="P125">
        <v>9</v>
      </c>
      <c r="Q125">
        <v>9</v>
      </c>
    </row>
    <row r="126" spans="1:17" x14ac:dyDescent="0.45">
      <c r="A126" s="19">
        <v>46020.590277777781</v>
      </c>
      <c r="B126" t="s">
        <v>72</v>
      </c>
      <c r="C126" t="s">
        <v>188</v>
      </c>
      <c r="D126" t="s">
        <v>74</v>
      </c>
      <c r="E126" t="s">
        <v>77</v>
      </c>
      <c r="F126" t="s">
        <v>99</v>
      </c>
      <c r="G126" t="s">
        <v>103</v>
      </c>
      <c r="H126" t="s">
        <v>104</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99</v>
      </c>
      <c r="G127" t="s">
        <v>100</v>
      </c>
      <c r="H127" t="s">
        <v>109</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99</v>
      </c>
      <c r="G128" t="s">
        <v>107</v>
      </c>
      <c r="H128" t="s">
        <v>194</v>
      </c>
      <c r="I128">
        <v>1</v>
      </c>
      <c r="J128">
        <v>1</v>
      </c>
      <c r="K128">
        <v>1</v>
      </c>
      <c r="L128">
        <v>5</v>
      </c>
      <c r="M128">
        <v>1</v>
      </c>
      <c r="N128">
        <v>1</v>
      </c>
      <c r="O128">
        <v>1</v>
      </c>
      <c r="P128">
        <v>5</v>
      </c>
      <c r="Q128">
        <v>5</v>
      </c>
    </row>
    <row r="129" spans="1:17" x14ac:dyDescent="0.45">
      <c r="A129" s="19">
        <v>46020.602777777778</v>
      </c>
      <c r="B129" t="s">
        <v>78</v>
      </c>
      <c r="C129" t="s">
        <v>190</v>
      </c>
      <c r="D129" t="s">
        <v>74</v>
      </c>
      <c r="E129" t="s">
        <v>77</v>
      </c>
      <c r="F129" t="s">
        <v>99</v>
      </c>
      <c r="G129" t="s">
        <v>107</v>
      </c>
      <c r="H129" t="s">
        <v>194</v>
      </c>
      <c r="I129">
        <v>6</v>
      </c>
      <c r="J129">
        <v>6</v>
      </c>
      <c r="K129">
        <v>6</v>
      </c>
      <c r="L129">
        <v>8</v>
      </c>
      <c r="M129">
        <v>6</v>
      </c>
      <c r="N129">
        <v>3</v>
      </c>
      <c r="O129">
        <v>5</v>
      </c>
      <c r="P129">
        <v>5</v>
      </c>
      <c r="Q129">
        <v>4</v>
      </c>
    </row>
    <row r="130" spans="1:17" x14ac:dyDescent="0.45">
      <c r="A130" s="19">
        <v>46020.603472222225</v>
      </c>
      <c r="B130" t="s">
        <v>78</v>
      </c>
      <c r="C130" t="s">
        <v>190</v>
      </c>
      <c r="D130" t="s">
        <v>74</v>
      </c>
      <c r="E130" t="s">
        <v>75</v>
      </c>
      <c r="F130" t="s">
        <v>99</v>
      </c>
      <c r="G130" t="s">
        <v>107</v>
      </c>
      <c r="H130" t="s">
        <v>105</v>
      </c>
      <c r="I130">
        <v>6</v>
      </c>
      <c r="J130">
        <v>6</v>
      </c>
      <c r="K130">
        <v>4</v>
      </c>
      <c r="L130">
        <v>5</v>
      </c>
      <c r="M130">
        <v>5</v>
      </c>
      <c r="N130">
        <v>1</v>
      </c>
      <c r="O130">
        <v>5</v>
      </c>
      <c r="P130">
        <v>4</v>
      </c>
      <c r="Q130">
        <v>5</v>
      </c>
    </row>
    <row r="131" spans="1:17" x14ac:dyDescent="0.45">
      <c r="A131" s="19">
        <v>46020.603472222225</v>
      </c>
      <c r="B131" t="s">
        <v>72</v>
      </c>
      <c r="C131" t="s">
        <v>192</v>
      </c>
      <c r="D131" t="s">
        <v>74</v>
      </c>
      <c r="E131" t="s">
        <v>75</v>
      </c>
      <c r="F131" t="s">
        <v>99</v>
      </c>
      <c r="G131" t="s">
        <v>106</v>
      </c>
      <c r="H131" t="s">
        <v>104</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99</v>
      </c>
      <c r="G132" t="s">
        <v>106</v>
      </c>
      <c r="H132" t="s">
        <v>101</v>
      </c>
      <c r="I132">
        <v>8</v>
      </c>
      <c r="J132">
        <v>9</v>
      </c>
      <c r="K132">
        <v>5</v>
      </c>
      <c r="L132">
        <v>5</v>
      </c>
      <c r="M132">
        <v>5</v>
      </c>
      <c r="N132">
        <v>4</v>
      </c>
      <c r="O132">
        <v>5</v>
      </c>
      <c r="P132">
        <v>5</v>
      </c>
      <c r="Q132">
        <v>5</v>
      </c>
    </row>
    <row r="133" spans="1:17" x14ac:dyDescent="0.45">
      <c r="A133" s="19">
        <v>46020.604861111111</v>
      </c>
      <c r="B133" t="s">
        <v>78</v>
      </c>
      <c r="C133" t="s">
        <v>188</v>
      </c>
      <c r="D133" t="s">
        <v>74</v>
      </c>
      <c r="E133" t="s">
        <v>77</v>
      </c>
      <c r="F133" t="s">
        <v>99</v>
      </c>
      <c r="G133" t="s">
        <v>103</v>
      </c>
      <c r="H133" t="s">
        <v>109</v>
      </c>
      <c r="I133">
        <v>9</v>
      </c>
      <c r="J133">
        <v>9</v>
      </c>
      <c r="K133">
        <v>9</v>
      </c>
      <c r="L133">
        <v>9</v>
      </c>
      <c r="M133">
        <v>7</v>
      </c>
      <c r="N133">
        <v>10</v>
      </c>
      <c r="O133">
        <v>5</v>
      </c>
      <c r="P133">
        <v>5</v>
      </c>
      <c r="Q133">
        <v>9</v>
      </c>
    </row>
    <row r="134" spans="1:17" x14ac:dyDescent="0.45">
      <c r="A134" s="19">
        <v>46020.605555555558</v>
      </c>
      <c r="B134" t="s">
        <v>78</v>
      </c>
      <c r="C134" t="s">
        <v>81</v>
      </c>
      <c r="D134" t="s">
        <v>74</v>
      </c>
      <c r="E134" t="s">
        <v>189</v>
      </c>
      <c r="F134" t="s">
        <v>99</v>
      </c>
      <c r="G134" t="s">
        <v>108</v>
      </c>
      <c r="H134" t="s">
        <v>109</v>
      </c>
      <c r="I134">
        <v>5</v>
      </c>
      <c r="J134">
        <v>5</v>
      </c>
      <c r="K134">
        <v>5</v>
      </c>
      <c r="L134">
        <v>5</v>
      </c>
      <c r="M134">
        <v>5</v>
      </c>
      <c r="N134">
        <v>5</v>
      </c>
      <c r="O134">
        <v>5</v>
      </c>
      <c r="P134">
        <v>5</v>
      </c>
      <c r="Q134">
        <v>5</v>
      </c>
    </row>
    <row r="135" spans="1:17" x14ac:dyDescent="0.45">
      <c r="A135" s="19">
        <v>46020.606249999997</v>
      </c>
      <c r="B135" t="s">
        <v>72</v>
      </c>
      <c r="C135" t="s">
        <v>188</v>
      </c>
      <c r="D135" t="s">
        <v>74</v>
      </c>
      <c r="E135" t="s">
        <v>77</v>
      </c>
      <c r="F135" t="s">
        <v>99</v>
      </c>
      <c r="G135" t="s">
        <v>195</v>
      </c>
      <c r="H135" t="s">
        <v>109</v>
      </c>
      <c r="I135">
        <v>9</v>
      </c>
      <c r="J135">
        <v>9</v>
      </c>
      <c r="K135">
        <v>5</v>
      </c>
      <c r="L135">
        <v>9</v>
      </c>
      <c r="M135">
        <v>8</v>
      </c>
      <c r="N135">
        <v>10</v>
      </c>
      <c r="O135">
        <v>5</v>
      </c>
      <c r="P135">
        <v>5</v>
      </c>
      <c r="Q135">
        <v>7</v>
      </c>
    </row>
    <row r="136" spans="1:17" x14ac:dyDescent="0.45">
      <c r="A136" s="19">
        <v>46020.609027777777</v>
      </c>
      <c r="B136" t="s">
        <v>78</v>
      </c>
      <c r="C136" t="s">
        <v>188</v>
      </c>
      <c r="D136" t="s">
        <v>74</v>
      </c>
      <c r="E136" t="s">
        <v>77</v>
      </c>
      <c r="F136" t="s">
        <v>99</v>
      </c>
      <c r="G136" t="s">
        <v>103</v>
      </c>
      <c r="H136" t="s">
        <v>109</v>
      </c>
      <c r="I136">
        <v>5</v>
      </c>
      <c r="J136">
        <v>5</v>
      </c>
      <c r="K136">
        <v>5</v>
      </c>
      <c r="L136">
        <v>6</v>
      </c>
      <c r="M136">
        <v>6</v>
      </c>
      <c r="N136">
        <v>6</v>
      </c>
      <c r="O136">
        <v>6</v>
      </c>
      <c r="P136">
        <v>6</v>
      </c>
      <c r="Q136">
        <v>6</v>
      </c>
    </row>
    <row r="137" spans="1:17" x14ac:dyDescent="0.45">
      <c r="A137" s="19">
        <v>46020.613194444442</v>
      </c>
      <c r="B137" t="s">
        <v>72</v>
      </c>
      <c r="C137" t="s">
        <v>192</v>
      </c>
      <c r="D137" t="s">
        <v>74</v>
      </c>
      <c r="E137" t="s">
        <v>77</v>
      </c>
      <c r="F137" t="s">
        <v>196</v>
      </c>
      <c r="G137" t="s">
        <v>193</v>
      </c>
      <c r="H137" t="s">
        <v>109</v>
      </c>
      <c r="I137">
        <v>8</v>
      </c>
      <c r="J137">
        <v>8</v>
      </c>
      <c r="K137">
        <v>8</v>
      </c>
      <c r="L137">
        <v>8</v>
      </c>
      <c r="M137">
        <v>10</v>
      </c>
      <c r="N137">
        <v>10</v>
      </c>
      <c r="O137">
        <v>10</v>
      </c>
      <c r="P137">
        <v>10</v>
      </c>
      <c r="Q137">
        <v>10</v>
      </c>
    </row>
    <row r="138" spans="1:17" x14ac:dyDescent="0.45">
      <c r="A138" s="19">
        <v>46020.637499999997</v>
      </c>
      <c r="B138" t="s">
        <v>78</v>
      </c>
      <c r="C138" t="s">
        <v>190</v>
      </c>
      <c r="D138" t="s">
        <v>74</v>
      </c>
      <c r="E138" t="s">
        <v>77</v>
      </c>
      <c r="F138" t="s">
        <v>99</v>
      </c>
      <c r="G138" t="s">
        <v>107</v>
      </c>
      <c r="H138" t="s">
        <v>194</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99</v>
      </c>
      <c r="G139" t="s">
        <v>103</v>
      </c>
      <c r="H139" t="s">
        <v>109</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99</v>
      </c>
      <c r="G140" t="s">
        <v>107</v>
      </c>
      <c r="H140" t="s">
        <v>104</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99</v>
      </c>
      <c r="G141" t="s">
        <v>100</v>
      </c>
      <c r="H141" t="s">
        <v>101</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99</v>
      </c>
      <c r="G142" t="s">
        <v>100</v>
      </c>
      <c r="H142" t="s">
        <v>101</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99</v>
      </c>
      <c r="G143" t="s">
        <v>193</v>
      </c>
      <c r="H143" t="s">
        <v>101</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99</v>
      </c>
      <c r="G144" t="s">
        <v>107</v>
      </c>
      <c r="H144" t="s">
        <v>109</v>
      </c>
      <c r="I144">
        <v>1</v>
      </c>
      <c r="J144">
        <v>1</v>
      </c>
      <c r="K144">
        <v>8</v>
      </c>
      <c r="L144">
        <v>8</v>
      </c>
      <c r="M144">
        <v>8</v>
      </c>
      <c r="N144">
        <v>8</v>
      </c>
      <c r="O144">
        <v>8</v>
      </c>
      <c r="P144">
        <v>8</v>
      </c>
      <c r="Q144">
        <v>8</v>
      </c>
    </row>
    <row r="145" spans="1:17" x14ac:dyDescent="0.45">
      <c r="A145" s="19">
        <v>46021.449305555558</v>
      </c>
      <c r="B145" t="s">
        <v>72</v>
      </c>
      <c r="C145" t="s">
        <v>190</v>
      </c>
      <c r="D145" t="s">
        <v>74</v>
      </c>
      <c r="E145" t="s">
        <v>77</v>
      </c>
      <c r="F145" t="s">
        <v>99</v>
      </c>
      <c r="G145" t="s">
        <v>110</v>
      </c>
      <c r="H145" t="s">
        <v>104</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99</v>
      </c>
      <c r="G146" t="s">
        <v>110</v>
      </c>
      <c r="H146" t="s">
        <v>104</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99</v>
      </c>
      <c r="G147" t="s">
        <v>106</v>
      </c>
      <c r="H147" t="s">
        <v>105</v>
      </c>
      <c r="I147">
        <v>8</v>
      </c>
      <c r="J147">
        <v>8</v>
      </c>
      <c r="K147">
        <v>5</v>
      </c>
      <c r="L147">
        <v>5</v>
      </c>
      <c r="M147">
        <v>5</v>
      </c>
      <c r="N147">
        <v>3</v>
      </c>
      <c r="O147">
        <v>5</v>
      </c>
      <c r="P147">
        <v>5</v>
      </c>
      <c r="Q147">
        <v>5</v>
      </c>
    </row>
    <row r="148" spans="1:17" x14ac:dyDescent="0.45">
      <c r="A148" s="19">
        <v>46021.457638888889</v>
      </c>
      <c r="B148" t="s">
        <v>72</v>
      </c>
      <c r="C148" t="s">
        <v>192</v>
      </c>
      <c r="D148" t="s">
        <v>74</v>
      </c>
      <c r="E148" t="s">
        <v>75</v>
      </c>
      <c r="F148" t="s">
        <v>99</v>
      </c>
      <c r="G148" t="s">
        <v>107</v>
      </c>
      <c r="H148" t="s">
        <v>109</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99</v>
      </c>
      <c r="G149" t="s">
        <v>195</v>
      </c>
      <c r="H149" t="s">
        <v>109</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99</v>
      </c>
      <c r="G150" t="s">
        <v>107</v>
      </c>
      <c r="H150" t="s">
        <v>105</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99</v>
      </c>
      <c r="G151" t="s">
        <v>110</v>
      </c>
      <c r="H151" t="s">
        <v>104</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99</v>
      </c>
      <c r="G152" t="s">
        <v>106</v>
      </c>
      <c r="H152" t="s">
        <v>104</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99</v>
      </c>
      <c r="G153" t="s">
        <v>106</v>
      </c>
      <c r="H153" t="s">
        <v>104</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99</v>
      </c>
      <c r="G154" t="s">
        <v>193</v>
      </c>
      <c r="H154" t="s">
        <v>101</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99</v>
      </c>
      <c r="G155" t="s">
        <v>193</v>
      </c>
      <c r="H155" t="s">
        <v>104</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99</v>
      </c>
      <c r="G156" t="s">
        <v>110</v>
      </c>
      <c r="H156" t="s">
        <v>101</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99</v>
      </c>
      <c r="G157" t="s">
        <v>100</v>
      </c>
      <c r="H157" t="s">
        <v>101</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99</v>
      </c>
      <c r="G158" t="s">
        <v>106</v>
      </c>
      <c r="H158" t="s">
        <v>194</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99</v>
      </c>
      <c r="G159" t="s">
        <v>106</v>
      </c>
      <c r="H159" t="s">
        <v>104</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99</v>
      </c>
      <c r="G160" t="s">
        <v>108</v>
      </c>
      <c r="H160" t="s">
        <v>109</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99</v>
      </c>
      <c r="G161" t="s">
        <v>108</v>
      </c>
      <c r="H161" t="s">
        <v>109</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99</v>
      </c>
      <c r="G162" t="s">
        <v>103</v>
      </c>
      <c r="H162" t="s">
        <v>109</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99</v>
      </c>
      <c r="G163" t="s">
        <v>193</v>
      </c>
      <c r="H163" t="s">
        <v>109</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99</v>
      </c>
      <c r="G164" t="s">
        <v>103</v>
      </c>
      <c r="H164" t="s">
        <v>109</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99</v>
      </c>
      <c r="G165" t="s">
        <v>108</v>
      </c>
      <c r="H165" t="s">
        <v>104</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99</v>
      </c>
      <c r="G166" t="s">
        <v>108</v>
      </c>
      <c r="H166" t="s">
        <v>109</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99</v>
      </c>
      <c r="G167" t="s">
        <v>108</v>
      </c>
      <c r="H167" t="s">
        <v>101</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99</v>
      </c>
      <c r="G168" t="s">
        <v>106</v>
      </c>
      <c r="H168" t="s">
        <v>109</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99</v>
      </c>
      <c r="G169" t="s">
        <v>195</v>
      </c>
      <c r="H169" t="s">
        <v>109</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99</v>
      </c>
      <c r="G170" t="s">
        <v>108</v>
      </c>
      <c r="H170" t="s">
        <v>109</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102</v>
      </c>
      <c r="G171" t="s">
        <v>103</v>
      </c>
      <c r="H171" t="s">
        <v>109</v>
      </c>
      <c r="I171">
        <v>5</v>
      </c>
      <c r="J171">
        <v>8</v>
      </c>
      <c r="K171">
        <v>7</v>
      </c>
      <c r="L171">
        <v>8</v>
      </c>
      <c r="M171">
        <v>1</v>
      </c>
      <c r="N171">
        <v>2</v>
      </c>
      <c r="O171">
        <v>3</v>
      </c>
      <c r="P171">
        <v>3</v>
      </c>
      <c r="Q171">
        <v>7</v>
      </c>
    </row>
    <row r="172" spans="1:17" x14ac:dyDescent="0.45">
      <c r="A172" s="19">
        <v>46026.576388888891</v>
      </c>
      <c r="B172" t="s">
        <v>78</v>
      </c>
      <c r="C172" t="s">
        <v>188</v>
      </c>
      <c r="D172" t="s">
        <v>74</v>
      </c>
      <c r="E172" t="s">
        <v>77</v>
      </c>
      <c r="F172" t="s">
        <v>99</v>
      </c>
      <c r="G172" t="s">
        <v>193</v>
      </c>
      <c r="H172" t="s">
        <v>109</v>
      </c>
      <c r="I172">
        <v>6</v>
      </c>
      <c r="J172">
        <v>7</v>
      </c>
      <c r="K172">
        <v>5</v>
      </c>
      <c r="L172">
        <v>7</v>
      </c>
      <c r="M172">
        <v>7</v>
      </c>
      <c r="N172">
        <v>7</v>
      </c>
      <c r="O172">
        <v>5</v>
      </c>
      <c r="P172">
        <v>7</v>
      </c>
      <c r="Q172">
        <v>7</v>
      </c>
    </row>
    <row r="173" spans="1:17" x14ac:dyDescent="0.45">
      <c r="A173" s="19">
        <v>46026.57708333333</v>
      </c>
      <c r="B173" t="s">
        <v>78</v>
      </c>
      <c r="C173" t="s">
        <v>190</v>
      </c>
      <c r="D173" t="s">
        <v>74</v>
      </c>
      <c r="E173" t="s">
        <v>75</v>
      </c>
      <c r="F173" t="s">
        <v>99</v>
      </c>
      <c r="G173" t="s">
        <v>107</v>
      </c>
      <c r="H173" t="s">
        <v>194</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99</v>
      </c>
      <c r="G174" t="s">
        <v>106</v>
      </c>
      <c r="H174" t="s">
        <v>105</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99</v>
      </c>
      <c r="G175" t="s">
        <v>108</v>
      </c>
      <c r="H175" t="s">
        <v>101</v>
      </c>
      <c r="I175">
        <v>6</v>
      </c>
      <c r="J175">
        <v>6</v>
      </c>
      <c r="K175">
        <v>6</v>
      </c>
      <c r="L175">
        <v>6</v>
      </c>
      <c r="M175">
        <v>7</v>
      </c>
      <c r="N175">
        <v>7</v>
      </c>
      <c r="O175">
        <v>5</v>
      </c>
      <c r="P175">
        <v>7</v>
      </c>
      <c r="Q175">
        <v>6</v>
      </c>
    </row>
    <row r="176" spans="1:17" x14ac:dyDescent="0.45">
      <c r="A176" s="19">
        <v>46026.57916666667</v>
      </c>
      <c r="B176" t="s">
        <v>72</v>
      </c>
      <c r="C176" t="s">
        <v>190</v>
      </c>
      <c r="D176" t="s">
        <v>74</v>
      </c>
      <c r="E176" t="s">
        <v>75</v>
      </c>
      <c r="F176" t="s">
        <v>99</v>
      </c>
      <c r="G176" t="s">
        <v>107</v>
      </c>
      <c r="H176" t="s">
        <v>105</v>
      </c>
      <c r="I176">
        <v>4</v>
      </c>
      <c r="J176">
        <v>5</v>
      </c>
      <c r="K176">
        <v>4</v>
      </c>
      <c r="L176">
        <v>6</v>
      </c>
      <c r="M176">
        <v>4</v>
      </c>
      <c r="N176">
        <v>4</v>
      </c>
      <c r="O176">
        <v>4</v>
      </c>
      <c r="P176">
        <v>5</v>
      </c>
      <c r="Q176">
        <v>4</v>
      </c>
    </row>
    <row r="177" spans="1:17" x14ac:dyDescent="0.45">
      <c r="A177" s="19">
        <v>46026.57916666667</v>
      </c>
      <c r="B177" t="s">
        <v>72</v>
      </c>
      <c r="C177" t="s">
        <v>192</v>
      </c>
      <c r="D177" t="s">
        <v>80</v>
      </c>
      <c r="E177" t="s">
        <v>75</v>
      </c>
      <c r="F177" t="s">
        <v>99</v>
      </c>
      <c r="G177" t="s">
        <v>107</v>
      </c>
      <c r="H177" t="s">
        <v>109</v>
      </c>
      <c r="I177">
        <v>2</v>
      </c>
      <c r="J177">
        <v>4</v>
      </c>
      <c r="K177">
        <v>3</v>
      </c>
      <c r="L177">
        <v>5</v>
      </c>
      <c r="M177">
        <v>4</v>
      </c>
      <c r="N177">
        <v>1</v>
      </c>
      <c r="O177">
        <v>1</v>
      </c>
      <c r="P177">
        <v>4</v>
      </c>
      <c r="Q177">
        <v>4</v>
      </c>
    </row>
    <row r="178" spans="1:17" x14ac:dyDescent="0.45">
      <c r="A178" s="19">
        <v>46026.580555555556</v>
      </c>
      <c r="B178" t="s">
        <v>72</v>
      </c>
      <c r="C178" t="s">
        <v>190</v>
      </c>
      <c r="D178" t="s">
        <v>74</v>
      </c>
      <c r="E178" t="s">
        <v>75</v>
      </c>
      <c r="F178" t="s">
        <v>99</v>
      </c>
      <c r="G178" t="s">
        <v>106</v>
      </c>
      <c r="H178" t="s">
        <v>104</v>
      </c>
      <c r="I178">
        <v>4</v>
      </c>
      <c r="J178">
        <v>4</v>
      </c>
      <c r="K178">
        <v>3</v>
      </c>
      <c r="L178">
        <v>5</v>
      </c>
      <c r="M178">
        <v>3</v>
      </c>
      <c r="N178">
        <v>2</v>
      </c>
      <c r="O178">
        <v>1</v>
      </c>
      <c r="P178">
        <v>1</v>
      </c>
      <c r="Q178">
        <v>1</v>
      </c>
    </row>
    <row r="179" spans="1:17" x14ac:dyDescent="0.45">
      <c r="A179" s="19">
        <v>46026.580555555556</v>
      </c>
      <c r="B179" t="s">
        <v>72</v>
      </c>
      <c r="C179" t="s">
        <v>192</v>
      </c>
      <c r="D179" t="s">
        <v>74</v>
      </c>
      <c r="E179" t="s">
        <v>77</v>
      </c>
      <c r="F179" t="s">
        <v>99</v>
      </c>
      <c r="G179" t="s">
        <v>108</v>
      </c>
      <c r="H179" t="s">
        <v>194</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99</v>
      </c>
      <c r="G180" t="s">
        <v>100</v>
      </c>
      <c r="H180" t="s">
        <v>101</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99</v>
      </c>
      <c r="G181" t="s">
        <v>110</v>
      </c>
      <c r="H181" t="s">
        <v>101</v>
      </c>
      <c r="I181">
        <v>5</v>
      </c>
      <c r="J181">
        <v>5</v>
      </c>
      <c r="K181">
        <v>5</v>
      </c>
      <c r="L181">
        <v>7</v>
      </c>
      <c r="M181">
        <v>5</v>
      </c>
      <c r="N181">
        <v>6</v>
      </c>
      <c r="O181">
        <v>5</v>
      </c>
      <c r="P181">
        <v>7</v>
      </c>
      <c r="Q181">
        <v>7</v>
      </c>
    </row>
    <row r="182" spans="1:17" x14ac:dyDescent="0.45">
      <c r="A182" s="19">
        <v>46026.7</v>
      </c>
      <c r="B182" t="s">
        <v>72</v>
      </c>
      <c r="C182" t="s">
        <v>73</v>
      </c>
      <c r="D182" t="s">
        <v>74</v>
      </c>
      <c r="E182" t="s">
        <v>75</v>
      </c>
      <c r="F182" t="s">
        <v>99</v>
      </c>
      <c r="G182" t="s">
        <v>110</v>
      </c>
      <c r="H182" t="s">
        <v>104</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99</v>
      </c>
      <c r="G183" t="s">
        <v>100</v>
      </c>
      <c r="H183" t="s">
        <v>109</v>
      </c>
      <c r="I183">
        <v>8</v>
      </c>
      <c r="J183">
        <v>8</v>
      </c>
      <c r="K183">
        <v>5</v>
      </c>
      <c r="L183">
        <v>8</v>
      </c>
      <c r="M183">
        <v>6</v>
      </c>
      <c r="N183">
        <v>8</v>
      </c>
      <c r="O183">
        <v>6</v>
      </c>
      <c r="P183">
        <v>7</v>
      </c>
      <c r="Q183">
        <v>7</v>
      </c>
    </row>
    <row r="184" spans="1:17" x14ac:dyDescent="0.45">
      <c r="A184" s="19">
        <v>46026.701388888891</v>
      </c>
      <c r="B184" t="s">
        <v>78</v>
      </c>
      <c r="C184" t="s">
        <v>192</v>
      </c>
      <c r="D184" t="s">
        <v>74</v>
      </c>
      <c r="E184" t="s">
        <v>75</v>
      </c>
      <c r="F184" t="s">
        <v>99</v>
      </c>
      <c r="G184" t="s">
        <v>107</v>
      </c>
      <c r="H184" t="s">
        <v>105</v>
      </c>
      <c r="I184">
        <v>2</v>
      </c>
      <c r="J184">
        <v>5</v>
      </c>
      <c r="K184">
        <v>3</v>
      </c>
      <c r="L184">
        <v>5</v>
      </c>
      <c r="M184">
        <v>3</v>
      </c>
      <c r="N184">
        <v>2</v>
      </c>
      <c r="O184">
        <v>1</v>
      </c>
      <c r="P184">
        <v>5</v>
      </c>
      <c r="Q184">
        <v>5</v>
      </c>
    </row>
    <row r="185" spans="1:17" x14ac:dyDescent="0.45">
      <c r="A185" s="19">
        <v>46026.70208333333</v>
      </c>
      <c r="B185" t="s">
        <v>78</v>
      </c>
      <c r="C185" t="s">
        <v>188</v>
      </c>
      <c r="D185" t="s">
        <v>74</v>
      </c>
      <c r="E185" t="s">
        <v>77</v>
      </c>
      <c r="F185" t="s">
        <v>99</v>
      </c>
      <c r="G185" t="s">
        <v>103</v>
      </c>
      <c r="H185" t="s">
        <v>109</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102</v>
      </c>
      <c r="G186" t="s">
        <v>108</v>
      </c>
      <c r="H186" t="s">
        <v>105</v>
      </c>
      <c r="I186">
        <v>7</v>
      </c>
      <c r="J186">
        <v>7</v>
      </c>
      <c r="K186">
        <v>6</v>
      </c>
      <c r="L186">
        <v>8</v>
      </c>
      <c r="M186">
        <v>5</v>
      </c>
      <c r="N186">
        <v>5</v>
      </c>
      <c r="O186">
        <v>5</v>
      </c>
      <c r="P186">
        <v>6</v>
      </c>
      <c r="Q186">
        <v>5</v>
      </c>
    </row>
    <row r="187" spans="1:17" x14ac:dyDescent="0.45">
      <c r="A187" s="19">
        <v>46026.70416666667</v>
      </c>
      <c r="B187" t="s">
        <v>72</v>
      </c>
      <c r="C187" t="s">
        <v>192</v>
      </c>
      <c r="D187" t="s">
        <v>74</v>
      </c>
      <c r="E187" t="s">
        <v>77</v>
      </c>
      <c r="F187" t="s">
        <v>196</v>
      </c>
      <c r="G187" t="s">
        <v>103</v>
      </c>
      <c r="H187" t="s">
        <v>109</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99</v>
      </c>
      <c r="G188" t="s">
        <v>108</v>
      </c>
      <c r="H188" t="s">
        <v>104</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99</v>
      </c>
      <c r="G189" t="s">
        <v>100</v>
      </c>
      <c r="H189" t="s">
        <v>101</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99</v>
      </c>
      <c r="G190" t="s">
        <v>110</v>
      </c>
      <c r="H190" t="s">
        <v>104</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99</v>
      </c>
      <c r="G191" t="s">
        <v>100</v>
      </c>
      <c r="H191" t="s">
        <v>109</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99</v>
      </c>
      <c r="G192" t="s">
        <v>110</v>
      </c>
      <c r="H192" t="s">
        <v>105</v>
      </c>
      <c r="I192">
        <v>7</v>
      </c>
      <c r="J192">
        <v>7</v>
      </c>
      <c r="K192">
        <v>6</v>
      </c>
      <c r="L192">
        <v>8</v>
      </c>
      <c r="M192">
        <v>7</v>
      </c>
      <c r="N192">
        <v>8</v>
      </c>
      <c r="O192">
        <v>7</v>
      </c>
      <c r="P192">
        <v>7</v>
      </c>
      <c r="Q192">
        <v>7</v>
      </c>
    </row>
    <row r="193" spans="1:17" x14ac:dyDescent="0.45">
      <c r="A193" s="19">
        <v>46029.685416666667</v>
      </c>
      <c r="B193" t="s">
        <v>72</v>
      </c>
      <c r="C193" t="s">
        <v>188</v>
      </c>
      <c r="D193" t="s">
        <v>74</v>
      </c>
      <c r="E193" t="s">
        <v>77</v>
      </c>
      <c r="F193" t="s">
        <v>99</v>
      </c>
      <c r="G193" t="s">
        <v>195</v>
      </c>
      <c r="H193" t="s">
        <v>109</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99</v>
      </c>
      <c r="G194" t="s">
        <v>100</v>
      </c>
      <c r="H194" t="s">
        <v>104</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99</v>
      </c>
      <c r="G195" t="s">
        <v>195</v>
      </c>
      <c r="H195" t="s">
        <v>101</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99</v>
      </c>
      <c r="G196" t="s">
        <v>103</v>
      </c>
      <c r="H196" t="s">
        <v>101</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99</v>
      </c>
      <c r="G197" t="s">
        <v>103</v>
      </c>
      <c r="H197" t="s">
        <v>104</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99</v>
      </c>
      <c r="G198" t="s">
        <v>103</v>
      </c>
      <c r="H198" t="s">
        <v>105</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99</v>
      </c>
      <c r="G199" t="s">
        <v>103</v>
      </c>
      <c r="H199" t="s">
        <v>104</v>
      </c>
      <c r="I199">
        <v>5</v>
      </c>
      <c r="J199">
        <v>5</v>
      </c>
      <c r="K199">
        <v>5</v>
      </c>
      <c r="L199">
        <v>5</v>
      </c>
      <c r="M199">
        <v>5</v>
      </c>
      <c r="N199">
        <v>5</v>
      </c>
      <c r="O199">
        <v>5</v>
      </c>
      <c r="P199">
        <v>4</v>
      </c>
      <c r="Q199">
        <v>5</v>
      </c>
    </row>
    <row r="200" spans="1:17" x14ac:dyDescent="0.45">
      <c r="A200" s="19">
        <v>46031.374305555553</v>
      </c>
      <c r="B200" t="s">
        <v>72</v>
      </c>
      <c r="C200" t="s">
        <v>192</v>
      </c>
      <c r="D200" t="s">
        <v>74</v>
      </c>
      <c r="E200" t="s">
        <v>75</v>
      </c>
      <c r="F200" t="s">
        <v>196</v>
      </c>
      <c r="G200" t="s">
        <v>193</v>
      </c>
      <c r="H200" t="s">
        <v>101</v>
      </c>
      <c r="I200">
        <v>9</v>
      </c>
      <c r="J200">
        <v>8</v>
      </c>
      <c r="K200">
        <v>9</v>
      </c>
      <c r="L200">
        <v>9</v>
      </c>
      <c r="M200">
        <v>8</v>
      </c>
      <c r="N200">
        <v>9</v>
      </c>
      <c r="O200">
        <v>10</v>
      </c>
      <c r="P200">
        <v>9</v>
      </c>
      <c r="Q200">
        <v>10</v>
      </c>
    </row>
    <row r="201" spans="1:17" x14ac:dyDescent="0.45">
      <c r="A201" s="19">
        <v>46031.390277777777</v>
      </c>
      <c r="B201" t="s">
        <v>78</v>
      </c>
      <c r="C201" t="s">
        <v>190</v>
      </c>
      <c r="D201" t="s">
        <v>74</v>
      </c>
      <c r="E201" t="s">
        <v>77</v>
      </c>
      <c r="F201" t="s">
        <v>99</v>
      </c>
      <c r="G201" t="s">
        <v>106</v>
      </c>
      <c r="H201" t="s">
        <v>105</v>
      </c>
      <c r="I201">
        <v>4</v>
      </c>
      <c r="J201">
        <v>4</v>
      </c>
      <c r="K201">
        <v>3</v>
      </c>
      <c r="L201">
        <v>5</v>
      </c>
      <c r="M201">
        <v>4</v>
      </c>
      <c r="N201">
        <v>5</v>
      </c>
      <c r="O201">
        <v>1</v>
      </c>
      <c r="P201">
        <v>5</v>
      </c>
      <c r="Q201">
        <v>5</v>
      </c>
    </row>
    <row r="202" spans="1:17" x14ac:dyDescent="0.45">
      <c r="A202" s="19">
        <v>46031.390972222223</v>
      </c>
      <c r="B202" t="s">
        <v>72</v>
      </c>
      <c r="C202" t="s">
        <v>192</v>
      </c>
      <c r="D202" t="s">
        <v>74</v>
      </c>
      <c r="E202" t="s">
        <v>75</v>
      </c>
      <c r="F202" t="s">
        <v>99</v>
      </c>
      <c r="G202" t="s">
        <v>110</v>
      </c>
      <c r="H202" t="s">
        <v>101</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99</v>
      </c>
      <c r="G203" t="s">
        <v>106</v>
      </c>
      <c r="H203" t="s">
        <v>194</v>
      </c>
      <c r="I203">
        <v>6</v>
      </c>
      <c r="J203">
        <v>8</v>
      </c>
      <c r="K203">
        <v>8</v>
      </c>
      <c r="L203">
        <v>9</v>
      </c>
      <c r="M203">
        <v>7</v>
      </c>
      <c r="N203">
        <v>7</v>
      </c>
      <c r="O203">
        <v>7</v>
      </c>
      <c r="P203">
        <v>8</v>
      </c>
      <c r="Q203">
        <v>8</v>
      </c>
    </row>
    <row r="204" spans="1:17" x14ac:dyDescent="0.45">
      <c r="A204" s="19">
        <v>46031.39166666667</v>
      </c>
      <c r="B204" t="s">
        <v>72</v>
      </c>
      <c r="C204" t="s">
        <v>190</v>
      </c>
      <c r="D204" t="s">
        <v>74</v>
      </c>
      <c r="E204" t="s">
        <v>75</v>
      </c>
      <c r="F204" t="s">
        <v>99</v>
      </c>
      <c r="G204" t="s">
        <v>107</v>
      </c>
      <c r="H204" t="s">
        <v>105</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99</v>
      </c>
      <c r="G205" t="s">
        <v>108</v>
      </c>
      <c r="H205" t="s">
        <v>101</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99</v>
      </c>
      <c r="G206" t="s">
        <v>100</v>
      </c>
      <c r="H206" t="s">
        <v>109</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99</v>
      </c>
      <c r="G207" t="s">
        <v>110</v>
      </c>
      <c r="H207" t="s">
        <v>101</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99</v>
      </c>
      <c r="G208" t="s">
        <v>110</v>
      </c>
      <c r="H208" t="s">
        <v>104</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99</v>
      </c>
      <c r="G209" t="s">
        <v>108</v>
      </c>
      <c r="H209" t="s">
        <v>101</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99</v>
      </c>
      <c r="G210" t="s">
        <v>108</v>
      </c>
      <c r="H210" t="s">
        <v>109</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99</v>
      </c>
      <c r="G211" t="s">
        <v>100</v>
      </c>
      <c r="H211" t="s">
        <v>109</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99</v>
      </c>
      <c r="G212" t="s">
        <v>110</v>
      </c>
      <c r="H212" t="s">
        <v>101</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99</v>
      </c>
      <c r="G213" t="s">
        <v>110</v>
      </c>
      <c r="H213" t="s">
        <v>109</v>
      </c>
      <c r="I213">
        <v>5</v>
      </c>
      <c r="J213">
        <v>5</v>
      </c>
      <c r="K213">
        <v>1</v>
      </c>
      <c r="L213">
        <v>5</v>
      </c>
      <c r="M213">
        <v>5</v>
      </c>
      <c r="N213">
        <v>5</v>
      </c>
      <c r="O213">
        <v>4</v>
      </c>
      <c r="P213">
        <v>5</v>
      </c>
      <c r="Q213">
        <v>5</v>
      </c>
    </row>
    <row r="214" spans="1:17" x14ac:dyDescent="0.45">
      <c r="A214" s="19">
        <v>46031.4</v>
      </c>
      <c r="B214" t="s">
        <v>72</v>
      </c>
      <c r="C214" t="s">
        <v>73</v>
      </c>
      <c r="D214" t="s">
        <v>74</v>
      </c>
      <c r="E214" t="s">
        <v>77</v>
      </c>
      <c r="F214" t="s">
        <v>99</v>
      </c>
      <c r="G214" t="s">
        <v>110</v>
      </c>
      <c r="H214" t="s">
        <v>194</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99</v>
      </c>
      <c r="G215" t="s">
        <v>110</v>
      </c>
      <c r="H215" t="s">
        <v>194</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99</v>
      </c>
      <c r="G216" t="s">
        <v>195</v>
      </c>
      <c r="H216" t="s">
        <v>104</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99</v>
      </c>
      <c r="G217" t="s">
        <v>108</v>
      </c>
      <c r="H217" t="s">
        <v>101</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99</v>
      </c>
      <c r="G218" t="s">
        <v>108</v>
      </c>
      <c r="H218" t="s">
        <v>109</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99</v>
      </c>
      <c r="G219" t="s">
        <v>110</v>
      </c>
      <c r="H219" t="s">
        <v>105</v>
      </c>
      <c r="I219">
        <v>6</v>
      </c>
      <c r="J219">
        <v>7</v>
      </c>
      <c r="K219">
        <v>7</v>
      </c>
      <c r="L219">
        <v>7</v>
      </c>
      <c r="M219">
        <v>7</v>
      </c>
      <c r="N219">
        <v>7</v>
      </c>
      <c r="O219">
        <v>7</v>
      </c>
      <c r="P219">
        <v>7</v>
      </c>
      <c r="Q219">
        <v>7</v>
      </c>
    </row>
    <row r="220" spans="1:17" x14ac:dyDescent="0.45">
      <c r="A220" s="19">
        <v>46031.402777777781</v>
      </c>
      <c r="B220" t="s">
        <v>78</v>
      </c>
      <c r="C220" t="s">
        <v>192</v>
      </c>
      <c r="D220" t="s">
        <v>74</v>
      </c>
      <c r="E220" t="s">
        <v>75</v>
      </c>
      <c r="F220" t="s">
        <v>99</v>
      </c>
      <c r="G220" t="s">
        <v>107</v>
      </c>
      <c r="H220" t="s">
        <v>104</v>
      </c>
      <c r="I220">
        <v>7</v>
      </c>
      <c r="J220">
        <v>8</v>
      </c>
      <c r="K220">
        <v>8</v>
      </c>
      <c r="L220">
        <v>8</v>
      </c>
      <c r="M220">
        <v>8</v>
      </c>
      <c r="N220">
        <v>5</v>
      </c>
      <c r="O220">
        <v>5</v>
      </c>
      <c r="P220">
        <v>7</v>
      </c>
      <c r="Q220">
        <v>6</v>
      </c>
    </row>
    <row r="221" spans="1:17" x14ac:dyDescent="0.45">
      <c r="A221" s="19">
        <v>46031.402777777781</v>
      </c>
      <c r="B221" t="s">
        <v>72</v>
      </c>
      <c r="C221" t="s">
        <v>190</v>
      </c>
      <c r="D221" t="s">
        <v>74</v>
      </c>
      <c r="E221" t="s">
        <v>75</v>
      </c>
      <c r="F221" t="s">
        <v>99</v>
      </c>
      <c r="G221" t="s">
        <v>107</v>
      </c>
      <c r="H221" t="s">
        <v>101</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99</v>
      </c>
      <c r="G222" t="s">
        <v>110</v>
      </c>
      <c r="H222" t="s">
        <v>101</v>
      </c>
      <c r="I222">
        <v>4</v>
      </c>
      <c r="J222">
        <v>4</v>
      </c>
      <c r="K222">
        <v>4</v>
      </c>
      <c r="L222">
        <v>6</v>
      </c>
      <c r="M222">
        <v>5</v>
      </c>
      <c r="N222">
        <v>6</v>
      </c>
      <c r="O222">
        <v>5</v>
      </c>
      <c r="P222">
        <v>6</v>
      </c>
      <c r="Q222">
        <v>5</v>
      </c>
    </row>
    <row r="223" spans="1:17" x14ac:dyDescent="0.45">
      <c r="A223" s="19">
        <v>46031.404861111114</v>
      </c>
      <c r="B223" t="s">
        <v>72</v>
      </c>
      <c r="C223" t="s">
        <v>190</v>
      </c>
      <c r="D223" t="s">
        <v>74</v>
      </c>
      <c r="E223" t="s">
        <v>77</v>
      </c>
      <c r="F223" t="s">
        <v>99</v>
      </c>
      <c r="G223" t="s">
        <v>110</v>
      </c>
      <c r="H223" t="s">
        <v>104</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99</v>
      </c>
      <c r="G224" t="s">
        <v>110</v>
      </c>
      <c r="H224" t="s">
        <v>104</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99</v>
      </c>
      <c r="G225" t="s">
        <v>110</v>
      </c>
      <c r="H225" t="s">
        <v>109</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99</v>
      </c>
      <c r="G226" t="s">
        <v>108</v>
      </c>
      <c r="H226" t="s">
        <v>101</v>
      </c>
      <c r="I226">
        <v>6</v>
      </c>
      <c r="J226">
        <v>6</v>
      </c>
      <c r="K226">
        <v>7</v>
      </c>
      <c r="L226">
        <v>7</v>
      </c>
      <c r="M226">
        <v>5</v>
      </c>
      <c r="N226">
        <v>6</v>
      </c>
      <c r="O226">
        <v>6</v>
      </c>
      <c r="P226">
        <v>6</v>
      </c>
      <c r="Q226">
        <v>7</v>
      </c>
    </row>
    <row r="227" spans="1:17" x14ac:dyDescent="0.45">
      <c r="A227" s="19">
        <v>46031.406944444447</v>
      </c>
      <c r="B227" t="s">
        <v>72</v>
      </c>
      <c r="C227" t="s">
        <v>192</v>
      </c>
      <c r="D227" t="s">
        <v>74</v>
      </c>
      <c r="E227" t="s">
        <v>75</v>
      </c>
      <c r="F227" t="s">
        <v>99</v>
      </c>
      <c r="G227" t="s">
        <v>106</v>
      </c>
      <c r="H227" t="s">
        <v>104</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99</v>
      </c>
      <c r="G228" t="s">
        <v>100</v>
      </c>
      <c r="H228" t="s">
        <v>109</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99</v>
      </c>
      <c r="G229" t="s">
        <v>195</v>
      </c>
      <c r="H229" t="s">
        <v>104</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99</v>
      </c>
      <c r="G230" t="s">
        <v>110</v>
      </c>
      <c r="H230" t="s">
        <v>104</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99</v>
      </c>
      <c r="G231" t="s">
        <v>106</v>
      </c>
      <c r="H231" t="s">
        <v>194</v>
      </c>
      <c r="I231">
        <v>4</v>
      </c>
      <c r="J231">
        <v>5</v>
      </c>
      <c r="K231">
        <v>1</v>
      </c>
      <c r="L231">
        <v>6</v>
      </c>
      <c r="M231">
        <v>4</v>
      </c>
      <c r="N231">
        <v>4</v>
      </c>
      <c r="O231">
        <v>5</v>
      </c>
      <c r="P231">
        <v>5</v>
      </c>
      <c r="Q231">
        <v>5</v>
      </c>
    </row>
    <row r="232" spans="1:17" x14ac:dyDescent="0.45">
      <c r="A232" s="19">
        <v>46031.40902777778</v>
      </c>
      <c r="B232" t="s">
        <v>78</v>
      </c>
      <c r="C232" t="s">
        <v>192</v>
      </c>
      <c r="D232" t="s">
        <v>74</v>
      </c>
      <c r="E232" t="s">
        <v>75</v>
      </c>
      <c r="F232" t="s">
        <v>99</v>
      </c>
      <c r="G232" t="s">
        <v>107</v>
      </c>
      <c r="H232" t="s">
        <v>194</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99</v>
      </c>
      <c r="G233" t="s">
        <v>110</v>
      </c>
      <c r="H233" t="s">
        <v>104</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99</v>
      </c>
      <c r="G234" t="s">
        <v>103</v>
      </c>
      <c r="H234" t="s">
        <v>101</v>
      </c>
      <c r="I234">
        <v>8</v>
      </c>
      <c r="J234">
        <v>8</v>
      </c>
      <c r="K234">
        <v>8</v>
      </c>
      <c r="L234">
        <v>8</v>
      </c>
      <c r="M234">
        <v>9</v>
      </c>
      <c r="N234">
        <v>8</v>
      </c>
      <c r="O234">
        <v>8</v>
      </c>
      <c r="P234">
        <v>8</v>
      </c>
      <c r="Q234">
        <v>10</v>
      </c>
    </row>
    <row r="235" spans="1:17" x14ac:dyDescent="0.45">
      <c r="A235" s="19">
        <v>46031.409722222219</v>
      </c>
      <c r="B235" t="s">
        <v>72</v>
      </c>
      <c r="C235" t="s">
        <v>190</v>
      </c>
      <c r="D235" t="s">
        <v>74</v>
      </c>
      <c r="E235" t="s">
        <v>75</v>
      </c>
      <c r="F235" t="s">
        <v>99</v>
      </c>
      <c r="G235" t="s">
        <v>106</v>
      </c>
      <c r="H235" t="s">
        <v>105</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99</v>
      </c>
      <c r="G236" t="s">
        <v>108</v>
      </c>
      <c r="H236" t="s">
        <v>109</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99</v>
      </c>
      <c r="G237" t="s">
        <v>110</v>
      </c>
      <c r="H237" t="s">
        <v>105</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102</v>
      </c>
      <c r="G238" t="s">
        <v>103</v>
      </c>
      <c r="H238" t="s">
        <v>105</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99</v>
      </c>
      <c r="G239" t="s">
        <v>100</v>
      </c>
      <c r="H239" t="s">
        <v>101</v>
      </c>
      <c r="I239">
        <v>8</v>
      </c>
      <c r="J239">
        <v>10</v>
      </c>
      <c r="K239">
        <v>8</v>
      </c>
      <c r="L239">
        <v>10</v>
      </c>
      <c r="M239">
        <v>9</v>
      </c>
      <c r="N239">
        <v>8</v>
      </c>
      <c r="O239">
        <v>7</v>
      </c>
      <c r="P239">
        <v>9</v>
      </c>
      <c r="Q239">
        <v>9</v>
      </c>
    </row>
    <row r="240" spans="1:17" x14ac:dyDescent="0.45">
      <c r="A240" s="19">
        <v>46031.440972222219</v>
      </c>
      <c r="B240" t="s">
        <v>78</v>
      </c>
      <c r="C240" t="s">
        <v>192</v>
      </c>
      <c r="D240" t="s">
        <v>74</v>
      </c>
      <c r="E240" t="s">
        <v>75</v>
      </c>
      <c r="F240" t="s">
        <v>99</v>
      </c>
      <c r="G240" t="s">
        <v>106</v>
      </c>
      <c r="H240" t="s">
        <v>194</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99</v>
      </c>
      <c r="G241" t="s">
        <v>110</v>
      </c>
      <c r="H241" t="s">
        <v>105</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99</v>
      </c>
      <c r="G242" t="s">
        <v>110</v>
      </c>
      <c r="H242" t="s">
        <v>101</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99</v>
      </c>
      <c r="G243" t="s">
        <v>110</v>
      </c>
      <c r="H243" t="s">
        <v>104</v>
      </c>
      <c r="I243">
        <v>6</v>
      </c>
      <c r="J243">
        <v>5</v>
      </c>
      <c r="K243">
        <v>5</v>
      </c>
      <c r="L243">
        <v>7</v>
      </c>
      <c r="M243">
        <v>7</v>
      </c>
      <c r="N243">
        <v>7</v>
      </c>
      <c r="O243">
        <v>7</v>
      </c>
      <c r="P243">
        <v>8</v>
      </c>
      <c r="Q243">
        <v>8</v>
      </c>
    </row>
    <row r="244" spans="1:17" x14ac:dyDescent="0.45">
      <c r="A244" s="19">
        <v>46031.442361111112</v>
      </c>
      <c r="B244" t="s">
        <v>78</v>
      </c>
      <c r="C244" t="s">
        <v>190</v>
      </c>
      <c r="D244" t="s">
        <v>74</v>
      </c>
      <c r="E244" t="s">
        <v>77</v>
      </c>
      <c r="F244" t="s">
        <v>99</v>
      </c>
      <c r="G244" t="s">
        <v>106</v>
      </c>
      <c r="H244" t="s">
        <v>104</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99</v>
      </c>
      <c r="G245" t="s">
        <v>110</v>
      </c>
      <c r="H245" t="s">
        <v>105</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99</v>
      </c>
      <c r="G246" t="s">
        <v>107</v>
      </c>
      <c r="H246" t="s">
        <v>109</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99</v>
      </c>
      <c r="G247" t="s">
        <v>100</v>
      </c>
      <c r="H247" t="s">
        <v>109</v>
      </c>
      <c r="I247">
        <v>6</v>
      </c>
      <c r="J247">
        <v>7</v>
      </c>
      <c r="K247">
        <v>7</v>
      </c>
      <c r="L247">
        <v>7</v>
      </c>
      <c r="M247">
        <v>7</v>
      </c>
      <c r="N247">
        <v>7</v>
      </c>
      <c r="O247">
        <v>7</v>
      </c>
      <c r="P247">
        <v>7</v>
      </c>
      <c r="Q247">
        <v>7</v>
      </c>
    </row>
    <row r="248" spans="1:17" x14ac:dyDescent="0.45">
      <c r="A248" s="19">
        <v>46031.444444444445</v>
      </c>
      <c r="B248" t="s">
        <v>72</v>
      </c>
      <c r="C248" t="s">
        <v>190</v>
      </c>
      <c r="D248" t="s">
        <v>74</v>
      </c>
      <c r="E248" t="s">
        <v>75</v>
      </c>
      <c r="F248" t="s">
        <v>99</v>
      </c>
      <c r="G248" t="s">
        <v>110</v>
      </c>
      <c r="H248" t="s">
        <v>194</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99</v>
      </c>
      <c r="G249" t="s">
        <v>108</v>
      </c>
      <c r="H249" t="s">
        <v>101</v>
      </c>
      <c r="I249">
        <v>7</v>
      </c>
      <c r="J249">
        <v>7</v>
      </c>
      <c r="K249">
        <v>7</v>
      </c>
      <c r="L249">
        <v>7</v>
      </c>
      <c r="M249">
        <v>7</v>
      </c>
      <c r="N249">
        <v>7</v>
      </c>
      <c r="O249">
        <v>7</v>
      </c>
      <c r="P249">
        <v>7</v>
      </c>
      <c r="Q249">
        <v>7</v>
      </c>
    </row>
    <row r="250" spans="1:17" x14ac:dyDescent="0.45">
      <c r="A250" s="19">
        <v>46031.464583333334</v>
      </c>
      <c r="B250" t="s">
        <v>78</v>
      </c>
      <c r="C250" t="s">
        <v>192</v>
      </c>
      <c r="D250" t="s">
        <v>74</v>
      </c>
      <c r="E250" t="s">
        <v>75</v>
      </c>
      <c r="F250" t="s">
        <v>99</v>
      </c>
      <c r="G250" t="s">
        <v>106</v>
      </c>
      <c r="H250" t="s">
        <v>105</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99</v>
      </c>
      <c r="G251" t="s">
        <v>110</v>
      </c>
      <c r="H251" t="s">
        <v>105</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99</v>
      </c>
      <c r="G252" t="s">
        <v>108</v>
      </c>
      <c r="H252" t="s">
        <v>194</v>
      </c>
      <c r="I252">
        <v>8</v>
      </c>
      <c r="J252">
        <v>8</v>
      </c>
      <c r="K252">
        <v>8</v>
      </c>
      <c r="L252">
        <v>9</v>
      </c>
      <c r="M252">
        <v>8</v>
      </c>
      <c r="N252">
        <v>10</v>
      </c>
      <c r="O252">
        <v>7</v>
      </c>
      <c r="P252">
        <v>7</v>
      </c>
      <c r="Q252">
        <v>10</v>
      </c>
    </row>
    <row r="253" spans="1:17" x14ac:dyDescent="0.45">
      <c r="A253" s="19">
        <v>46031.46597222222</v>
      </c>
      <c r="B253" t="s">
        <v>72</v>
      </c>
      <c r="C253" t="s">
        <v>190</v>
      </c>
      <c r="D253" t="s">
        <v>74</v>
      </c>
      <c r="E253" t="s">
        <v>77</v>
      </c>
      <c r="F253" t="s">
        <v>99</v>
      </c>
      <c r="G253" t="s">
        <v>110</v>
      </c>
      <c r="H253" t="s">
        <v>105</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99</v>
      </c>
      <c r="G254" t="s">
        <v>106</v>
      </c>
      <c r="H254" t="s">
        <v>194</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99</v>
      </c>
      <c r="G255" t="s">
        <v>106</v>
      </c>
      <c r="H255" t="s">
        <v>101</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99</v>
      </c>
      <c r="G256" t="s">
        <v>110</v>
      </c>
      <c r="H256" t="s">
        <v>101</v>
      </c>
      <c r="I256">
        <v>6</v>
      </c>
      <c r="J256">
        <v>6</v>
      </c>
      <c r="K256">
        <v>1</v>
      </c>
      <c r="L256">
        <v>7</v>
      </c>
      <c r="M256">
        <v>5</v>
      </c>
      <c r="N256">
        <v>6</v>
      </c>
      <c r="O256">
        <v>6</v>
      </c>
      <c r="P256">
        <v>6</v>
      </c>
      <c r="Q256">
        <v>6</v>
      </c>
    </row>
    <row r="257" spans="1:17" x14ac:dyDescent="0.45">
      <c r="A257" s="19">
        <v>46031.468055555553</v>
      </c>
      <c r="B257" t="s">
        <v>72</v>
      </c>
      <c r="C257" t="s">
        <v>190</v>
      </c>
      <c r="D257" t="s">
        <v>74</v>
      </c>
      <c r="E257" t="s">
        <v>77</v>
      </c>
      <c r="F257" t="s">
        <v>99</v>
      </c>
      <c r="G257" t="s">
        <v>107</v>
      </c>
      <c r="H257" t="s">
        <v>194</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99</v>
      </c>
      <c r="G258" t="s">
        <v>108</v>
      </c>
      <c r="H258" t="s">
        <v>101</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99</v>
      </c>
      <c r="G259" t="s">
        <v>110</v>
      </c>
      <c r="H259" t="s">
        <v>104</v>
      </c>
      <c r="I259">
        <v>6</v>
      </c>
      <c r="J259">
        <v>7</v>
      </c>
      <c r="K259">
        <v>2</v>
      </c>
      <c r="L259">
        <v>7</v>
      </c>
      <c r="M259">
        <v>5</v>
      </c>
      <c r="N259">
        <v>5</v>
      </c>
      <c r="O259">
        <v>5</v>
      </c>
      <c r="P259">
        <v>6</v>
      </c>
      <c r="Q259">
        <v>5</v>
      </c>
    </row>
    <row r="260" spans="1:17" x14ac:dyDescent="0.45">
      <c r="A260" s="19">
        <v>46031.469444444447</v>
      </c>
      <c r="B260" t="s">
        <v>78</v>
      </c>
      <c r="C260" t="s">
        <v>190</v>
      </c>
      <c r="D260" t="s">
        <v>74</v>
      </c>
      <c r="E260" t="s">
        <v>75</v>
      </c>
      <c r="F260" t="s">
        <v>99</v>
      </c>
      <c r="G260" t="s">
        <v>107</v>
      </c>
      <c r="H260" t="s">
        <v>194</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99</v>
      </c>
      <c r="G261" t="s">
        <v>108</v>
      </c>
      <c r="H261" t="s">
        <v>104</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99</v>
      </c>
      <c r="G262" t="s">
        <v>108</v>
      </c>
      <c r="H262" t="s">
        <v>101</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99</v>
      </c>
      <c r="G263" t="s">
        <v>110</v>
      </c>
      <c r="H263" t="s">
        <v>194</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99</v>
      </c>
      <c r="G264" t="s">
        <v>106</v>
      </c>
      <c r="H264" t="s">
        <v>105</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99</v>
      </c>
      <c r="G265" t="s">
        <v>107</v>
      </c>
      <c r="H265" t="s">
        <v>105</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99</v>
      </c>
      <c r="G266" t="s">
        <v>100</v>
      </c>
      <c r="H266" t="s">
        <v>109</v>
      </c>
      <c r="I266">
        <v>6</v>
      </c>
      <c r="J266">
        <v>5</v>
      </c>
      <c r="K266">
        <v>5</v>
      </c>
      <c r="L266">
        <v>7</v>
      </c>
      <c r="M266">
        <v>6</v>
      </c>
      <c r="N266">
        <v>7</v>
      </c>
      <c r="O266">
        <v>5</v>
      </c>
      <c r="P266">
        <v>6</v>
      </c>
      <c r="Q266">
        <v>6</v>
      </c>
    </row>
    <row r="267" spans="1:17" x14ac:dyDescent="0.45">
      <c r="A267" s="19">
        <v>46031.473611111112</v>
      </c>
      <c r="B267" t="s">
        <v>72</v>
      </c>
      <c r="C267" t="s">
        <v>190</v>
      </c>
      <c r="D267" t="s">
        <v>74</v>
      </c>
      <c r="E267" t="s">
        <v>77</v>
      </c>
      <c r="F267" t="s">
        <v>99</v>
      </c>
      <c r="G267" t="s">
        <v>110</v>
      </c>
      <c r="H267" t="s">
        <v>105</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99</v>
      </c>
      <c r="G268" t="s">
        <v>110</v>
      </c>
      <c r="H268" t="s">
        <v>104</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99</v>
      </c>
      <c r="G269" t="s">
        <v>100</v>
      </c>
      <c r="H269" t="s">
        <v>104</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99</v>
      </c>
      <c r="G270" t="s">
        <v>106</v>
      </c>
      <c r="H270" t="s">
        <v>194</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102</v>
      </c>
      <c r="G271" t="s">
        <v>110</v>
      </c>
      <c r="H271" t="s">
        <v>109</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99</v>
      </c>
      <c r="G272" t="s">
        <v>110</v>
      </c>
      <c r="H272" t="s">
        <v>104</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99</v>
      </c>
      <c r="G273" t="s">
        <v>108</v>
      </c>
      <c r="H273" t="s">
        <v>101</v>
      </c>
      <c r="I273">
        <v>7</v>
      </c>
      <c r="J273">
        <v>8</v>
      </c>
      <c r="K273">
        <v>2</v>
      </c>
      <c r="L273">
        <v>6</v>
      </c>
      <c r="M273">
        <v>6</v>
      </c>
      <c r="N273">
        <v>6</v>
      </c>
      <c r="O273">
        <v>5</v>
      </c>
      <c r="P273">
        <v>5</v>
      </c>
      <c r="Q273">
        <v>6</v>
      </c>
    </row>
    <row r="274" spans="1:17" x14ac:dyDescent="0.45">
      <c r="A274" s="19">
        <v>46031.60833333333</v>
      </c>
      <c r="B274" t="s">
        <v>72</v>
      </c>
      <c r="C274" t="s">
        <v>190</v>
      </c>
      <c r="D274" t="s">
        <v>74</v>
      </c>
      <c r="E274" t="s">
        <v>75</v>
      </c>
      <c r="F274" t="s">
        <v>99</v>
      </c>
      <c r="G274" t="s">
        <v>106</v>
      </c>
      <c r="H274" t="s">
        <v>194</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99</v>
      </c>
      <c r="G275" t="s">
        <v>110</v>
      </c>
      <c r="H275" t="s">
        <v>104</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99</v>
      </c>
      <c r="G276" t="s">
        <v>110</v>
      </c>
      <c r="H276" t="s">
        <v>104</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99</v>
      </c>
      <c r="G277" t="s">
        <v>108</v>
      </c>
      <c r="H277" t="s">
        <v>101</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99</v>
      </c>
      <c r="G278" t="s">
        <v>106</v>
      </c>
      <c r="H278" t="s">
        <v>194</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99</v>
      </c>
      <c r="G279" t="s">
        <v>110</v>
      </c>
      <c r="H279" t="s">
        <v>105</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102</v>
      </c>
      <c r="G280" t="s">
        <v>106</v>
      </c>
      <c r="H280" t="s">
        <v>109</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99</v>
      </c>
      <c r="G281" t="s">
        <v>106</v>
      </c>
      <c r="H281" t="s">
        <v>104</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99</v>
      </c>
      <c r="G282" t="s">
        <v>106</v>
      </c>
      <c r="H282" t="s">
        <v>105</v>
      </c>
      <c r="I282">
        <v>6</v>
      </c>
      <c r="J282">
        <v>7</v>
      </c>
      <c r="K282">
        <v>4</v>
      </c>
      <c r="L282">
        <v>8</v>
      </c>
      <c r="M282">
        <v>6</v>
      </c>
      <c r="N282">
        <v>6</v>
      </c>
      <c r="O282">
        <v>5</v>
      </c>
      <c r="P282">
        <v>7</v>
      </c>
      <c r="Q282">
        <v>6</v>
      </c>
    </row>
    <row r="283" spans="1:17" x14ac:dyDescent="0.45">
      <c r="A283" s="19">
        <v>46031.636111111111</v>
      </c>
      <c r="B283" t="s">
        <v>72</v>
      </c>
      <c r="C283" t="s">
        <v>192</v>
      </c>
      <c r="D283" t="s">
        <v>74</v>
      </c>
      <c r="E283" t="s">
        <v>75</v>
      </c>
      <c r="F283" t="s">
        <v>99</v>
      </c>
      <c r="G283" t="s">
        <v>107</v>
      </c>
      <c r="H283" t="s">
        <v>194</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99</v>
      </c>
      <c r="G284" t="s">
        <v>110</v>
      </c>
      <c r="H284" t="s">
        <v>104</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99</v>
      </c>
      <c r="G285" t="s">
        <v>110</v>
      </c>
      <c r="H285" t="s">
        <v>104</v>
      </c>
      <c r="I285">
        <v>7</v>
      </c>
      <c r="J285">
        <v>7</v>
      </c>
      <c r="K285">
        <v>5</v>
      </c>
      <c r="L285">
        <v>7</v>
      </c>
      <c r="M285">
        <v>5</v>
      </c>
      <c r="N285">
        <v>6</v>
      </c>
      <c r="O285">
        <v>5</v>
      </c>
      <c r="P285">
        <v>7</v>
      </c>
      <c r="Q285">
        <v>6</v>
      </c>
    </row>
    <row r="286" spans="1:17" x14ac:dyDescent="0.45">
      <c r="A286" s="19">
        <v>46031.640277777777</v>
      </c>
      <c r="B286" t="s">
        <v>78</v>
      </c>
      <c r="C286" t="s">
        <v>190</v>
      </c>
      <c r="D286" t="s">
        <v>74</v>
      </c>
      <c r="E286" t="s">
        <v>77</v>
      </c>
      <c r="F286" t="s">
        <v>99</v>
      </c>
      <c r="G286" t="s">
        <v>106</v>
      </c>
      <c r="H286" t="s">
        <v>105</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99</v>
      </c>
      <c r="G287" t="s">
        <v>108</v>
      </c>
      <c r="H287" t="s">
        <v>109</v>
      </c>
      <c r="I287">
        <v>4</v>
      </c>
      <c r="J287">
        <v>4</v>
      </c>
      <c r="K287">
        <v>2</v>
      </c>
      <c r="L287">
        <v>8</v>
      </c>
      <c r="M287">
        <v>5</v>
      </c>
      <c r="N287">
        <v>5</v>
      </c>
      <c r="O287">
        <v>4</v>
      </c>
      <c r="P287">
        <v>6</v>
      </c>
      <c r="Q287">
        <v>5</v>
      </c>
    </row>
    <row r="288" spans="1:17" x14ac:dyDescent="0.45">
      <c r="A288" s="19">
        <v>46031.64166666667</v>
      </c>
      <c r="B288" t="s">
        <v>72</v>
      </c>
      <c r="C288" t="s">
        <v>190</v>
      </c>
      <c r="D288" t="s">
        <v>74</v>
      </c>
      <c r="E288" t="s">
        <v>77</v>
      </c>
      <c r="F288" t="s">
        <v>99</v>
      </c>
      <c r="G288" t="s">
        <v>110</v>
      </c>
      <c r="H288" t="s">
        <v>194</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99</v>
      </c>
      <c r="G289" t="s">
        <v>100</v>
      </c>
      <c r="H289" t="s">
        <v>109</v>
      </c>
      <c r="I289">
        <v>8</v>
      </c>
      <c r="J289">
        <v>8</v>
      </c>
      <c r="K289">
        <v>5</v>
      </c>
      <c r="L289">
        <v>9</v>
      </c>
      <c r="M289">
        <v>10</v>
      </c>
      <c r="N289">
        <v>10</v>
      </c>
      <c r="O289">
        <v>9</v>
      </c>
      <c r="P289">
        <v>9</v>
      </c>
      <c r="Q289">
        <v>10</v>
      </c>
    </row>
    <row r="290" spans="1:17" x14ac:dyDescent="0.45">
      <c r="A290" s="19">
        <v>46031.642361111109</v>
      </c>
      <c r="B290" t="s">
        <v>72</v>
      </c>
      <c r="C290" t="s">
        <v>73</v>
      </c>
      <c r="D290" t="s">
        <v>74</v>
      </c>
      <c r="E290" t="s">
        <v>189</v>
      </c>
      <c r="F290" t="s">
        <v>99</v>
      </c>
      <c r="G290" t="s">
        <v>100</v>
      </c>
      <c r="H290" t="s">
        <v>101</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99</v>
      </c>
      <c r="G291" t="s">
        <v>108</v>
      </c>
      <c r="H291" t="s">
        <v>104</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99</v>
      </c>
      <c r="G292" t="s">
        <v>110</v>
      </c>
      <c r="H292" t="s">
        <v>104</v>
      </c>
      <c r="I292">
        <v>9</v>
      </c>
      <c r="J292">
        <v>9</v>
      </c>
      <c r="K292">
        <v>3</v>
      </c>
      <c r="L292">
        <v>10</v>
      </c>
      <c r="M292">
        <v>8</v>
      </c>
      <c r="N292">
        <v>8</v>
      </c>
      <c r="O292">
        <v>6</v>
      </c>
      <c r="P292">
        <v>8</v>
      </c>
      <c r="Q292">
        <v>8</v>
      </c>
    </row>
    <row r="293" spans="1:17" x14ac:dyDescent="0.45">
      <c r="A293" s="19">
        <v>46031.643750000003</v>
      </c>
      <c r="B293" t="s">
        <v>72</v>
      </c>
      <c r="C293" t="s">
        <v>192</v>
      </c>
      <c r="D293" t="s">
        <v>74</v>
      </c>
      <c r="E293" t="s">
        <v>75</v>
      </c>
      <c r="F293" t="s">
        <v>196</v>
      </c>
      <c r="G293" t="s">
        <v>110</v>
      </c>
      <c r="H293" t="s">
        <v>104</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99</v>
      </c>
      <c r="G294" t="s">
        <v>108</v>
      </c>
      <c r="H294" t="s">
        <v>101</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99</v>
      </c>
      <c r="G295" t="s">
        <v>110</v>
      </c>
      <c r="H295" t="s">
        <v>105</v>
      </c>
      <c r="I295">
        <v>6</v>
      </c>
      <c r="J295">
        <v>6</v>
      </c>
      <c r="K295">
        <v>3</v>
      </c>
      <c r="L295">
        <v>7</v>
      </c>
      <c r="M295">
        <v>5</v>
      </c>
      <c r="N295">
        <v>6</v>
      </c>
      <c r="O295">
        <v>5</v>
      </c>
      <c r="P295">
        <v>5</v>
      </c>
      <c r="Q295">
        <v>6</v>
      </c>
    </row>
    <row r="296" spans="1:17" x14ac:dyDescent="0.45">
      <c r="A296" s="19">
        <v>46031.647222222222</v>
      </c>
      <c r="B296" t="s">
        <v>78</v>
      </c>
      <c r="C296" t="s">
        <v>188</v>
      </c>
      <c r="D296" t="s">
        <v>74</v>
      </c>
      <c r="E296" t="s">
        <v>77</v>
      </c>
      <c r="F296" t="s">
        <v>99</v>
      </c>
      <c r="G296" t="s">
        <v>100</v>
      </c>
      <c r="H296" t="s">
        <v>109</v>
      </c>
      <c r="I296">
        <v>8</v>
      </c>
      <c r="J296">
        <v>9</v>
      </c>
      <c r="K296">
        <v>9</v>
      </c>
      <c r="L296">
        <v>10</v>
      </c>
      <c r="M296">
        <v>8</v>
      </c>
      <c r="N296">
        <v>8</v>
      </c>
      <c r="O296">
        <v>9</v>
      </c>
      <c r="P296">
        <v>10</v>
      </c>
      <c r="Q296">
        <v>10</v>
      </c>
    </row>
    <row r="297" spans="1:17" x14ac:dyDescent="0.45">
      <c r="A297" s="19">
        <v>46031.684027777781</v>
      </c>
      <c r="B297" t="s">
        <v>78</v>
      </c>
      <c r="C297" t="s">
        <v>192</v>
      </c>
      <c r="D297" t="s">
        <v>74</v>
      </c>
      <c r="E297" t="s">
        <v>77</v>
      </c>
      <c r="F297" t="s">
        <v>99</v>
      </c>
      <c r="G297" t="s">
        <v>193</v>
      </c>
      <c r="H297" t="s">
        <v>109</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99</v>
      </c>
      <c r="G298" t="s">
        <v>110</v>
      </c>
      <c r="H298" t="s">
        <v>104</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196</v>
      </c>
      <c r="G299" t="s">
        <v>193</v>
      </c>
      <c r="H299" t="s">
        <v>109</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99</v>
      </c>
      <c r="G300" t="s">
        <v>108</v>
      </c>
      <c r="H300" t="s">
        <v>109</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99</v>
      </c>
      <c r="G301" t="s">
        <v>100</v>
      </c>
      <c r="H301" t="s">
        <v>101</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99</v>
      </c>
      <c r="G302" t="s">
        <v>193</v>
      </c>
      <c r="H302" t="s">
        <v>109</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99</v>
      </c>
      <c r="G303" t="s">
        <v>100</v>
      </c>
      <c r="H303" t="s">
        <v>109</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99</v>
      </c>
      <c r="G304" t="s">
        <v>100</v>
      </c>
      <c r="H304" t="s">
        <v>104</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99</v>
      </c>
      <c r="G305" t="s">
        <v>193</v>
      </c>
      <c r="H305" t="s">
        <v>109</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99</v>
      </c>
      <c r="G306" t="s">
        <v>108</v>
      </c>
      <c r="H306" t="s">
        <v>109</v>
      </c>
      <c r="I306">
        <v>7</v>
      </c>
      <c r="J306">
        <v>9</v>
      </c>
      <c r="K306">
        <v>8</v>
      </c>
      <c r="L306">
        <v>6</v>
      </c>
      <c r="M306">
        <v>5</v>
      </c>
      <c r="N306">
        <v>3</v>
      </c>
      <c r="O306">
        <v>9</v>
      </c>
      <c r="P306">
        <v>3</v>
      </c>
      <c r="Q306">
        <v>4</v>
      </c>
    </row>
    <row r="307" spans="1:17" x14ac:dyDescent="0.45">
      <c r="A307" s="19">
        <v>46031.8</v>
      </c>
      <c r="B307" t="s">
        <v>72</v>
      </c>
      <c r="C307" t="s">
        <v>79</v>
      </c>
      <c r="D307" t="s">
        <v>74</v>
      </c>
      <c r="E307" t="s">
        <v>77</v>
      </c>
      <c r="F307" t="s">
        <v>99</v>
      </c>
      <c r="G307" t="s">
        <v>110</v>
      </c>
      <c r="H307" t="s">
        <v>105</v>
      </c>
      <c r="I307">
        <v>3</v>
      </c>
      <c r="J307">
        <v>8</v>
      </c>
      <c r="K307">
        <v>8</v>
      </c>
      <c r="L307">
        <v>4</v>
      </c>
      <c r="M307">
        <v>4</v>
      </c>
      <c r="N307">
        <v>3</v>
      </c>
      <c r="O307">
        <v>7</v>
      </c>
      <c r="P307">
        <v>5</v>
      </c>
      <c r="Q307">
        <v>5</v>
      </c>
    </row>
    <row r="308" spans="1:17" x14ac:dyDescent="0.45">
      <c r="A308" s="19">
        <v>46031.804861111108</v>
      </c>
      <c r="B308" t="s">
        <v>72</v>
      </c>
      <c r="C308" t="s">
        <v>192</v>
      </c>
      <c r="D308" t="s">
        <v>74</v>
      </c>
      <c r="E308" t="s">
        <v>75</v>
      </c>
      <c r="F308" t="s">
        <v>196</v>
      </c>
      <c r="G308" t="s">
        <v>103</v>
      </c>
      <c r="H308" t="s">
        <v>104</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99</v>
      </c>
      <c r="G309" t="s">
        <v>107</v>
      </c>
      <c r="H309" t="s">
        <v>104</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99</v>
      </c>
      <c r="G310" t="s">
        <v>110</v>
      </c>
      <c r="H310" t="s">
        <v>101</v>
      </c>
      <c r="I310">
        <v>10</v>
      </c>
      <c r="J310">
        <v>10</v>
      </c>
      <c r="K310">
        <v>10</v>
      </c>
      <c r="L310">
        <v>10</v>
      </c>
      <c r="M310">
        <v>10</v>
      </c>
      <c r="N310">
        <v>9</v>
      </c>
      <c r="O310">
        <v>9</v>
      </c>
      <c r="P310">
        <v>10</v>
      </c>
      <c r="Q310">
        <v>10</v>
      </c>
    </row>
    <row r="311" spans="1:17" x14ac:dyDescent="0.45">
      <c r="A311" s="19">
        <v>46032.577777777777</v>
      </c>
      <c r="B311" t="s">
        <v>72</v>
      </c>
      <c r="C311" t="s">
        <v>188</v>
      </c>
      <c r="D311" t="s">
        <v>74</v>
      </c>
      <c r="E311" t="s">
        <v>77</v>
      </c>
      <c r="F311" t="s">
        <v>99</v>
      </c>
      <c r="G311" t="s">
        <v>195</v>
      </c>
      <c r="H311" t="s">
        <v>109</v>
      </c>
      <c r="I311">
        <v>7</v>
      </c>
      <c r="J311">
        <v>7</v>
      </c>
      <c r="K311">
        <v>5</v>
      </c>
      <c r="L311">
        <v>8</v>
      </c>
      <c r="M311">
        <v>8</v>
      </c>
      <c r="N311">
        <v>9</v>
      </c>
      <c r="O311">
        <v>9</v>
      </c>
      <c r="P311">
        <v>9</v>
      </c>
      <c r="Q311">
        <v>10</v>
      </c>
    </row>
    <row r="312" spans="1:17" x14ac:dyDescent="0.45">
      <c r="A312" s="19">
        <v>46032.577777777777</v>
      </c>
      <c r="B312" t="s">
        <v>72</v>
      </c>
      <c r="C312" t="s">
        <v>188</v>
      </c>
      <c r="D312" t="s">
        <v>74</v>
      </c>
      <c r="E312" t="s">
        <v>77</v>
      </c>
      <c r="F312" t="s">
        <v>99</v>
      </c>
      <c r="G312" t="s">
        <v>103</v>
      </c>
      <c r="H312" t="s">
        <v>109</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99</v>
      </c>
      <c r="G313" t="s">
        <v>195</v>
      </c>
      <c r="H313" t="s">
        <v>109</v>
      </c>
      <c r="I313">
        <v>8</v>
      </c>
      <c r="J313">
        <v>9</v>
      </c>
      <c r="K313">
        <v>10</v>
      </c>
      <c r="L313">
        <v>10</v>
      </c>
      <c r="M313">
        <v>8</v>
      </c>
      <c r="N313">
        <v>9</v>
      </c>
      <c r="O313">
        <v>8</v>
      </c>
      <c r="P313">
        <v>8</v>
      </c>
      <c r="Q313">
        <v>10</v>
      </c>
    </row>
    <row r="314" spans="1:17" x14ac:dyDescent="0.45">
      <c r="A314" s="19">
        <v>46033.399305555555</v>
      </c>
      <c r="B314" t="s">
        <v>78</v>
      </c>
      <c r="C314" t="s">
        <v>188</v>
      </c>
      <c r="D314" t="s">
        <v>74</v>
      </c>
      <c r="E314" t="s">
        <v>77</v>
      </c>
      <c r="F314" t="s">
        <v>99</v>
      </c>
      <c r="G314" t="s">
        <v>103</v>
      </c>
      <c r="H314" t="s">
        <v>109</v>
      </c>
      <c r="I314">
        <v>6</v>
      </c>
      <c r="J314">
        <v>6</v>
      </c>
      <c r="K314">
        <v>7</v>
      </c>
      <c r="L314">
        <v>7</v>
      </c>
      <c r="M314">
        <v>7</v>
      </c>
      <c r="N314">
        <v>8</v>
      </c>
      <c r="O314">
        <v>5</v>
      </c>
      <c r="P314">
        <v>5</v>
      </c>
      <c r="Q314">
        <v>8</v>
      </c>
    </row>
    <row r="315" spans="1:17" x14ac:dyDescent="0.45">
      <c r="A315" s="19">
        <v>46033.431250000001</v>
      </c>
      <c r="B315" t="s">
        <v>72</v>
      </c>
      <c r="C315" t="s">
        <v>188</v>
      </c>
      <c r="D315" t="s">
        <v>74</v>
      </c>
      <c r="E315" t="s">
        <v>77</v>
      </c>
      <c r="F315" t="s">
        <v>99</v>
      </c>
      <c r="G315" t="s">
        <v>103</v>
      </c>
      <c r="H315" t="s">
        <v>109</v>
      </c>
      <c r="I315">
        <v>7</v>
      </c>
      <c r="J315">
        <v>8</v>
      </c>
      <c r="K315">
        <v>8</v>
      </c>
      <c r="L315">
        <v>8</v>
      </c>
      <c r="M315">
        <v>5</v>
      </c>
      <c r="N315">
        <v>8</v>
      </c>
      <c r="O315">
        <v>6</v>
      </c>
      <c r="P315">
        <v>6</v>
      </c>
      <c r="Q315">
        <v>8</v>
      </c>
    </row>
    <row r="316" spans="1:17" x14ac:dyDescent="0.45">
      <c r="A316" s="19">
        <v>46033.888194444444</v>
      </c>
      <c r="B316" t="s">
        <v>78</v>
      </c>
      <c r="C316" t="s">
        <v>188</v>
      </c>
      <c r="D316" t="s">
        <v>74</v>
      </c>
      <c r="E316" t="s">
        <v>77</v>
      </c>
      <c r="F316" t="s">
        <v>99</v>
      </c>
      <c r="G316" t="s">
        <v>195</v>
      </c>
      <c r="H316" t="s">
        <v>109</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99</v>
      </c>
      <c r="G317" t="s">
        <v>100</v>
      </c>
      <c r="H317" t="s">
        <v>109</v>
      </c>
      <c r="I317">
        <v>6</v>
      </c>
      <c r="J317">
        <v>8</v>
      </c>
      <c r="K317">
        <v>5</v>
      </c>
      <c r="L317">
        <v>6</v>
      </c>
      <c r="M317">
        <v>6</v>
      </c>
      <c r="N317">
        <v>7</v>
      </c>
      <c r="O317">
        <v>6</v>
      </c>
      <c r="P317">
        <v>7</v>
      </c>
      <c r="Q317">
        <v>7</v>
      </c>
    </row>
    <row r="318" spans="1:17" x14ac:dyDescent="0.45">
      <c r="A318" s="19">
        <v>46034.478472222225</v>
      </c>
      <c r="B318" t="s">
        <v>72</v>
      </c>
      <c r="C318" t="s">
        <v>188</v>
      </c>
      <c r="D318" t="s">
        <v>74</v>
      </c>
      <c r="E318" t="s">
        <v>77</v>
      </c>
      <c r="F318" t="s">
        <v>99</v>
      </c>
      <c r="G318" t="s">
        <v>103</v>
      </c>
      <c r="H318" t="s">
        <v>109</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99</v>
      </c>
      <c r="G319" t="s">
        <v>195</v>
      </c>
      <c r="H319" t="s">
        <v>109</v>
      </c>
      <c r="I319">
        <v>4</v>
      </c>
      <c r="J319">
        <v>4</v>
      </c>
      <c r="K319">
        <v>6</v>
      </c>
      <c r="L319">
        <v>7</v>
      </c>
      <c r="M319">
        <v>5</v>
      </c>
      <c r="N319">
        <v>8</v>
      </c>
      <c r="O319">
        <v>5</v>
      </c>
      <c r="P319">
        <v>5</v>
      </c>
      <c r="Q319">
        <v>8</v>
      </c>
    </row>
    <row r="320" spans="1:17" x14ac:dyDescent="0.45">
      <c r="A320" s="19">
        <v>46034.479861111111</v>
      </c>
      <c r="B320" t="s">
        <v>72</v>
      </c>
      <c r="C320" t="s">
        <v>188</v>
      </c>
      <c r="D320" t="s">
        <v>74</v>
      </c>
      <c r="E320" t="s">
        <v>77</v>
      </c>
      <c r="F320" t="s">
        <v>99</v>
      </c>
      <c r="G320" t="s">
        <v>103</v>
      </c>
      <c r="H320" t="s">
        <v>109</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99</v>
      </c>
      <c r="G321" t="s">
        <v>100</v>
      </c>
      <c r="H321" t="s">
        <v>109</v>
      </c>
      <c r="I321">
        <v>5</v>
      </c>
      <c r="J321">
        <v>7</v>
      </c>
      <c r="K321">
        <v>7</v>
      </c>
      <c r="L321">
        <v>9</v>
      </c>
      <c r="M321">
        <v>5</v>
      </c>
      <c r="N321">
        <v>6</v>
      </c>
      <c r="O321">
        <v>5</v>
      </c>
      <c r="P321">
        <v>7</v>
      </c>
      <c r="Q321">
        <v>7</v>
      </c>
    </row>
    <row r="322" spans="1:17" x14ac:dyDescent="0.45">
      <c r="A322" s="19">
        <v>46034.481249999997</v>
      </c>
      <c r="B322" t="s">
        <v>72</v>
      </c>
      <c r="C322" t="s">
        <v>188</v>
      </c>
      <c r="D322" t="s">
        <v>74</v>
      </c>
      <c r="E322" t="s">
        <v>77</v>
      </c>
      <c r="F322" t="s">
        <v>99</v>
      </c>
      <c r="G322" t="s">
        <v>103</v>
      </c>
      <c r="H322" t="s">
        <v>109</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99</v>
      </c>
      <c r="G323" t="s">
        <v>100</v>
      </c>
      <c r="H323" t="s">
        <v>109</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99</v>
      </c>
      <c r="G324" t="s">
        <v>100</v>
      </c>
      <c r="H324" t="s">
        <v>109</v>
      </c>
      <c r="I324">
        <v>7</v>
      </c>
      <c r="J324">
        <v>7</v>
      </c>
      <c r="K324">
        <v>8</v>
      </c>
      <c r="L324">
        <v>8</v>
      </c>
      <c r="M324">
        <v>6</v>
      </c>
      <c r="N324">
        <v>7</v>
      </c>
      <c r="O324">
        <v>6</v>
      </c>
      <c r="P324">
        <v>7</v>
      </c>
      <c r="Q324">
        <v>7</v>
      </c>
    </row>
    <row r="325" spans="1:17" x14ac:dyDescent="0.45">
      <c r="A325" s="19">
        <v>46034.484722222223</v>
      </c>
      <c r="B325" t="s">
        <v>72</v>
      </c>
      <c r="C325" t="s">
        <v>188</v>
      </c>
      <c r="D325" t="s">
        <v>74</v>
      </c>
      <c r="E325" t="s">
        <v>77</v>
      </c>
      <c r="F325" t="s">
        <v>99</v>
      </c>
      <c r="G325" t="s">
        <v>193</v>
      </c>
      <c r="H325" t="s">
        <v>109</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99</v>
      </c>
      <c r="G326" t="s">
        <v>108</v>
      </c>
      <c r="H326" t="s">
        <v>101</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99</v>
      </c>
      <c r="G327" t="s">
        <v>110</v>
      </c>
      <c r="H327" t="s">
        <v>104</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99</v>
      </c>
      <c r="G328" t="s">
        <v>195</v>
      </c>
      <c r="H328" t="s">
        <v>109</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99</v>
      </c>
      <c r="G329" t="s">
        <v>106</v>
      </c>
      <c r="H329" t="s">
        <v>105</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99</v>
      </c>
      <c r="G330" t="s">
        <v>103</v>
      </c>
      <c r="H330" t="s">
        <v>109</v>
      </c>
      <c r="I330">
        <v>7</v>
      </c>
      <c r="J330">
        <v>7</v>
      </c>
      <c r="K330">
        <v>9</v>
      </c>
      <c r="L330">
        <v>9</v>
      </c>
      <c r="M330">
        <v>9</v>
      </c>
      <c r="N330">
        <v>9</v>
      </c>
      <c r="O330">
        <v>5</v>
      </c>
      <c r="P330">
        <v>6</v>
      </c>
      <c r="Q330">
        <v>9</v>
      </c>
    </row>
    <row r="331" spans="1:17" x14ac:dyDescent="0.45">
      <c r="A331" s="19">
        <v>46034.490972222222</v>
      </c>
      <c r="B331" t="s">
        <v>78</v>
      </c>
      <c r="C331" t="s">
        <v>188</v>
      </c>
      <c r="D331" t="s">
        <v>74</v>
      </c>
      <c r="E331" t="s">
        <v>77</v>
      </c>
      <c r="F331" t="s">
        <v>99</v>
      </c>
      <c r="G331" t="s">
        <v>103</v>
      </c>
      <c r="H331" t="s">
        <v>109</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99</v>
      </c>
      <c r="G332" t="s">
        <v>100</v>
      </c>
      <c r="H332" t="s">
        <v>101</v>
      </c>
      <c r="I332">
        <v>4</v>
      </c>
      <c r="J332">
        <v>4</v>
      </c>
      <c r="K332">
        <v>5</v>
      </c>
      <c r="L332">
        <v>6</v>
      </c>
      <c r="M332">
        <v>4</v>
      </c>
      <c r="N332">
        <v>5</v>
      </c>
      <c r="O332">
        <v>3</v>
      </c>
      <c r="P332">
        <v>4</v>
      </c>
      <c r="Q332">
        <v>5</v>
      </c>
    </row>
    <row r="333" spans="1:17" x14ac:dyDescent="0.45">
      <c r="A333" s="19">
        <v>46034.508333333331</v>
      </c>
      <c r="B333" t="s">
        <v>72</v>
      </c>
      <c r="C333" t="s">
        <v>188</v>
      </c>
      <c r="D333" t="s">
        <v>74</v>
      </c>
      <c r="E333" t="s">
        <v>77</v>
      </c>
      <c r="F333" t="s">
        <v>99</v>
      </c>
      <c r="G333" t="s">
        <v>195</v>
      </c>
      <c r="H333" t="s">
        <v>109</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99</v>
      </c>
      <c r="G334" t="s">
        <v>106</v>
      </c>
      <c r="H334" t="s">
        <v>101</v>
      </c>
      <c r="I334">
        <v>6</v>
      </c>
      <c r="J334">
        <v>6</v>
      </c>
      <c r="K334">
        <v>8</v>
      </c>
      <c r="L334">
        <v>8</v>
      </c>
      <c r="M334">
        <v>6</v>
      </c>
      <c r="N334">
        <v>7</v>
      </c>
      <c r="O334">
        <v>6</v>
      </c>
      <c r="P334">
        <v>7</v>
      </c>
      <c r="Q334">
        <v>7</v>
      </c>
    </row>
    <row r="335" spans="1:17" x14ac:dyDescent="0.45">
      <c r="A335" s="19">
        <v>46034.509722222225</v>
      </c>
      <c r="B335" t="s">
        <v>72</v>
      </c>
      <c r="C335" t="s">
        <v>190</v>
      </c>
      <c r="D335" t="s">
        <v>74</v>
      </c>
      <c r="E335" t="s">
        <v>75</v>
      </c>
      <c r="F335" t="s">
        <v>102</v>
      </c>
      <c r="G335" t="s">
        <v>107</v>
      </c>
      <c r="H335" t="s">
        <v>105</v>
      </c>
      <c r="I335">
        <v>2</v>
      </c>
      <c r="J335">
        <v>2</v>
      </c>
      <c r="K335">
        <v>3</v>
      </c>
      <c r="L335">
        <v>5</v>
      </c>
      <c r="M335">
        <v>1</v>
      </c>
      <c r="N335">
        <v>1</v>
      </c>
      <c r="O335">
        <v>1</v>
      </c>
      <c r="P335">
        <v>3</v>
      </c>
      <c r="Q335">
        <v>1</v>
      </c>
    </row>
    <row r="336" spans="1:17" x14ac:dyDescent="0.45">
      <c r="A336" s="19">
        <v>46034.513888888891</v>
      </c>
      <c r="B336" t="s">
        <v>78</v>
      </c>
      <c r="C336" t="s">
        <v>188</v>
      </c>
      <c r="D336" t="s">
        <v>74</v>
      </c>
      <c r="E336" t="s">
        <v>77</v>
      </c>
      <c r="F336" t="s">
        <v>99</v>
      </c>
      <c r="G336" t="s">
        <v>103</v>
      </c>
      <c r="H336" t="s">
        <v>109</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99</v>
      </c>
      <c r="G337" t="s">
        <v>195</v>
      </c>
      <c r="H337" t="s">
        <v>109</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99</v>
      </c>
      <c r="G338" t="s">
        <v>100</v>
      </c>
      <c r="H338" t="s">
        <v>109</v>
      </c>
      <c r="I338">
        <v>7</v>
      </c>
      <c r="J338">
        <v>8</v>
      </c>
      <c r="K338">
        <v>7</v>
      </c>
      <c r="L338">
        <v>7</v>
      </c>
      <c r="M338">
        <v>6</v>
      </c>
      <c r="N338">
        <v>8</v>
      </c>
      <c r="O338">
        <v>6</v>
      </c>
      <c r="P338">
        <v>8</v>
      </c>
      <c r="Q338">
        <v>8</v>
      </c>
    </row>
    <row r="339" spans="1:17" x14ac:dyDescent="0.45">
      <c r="A339" s="19">
        <v>46034.515972222223</v>
      </c>
      <c r="B339" t="s">
        <v>78</v>
      </c>
      <c r="C339" t="s">
        <v>188</v>
      </c>
      <c r="D339" t="s">
        <v>74</v>
      </c>
      <c r="E339" t="s">
        <v>77</v>
      </c>
      <c r="F339" t="s">
        <v>99</v>
      </c>
      <c r="G339" t="s">
        <v>103</v>
      </c>
      <c r="H339" t="s">
        <v>109</v>
      </c>
      <c r="I339">
        <v>8</v>
      </c>
      <c r="J339">
        <v>8</v>
      </c>
      <c r="K339">
        <v>9</v>
      </c>
      <c r="L339">
        <v>9</v>
      </c>
      <c r="M339">
        <v>8</v>
      </c>
      <c r="N339">
        <v>9</v>
      </c>
      <c r="O339">
        <v>10</v>
      </c>
      <c r="P339">
        <v>9</v>
      </c>
      <c r="Q339">
        <v>10</v>
      </c>
    </row>
    <row r="340" spans="1:17" x14ac:dyDescent="0.45">
      <c r="A340" s="19">
        <v>46034.515972222223</v>
      </c>
      <c r="B340" t="s">
        <v>72</v>
      </c>
      <c r="C340" t="s">
        <v>188</v>
      </c>
      <c r="D340" t="s">
        <v>74</v>
      </c>
      <c r="E340" t="s">
        <v>77</v>
      </c>
      <c r="F340" t="s">
        <v>99</v>
      </c>
      <c r="G340" t="s">
        <v>103</v>
      </c>
      <c r="H340" t="s">
        <v>109</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99</v>
      </c>
      <c r="G341" t="s">
        <v>103</v>
      </c>
      <c r="H341" t="s">
        <v>109</v>
      </c>
      <c r="I341">
        <v>7</v>
      </c>
      <c r="J341">
        <v>8</v>
      </c>
      <c r="K341">
        <v>8</v>
      </c>
      <c r="L341">
        <v>8</v>
      </c>
      <c r="M341">
        <v>5</v>
      </c>
      <c r="N341">
        <v>8</v>
      </c>
      <c r="O341">
        <v>5</v>
      </c>
      <c r="P341">
        <v>8</v>
      </c>
      <c r="Q341">
        <v>8</v>
      </c>
    </row>
    <row r="342" spans="1:17" x14ac:dyDescent="0.45">
      <c r="A342" s="19">
        <v>46034.592361111114</v>
      </c>
      <c r="B342" t="s">
        <v>72</v>
      </c>
      <c r="C342" t="s">
        <v>188</v>
      </c>
      <c r="D342" t="s">
        <v>74</v>
      </c>
      <c r="E342" t="s">
        <v>77</v>
      </c>
      <c r="F342" t="s">
        <v>99</v>
      </c>
      <c r="G342" t="s">
        <v>193</v>
      </c>
      <c r="H342" t="s">
        <v>109</v>
      </c>
      <c r="I342">
        <v>8</v>
      </c>
      <c r="J342">
        <v>8</v>
      </c>
      <c r="K342">
        <v>8</v>
      </c>
      <c r="L342">
        <v>9</v>
      </c>
      <c r="M342">
        <v>8</v>
      </c>
      <c r="N342">
        <v>8</v>
      </c>
      <c r="O342">
        <v>7</v>
      </c>
      <c r="P342">
        <v>7</v>
      </c>
      <c r="Q342">
        <v>8</v>
      </c>
    </row>
    <row r="343" spans="1:17" x14ac:dyDescent="0.45">
      <c r="A343" s="19">
        <v>46034.593055555553</v>
      </c>
      <c r="B343" t="s">
        <v>78</v>
      </c>
      <c r="C343" t="s">
        <v>188</v>
      </c>
      <c r="D343" t="s">
        <v>74</v>
      </c>
      <c r="E343" t="s">
        <v>77</v>
      </c>
      <c r="F343" t="s">
        <v>99</v>
      </c>
      <c r="G343" t="s">
        <v>193</v>
      </c>
      <c r="H343" t="s">
        <v>109</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99</v>
      </c>
      <c r="G344" t="s">
        <v>103</v>
      </c>
      <c r="H344" t="s">
        <v>109</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99</v>
      </c>
      <c r="G345" t="s">
        <v>110</v>
      </c>
      <c r="H345" t="s">
        <v>104</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99</v>
      </c>
      <c r="G346" t="s">
        <v>103</v>
      </c>
      <c r="H346" t="s">
        <v>109</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99</v>
      </c>
      <c r="G347" t="s">
        <v>100</v>
      </c>
      <c r="H347" t="s">
        <v>101</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99</v>
      </c>
      <c r="G348" t="s">
        <v>195</v>
      </c>
      <c r="H348" t="s">
        <v>109</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99</v>
      </c>
      <c r="G349" t="s">
        <v>195</v>
      </c>
      <c r="H349" t="s">
        <v>109</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99</v>
      </c>
      <c r="G350" t="s">
        <v>195</v>
      </c>
      <c r="H350" t="s">
        <v>109</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99</v>
      </c>
      <c r="G351" t="s">
        <v>100</v>
      </c>
      <c r="H351" t="s">
        <v>109</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99</v>
      </c>
      <c r="G352" t="s">
        <v>108</v>
      </c>
      <c r="H352" t="s">
        <v>104</v>
      </c>
      <c r="I352">
        <v>8</v>
      </c>
      <c r="J352">
        <v>8</v>
      </c>
      <c r="K352">
        <v>6</v>
      </c>
      <c r="L352">
        <v>7</v>
      </c>
      <c r="M352">
        <v>6</v>
      </c>
      <c r="N352">
        <v>7</v>
      </c>
      <c r="O352">
        <v>5</v>
      </c>
      <c r="P352">
        <v>7</v>
      </c>
      <c r="Q352">
        <v>7</v>
      </c>
    </row>
    <row r="353" spans="1:17" x14ac:dyDescent="0.45">
      <c r="A353" s="19">
        <v>46034.7</v>
      </c>
      <c r="B353" t="s">
        <v>72</v>
      </c>
      <c r="C353" t="s">
        <v>73</v>
      </c>
      <c r="D353" t="s">
        <v>74</v>
      </c>
      <c r="E353" t="s">
        <v>77</v>
      </c>
      <c r="F353" t="s">
        <v>99</v>
      </c>
      <c r="G353" t="s">
        <v>100</v>
      </c>
      <c r="H353" t="s">
        <v>101</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99</v>
      </c>
      <c r="G354" t="s">
        <v>106</v>
      </c>
      <c r="H354" t="s">
        <v>194</v>
      </c>
      <c r="I354">
        <v>7</v>
      </c>
      <c r="J354">
        <v>7</v>
      </c>
      <c r="K354">
        <v>8</v>
      </c>
      <c r="L354">
        <v>8</v>
      </c>
      <c r="M354">
        <v>6</v>
      </c>
      <c r="N354">
        <v>7</v>
      </c>
      <c r="O354">
        <v>5</v>
      </c>
      <c r="P354">
        <v>7</v>
      </c>
      <c r="Q354">
        <v>7</v>
      </c>
    </row>
    <row r="355" spans="1:17" x14ac:dyDescent="0.45">
      <c r="A355" s="19">
        <v>46034.701388888891</v>
      </c>
      <c r="B355" t="s">
        <v>72</v>
      </c>
      <c r="C355" t="s">
        <v>188</v>
      </c>
      <c r="D355" t="s">
        <v>74</v>
      </c>
      <c r="E355" t="s">
        <v>77</v>
      </c>
      <c r="F355" t="s">
        <v>99</v>
      </c>
      <c r="G355" t="s">
        <v>103</v>
      </c>
      <c r="H355" t="s">
        <v>109</v>
      </c>
      <c r="I355">
        <v>9</v>
      </c>
      <c r="J355">
        <v>9</v>
      </c>
      <c r="K355">
        <v>10</v>
      </c>
      <c r="L355">
        <v>10</v>
      </c>
      <c r="M355">
        <v>9</v>
      </c>
      <c r="N355">
        <v>10</v>
      </c>
      <c r="O355">
        <v>8</v>
      </c>
      <c r="P355">
        <v>8</v>
      </c>
      <c r="Q355">
        <v>9</v>
      </c>
    </row>
    <row r="356" spans="1:17" x14ac:dyDescent="0.45">
      <c r="A356" s="19">
        <v>46034.720138888886</v>
      </c>
      <c r="B356" t="s">
        <v>78</v>
      </c>
      <c r="C356" t="s">
        <v>188</v>
      </c>
      <c r="D356" t="s">
        <v>74</v>
      </c>
      <c r="E356" t="s">
        <v>77</v>
      </c>
      <c r="F356" t="s">
        <v>99</v>
      </c>
      <c r="G356" t="s">
        <v>103</v>
      </c>
      <c r="H356" t="s">
        <v>109</v>
      </c>
      <c r="I356">
        <v>7</v>
      </c>
      <c r="J356">
        <v>8</v>
      </c>
      <c r="K356">
        <v>8</v>
      </c>
      <c r="L356">
        <v>9</v>
      </c>
      <c r="M356">
        <v>8</v>
      </c>
      <c r="N356">
        <v>10</v>
      </c>
      <c r="O356">
        <v>8</v>
      </c>
      <c r="P356">
        <v>8</v>
      </c>
      <c r="Q356">
        <v>9</v>
      </c>
    </row>
    <row r="357" spans="1:17" x14ac:dyDescent="0.45">
      <c r="A357" s="19">
        <v>46034.753472222219</v>
      </c>
      <c r="B357" t="s">
        <v>78</v>
      </c>
      <c r="C357" t="s">
        <v>188</v>
      </c>
      <c r="D357" t="s">
        <v>74</v>
      </c>
      <c r="E357" t="s">
        <v>77</v>
      </c>
      <c r="F357" t="s">
        <v>99</v>
      </c>
      <c r="G357" t="s">
        <v>103</v>
      </c>
      <c r="H357" t="s">
        <v>109</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99</v>
      </c>
      <c r="G358" t="s">
        <v>100</v>
      </c>
      <c r="H358" t="s">
        <v>109</v>
      </c>
      <c r="I358">
        <v>9</v>
      </c>
      <c r="J358">
        <v>9</v>
      </c>
      <c r="K358">
        <v>8</v>
      </c>
      <c r="L358">
        <v>9</v>
      </c>
      <c r="M358">
        <v>8</v>
      </c>
      <c r="N358">
        <v>8</v>
      </c>
      <c r="O358">
        <v>7</v>
      </c>
      <c r="P358">
        <v>7</v>
      </c>
      <c r="Q358">
        <v>8</v>
      </c>
    </row>
    <row r="359" spans="1:17" x14ac:dyDescent="0.45">
      <c r="A359" s="19">
        <v>46034.770138888889</v>
      </c>
      <c r="B359" t="s">
        <v>72</v>
      </c>
      <c r="C359" t="s">
        <v>188</v>
      </c>
      <c r="D359" t="s">
        <v>74</v>
      </c>
      <c r="E359" t="s">
        <v>77</v>
      </c>
      <c r="F359" t="s">
        <v>99</v>
      </c>
      <c r="G359" t="s">
        <v>103</v>
      </c>
      <c r="H359" t="s">
        <v>109</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99</v>
      </c>
      <c r="G360" t="s">
        <v>195</v>
      </c>
      <c r="H360" t="s">
        <v>101</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99</v>
      </c>
      <c r="G361" t="s">
        <v>195</v>
      </c>
      <c r="H361" t="s">
        <v>109</v>
      </c>
      <c r="I361">
        <v>9</v>
      </c>
      <c r="J361">
        <v>8</v>
      </c>
      <c r="K361">
        <v>8</v>
      </c>
      <c r="L361">
        <v>8</v>
      </c>
      <c r="M361">
        <v>7</v>
      </c>
      <c r="N361">
        <v>7</v>
      </c>
      <c r="O361">
        <v>6</v>
      </c>
      <c r="P361">
        <v>7</v>
      </c>
      <c r="Q361">
        <v>8</v>
      </c>
    </row>
    <row r="362" spans="1:17" x14ac:dyDescent="0.45">
      <c r="A362" s="19">
        <v>46034.894444444442</v>
      </c>
      <c r="B362" t="s">
        <v>72</v>
      </c>
      <c r="C362" t="s">
        <v>188</v>
      </c>
      <c r="D362" t="s">
        <v>74</v>
      </c>
      <c r="E362" t="s">
        <v>77</v>
      </c>
      <c r="F362" t="s">
        <v>99</v>
      </c>
      <c r="G362" t="s">
        <v>193</v>
      </c>
      <c r="H362" t="s">
        <v>109</v>
      </c>
      <c r="I362">
        <v>7</v>
      </c>
      <c r="J362">
        <v>7</v>
      </c>
      <c r="K362">
        <v>8</v>
      </c>
      <c r="L362">
        <v>9</v>
      </c>
      <c r="M362">
        <v>7</v>
      </c>
      <c r="N362">
        <v>10</v>
      </c>
      <c r="O362">
        <v>8</v>
      </c>
      <c r="P362">
        <v>8</v>
      </c>
      <c r="Q362">
        <v>10</v>
      </c>
    </row>
    <row r="363" spans="1:17" x14ac:dyDescent="0.45">
      <c r="A363" s="19">
        <v>46034.895138888889</v>
      </c>
      <c r="B363" t="s">
        <v>72</v>
      </c>
      <c r="C363" t="s">
        <v>188</v>
      </c>
      <c r="D363" t="s">
        <v>74</v>
      </c>
      <c r="E363" t="s">
        <v>77</v>
      </c>
      <c r="F363" t="s">
        <v>99</v>
      </c>
      <c r="G363" t="s">
        <v>103</v>
      </c>
      <c r="H363" t="s">
        <v>109</v>
      </c>
      <c r="I363">
        <v>3</v>
      </c>
      <c r="J363">
        <v>3</v>
      </c>
      <c r="K363">
        <v>5</v>
      </c>
      <c r="L363">
        <v>6</v>
      </c>
      <c r="M363">
        <v>5</v>
      </c>
      <c r="N363">
        <v>6</v>
      </c>
      <c r="O363">
        <v>4</v>
      </c>
      <c r="P363">
        <v>6</v>
      </c>
      <c r="Q363">
        <v>6</v>
      </c>
    </row>
    <row r="364" spans="1:17" x14ac:dyDescent="0.45">
      <c r="A364" s="19">
        <v>46034.9</v>
      </c>
      <c r="B364" t="s">
        <v>78</v>
      </c>
      <c r="C364" t="s">
        <v>81</v>
      </c>
      <c r="D364" t="s">
        <v>74</v>
      </c>
      <c r="E364" t="s">
        <v>77</v>
      </c>
      <c r="F364" t="s">
        <v>99</v>
      </c>
      <c r="G364" t="s">
        <v>100</v>
      </c>
      <c r="H364" t="s">
        <v>101</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99</v>
      </c>
      <c r="G365" t="s">
        <v>195</v>
      </c>
      <c r="H365" t="s">
        <v>101</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99</v>
      </c>
      <c r="G366" t="s">
        <v>108</v>
      </c>
      <c r="H366" t="s">
        <v>109</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99</v>
      </c>
      <c r="G367" t="s">
        <v>110</v>
      </c>
      <c r="H367" t="s">
        <v>101</v>
      </c>
      <c r="I367">
        <v>7</v>
      </c>
      <c r="J367">
        <v>8</v>
      </c>
      <c r="K367">
        <v>8</v>
      </c>
      <c r="L367">
        <v>8</v>
      </c>
      <c r="M367">
        <v>5</v>
      </c>
      <c r="N367">
        <v>6</v>
      </c>
      <c r="O367">
        <v>5</v>
      </c>
      <c r="P367">
        <v>6</v>
      </c>
      <c r="Q367">
        <v>6</v>
      </c>
    </row>
    <row r="368" spans="1:17" x14ac:dyDescent="0.45">
      <c r="A368" s="19">
        <v>46034.904861111114</v>
      </c>
      <c r="B368" t="s">
        <v>72</v>
      </c>
      <c r="C368" t="s">
        <v>188</v>
      </c>
      <c r="D368" t="s">
        <v>74</v>
      </c>
      <c r="E368" t="s">
        <v>77</v>
      </c>
      <c r="F368" t="s">
        <v>99</v>
      </c>
      <c r="G368" t="s">
        <v>103</v>
      </c>
      <c r="H368" t="s">
        <v>109</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99</v>
      </c>
      <c r="G369" t="s">
        <v>100</v>
      </c>
      <c r="H369" t="s">
        <v>104</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99</v>
      </c>
      <c r="G370" t="s">
        <v>103</v>
      </c>
      <c r="H370" t="s">
        <v>109</v>
      </c>
      <c r="I370">
        <v>6</v>
      </c>
      <c r="J370">
        <v>6</v>
      </c>
      <c r="K370">
        <v>8</v>
      </c>
      <c r="L370">
        <v>9</v>
      </c>
      <c r="M370">
        <v>8</v>
      </c>
      <c r="N370">
        <v>8</v>
      </c>
      <c r="O370">
        <v>5</v>
      </c>
      <c r="P370">
        <v>7</v>
      </c>
      <c r="Q370">
        <v>8</v>
      </c>
    </row>
    <row r="371" spans="1:17" x14ac:dyDescent="0.45">
      <c r="A371" s="19">
        <v>46034.908333333333</v>
      </c>
      <c r="B371" t="s">
        <v>78</v>
      </c>
      <c r="C371" t="s">
        <v>188</v>
      </c>
      <c r="D371" t="s">
        <v>74</v>
      </c>
      <c r="E371" t="s">
        <v>77</v>
      </c>
      <c r="F371" t="s">
        <v>99</v>
      </c>
      <c r="G371" t="s">
        <v>195</v>
      </c>
      <c r="H371" t="s">
        <v>109</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99</v>
      </c>
      <c r="G372" t="s">
        <v>110</v>
      </c>
      <c r="H372" t="s">
        <v>105</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99</v>
      </c>
      <c r="G373" t="s">
        <v>108</v>
      </c>
      <c r="H373" t="s">
        <v>104</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99</v>
      </c>
      <c r="G374" t="s">
        <v>106</v>
      </c>
      <c r="H374" t="s">
        <v>104</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99</v>
      </c>
      <c r="G375" t="s">
        <v>108</v>
      </c>
      <c r="H375" t="s">
        <v>101</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99</v>
      </c>
      <c r="G376" t="s">
        <v>110</v>
      </c>
      <c r="H376" t="s">
        <v>101</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99</v>
      </c>
      <c r="G377" t="s">
        <v>195</v>
      </c>
      <c r="H377" t="s">
        <v>109</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99</v>
      </c>
      <c r="G378" t="s">
        <v>103</v>
      </c>
      <c r="H378" t="s">
        <v>109</v>
      </c>
      <c r="I378">
        <v>7</v>
      </c>
      <c r="J378">
        <v>8</v>
      </c>
      <c r="K378">
        <v>7</v>
      </c>
      <c r="L378">
        <v>7</v>
      </c>
      <c r="M378">
        <v>8</v>
      </c>
      <c r="N378">
        <v>9</v>
      </c>
      <c r="O378">
        <v>7</v>
      </c>
      <c r="P378">
        <v>7</v>
      </c>
      <c r="Q378">
        <v>8</v>
      </c>
    </row>
    <row r="379" spans="1:17" x14ac:dyDescent="0.45">
      <c r="A379" s="19">
        <v>46035.34375</v>
      </c>
      <c r="B379" t="s">
        <v>72</v>
      </c>
      <c r="C379" t="s">
        <v>188</v>
      </c>
      <c r="D379" t="s">
        <v>74</v>
      </c>
      <c r="E379" t="s">
        <v>77</v>
      </c>
      <c r="F379" t="s">
        <v>99</v>
      </c>
      <c r="G379" t="s">
        <v>195</v>
      </c>
      <c r="H379" t="s">
        <v>109</v>
      </c>
      <c r="I379">
        <v>6</v>
      </c>
      <c r="J379">
        <v>7</v>
      </c>
      <c r="K379">
        <v>5</v>
      </c>
      <c r="L379">
        <v>8</v>
      </c>
      <c r="M379">
        <v>7</v>
      </c>
      <c r="N379">
        <v>7</v>
      </c>
      <c r="O379">
        <v>7</v>
      </c>
      <c r="P379">
        <v>7</v>
      </c>
      <c r="Q379">
        <v>8</v>
      </c>
    </row>
    <row r="380" spans="1:17" x14ac:dyDescent="0.45">
      <c r="A380" s="19">
        <v>46035.345138888886</v>
      </c>
      <c r="B380" t="s">
        <v>72</v>
      </c>
      <c r="C380" t="s">
        <v>188</v>
      </c>
      <c r="D380" t="s">
        <v>74</v>
      </c>
      <c r="E380" t="s">
        <v>77</v>
      </c>
      <c r="F380" t="s">
        <v>99</v>
      </c>
      <c r="G380" t="s">
        <v>103</v>
      </c>
      <c r="H380" t="s">
        <v>109</v>
      </c>
      <c r="I380">
        <v>8</v>
      </c>
      <c r="J380">
        <v>8</v>
      </c>
      <c r="K380">
        <v>9</v>
      </c>
      <c r="L380">
        <v>9</v>
      </c>
      <c r="M380">
        <v>7</v>
      </c>
      <c r="N380">
        <v>9</v>
      </c>
      <c r="O380">
        <v>7</v>
      </c>
      <c r="P380">
        <v>7</v>
      </c>
      <c r="Q380">
        <v>9</v>
      </c>
    </row>
    <row r="381" spans="1:17" x14ac:dyDescent="0.45">
      <c r="A381" s="19">
        <v>46035.354861111111</v>
      </c>
      <c r="B381" t="s">
        <v>78</v>
      </c>
      <c r="C381" t="s">
        <v>188</v>
      </c>
      <c r="D381" t="s">
        <v>74</v>
      </c>
      <c r="E381" t="s">
        <v>77</v>
      </c>
      <c r="F381" t="s">
        <v>99</v>
      </c>
      <c r="G381" t="s">
        <v>195</v>
      </c>
      <c r="H381" t="s">
        <v>109</v>
      </c>
      <c r="I381">
        <v>8</v>
      </c>
      <c r="J381">
        <v>8</v>
      </c>
      <c r="K381">
        <v>5</v>
      </c>
      <c r="L381">
        <v>8</v>
      </c>
      <c r="M381">
        <v>6</v>
      </c>
      <c r="N381">
        <v>9</v>
      </c>
      <c r="O381">
        <v>5</v>
      </c>
      <c r="P381">
        <v>7</v>
      </c>
      <c r="Q381">
        <v>8</v>
      </c>
    </row>
    <row r="382" spans="1:17" x14ac:dyDescent="0.45">
      <c r="A382" s="19">
        <v>46035.370138888888</v>
      </c>
      <c r="B382" t="s">
        <v>78</v>
      </c>
      <c r="C382" t="s">
        <v>188</v>
      </c>
      <c r="D382" t="s">
        <v>74</v>
      </c>
      <c r="E382" t="s">
        <v>189</v>
      </c>
      <c r="F382" t="s">
        <v>99</v>
      </c>
      <c r="G382" t="s">
        <v>103</v>
      </c>
      <c r="H382" t="s">
        <v>109</v>
      </c>
      <c r="I382">
        <v>9</v>
      </c>
      <c r="J382">
        <v>9</v>
      </c>
      <c r="K382">
        <v>8</v>
      </c>
      <c r="L382">
        <v>9</v>
      </c>
      <c r="M382">
        <v>8</v>
      </c>
      <c r="N382">
        <v>10</v>
      </c>
      <c r="O382">
        <v>8</v>
      </c>
      <c r="P382">
        <v>8</v>
      </c>
      <c r="Q382">
        <v>10</v>
      </c>
    </row>
    <row r="383" spans="1:17" x14ac:dyDescent="0.45">
      <c r="A383" s="19">
        <v>46035.370833333334</v>
      </c>
      <c r="B383" t="s">
        <v>72</v>
      </c>
      <c r="C383" t="s">
        <v>188</v>
      </c>
      <c r="D383" t="s">
        <v>74</v>
      </c>
      <c r="E383" t="s">
        <v>77</v>
      </c>
      <c r="F383" t="s">
        <v>99</v>
      </c>
      <c r="G383" t="s">
        <v>195</v>
      </c>
      <c r="H383" t="s">
        <v>101</v>
      </c>
      <c r="I383">
        <v>5</v>
      </c>
      <c r="J383">
        <v>5</v>
      </c>
      <c r="K383">
        <v>4</v>
      </c>
      <c r="L383">
        <v>8</v>
      </c>
      <c r="M383">
        <v>4</v>
      </c>
      <c r="N383">
        <v>8</v>
      </c>
      <c r="O383">
        <v>4</v>
      </c>
      <c r="P383">
        <v>5</v>
      </c>
      <c r="Q383">
        <v>7</v>
      </c>
    </row>
    <row r="384" spans="1:17" x14ac:dyDescent="0.45">
      <c r="A384" s="19">
        <v>46035.371527777781</v>
      </c>
      <c r="B384" t="s">
        <v>78</v>
      </c>
      <c r="C384" t="s">
        <v>190</v>
      </c>
      <c r="D384" t="s">
        <v>74</v>
      </c>
      <c r="E384" t="s">
        <v>75</v>
      </c>
      <c r="F384" t="s">
        <v>99</v>
      </c>
      <c r="G384" t="s">
        <v>106</v>
      </c>
      <c r="H384" t="s">
        <v>104</v>
      </c>
      <c r="I384">
        <v>1</v>
      </c>
      <c r="J384">
        <v>1</v>
      </c>
      <c r="K384">
        <v>4</v>
      </c>
      <c r="L384">
        <v>5</v>
      </c>
      <c r="M384">
        <v>5</v>
      </c>
      <c r="N384">
        <v>4</v>
      </c>
      <c r="O384">
        <v>4</v>
      </c>
      <c r="P384">
        <v>5</v>
      </c>
      <c r="Q384">
        <v>3</v>
      </c>
    </row>
    <row r="385" spans="1:17" x14ac:dyDescent="0.45">
      <c r="A385" s="19">
        <v>46035.388888888891</v>
      </c>
      <c r="B385" t="s">
        <v>78</v>
      </c>
      <c r="C385" t="s">
        <v>188</v>
      </c>
      <c r="D385" t="s">
        <v>74</v>
      </c>
      <c r="E385" t="s">
        <v>77</v>
      </c>
      <c r="F385" t="s">
        <v>99</v>
      </c>
      <c r="G385" t="s">
        <v>193</v>
      </c>
      <c r="H385" t="s">
        <v>109</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99</v>
      </c>
      <c r="G386" t="s">
        <v>108</v>
      </c>
      <c r="H386" t="s">
        <v>104</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99</v>
      </c>
      <c r="G387" t="s">
        <v>100</v>
      </c>
      <c r="H387" t="s">
        <v>109</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99</v>
      </c>
      <c r="G388" t="s">
        <v>110</v>
      </c>
      <c r="H388" t="s">
        <v>104</v>
      </c>
      <c r="I388">
        <v>5</v>
      </c>
      <c r="J388">
        <v>5</v>
      </c>
      <c r="K388">
        <v>5</v>
      </c>
      <c r="L388">
        <v>5</v>
      </c>
      <c r="M388">
        <v>5</v>
      </c>
      <c r="N388">
        <v>5</v>
      </c>
      <c r="O388">
        <v>5</v>
      </c>
      <c r="P388">
        <v>5</v>
      </c>
      <c r="Q388">
        <v>5</v>
      </c>
    </row>
    <row r="389" spans="1:17" x14ac:dyDescent="0.45">
      <c r="A389" s="19">
        <v>46035.459722222222</v>
      </c>
      <c r="B389" t="s">
        <v>78</v>
      </c>
      <c r="C389" t="s">
        <v>188</v>
      </c>
      <c r="D389" t="s">
        <v>74</v>
      </c>
      <c r="E389" t="s">
        <v>77</v>
      </c>
      <c r="F389" t="s">
        <v>99</v>
      </c>
      <c r="G389" t="s">
        <v>103</v>
      </c>
      <c r="H389" t="s">
        <v>109</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99</v>
      </c>
      <c r="G390" t="s">
        <v>195</v>
      </c>
      <c r="H390" t="s">
        <v>109</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99</v>
      </c>
      <c r="G391" t="s">
        <v>108</v>
      </c>
      <c r="H391" t="s">
        <v>105</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99</v>
      </c>
      <c r="G392" t="s">
        <v>103</v>
      </c>
      <c r="H392" t="s">
        <v>109</v>
      </c>
      <c r="I392">
        <v>4</v>
      </c>
      <c r="J392">
        <v>5</v>
      </c>
      <c r="K392">
        <v>7</v>
      </c>
      <c r="L392">
        <v>7</v>
      </c>
      <c r="M392">
        <v>5</v>
      </c>
      <c r="N392">
        <v>7</v>
      </c>
      <c r="O392">
        <v>5</v>
      </c>
      <c r="P392">
        <v>5</v>
      </c>
      <c r="Q392">
        <v>7</v>
      </c>
    </row>
    <row r="393" spans="1:17" x14ac:dyDescent="0.45">
      <c r="A393" s="19">
        <v>46035.467361111114</v>
      </c>
      <c r="B393" t="s">
        <v>72</v>
      </c>
      <c r="C393" t="s">
        <v>192</v>
      </c>
      <c r="D393" t="s">
        <v>74</v>
      </c>
      <c r="E393" t="s">
        <v>75</v>
      </c>
      <c r="F393" t="s">
        <v>99</v>
      </c>
      <c r="G393" t="s">
        <v>107</v>
      </c>
      <c r="H393" t="s">
        <v>194</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99</v>
      </c>
      <c r="G394" t="s">
        <v>100</v>
      </c>
      <c r="H394" t="s">
        <v>104</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99</v>
      </c>
      <c r="G395" t="s">
        <v>193</v>
      </c>
      <c r="H395" t="s">
        <v>101</v>
      </c>
      <c r="I395">
        <v>9</v>
      </c>
      <c r="J395">
        <v>9</v>
      </c>
      <c r="K395">
        <v>9</v>
      </c>
      <c r="L395">
        <v>7</v>
      </c>
      <c r="M395">
        <v>8</v>
      </c>
      <c r="N395">
        <v>6</v>
      </c>
      <c r="O395">
        <v>8</v>
      </c>
      <c r="P395">
        <v>10</v>
      </c>
      <c r="Q395">
        <v>10</v>
      </c>
    </row>
    <row r="396" spans="1:17" x14ac:dyDescent="0.45">
      <c r="A396" s="19">
        <v>46035.526388888888</v>
      </c>
      <c r="B396" t="s">
        <v>78</v>
      </c>
      <c r="C396" t="s">
        <v>190</v>
      </c>
      <c r="D396" t="s">
        <v>74</v>
      </c>
      <c r="E396" t="s">
        <v>77</v>
      </c>
      <c r="F396" t="s">
        <v>99</v>
      </c>
      <c r="G396" t="s">
        <v>108</v>
      </c>
      <c r="H396" t="s">
        <v>101</v>
      </c>
      <c r="I396">
        <v>7</v>
      </c>
      <c r="J396">
        <v>7</v>
      </c>
      <c r="K396">
        <v>5</v>
      </c>
      <c r="L396">
        <v>7</v>
      </c>
      <c r="M396">
        <v>5</v>
      </c>
      <c r="N396">
        <v>6</v>
      </c>
      <c r="O396">
        <v>5</v>
      </c>
      <c r="P396">
        <v>6</v>
      </c>
      <c r="Q396">
        <v>6</v>
      </c>
    </row>
    <row r="397" spans="1:17" x14ac:dyDescent="0.45">
      <c r="A397" s="19">
        <v>46035.527083333334</v>
      </c>
      <c r="B397" t="s">
        <v>72</v>
      </c>
      <c r="C397" t="s">
        <v>73</v>
      </c>
      <c r="D397" t="s">
        <v>74</v>
      </c>
      <c r="E397" t="s">
        <v>189</v>
      </c>
      <c r="F397" t="s">
        <v>99</v>
      </c>
      <c r="G397" t="s">
        <v>100</v>
      </c>
      <c r="H397" t="s">
        <v>101</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99</v>
      </c>
      <c r="G398" t="s">
        <v>100</v>
      </c>
      <c r="H398" t="s">
        <v>109</v>
      </c>
      <c r="I398">
        <v>8</v>
      </c>
      <c r="J398">
        <v>8</v>
      </c>
      <c r="K398">
        <v>7</v>
      </c>
      <c r="L398">
        <v>7</v>
      </c>
      <c r="M398">
        <v>7</v>
      </c>
      <c r="N398">
        <v>8</v>
      </c>
      <c r="O398">
        <v>7</v>
      </c>
      <c r="P398">
        <v>8</v>
      </c>
      <c r="Q398">
        <v>8</v>
      </c>
    </row>
    <row r="399" spans="1:17" x14ac:dyDescent="0.45">
      <c r="A399" s="19">
        <v>46035.527777777781</v>
      </c>
      <c r="B399" t="s">
        <v>72</v>
      </c>
      <c r="C399" t="s">
        <v>188</v>
      </c>
      <c r="D399" t="s">
        <v>74</v>
      </c>
      <c r="E399" t="s">
        <v>77</v>
      </c>
      <c r="F399" t="s">
        <v>99</v>
      </c>
      <c r="G399" t="s">
        <v>193</v>
      </c>
      <c r="H399" t="s">
        <v>109</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99</v>
      </c>
      <c r="G400" t="s">
        <v>100</v>
      </c>
      <c r="H400" t="s">
        <v>109</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99</v>
      </c>
      <c r="G401" t="s">
        <v>108</v>
      </c>
      <c r="H401" t="s">
        <v>105</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99</v>
      </c>
      <c r="G402" t="s">
        <v>103</v>
      </c>
      <c r="H402" t="s">
        <v>109</v>
      </c>
      <c r="I402">
        <v>4</v>
      </c>
      <c r="J402">
        <v>4</v>
      </c>
      <c r="K402">
        <v>3</v>
      </c>
      <c r="L402">
        <v>5</v>
      </c>
      <c r="M402">
        <v>5</v>
      </c>
      <c r="N402">
        <v>2</v>
      </c>
      <c r="O402">
        <v>2</v>
      </c>
      <c r="P402">
        <v>5</v>
      </c>
      <c r="Q402">
        <v>2</v>
      </c>
    </row>
    <row r="403" spans="1:17" x14ac:dyDescent="0.45">
      <c r="A403" s="19">
        <v>46035.532638888886</v>
      </c>
      <c r="B403" t="s">
        <v>78</v>
      </c>
      <c r="C403" t="s">
        <v>192</v>
      </c>
      <c r="D403" t="s">
        <v>74</v>
      </c>
      <c r="E403" t="s">
        <v>75</v>
      </c>
      <c r="F403" t="s">
        <v>99</v>
      </c>
      <c r="G403" t="s">
        <v>107</v>
      </c>
      <c r="H403" t="s">
        <v>194</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99</v>
      </c>
      <c r="G404" t="s">
        <v>100</v>
      </c>
      <c r="H404" t="s">
        <v>109</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tabSelected="1" topLeftCell="AN1" workbookViewId="0">
      <selection activeCell="AV2" sqref="AV2"/>
    </sheetView>
  </sheetViews>
  <sheetFormatPr defaultRowHeight="14.25" x14ac:dyDescent="0.45"/>
  <sheetData>
    <row r="1" spans="1:61" s="23" customFormat="1" x14ac:dyDescent="0.45">
      <c r="A1" s="17" t="s">
        <v>37</v>
      </c>
      <c r="B1" s="18" t="s">
        <v>197</v>
      </c>
      <c r="C1" s="18" t="s">
        <v>111</v>
      </c>
      <c r="D1" s="18" t="s">
        <v>112</v>
      </c>
      <c r="E1" s="18" t="s">
        <v>113</v>
      </c>
      <c r="F1" s="18" t="s">
        <v>114</v>
      </c>
      <c r="G1" s="18" t="s">
        <v>115</v>
      </c>
      <c r="H1" s="18" t="s">
        <v>116</v>
      </c>
      <c r="I1" s="18" t="s">
        <v>117</v>
      </c>
      <c r="J1" s="18" t="s">
        <v>118</v>
      </c>
      <c r="K1" s="18" t="s">
        <v>119</v>
      </c>
      <c r="L1" s="18" t="s">
        <v>120</v>
      </c>
      <c r="M1" s="18" t="s">
        <v>121</v>
      </c>
      <c r="N1" s="18" t="s">
        <v>122</v>
      </c>
      <c r="O1" s="18" t="s">
        <v>123</v>
      </c>
      <c r="P1" s="18" t="s">
        <v>124</v>
      </c>
      <c r="Q1" s="21" t="s">
        <v>45</v>
      </c>
      <c r="R1" s="21" t="s">
        <v>126</v>
      </c>
      <c r="S1" s="21" t="s">
        <v>125</v>
      </c>
      <c r="T1" s="21" t="s">
        <v>127</v>
      </c>
      <c r="U1" s="18" t="s">
        <v>128</v>
      </c>
      <c r="V1" s="22" t="s">
        <v>48</v>
      </c>
      <c r="W1" s="22" t="s">
        <v>129</v>
      </c>
      <c r="X1" s="22" t="s">
        <v>130</v>
      </c>
      <c r="Y1" s="22" t="s">
        <v>131</v>
      </c>
      <c r="Z1" s="20" t="s">
        <v>132</v>
      </c>
      <c r="AA1" s="21" t="s">
        <v>51</v>
      </c>
      <c r="AB1" s="21" t="s">
        <v>133</v>
      </c>
      <c r="AC1" s="21" t="s">
        <v>134</v>
      </c>
      <c r="AD1" s="21" t="s">
        <v>135</v>
      </c>
      <c r="AE1" s="18" t="s">
        <v>136</v>
      </c>
      <c r="AF1" s="22" t="s">
        <v>54</v>
      </c>
      <c r="AG1" s="22" t="s">
        <v>137</v>
      </c>
      <c r="AH1" s="22" t="s">
        <v>138</v>
      </c>
      <c r="AI1" s="22" t="s">
        <v>139</v>
      </c>
      <c r="AJ1" s="22" t="s">
        <v>140</v>
      </c>
      <c r="AK1" s="21" t="s">
        <v>57</v>
      </c>
      <c r="AL1" s="21" t="s">
        <v>141</v>
      </c>
      <c r="AM1" s="21" t="s">
        <v>142</v>
      </c>
      <c r="AN1" s="21" t="s">
        <v>143</v>
      </c>
      <c r="AO1" s="21" t="s">
        <v>144</v>
      </c>
      <c r="AP1" s="22" t="s">
        <v>60</v>
      </c>
      <c r="AQ1" s="22" t="s">
        <v>145</v>
      </c>
      <c r="AR1" s="22" t="s">
        <v>146</v>
      </c>
      <c r="AS1" s="22" t="s">
        <v>147</v>
      </c>
      <c r="AT1" s="22" t="s">
        <v>148</v>
      </c>
      <c r="AU1" s="21" t="s">
        <v>63</v>
      </c>
      <c r="AV1" s="21" t="s">
        <v>149</v>
      </c>
      <c r="AW1" s="21" t="s">
        <v>150</v>
      </c>
      <c r="AX1" s="21" t="s">
        <v>151</v>
      </c>
      <c r="AY1" s="21" t="s">
        <v>152</v>
      </c>
      <c r="AZ1" s="22" t="s">
        <v>66</v>
      </c>
      <c r="BA1" s="22" t="s">
        <v>153</v>
      </c>
      <c r="BB1" s="22" t="s">
        <v>154</v>
      </c>
      <c r="BC1" s="22" t="s">
        <v>155</v>
      </c>
      <c r="BD1" s="22" t="s">
        <v>156</v>
      </c>
      <c r="BE1" s="21" t="s">
        <v>69</v>
      </c>
      <c r="BF1" s="21" t="s">
        <v>157</v>
      </c>
      <c r="BG1" s="21" t="s">
        <v>158</v>
      </c>
      <c r="BH1" s="21" t="s">
        <v>159</v>
      </c>
      <c r="BI1" s="21" t="s">
        <v>160</v>
      </c>
    </row>
    <row r="2" spans="1:61" x14ac:dyDescent="0.45">
      <c r="A2" s="30">
        <f>step3_validation[[#This Row],[Persona_ID]]</f>
        <v>1</v>
      </c>
      <c r="B2" s="31">
        <f>step3_validation[[#This Row],[Used_Seed]]</f>
        <v>12345</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13.136680112335849</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9</v>
      </c>
      <c r="R2" t="str">
        <f>IF(AND(Q2&gt;=1,Q2&lt;5),"Oppose",IF(AND(Q2&gt;=5,Q2&lt;8),"Neutral",IF(AND(Q2&gt;=8,Q2&lt;=10),"Support","")))</f>
        <v>Support</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1</v>
      </c>
      <c r="V2">
        <f>step3_validation[[#This Row],[AI_ENF2]]</f>
        <v>8</v>
      </c>
      <c r="W2" t="str">
        <f>IF(AND(V2&gt;=1,V2&lt;5),"Oppose",IF(AND(V2&gt;=5,V2&lt;8),"Neutral",IF(AND(V2&gt;=8,V2&lt;=10),"Support","")))</f>
        <v>Support</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0</v>
      </c>
      <c r="AA2">
        <f>step3_validation[[#This Row],[AI_FAC1]]</f>
        <v>8</v>
      </c>
      <c r="AB2" t="str">
        <f>IF(AND(AA2&gt;=1,AA2&lt;5),"Oppose",IF(AND(AA2&gt;=5,AA2&lt;8),"Neutral",IF(AND(AA2&gt;=8,AA2&lt;=10),"Support","")))</f>
        <v>Support</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3</v>
      </c>
      <c r="AF2">
        <f>step3_validation[[#This Row],[AI_FAC2]]</f>
        <v>7</v>
      </c>
      <c r="AG2" t="str">
        <f>IF(AND(AF2&gt;=1,AF2&lt;5),"Oppose",IF(AND(AF2&gt;=5,AF2&lt;8),"Neutral",IF(AND(AF2&gt;=8,AF2&lt;=10),"Support","")))</f>
        <v>Neutral</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2</v>
      </c>
      <c r="AK2">
        <f>step3_validation[[#This Row],[AI_TRU1]]</f>
        <v>7</v>
      </c>
      <c r="AL2" t="str">
        <f>IF(AND(AK2&gt;=1,AK2&lt;5),"Oppose",IF(AND(AK2&gt;=5,AK2&lt;8),"Neutral",IF(AND(AK2&gt;=8,AK2&lt;=10),"Support","")))</f>
        <v>Neutral</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3</v>
      </c>
      <c r="AP2">
        <f>step3_validation[[#This Row],[AI_TRU2]]</f>
        <v>6</v>
      </c>
      <c r="AQ2" t="str">
        <f>IF(AND(AP2&gt;=1,AP2&lt;5),"Oppose",IF(AND(AP2&gt;=5,AP2&lt;8),"Neutral",IF(AND(AP2&gt;=8,AP2&lt;=10),"Support","")))</f>
        <v>Neutral</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4</v>
      </c>
      <c r="AU2">
        <f>step3_validation[[#This Row],[AI_TRU3]]</f>
        <v>7</v>
      </c>
      <c r="AV2" t="str">
        <f>IF(AND(AU2&gt;=1,AU2&lt;5),"Oppose",IF(AND(AU2&gt;=5,AU2&lt;8),"Neutral",IF(AND(AU2&gt;=8,AU2&lt;=10),"Support","")))</f>
        <v>Neutral</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3</v>
      </c>
      <c r="AZ2">
        <f>step3_validation[[#This Row],[AI_TRU4]]</f>
        <v>6</v>
      </c>
      <c r="BA2" t="str">
        <f>IF(AND(AZ2&gt;=1,AZ2&lt;5),"Oppose",IF(AND(AZ2&gt;=5,AZ2&lt;8),"Neutral",IF(AND(AZ2&gt;=8,AZ2&lt;=10),"Support","")))</f>
        <v>Neutral</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4</v>
      </c>
      <c r="BE2">
        <f>step3_validation[[#This Row],[AI_OUT1]]</f>
        <v>5</v>
      </c>
      <c r="BF2" t="str">
        <f>IF(AND(BE2&gt;=1,BE2&lt;5),"Oppose",IF(AND(BE2&gt;=5,BE2&lt;8),"Neutral",IF(AND(BE2&gt;=8,BE2&lt;=10),"Support","")))</f>
        <v>Neutral</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5</v>
      </c>
    </row>
    <row r="3" spans="1:61" x14ac:dyDescent="0.45">
      <c r="A3" s="30">
        <f>step3_validation[[#This Row],[Persona_ID]]</f>
        <v>2</v>
      </c>
      <c r="B3" s="31">
        <f>step3_validation[[#This Row],[Used_Seed]]</f>
        <v>12346</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14.367362109435824</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t="str">
        <f t="shared" ref="R3:R66" si="0">IF(AND(Q3&gt;=1,Q3&lt;5),"Oppose",IF(AND(Q3&gt;=5,Q3&lt;8),"Neutral",IF(AND(Q3&gt;=8,Q3&lt;=10),"Support","")))</f>
        <v>Neutral</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1</v>
      </c>
      <c r="V3">
        <f>step3_validation[[#This Row],[AI_ENF2]]</f>
        <v>8</v>
      </c>
      <c r="W3" t="str">
        <f t="shared" ref="W3:W66" si="3">IF(AND(V3&gt;=1,V3&lt;5),"Oppose",IF(AND(V3&gt;=5,V3&lt;8),"Neutral",IF(AND(V3&gt;=8,V3&lt;=10),"Support","")))</f>
        <v>Support</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0</v>
      </c>
      <c r="AA3">
        <f>step3_validation[[#This Row],[AI_FAC1]]</f>
        <v>6</v>
      </c>
      <c r="AB3" t="str">
        <f t="shared" ref="AB3:AB66" si="6">IF(AND(AA3&gt;=1,AA3&lt;5),"Oppose",IF(AND(AA3&gt;=5,AA3&lt;8),"Neutral",IF(AND(AA3&gt;=8,AA3&lt;=10),"Support","")))</f>
        <v>Neutral</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0</v>
      </c>
      <c r="AF3">
        <f>step3_validation[[#This Row],[AI_FAC2]]</f>
        <v>7</v>
      </c>
      <c r="AG3" t="str">
        <f t="shared" ref="AG3:AG66" si="9">IF(AND(AF3&gt;=1,AF3&lt;5),"Oppose",IF(AND(AF3&gt;=5,AF3&lt;8),"Neutral",IF(AND(AF3&gt;=8,AF3&lt;=10),"Support","")))</f>
        <v>Neutral</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2</v>
      </c>
      <c r="AK3">
        <f>step3_validation[[#This Row],[AI_TRU1]]</f>
        <v>8</v>
      </c>
      <c r="AL3" t="str">
        <f t="shared" ref="AL3:AL66" si="12">IF(AND(AK3&gt;=1,AK3&lt;5),"Oppose",IF(AND(AK3&gt;=5,AK3&lt;8),"Neutral",IF(AND(AK3&gt;=8,AK3&lt;=10),"Support","")))</f>
        <v>Support</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2</v>
      </c>
      <c r="AP3">
        <f>step3_validation[[#This Row],[AI_TRU2]]</f>
        <v>7</v>
      </c>
      <c r="AQ3" t="str">
        <f t="shared" ref="AQ3:AQ66" si="15">IF(AND(AP3&gt;=1,AP3&lt;5),"Oppose",IF(AND(AP3&gt;=5,AP3&lt;8),"Neutral",IF(AND(AP3&gt;=8,AP3&lt;=10),"Support","")))</f>
        <v>Neutral</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2</v>
      </c>
      <c r="AU3">
        <f>step3_validation[[#This Row],[AI_TRU3]]</f>
        <v>6</v>
      </c>
      <c r="AV3" t="str">
        <f t="shared" ref="AV3:AV66" si="18">IF(AND(AU3&gt;=1,AU3&lt;5),"Oppose",IF(AND(AU3&gt;=5,AU3&lt;8),"Neutral",IF(AND(AU3&gt;=8,AU3&lt;=10),"Support","")))</f>
        <v>Neutral</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2</v>
      </c>
      <c r="AZ3">
        <f>step3_validation[[#This Row],[AI_TRU4]]</f>
        <v>7</v>
      </c>
      <c r="BA3" t="str">
        <f t="shared" ref="BA3:BA66" si="21">IF(AND(AZ3&gt;=1,AZ3&lt;5),"Oppose",IF(AND(AZ3&gt;=5,AZ3&lt;8),"Neutral",IF(AND(AZ3&gt;=8,AZ3&lt;=10),"Support","")))</f>
        <v>Neutral</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2</v>
      </c>
      <c r="BE3">
        <f>step3_validation[[#This Row],[AI_OUT1]]</f>
        <v>8</v>
      </c>
      <c r="BF3" t="str">
        <f t="shared" ref="BF3:BF66" si="24">IF(AND(BE3&gt;=1,BE3&lt;5),"Oppose",IF(AND(BE3&gt;=5,BE3&lt;8),"Neutral",IF(AND(BE3&gt;=8,BE3&lt;=10),"Support","")))</f>
        <v>Support</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2</v>
      </c>
    </row>
    <row r="4" spans="1:61" x14ac:dyDescent="0.45">
      <c r="A4" s="30">
        <f>step3_validation[[#This Row],[Persona_ID]]</f>
        <v>3</v>
      </c>
      <c r="B4" s="31">
        <f>step3_validation[[#This Row],[Used_Seed]]</f>
        <v>12347</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68.743161446629699</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7</v>
      </c>
      <c r="R4" t="str">
        <f t="shared" si="0"/>
        <v>Neutral</v>
      </c>
      <c r="S4">
        <f>survey_responses[[#This Row],[Tôi tin rằng với các quy định quản lý thuế hiện nay, hành vi gian lận hoặc trốn thuế sẽ dễ dàng bị phát hiện và xử lý nghiêm. - HUMAN-ENF1]]</f>
        <v>6</v>
      </c>
      <c r="T4" t="str">
        <f t="shared" si="1"/>
        <v>Neutral</v>
      </c>
      <c r="U4" s="32">
        <f t="shared" si="2"/>
        <v>1</v>
      </c>
      <c r="V4">
        <f>step3_validation[[#This Row],[AI_ENF2]]</f>
        <v>6</v>
      </c>
      <c r="W4" t="str">
        <f t="shared" si="3"/>
        <v>Neutral</v>
      </c>
      <c r="X4">
        <f>survey_responses[[#This Row],[Tôi tin rằng Nhà nước, cơ quan thuế có đủ khả năng và công nghệ để phát hiện, xử lý nghiêm các hành vi trốn thuế. - HUMAN-ENF2]]</f>
        <v>5</v>
      </c>
      <c r="Y4" t="str">
        <f t="shared" si="4"/>
        <v>Neutral</v>
      </c>
      <c r="Z4" s="32">
        <f t="shared" si="5"/>
        <v>1</v>
      </c>
      <c r="AA4">
        <f>step3_validation[[#This Row],[AI_FAC1]]</f>
        <v>8</v>
      </c>
      <c r="AB4" t="str">
        <f t="shared" si="6"/>
        <v>Support</v>
      </c>
      <c r="AC4">
        <f>survey_responses[[#This Row],[Các thủ tục khai báo thuế VÀ/HOẶC quy trình làm việc với cơ quan thuế đơn giản, tiện lợi, nhanh chóng hơn so với trước đây. - HUMAN-FAC1]]</f>
        <v>4</v>
      </c>
      <c r="AD4" t="str">
        <f t="shared" si="7"/>
        <v>Oppose</v>
      </c>
      <c r="AE4" s="32">
        <f t="shared" si="8"/>
        <v>4</v>
      </c>
      <c r="AF4">
        <f>step3_validation[[#This Row],[AI_FAC2]]</f>
        <v>7</v>
      </c>
      <c r="AG4" t="str">
        <f t="shared" si="9"/>
        <v>Neutral</v>
      </c>
      <c r="AH4">
        <f>survey_responses[[#This Row],[So với trước đây, tôi thấy cách tính thuế và các bậc thuế trong phương án mới đơn giản, dễ hiểu và dễ thực hiện hơn. - HUMAN-FAC2]]</f>
        <v>5</v>
      </c>
      <c r="AI4" t="str">
        <f t="shared" si="10"/>
        <v>Neutral</v>
      </c>
      <c r="AJ4" s="32">
        <f t="shared" si="11"/>
        <v>2</v>
      </c>
      <c r="AK4">
        <f>step3_validation[[#This Row],[AI_TRU1]]</f>
        <v>8</v>
      </c>
      <c r="AL4" t="str">
        <f t="shared" si="12"/>
        <v>Support</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4</v>
      </c>
      <c r="AP4">
        <f>step3_validation[[#This Row],[AI_TRU2]]</f>
        <v>7</v>
      </c>
      <c r="AQ4" t="str">
        <f t="shared" si="15"/>
        <v>Neutral</v>
      </c>
      <c r="AR4">
        <f>survey_responses[[#This Row],[Tôi thấy mức thuế tôi phải đóng theo phương án mới là công bằng (người thu nhập như tôi đóng mức này là hợp lý). - HUMAN-TRU2]]</f>
        <v>4</v>
      </c>
      <c r="AS4" t="str">
        <f t="shared" si="16"/>
        <v>Oppose</v>
      </c>
      <c r="AT4" s="32">
        <f t="shared" si="17"/>
        <v>3</v>
      </c>
      <c r="AU4">
        <f>step3_validation[[#This Row],[AI_TRU3]]</f>
        <v>8</v>
      </c>
      <c r="AV4" t="str">
        <f t="shared" si="18"/>
        <v>Support</v>
      </c>
      <c r="AW4">
        <f>survey_responses[[#This Row],[Tôi tin tưởng số tiền thuế tôi đóng sẽ được Nhà nước sử dụng hiệu quả để cải thiện dịch vụ công (y tế, đường xá...). - HUMAN-TRU3]]</f>
        <v>4</v>
      </c>
      <c r="AX4" t="str">
        <f t="shared" si="19"/>
        <v>Oppose</v>
      </c>
      <c r="AY4" s="32">
        <f t="shared" si="20"/>
        <v>4</v>
      </c>
      <c r="AZ4">
        <f>step3_validation[[#This Row],[AI_TRU4]]</f>
        <v>7</v>
      </c>
      <c r="BA4" t="str">
        <f t="shared" si="21"/>
        <v>Neutral</v>
      </c>
      <c r="BB4">
        <f>survey_responses[[#This Row],[Tôi thấy Nhà nước đã giải thích rõ ràng, minh bạch về lý do và mục tiêu của việc sửa đổi thuế lần này. - HUMAN-TRU4]]</f>
        <v>10</v>
      </c>
      <c r="BC4" t="str">
        <f t="shared" si="22"/>
        <v>Support</v>
      </c>
      <c r="BD4" s="32">
        <f t="shared" si="23"/>
        <v>3</v>
      </c>
      <c r="BE4">
        <f>step3_validation[[#This Row],[AI_OUT1]]</f>
        <v>8</v>
      </c>
      <c r="BF4" t="str">
        <f t="shared" si="24"/>
        <v>Support</v>
      </c>
      <c r="BG4">
        <f>survey_responses[[#This Row],[Sau khi xem xét các quyền lợi và nghĩa vụ, bạn có ủng hộ và tuân thủ chính sách mới hiện nay? - HUMAN-OUT1]]</f>
        <v>4</v>
      </c>
      <c r="BH4" t="str">
        <f t="shared" si="25"/>
        <v>Oppose</v>
      </c>
      <c r="BI4" s="32">
        <f t="shared" si="26"/>
        <v>4</v>
      </c>
    </row>
    <row r="5" spans="1:61" x14ac:dyDescent="0.45">
      <c r="A5" s="30">
        <f>step3_validation[[#This Row],[Persona_ID]]</f>
        <v>4</v>
      </c>
      <c r="B5" s="31">
        <f>step3_validation[[#This Row],[Used_Seed]]</f>
        <v>12348</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8</v>
      </c>
      <c r="W5" t="str">
        <f t="shared" si="3"/>
        <v>Support</v>
      </c>
      <c r="X5">
        <f>survey_responses[[#This Row],[Tôi tin rằng Nhà nước, cơ quan thuế có đủ khả năng và công nghệ để phát hiện, xử lý nghiêm các hành vi trốn thuế. - HUMAN-ENF2]]</f>
        <v>10</v>
      </c>
      <c r="Y5" t="str">
        <f t="shared" si="4"/>
        <v>Support</v>
      </c>
      <c r="Z5" s="32">
        <f t="shared" si="5"/>
        <v>2</v>
      </c>
      <c r="AA5">
        <f>step3_validation[[#This Row],[AI_FAC1]]</f>
        <v>8</v>
      </c>
      <c r="AB5" t="str">
        <f t="shared" si="6"/>
        <v>Support</v>
      </c>
      <c r="AC5">
        <f>survey_responses[[#This Row],[Các thủ tục khai báo thuế VÀ/HOẶC quy trình làm việc với cơ quan thuế đơn giản, tiện lợi, nhanh chóng hơn so với trước đây. - HUMAN-FAC1]]</f>
        <v>8</v>
      </c>
      <c r="AD5" t="str">
        <f t="shared" si="7"/>
        <v>Support</v>
      </c>
      <c r="AE5" s="32">
        <f t="shared" si="8"/>
        <v>0</v>
      </c>
      <c r="AF5">
        <f>step3_validation[[#This Row],[AI_FAC2]]</f>
        <v>9</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0</v>
      </c>
      <c r="AK5">
        <f>step3_validation[[#This Row],[AI_TRU1]]</f>
        <v>7</v>
      </c>
      <c r="AL5" t="str">
        <f t="shared" si="12"/>
        <v>Neutral</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2</v>
      </c>
      <c r="AP5">
        <f>step3_validation[[#This Row],[AI_TRU2]]</f>
        <v>7</v>
      </c>
      <c r="AQ5" t="str">
        <f t="shared" si="15"/>
        <v>Neutral</v>
      </c>
      <c r="AR5">
        <f>survey_responses[[#This Row],[Tôi thấy mức thuế tôi phải đóng theo phương án mới là công bằng (người thu nhập như tôi đóng mức này là hợp lý). - HUMAN-TRU2]]</f>
        <v>7</v>
      </c>
      <c r="AS5" t="str">
        <f t="shared" si="16"/>
        <v>Neutral</v>
      </c>
      <c r="AT5" s="32">
        <f t="shared" si="17"/>
        <v>0</v>
      </c>
      <c r="AU5">
        <f>step3_validation[[#This Row],[AI_TRU3]]</f>
        <v>6</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4</v>
      </c>
      <c r="AZ5">
        <f>step3_validation[[#This Row],[AI_TRU4]]</f>
        <v>7</v>
      </c>
      <c r="BA5" t="str">
        <f t="shared" si="21"/>
        <v>Neutral</v>
      </c>
      <c r="BB5">
        <f>survey_responses[[#This Row],[Tôi thấy Nhà nước đã giải thích rõ ràng, minh bạch về lý do và mục tiêu của việc sửa đổi thuế lần này. - HUMAN-TRU4]]</f>
        <v>7</v>
      </c>
      <c r="BC5" t="str">
        <f t="shared" si="22"/>
        <v>Neutral</v>
      </c>
      <c r="BD5" s="32">
        <f t="shared" si="23"/>
        <v>0</v>
      </c>
      <c r="BE5">
        <f>step3_validation[[#This Row],[AI_OUT1]]</f>
        <v>8</v>
      </c>
      <c r="BF5" t="str">
        <f t="shared" si="24"/>
        <v>Support</v>
      </c>
      <c r="BG5">
        <f>survey_responses[[#This Row],[Sau khi xem xét các quyền lợi và nghĩa vụ, bạn có ủng hộ và tuân thủ chính sách mới hiện nay? - HUMAN-OUT1]]</f>
        <v>10</v>
      </c>
      <c r="BH5" t="str">
        <f t="shared" si="25"/>
        <v>Support</v>
      </c>
      <c r="BI5" s="32">
        <f t="shared" si="26"/>
        <v>2</v>
      </c>
    </row>
    <row r="6" spans="1:61" x14ac:dyDescent="0.45">
      <c r="A6" s="30">
        <f>step3_validation[[#This Row],[Persona_ID]]</f>
        <v>5</v>
      </c>
      <c r="B6" s="31">
        <f>step3_validation[[#This Row],[Used_Seed]]</f>
        <v>12349</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6</v>
      </c>
      <c r="R6" t="str">
        <f t="shared" si="0"/>
        <v>Neutral</v>
      </c>
      <c r="S6">
        <f>survey_responses[[#This Row],[Tôi tin rằng với các quy định quản lý thuế hiện nay, hành vi gian lận hoặc trốn thuế sẽ dễ dàng bị phát hiện và xử lý nghiêm. - HUMAN-ENF1]]</f>
        <v>9</v>
      </c>
      <c r="T6" t="str">
        <f t="shared" si="1"/>
        <v>Support</v>
      </c>
      <c r="U6" s="32">
        <f t="shared" si="2"/>
        <v>3</v>
      </c>
      <c r="V6">
        <f>step3_validation[[#This Row],[AI_ENF2]]</f>
        <v>8</v>
      </c>
      <c r="W6" t="str">
        <f t="shared" si="3"/>
        <v>Support</v>
      </c>
      <c r="X6">
        <f>survey_responses[[#This Row],[Tôi tin rằng Nhà nước, cơ quan thuế có đủ khả năng và công nghệ để phát hiện, xử lý nghiêm các hành vi trốn thuế. - HUMAN-ENF2]]</f>
        <v>9</v>
      </c>
      <c r="Y6" t="str">
        <f t="shared" si="4"/>
        <v>Support</v>
      </c>
      <c r="Z6" s="32">
        <f t="shared" si="5"/>
        <v>1</v>
      </c>
      <c r="AA6">
        <f>step3_validation[[#This Row],[AI_FAC1]]</f>
        <v>9</v>
      </c>
      <c r="AB6" t="str">
        <f t="shared" si="6"/>
        <v>Support</v>
      </c>
      <c r="AC6">
        <f>survey_responses[[#This Row],[Các thủ tục khai báo thuế VÀ/HOẶC quy trình làm việc với cơ quan thuế đơn giản, tiện lợi, nhanh chóng hơn so với trước đây. - HUMAN-FAC1]]</f>
        <v>10</v>
      </c>
      <c r="AD6" t="str">
        <f t="shared" si="7"/>
        <v>Support</v>
      </c>
      <c r="AE6" s="32">
        <f t="shared" si="8"/>
        <v>1</v>
      </c>
      <c r="AF6">
        <f>step3_validation[[#This Row],[AI_FAC2]]</f>
        <v>7</v>
      </c>
      <c r="AG6" t="str">
        <f t="shared" si="9"/>
        <v>Neutral</v>
      </c>
      <c r="AH6">
        <f>survey_responses[[#This Row],[So với trước đây, tôi thấy cách tính thuế và các bậc thuế trong phương án mới đơn giản, dễ hiểu và dễ thực hiện hơn. - HUMAN-FAC2]]</f>
        <v>9</v>
      </c>
      <c r="AI6" t="str">
        <f t="shared" si="10"/>
        <v>Support</v>
      </c>
      <c r="AJ6" s="32">
        <f t="shared" si="11"/>
        <v>2</v>
      </c>
      <c r="AK6">
        <f>step3_validation[[#This Row],[AI_TRU1]]</f>
        <v>7</v>
      </c>
      <c r="AL6" t="str">
        <f t="shared" si="12"/>
        <v>Neutral</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2</v>
      </c>
      <c r="AP6">
        <f>step3_validation[[#This Row],[AI_TRU2]]</f>
        <v>8</v>
      </c>
      <c r="AQ6" t="str">
        <f t="shared" si="15"/>
        <v>Support</v>
      </c>
      <c r="AR6">
        <f>survey_responses[[#This Row],[Tôi thấy mức thuế tôi phải đóng theo phương án mới là công bằng (người thu nhập như tôi đóng mức này là hợp lý). - HUMAN-TRU2]]</f>
        <v>9</v>
      </c>
      <c r="AS6" t="str">
        <f t="shared" si="16"/>
        <v>Support</v>
      </c>
      <c r="AT6" s="32">
        <f t="shared" si="17"/>
        <v>1</v>
      </c>
      <c r="AU6">
        <f>step3_validation[[#This Row],[AI_TRU3]]</f>
        <v>7</v>
      </c>
      <c r="AV6" t="str">
        <f t="shared" si="18"/>
        <v>Neutral</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2</v>
      </c>
      <c r="AZ6">
        <f>step3_validation[[#This Row],[AI_TRU4]]</f>
        <v>5</v>
      </c>
      <c r="BA6" t="str">
        <f t="shared" si="21"/>
        <v>Neutral</v>
      </c>
      <c r="BB6">
        <f>survey_responses[[#This Row],[Tôi thấy Nhà nước đã giải thích rõ ràng, minh bạch về lý do và mục tiêu của việc sửa đổi thuế lần này. - HUMAN-TRU4]]</f>
        <v>9</v>
      </c>
      <c r="BC6" t="str">
        <f t="shared" si="22"/>
        <v>Support</v>
      </c>
      <c r="BD6" s="32">
        <f t="shared" si="23"/>
        <v>4</v>
      </c>
      <c r="BE6">
        <f>step3_validation[[#This Row],[AI_OUT1]]</f>
        <v>4</v>
      </c>
      <c r="BF6" t="str">
        <f t="shared" si="24"/>
        <v>Oppose</v>
      </c>
      <c r="BG6">
        <f>survey_responses[[#This Row],[Sau khi xem xét các quyền lợi và nghĩa vụ, bạn có ủng hộ và tuân thủ chính sách mới hiện nay? - HUMAN-OUT1]]</f>
        <v>9</v>
      </c>
      <c r="BH6" t="str">
        <f t="shared" si="25"/>
        <v>Support</v>
      </c>
      <c r="BI6" s="32">
        <f t="shared" si="26"/>
        <v>5</v>
      </c>
    </row>
    <row r="7" spans="1:61" x14ac:dyDescent="0.45">
      <c r="A7" s="30">
        <f>step3_validation[[#This Row],[Persona_ID]]</f>
        <v>6</v>
      </c>
      <c r="B7" s="31">
        <f>step3_validation[[#This Row],[Used_Seed]]</f>
        <v>12350</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100.9242271447424</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6</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2</v>
      </c>
      <c r="V7">
        <f>step3_validation[[#This Row],[AI_ENF2]]</f>
        <v>6</v>
      </c>
      <c r="W7" t="str">
        <f t="shared" si="3"/>
        <v>Neutral</v>
      </c>
      <c r="X7">
        <f>survey_responses[[#This Row],[Tôi tin rằng Nhà nước, cơ quan thuế có đủ khả năng và công nghệ để phát hiện, xử lý nghiêm các hành vi trốn thuế. - HUMAN-ENF2]]</f>
        <v>8</v>
      </c>
      <c r="Y7" t="str">
        <f t="shared" si="4"/>
        <v>Support</v>
      </c>
      <c r="Z7" s="32">
        <f t="shared" si="5"/>
        <v>2</v>
      </c>
      <c r="AA7">
        <f>step3_validation[[#This Row],[AI_FAC1]]</f>
        <v>7</v>
      </c>
      <c r="AB7" t="str">
        <f t="shared" si="6"/>
        <v>Neutral</v>
      </c>
      <c r="AC7">
        <f>survey_responses[[#This Row],[Các thủ tục khai báo thuế VÀ/HOẶC quy trình làm việc với cơ quan thuế đơn giản, tiện lợi, nhanh chóng hơn so với trước đây. - HUMAN-FAC1]]</f>
        <v>5</v>
      </c>
      <c r="AD7" t="str">
        <f t="shared" si="7"/>
        <v>Neutral</v>
      </c>
      <c r="AE7" s="32">
        <f t="shared" si="8"/>
        <v>2</v>
      </c>
      <c r="AF7">
        <f>step3_validation[[#This Row],[AI_FAC2]]</f>
        <v>8</v>
      </c>
      <c r="AG7" t="str">
        <f t="shared" si="9"/>
        <v>Support</v>
      </c>
      <c r="AH7">
        <f>survey_responses[[#This Row],[So với trước đây, tôi thấy cách tính thuế và các bậc thuế trong phương án mới đơn giản, dễ hiểu và dễ thực hiện hơn. - HUMAN-FAC2]]</f>
        <v>8</v>
      </c>
      <c r="AI7" t="str">
        <f t="shared" si="10"/>
        <v>Support</v>
      </c>
      <c r="AJ7" s="32">
        <f t="shared" si="11"/>
        <v>0</v>
      </c>
      <c r="AK7">
        <f>step3_validation[[#This Row],[AI_TRU1]]</f>
        <v>7</v>
      </c>
      <c r="AL7" t="str">
        <f t="shared" si="12"/>
        <v>Neutral</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1</v>
      </c>
      <c r="AP7">
        <f>step3_validation[[#This Row],[AI_TRU2]]</f>
        <v>6</v>
      </c>
      <c r="AQ7" t="str">
        <f t="shared" si="15"/>
        <v>Neutral</v>
      </c>
      <c r="AR7">
        <f>survey_responses[[#This Row],[Tôi thấy mức thuế tôi phải đóng theo phương án mới là công bằng (người thu nhập như tôi đóng mức này là hợp lý). - HUMAN-TRU2]]</f>
        <v>6</v>
      </c>
      <c r="AS7" t="str">
        <f t="shared" si="16"/>
        <v>Neutral</v>
      </c>
      <c r="AT7" s="32">
        <f t="shared" si="17"/>
        <v>0</v>
      </c>
      <c r="AU7">
        <f>step3_validation[[#This Row],[AI_TRU3]]</f>
        <v>5</v>
      </c>
      <c r="AV7" t="str">
        <f t="shared" si="18"/>
        <v>Neutral</v>
      </c>
      <c r="AW7">
        <f>survey_responses[[#This Row],[Tôi tin tưởng số tiền thuế tôi đóng sẽ được Nhà nước sử dụng hiệu quả để cải thiện dịch vụ công (y tế, đường xá...). - HUMAN-TRU3]]</f>
        <v>4</v>
      </c>
      <c r="AX7" t="str">
        <f t="shared" si="19"/>
        <v>Oppose</v>
      </c>
      <c r="AY7" s="32">
        <f t="shared" si="20"/>
        <v>1</v>
      </c>
      <c r="AZ7">
        <f>step3_validation[[#This Row],[AI_TRU4]]</f>
        <v>4</v>
      </c>
      <c r="BA7" t="str">
        <f t="shared" si="21"/>
        <v>Oppose</v>
      </c>
      <c r="BB7">
        <f>survey_responses[[#This Row],[Tôi thấy Nhà nước đã giải thích rõ ràng, minh bạch về lý do và mục tiêu của việc sửa đổi thuế lần này. - HUMAN-TRU4]]</f>
        <v>5</v>
      </c>
      <c r="BC7" t="str">
        <f t="shared" si="22"/>
        <v>Neutral</v>
      </c>
      <c r="BD7" s="32">
        <f t="shared" si="23"/>
        <v>1</v>
      </c>
      <c r="BE7">
        <f>step3_validation[[#This Row],[AI_OUT1]]</f>
        <v>5</v>
      </c>
      <c r="BF7" t="str">
        <f t="shared" si="24"/>
        <v>Neutral</v>
      </c>
      <c r="BG7">
        <f>survey_responses[[#This Row],[Sau khi xem xét các quyền lợi và nghĩa vụ, bạn có ủng hộ và tuân thủ chính sách mới hiện nay? - HUMAN-OUT1]]</f>
        <v>6</v>
      </c>
      <c r="BH7" t="str">
        <f t="shared" si="25"/>
        <v>Neutral</v>
      </c>
      <c r="BI7" s="32">
        <f t="shared" si="26"/>
        <v>1</v>
      </c>
    </row>
    <row r="8" spans="1:61" x14ac:dyDescent="0.45">
      <c r="A8" s="30">
        <f>step3_validation[[#This Row],[Persona_ID]]</f>
        <v>7</v>
      </c>
      <c r="B8" s="31">
        <f>step3_validation[[#This Row],[Used_Seed]]</f>
        <v>12351</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18.691318692838557</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7</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2">
        <f t="shared" si="2"/>
        <v>2</v>
      </c>
      <c r="V8">
        <f>step3_validation[[#This Row],[AI_ENF2]]</f>
        <v>8</v>
      </c>
      <c r="W8" t="str">
        <f t="shared" si="3"/>
        <v>Support</v>
      </c>
      <c r="X8">
        <f>survey_responses[[#This Row],[Tôi tin rằng Nhà nước, cơ quan thuế có đủ khả năng và công nghệ để phát hiện, xử lý nghiêm các hành vi trốn thuế. - HUMAN-ENF2]]</f>
        <v>4</v>
      </c>
      <c r="Y8" t="str">
        <f t="shared" si="4"/>
        <v>Oppose</v>
      </c>
      <c r="Z8" s="32">
        <f t="shared" si="5"/>
        <v>4</v>
      </c>
      <c r="AA8">
        <f>step3_validation[[#This Row],[AI_FAC1]]</f>
        <v>6</v>
      </c>
      <c r="AB8" t="str">
        <f t="shared" si="6"/>
        <v>Neutral</v>
      </c>
      <c r="AC8">
        <f>survey_responses[[#This Row],[Các thủ tục khai báo thuế VÀ/HOẶC quy trình làm việc với cơ quan thuế đơn giản, tiện lợi, nhanh chóng hơn so với trước đây. - HUMAN-FAC1]]</f>
        <v>4</v>
      </c>
      <c r="AD8" t="str">
        <f t="shared" si="7"/>
        <v>Oppose</v>
      </c>
      <c r="AE8" s="32">
        <f t="shared" si="8"/>
        <v>2</v>
      </c>
      <c r="AF8">
        <f>step3_validation[[#This Row],[AI_FAC2]]</f>
        <v>5</v>
      </c>
      <c r="AG8" t="str">
        <f t="shared" si="9"/>
        <v>Neutral</v>
      </c>
      <c r="AH8">
        <f>survey_responses[[#This Row],[So với trước đây, tôi thấy cách tính thuế và các bậc thuế trong phương án mới đơn giản, dễ hiểu và dễ thực hiện hơn. - HUMAN-FAC2]]</f>
        <v>6</v>
      </c>
      <c r="AI8" t="str">
        <f t="shared" si="10"/>
        <v>Neutral</v>
      </c>
      <c r="AJ8" s="32">
        <f t="shared" si="11"/>
        <v>1</v>
      </c>
      <c r="AK8">
        <f>step3_validation[[#This Row],[AI_TRU1]]</f>
        <v>8</v>
      </c>
      <c r="AL8" t="str">
        <f t="shared" si="12"/>
        <v>Support</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2</v>
      </c>
      <c r="AP8">
        <f>step3_validation[[#This Row],[AI_TRU2]]</f>
        <v>6</v>
      </c>
      <c r="AQ8" t="str">
        <f t="shared" si="15"/>
        <v>Neutral</v>
      </c>
      <c r="AR8">
        <f>survey_responses[[#This Row],[Tôi thấy mức thuế tôi phải đóng theo phương án mới là công bằng (người thu nhập như tôi đóng mức này là hợp lý). - HUMAN-TRU2]]</f>
        <v>7</v>
      </c>
      <c r="AS8" t="str">
        <f t="shared" si="16"/>
        <v>Neutral</v>
      </c>
      <c r="AT8" s="32">
        <f t="shared" si="17"/>
        <v>1</v>
      </c>
      <c r="AU8">
        <f>step3_validation[[#This Row],[AI_TRU3]]</f>
        <v>7</v>
      </c>
      <c r="AV8" t="str">
        <f t="shared" si="18"/>
        <v>Neutral</v>
      </c>
      <c r="AW8">
        <f>survey_responses[[#This Row],[Tôi tin tưởng số tiền thuế tôi đóng sẽ được Nhà nước sử dụng hiệu quả để cải thiện dịch vụ công (y tế, đường xá...). - HUMAN-TRU3]]</f>
        <v>2</v>
      </c>
      <c r="AX8" t="str">
        <f t="shared" si="19"/>
        <v>Oppose</v>
      </c>
      <c r="AY8" s="32">
        <f t="shared" si="20"/>
        <v>5</v>
      </c>
      <c r="AZ8">
        <f>step3_validation[[#This Row],[AI_TRU4]]</f>
        <v>5</v>
      </c>
      <c r="BA8" t="str">
        <f t="shared" si="21"/>
        <v>Neutral</v>
      </c>
      <c r="BB8">
        <f>survey_responses[[#This Row],[Tôi thấy Nhà nước đã giải thích rõ ràng, minh bạch về lý do và mục tiêu của việc sửa đổi thuế lần này. - HUMAN-TRU4]]</f>
        <v>4</v>
      </c>
      <c r="BC8" t="str">
        <f t="shared" si="22"/>
        <v>Oppose</v>
      </c>
      <c r="BD8" s="32">
        <f t="shared" si="23"/>
        <v>1</v>
      </c>
      <c r="BE8">
        <f>step3_validation[[#This Row],[AI_OUT1]]</f>
        <v>7</v>
      </c>
      <c r="BF8" t="str">
        <f t="shared" si="24"/>
        <v>Neutral</v>
      </c>
      <c r="BG8">
        <f>survey_responses[[#This Row],[Sau khi xem xét các quyền lợi và nghĩa vụ, bạn có ủng hộ và tuân thủ chính sách mới hiện nay? - HUMAN-OUT1]]</f>
        <v>4</v>
      </c>
      <c r="BH8" t="str">
        <f t="shared" si="25"/>
        <v>Oppose</v>
      </c>
      <c r="BI8" s="32">
        <f t="shared" si="26"/>
        <v>3</v>
      </c>
    </row>
    <row r="9" spans="1:61" x14ac:dyDescent="0.45">
      <c r="A9" s="30">
        <f>step3_validation[[#This Row],[Persona_ID]]</f>
        <v>8</v>
      </c>
      <c r="B9" s="31">
        <f>step3_validation[[#This Row],[Used_Seed]]</f>
        <v>12352</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8</v>
      </c>
      <c r="R9" t="str">
        <f t="shared" si="0"/>
        <v>Support</v>
      </c>
      <c r="S9">
        <f>survey_responses[[#This Row],[Tôi tin rằng với các quy định quản lý thuế hiện nay, hành vi gian lận hoặc trốn thuế sẽ dễ dàng bị phát hiện và xử lý nghiêm. - HUMAN-ENF1]]</f>
        <v>1</v>
      </c>
      <c r="T9" t="str">
        <f t="shared" si="1"/>
        <v>Oppose</v>
      </c>
      <c r="U9" s="32">
        <f t="shared" si="2"/>
        <v>7</v>
      </c>
      <c r="V9">
        <f>step3_validation[[#This Row],[AI_ENF2]]</f>
        <v>7</v>
      </c>
      <c r="W9" t="str">
        <f t="shared" si="3"/>
        <v>Neutral</v>
      </c>
      <c r="X9">
        <f>survey_responses[[#This Row],[Tôi tin rằng Nhà nước, cơ quan thuế có đủ khả năng và công nghệ để phát hiện, xử lý nghiêm các hành vi trốn thuế. - HUMAN-ENF2]]</f>
        <v>1</v>
      </c>
      <c r="Y9" t="str">
        <f t="shared" si="4"/>
        <v>Oppose</v>
      </c>
      <c r="Z9" s="32">
        <f t="shared" si="5"/>
        <v>6</v>
      </c>
      <c r="AA9">
        <f>step3_validation[[#This Row],[AI_FAC1]]</f>
        <v>9</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2">
        <f t="shared" si="8"/>
        <v>7</v>
      </c>
      <c r="AF9">
        <f>step3_validation[[#This Row],[AI_FAC2]]</f>
        <v>8</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5</v>
      </c>
      <c r="AK9">
        <f>step3_validation[[#This Row],[AI_TRU1]]</f>
        <v>7</v>
      </c>
      <c r="AL9" t="str">
        <f t="shared" si="12"/>
        <v>Neutral</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1</v>
      </c>
      <c r="AP9">
        <f>step3_validation[[#This Row],[AI_TRU2]]</f>
        <v>6</v>
      </c>
      <c r="AQ9" t="str">
        <f t="shared" si="15"/>
        <v>Neutral</v>
      </c>
      <c r="AR9">
        <f>survey_responses[[#This Row],[Tôi thấy mức thuế tôi phải đóng theo phương án mới là công bằng (người thu nhập như tôi đóng mức này là hợp lý). - HUMAN-TRU2]]</f>
        <v>2</v>
      </c>
      <c r="AS9" t="str">
        <f t="shared" si="16"/>
        <v>Oppose</v>
      </c>
      <c r="AT9" s="32">
        <f t="shared" si="17"/>
        <v>4</v>
      </c>
      <c r="AU9">
        <f>step3_validation[[#This Row],[AI_TRU3]]</f>
        <v>7</v>
      </c>
      <c r="AV9" t="str">
        <f t="shared" si="18"/>
        <v>Neutral</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0</v>
      </c>
      <c r="AZ9">
        <f>step3_validation[[#This Row],[AI_TRU4]]</f>
        <v>6</v>
      </c>
      <c r="BA9" t="str">
        <f t="shared" si="21"/>
        <v>Neutral</v>
      </c>
      <c r="BB9">
        <f>survey_responses[[#This Row],[Tôi thấy Nhà nước đã giải thích rõ ràng, minh bạch về lý do và mục tiêu của việc sửa đổi thuế lần này. - HUMAN-TRU4]]</f>
        <v>3</v>
      </c>
      <c r="BC9" t="str">
        <f t="shared" si="22"/>
        <v>Oppose</v>
      </c>
      <c r="BD9" s="32">
        <f t="shared" si="23"/>
        <v>3</v>
      </c>
      <c r="BE9">
        <f>step3_validation[[#This Row],[AI_OUT1]]</f>
        <v>7</v>
      </c>
      <c r="BF9" t="str">
        <f t="shared" si="24"/>
        <v>Neutral</v>
      </c>
      <c r="BG9">
        <f>survey_responses[[#This Row],[Sau khi xem xét các quyền lợi và nghĩa vụ, bạn có ủng hộ và tuân thủ chính sách mới hiện nay? - HUMAN-OUT1]]</f>
        <v>3</v>
      </c>
      <c r="BH9" t="str">
        <f t="shared" si="25"/>
        <v>Oppose</v>
      </c>
      <c r="BI9" s="32">
        <f t="shared" si="26"/>
        <v>4</v>
      </c>
    </row>
    <row r="10" spans="1:61" x14ac:dyDescent="0.45">
      <c r="A10" s="30">
        <f>step3_validation[[#This Row],[Persona_ID]]</f>
        <v>9</v>
      </c>
      <c r="B10" s="31">
        <f>step3_validation[[#This Row],[Used_Seed]]</f>
        <v>12353</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14.325396151387569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7</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3</v>
      </c>
      <c r="V10">
        <f>step3_validation[[#This Row],[AI_ENF2]]</f>
        <v>6</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2">
        <f t="shared" si="5"/>
        <v>4</v>
      </c>
      <c r="AA10">
        <f>step3_validation[[#This Row],[AI_FAC1]]</f>
        <v>8</v>
      </c>
      <c r="AB10" t="str">
        <f t="shared" si="6"/>
        <v>Support</v>
      </c>
      <c r="AC10">
        <f>survey_responses[[#This Row],[Các thủ tục khai báo thuế VÀ/HOẶC quy trình làm việc với cơ quan thuế đơn giản, tiện lợi, nhanh chóng hơn so với trước đây. - HUMAN-FAC1]]</f>
        <v>8</v>
      </c>
      <c r="AD10" t="str">
        <f t="shared" si="7"/>
        <v>Support</v>
      </c>
      <c r="AE10" s="32">
        <f t="shared" si="8"/>
        <v>0</v>
      </c>
      <c r="AF10">
        <f>step3_validation[[#This Row],[AI_FAC2]]</f>
        <v>7</v>
      </c>
      <c r="AG10" t="str">
        <f t="shared" si="9"/>
        <v>Neutral</v>
      </c>
      <c r="AH10">
        <f>survey_responses[[#This Row],[So với trước đây, tôi thấy cách tính thuế và các bậc thuế trong phương án mới đơn giản, dễ hiểu và dễ thực hiện hơn. - HUMAN-FAC2]]</f>
        <v>7</v>
      </c>
      <c r="AI10" t="str">
        <f t="shared" si="10"/>
        <v>Neutral</v>
      </c>
      <c r="AJ10" s="32">
        <f t="shared" si="11"/>
        <v>0</v>
      </c>
      <c r="AK10">
        <f>step3_validation[[#This Row],[AI_TRU1]]</f>
        <v>8</v>
      </c>
      <c r="AL10" t="str">
        <f t="shared" si="12"/>
        <v>Support</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1</v>
      </c>
      <c r="AP10">
        <f>step3_validation[[#This Row],[AI_TRU2]]</f>
        <v>6</v>
      </c>
      <c r="AQ10" t="str">
        <f t="shared" si="15"/>
        <v>Neutral</v>
      </c>
      <c r="AR10">
        <f>survey_responses[[#This Row],[Tôi thấy mức thuế tôi phải đóng theo phương án mới là công bằng (người thu nhập như tôi đóng mức này là hợp lý). - HUMAN-TRU2]]</f>
        <v>5</v>
      </c>
      <c r="AS10" t="str">
        <f t="shared" si="16"/>
        <v>Neutral</v>
      </c>
      <c r="AT10" s="32">
        <f t="shared" si="17"/>
        <v>1</v>
      </c>
      <c r="AU10">
        <f>step3_validation[[#This Row],[AI_TRU3]]</f>
        <v>7</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2</v>
      </c>
      <c r="AZ10">
        <f>step3_validation[[#This Row],[AI_TRU4]]</f>
        <v>5</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4</v>
      </c>
      <c r="BE10">
        <f>step3_validation[[#This Row],[AI_OUT1]]</f>
        <v>7</v>
      </c>
      <c r="BF10" t="str">
        <f t="shared" si="24"/>
        <v>Neutral</v>
      </c>
      <c r="BG10">
        <f>survey_responses[[#This Row],[Sau khi xem xét các quyền lợi và nghĩa vụ, bạn có ủng hộ và tuân thủ chính sách mới hiện nay? - HUMAN-OUT1]]</f>
        <v>8</v>
      </c>
      <c r="BH10" t="str">
        <f t="shared" si="25"/>
        <v>Support</v>
      </c>
      <c r="BI10" s="32">
        <f t="shared" si="26"/>
        <v>1</v>
      </c>
    </row>
    <row r="11" spans="1:61" x14ac:dyDescent="0.45">
      <c r="A11" s="30">
        <f>step3_validation[[#This Row],[Persona_ID]]</f>
        <v>10</v>
      </c>
      <c r="B11" s="31">
        <f>step3_validation[[#This Row],[Used_Seed]]</f>
        <v>12354</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19.914375440519994</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t="str">
        <f t="shared" si="0"/>
        <v>Neutral</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0</v>
      </c>
      <c r="V11">
        <f>step3_validation[[#This Row],[AI_ENF2]]</f>
        <v>8</v>
      </c>
      <c r="W11" t="str">
        <f t="shared" si="3"/>
        <v>Support</v>
      </c>
      <c r="X11">
        <f>survey_responses[[#This Row],[Tôi tin rằng Nhà nước, cơ quan thuế có đủ khả năng và công nghệ để phát hiện, xử lý nghiêm các hành vi trốn thuế. - HUMAN-ENF2]]</f>
        <v>10</v>
      </c>
      <c r="Y11" t="str">
        <f t="shared" si="4"/>
        <v>Support</v>
      </c>
      <c r="Z11" s="32">
        <f t="shared" si="5"/>
        <v>2</v>
      </c>
      <c r="AA11">
        <f>step3_validation[[#This Row],[AI_FAC1]]</f>
        <v>9</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2">
        <f t="shared" si="8"/>
        <v>8</v>
      </c>
      <c r="AF11">
        <f>step3_validation[[#This Row],[AI_FAC2]]</f>
        <v>8</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3</v>
      </c>
      <c r="AK11">
        <f>step3_validation[[#This Row],[AI_TRU1]]</f>
        <v>7</v>
      </c>
      <c r="AL11" t="str">
        <f t="shared" si="12"/>
        <v>Neutral</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6</v>
      </c>
      <c r="AQ11" t="str">
        <f t="shared" si="15"/>
        <v>Neutral</v>
      </c>
      <c r="AR11">
        <f>survey_responses[[#This Row],[Tôi thấy mức thuế tôi phải đóng theo phương án mới là công bằng (người thu nhập như tôi đóng mức này là hợp lý). - HUMAN-TRU2]]</f>
        <v>5</v>
      </c>
      <c r="AS11" t="str">
        <f t="shared" si="16"/>
        <v>Neutral</v>
      </c>
      <c r="AT11" s="32">
        <f t="shared" si="17"/>
        <v>1</v>
      </c>
      <c r="AU11">
        <f>step3_validation[[#This Row],[AI_TRU3]]</f>
        <v>5</v>
      </c>
      <c r="AV11" t="str">
        <f t="shared" si="18"/>
        <v>Neutral</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0</v>
      </c>
      <c r="AZ11">
        <f>step3_validation[[#This Row],[AI_TRU4]]</f>
        <v>5</v>
      </c>
      <c r="BA11" t="str">
        <f t="shared" si="21"/>
        <v>Neutral</v>
      </c>
      <c r="BB11">
        <f>survey_responses[[#This Row],[Tôi thấy Nhà nước đã giải thích rõ ràng, minh bạch về lý do và mục tiêu của việc sửa đổi thuế lần này. - HUMAN-TRU4]]</f>
        <v>5</v>
      </c>
      <c r="BC11" t="str">
        <f t="shared" si="22"/>
        <v>Neutral</v>
      </c>
      <c r="BD11" s="32">
        <f t="shared" si="23"/>
        <v>0</v>
      </c>
      <c r="BE11">
        <f>step3_validation[[#This Row],[AI_OUT1]]</f>
        <v>6</v>
      </c>
      <c r="BF11" t="str">
        <f t="shared" si="24"/>
        <v>Neutral</v>
      </c>
      <c r="BG11">
        <f>survey_responses[[#This Row],[Sau khi xem xét các quyền lợi và nghĩa vụ, bạn có ủng hộ và tuân thủ chính sách mới hiện nay? - HUMAN-OUT1]]</f>
        <v>10</v>
      </c>
      <c r="BH11" t="str">
        <f t="shared" si="25"/>
        <v>Support</v>
      </c>
      <c r="BI11" s="32">
        <f t="shared" si="26"/>
        <v>4</v>
      </c>
    </row>
    <row r="12" spans="1:61" x14ac:dyDescent="0.45">
      <c r="A12" s="30">
        <f>step3_validation[[#This Row],[Persona_ID]]</f>
        <v>11</v>
      </c>
      <c r="B12" s="31">
        <f>step3_validation[[#This Row],[Used_Seed]]</f>
        <v>12355</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42.066556778740022</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7</v>
      </c>
      <c r="R12" t="str">
        <f t="shared" si="0"/>
        <v>Neutral</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3</v>
      </c>
      <c r="V12">
        <f>step3_validation[[#This Row],[AI_ENF2]]</f>
        <v>8</v>
      </c>
      <c r="W12" t="str">
        <f t="shared" si="3"/>
        <v>Support</v>
      </c>
      <c r="X12">
        <f>survey_responses[[#This Row],[Tôi tin rằng Nhà nước, cơ quan thuế có đủ khả năng và công nghệ để phát hiện, xử lý nghiêm các hành vi trốn thuế. - HUMAN-ENF2]]</f>
        <v>3</v>
      </c>
      <c r="Y12" t="str">
        <f t="shared" si="4"/>
        <v>Oppose</v>
      </c>
      <c r="Z12" s="32">
        <f t="shared" si="5"/>
        <v>5</v>
      </c>
      <c r="AA12">
        <f>step3_validation[[#This Row],[AI_FAC1]]</f>
        <v>6</v>
      </c>
      <c r="AB12" t="str">
        <f t="shared" si="6"/>
        <v>Neutral</v>
      </c>
      <c r="AC12">
        <f>survey_responses[[#This Row],[Các thủ tục khai báo thuế VÀ/HOẶC quy trình làm việc với cơ quan thuế đơn giản, tiện lợi, nhanh chóng hơn so với trước đây. - HUMAN-FAC1]]</f>
        <v>1</v>
      </c>
      <c r="AD12" t="str">
        <f t="shared" si="7"/>
        <v>Oppose</v>
      </c>
      <c r="AE12" s="32">
        <f t="shared" si="8"/>
        <v>5</v>
      </c>
      <c r="AF12">
        <f>step3_validation[[#This Row],[AI_FAC2]]</f>
        <v>7</v>
      </c>
      <c r="AG12" t="str">
        <f t="shared" si="9"/>
        <v>Neutral</v>
      </c>
      <c r="AH12">
        <f>survey_responses[[#This Row],[So với trước đây, tôi thấy cách tính thuế và các bậc thuế trong phương án mới đơn giản, dễ hiểu và dễ thực hiện hơn. - HUMAN-FAC2]]</f>
        <v>7</v>
      </c>
      <c r="AI12" t="str">
        <f t="shared" si="10"/>
        <v>Neutral</v>
      </c>
      <c r="AJ12" s="32">
        <f t="shared" si="11"/>
        <v>0</v>
      </c>
      <c r="AK12">
        <f>step3_validation[[#This Row],[AI_TRU1]]</f>
        <v>8</v>
      </c>
      <c r="AL12" t="str">
        <f t="shared" si="12"/>
        <v>Support</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7</v>
      </c>
      <c r="AP12">
        <f>step3_validation[[#This Row],[AI_TRU2]]</f>
        <v>7</v>
      </c>
      <c r="AQ12" t="str">
        <f t="shared" si="15"/>
        <v>Neutral</v>
      </c>
      <c r="AR12">
        <f>survey_responses[[#This Row],[Tôi thấy mức thuế tôi phải đóng theo phương án mới là công bằng (người thu nhập như tôi đóng mức này là hợp lý). - HUMAN-TRU2]]</f>
        <v>5</v>
      </c>
      <c r="AS12" t="str">
        <f t="shared" si="16"/>
        <v>Neutral</v>
      </c>
      <c r="AT12" s="32">
        <f t="shared" si="17"/>
        <v>2</v>
      </c>
      <c r="AU12">
        <f>step3_validation[[#This Row],[AI_TRU3]]</f>
        <v>8</v>
      </c>
      <c r="AV12" t="str">
        <f t="shared" si="18"/>
        <v>Support</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7</v>
      </c>
      <c r="AZ12">
        <f>step3_validation[[#This Row],[AI_TRU4]]</f>
        <v>6</v>
      </c>
      <c r="BA12" t="str">
        <f t="shared" si="21"/>
        <v>Neutral</v>
      </c>
      <c r="BB12">
        <f>survey_responses[[#This Row],[Tôi thấy Nhà nước đã giải thích rõ ràng, minh bạch về lý do và mục tiêu của việc sửa đổi thuế lần này. - HUMAN-TRU4]]</f>
        <v>8</v>
      </c>
      <c r="BC12" t="str">
        <f t="shared" si="22"/>
        <v>Support</v>
      </c>
      <c r="BD12" s="32">
        <f t="shared" si="23"/>
        <v>2</v>
      </c>
      <c r="BE12">
        <f>step3_validation[[#This Row],[AI_OUT1]]</f>
        <v>7</v>
      </c>
      <c r="BF12" t="str">
        <f t="shared" si="24"/>
        <v>Neutral</v>
      </c>
      <c r="BG12">
        <f>survey_responses[[#This Row],[Sau khi xem xét các quyền lợi và nghĩa vụ, bạn có ủng hộ và tuân thủ chính sách mới hiện nay? - HUMAN-OUT1]]</f>
        <v>6</v>
      </c>
      <c r="BH12" t="str">
        <f t="shared" si="25"/>
        <v>Neutral</v>
      </c>
      <c r="BI12" s="32">
        <f t="shared" si="26"/>
        <v>1</v>
      </c>
    </row>
    <row r="13" spans="1:61" x14ac:dyDescent="0.45">
      <c r="A13" s="30">
        <f>step3_validation[[#This Row],[Persona_ID]]</f>
        <v>12</v>
      </c>
      <c r="B13" s="31">
        <f>step3_validation[[#This Row],[Used_Seed]]</f>
        <v>12356</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7</v>
      </c>
      <c r="R13" t="str">
        <f t="shared" si="0"/>
        <v>Neutral</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2</v>
      </c>
      <c r="V13">
        <f>step3_validation[[#This Row],[AI_ENF2]]</f>
        <v>8</v>
      </c>
      <c r="W13" t="str">
        <f t="shared" si="3"/>
        <v>Support</v>
      </c>
      <c r="X13">
        <f>survey_responses[[#This Row],[Tôi tin rằng Nhà nước, cơ quan thuế có đủ khả năng và công nghệ để phát hiện, xử lý nghiêm các hành vi trốn thuế. - HUMAN-ENF2]]</f>
        <v>8</v>
      </c>
      <c r="Y13" t="str">
        <f t="shared" si="4"/>
        <v>Support</v>
      </c>
      <c r="Z13" s="32">
        <f t="shared" si="5"/>
        <v>0</v>
      </c>
      <c r="AA13">
        <f>step3_validation[[#This Row],[AI_FAC1]]</f>
        <v>6</v>
      </c>
      <c r="AB13" t="str">
        <f t="shared" si="6"/>
        <v>Neutral</v>
      </c>
      <c r="AC13">
        <f>survey_responses[[#This Row],[Các thủ tục khai báo thuế VÀ/HOẶC quy trình làm việc với cơ quan thuế đơn giản, tiện lợi, nhanh chóng hơn so với trước đây. - HUMAN-FAC1]]</f>
        <v>5</v>
      </c>
      <c r="AD13" t="str">
        <f t="shared" si="7"/>
        <v>Neutral</v>
      </c>
      <c r="AE13" s="32">
        <f t="shared" si="8"/>
        <v>1</v>
      </c>
      <c r="AF13">
        <f>step3_validation[[#This Row],[AI_FAC2]]</f>
        <v>8</v>
      </c>
      <c r="AG13" t="str">
        <f t="shared" si="9"/>
        <v>Support</v>
      </c>
      <c r="AH13">
        <f>survey_responses[[#This Row],[So với trước đây, tôi thấy cách tính thuế và các bậc thuế trong phương án mới đơn giản, dễ hiểu và dễ thực hiện hơn. - HUMAN-FAC2]]</f>
        <v>5</v>
      </c>
      <c r="AI13" t="str">
        <f t="shared" si="10"/>
        <v>Neutral</v>
      </c>
      <c r="AJ13" s="32">
        <f t="shared" si="11"/>
        <v>3</v>
      </c>
      <c r="AK13">
        <f>step3_validation[[#This Row],[AI_TRU1]]</f>
        <v>7</v>
      </c>
      <c r="AL13" t="str">
        <f t="shared" si="12"/>
        <v>Neutral</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1</v>
      </c>
      <c r="AP13">
        <f>step3_validation[[#This Row],[AI_TRU2]]</f>
        <v>8</v>
      </c>
      <c r="AQ13" t="str">
        <f t="shared" si="15"/>
        <v>Support</v>
      </c>
      <c r="AR13">
        <f>survey_responses[[#This Row],[Tôi thấy mức thuế tôi phải đóng theo phương án mới là công bằng (người thu nhập như tôi đóng mức này là hợp lý). - HUMAN-TRU2]]</f>
        <v>5</v>
      </c>
      <c r="AS13" t="str">
        <f t="shared" si="16"/>
        <v>Neutral</v>
      </c>
      <c r="AT13" s="32">
        <f t="shared" si="17"/>
        <v>3</v>
      </c>
      <c r="AU13">
        <f>step3_validation[[#This Row],[AI_TRU3]]</f>
        <v>6</v>
      </c>
      <c r="AV13" t="str">
        <f t="shared" si="18"/>
        <v>Neutral</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1</v>
      </c>
      <c r="AZ13">
        <f>step3_validation[[#This Row],[AI_TRU4]]</f>
        <v>7</v>
      </c>
      <c r="BA13" t="str">
        <f t="shared" si="21"/>
        <v>Neutral</v>
      </c>
      <c r="BB13">
        <f>survey_responses[[#This Row],[Tôi thấy Nhà nước đã giải thích rõ ràng, minh bạch về lý do và mục tiêu của việc sửa đổi thuế lần này. - HUMAN-TRU4]]</f>
        <v>5</v>
      </c>
      <c r="BC13" t="str">
        <f t="shared" si="22"/>
        <v>Neutral</v>
      </c>
      <c r="BD13" s="32">
        <f t="shared" si="23"/>
        <v>2</v>
      </c>
      <c r="BE13">
        <f>step3_validation[[#This Row],[AI_OUT1]]</f>
        <v>8</v>
      </c>
      <c r="BF13" t="str">
        <f t="shared" si="24"/>
        <v>Support</v>
      </c>
      <c r="BG13">
        <f>survey_responses[[#This Row],[Sau khi xem xét các quyền lợi và nghĩa vụ, bạn có ủng hộ và tuân thủ chính sách mới hiện nay? - HUMAN-OUT1]]</f>
        <v>5</v>
      </c>
      <c r="BH13" t="str">
        <f t="shared" si="25"/>
        <v>Neutral</v>
      </c>
      <c r="BI13" s="32">
        <f t="shared" si="26"/>
        <v>3</v>
      </c>
    </row>
    <row r="14" spans="1:61" x14ac:dyDescent="0.45">
      <c r="A14" s="30">
        <f>step3_validation[[#This Row],[Persona_ID]]</f>
        <v>13</v>
      </c>
      <c r="B14" s="31">
        <f>step3_validation[[#This Row],[Used_Seed]]</f>
        <v>12357</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7</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1</v>
      </c>
      <c r="V14">
        <f>step3_validation[[#This Row],[AI_ENF2]]</f>
        <v>6</v>
      </c>
      <c r="W14" t="str">
        <f t="shared" si="3"/>
        <v>Neutral</v>
      </c>
      <c r="X14">
        <f>survey_responses[[#This Row],[Tôi tin rằng Nhà nước, cơ quan thuế có đủ khả năng và công nghệ để phát hiện, xử lý nghiêm các hành vi trốn thuế. - HUMAN-ENF2]]</f>
        <v>7</v>
      </c>
      <c r="Y14" t="str">
        <f t="shared" si="4"/>
        <v>Neutral</v>
      </c>
      <c r="Z14" s="32">
        <f t="shared" si="5"/>
        <v>1</v>
      </c>
      <c r="AA14">
        <f>step3_validation[[#This Row],[AI_FAC1]]</f>
        <v>5</v>
      </c>
      <c r="AB14" t="str">
        <f t="shared" si="6"/>
        <v>Neutral</v>
      </c>
      <c r="AC14">
        <f>survey_responses[[#This Row],[Các thủ tục khai báo thuế VÀ/HOẶC quy trình làm việc với cơ quan thuế đơn giản, tiện lợi, nhanh chóng hơn so với trước đây. - HUMAN-FAC1]]</f>
        <v>7</v>
      </c>
      <c r="AD14" t="str">
        <f t="shared" si="7"/>
        <v>Neutral</v>
      </c>
      <c r="AE14" s="32">
        <f t="shared" si="8"/>
        <v>2</v>
      </c>
      <c r="AF14">
        <f>step3_validation[[#This Row],[AI_FAC2]]</f>
        <v>6</v>
      </c>
      <c r="AG14" t="str">
        <f t="shared" si="9"/>
        <v>Neutral</v>
      </c>
      <c r="AH14">
        <f>survey_responses[[#This Row],[So với trước đây, tôi thấy cách tính thuế và các bậc thuế trong phương án mới đơn giản, dễ hiểu và dễ thực hiện hơn. - HUMAN-FAC2]]</f>
        <v>7</v>
      </c>
      <c r="AI14" t="str">
        <f t="shared" si="10"/>
        <v>Neutral</v>
      </c>
      <c r="AJ14" s="32">
        <f t="shared" si="11"/>
        <v>1</v>
      </c>
      <c r="AK14">
        <f>step3_validation[[#This Row],[AI_TRU1]]</f>
        <v>8</v>
      </c>
      <c r="AL14" t="str">
        <f t="shared" si="12"/>
        <v>Support</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1</v>
      </c>
      <c r="AP14">
        <f>step3_validation[[#This Row],[AI_TRU2]]</f>
        <v>7</v>
      </c>
      <c r="AQ14" t="str">
        <f t="shared" si="15"/>
        <v>Neutral</v>
      </c>
      <c r="AR14">
        <f>survey_responses[[#This Row],[Tôi thấy mức thuế tôi phải đóng theo phương án mới là công bằng (người thu nhập như tôi đóng mức này là hợp lý). - HUMAN-TRU2]]</f>
        <v>8</v>
      </c>
      <c r="AS14" t="str">
        <f t="shared" si="16"/>
        <v>Support</v>
      </c>
      <c r="AT14" s="32">
        <f t="shared" si="17"/>
        <v>1</v>
      </c>
      <c r="AU14">
        <f>step3_validation[[#This Row],[AI_TRU3]]</f>
        <v>8</v>
      </c>
      <c r="AV14" t="str">
        <f t="shared" si="18"/>
        <v>Support</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1</v>
      </c>
      <c r="AZ14">
        <f>step3_validation[[#This Row],[AI_TRU4]]</f>
        <v>6</v>
      </c>
      <c r="BA14" t="str">
        <f t="shared" si="21"/>
        <v>Neutral</v>
      </c>
      <c r="BB14">
        <f>survey_responses[[#This Row],[Tôi thấy Nhà nước đã giải thích rõ ràng, minh bạch về lý do và mục tiêu của việc sửa đổi thuế lần này. - HUMAN-TRU4]]</f>
        <v>7</v>
      </c>
      <c r="BC14" t="str">
        <f t="shared" si="22"/>
        <v>Neutral</v>
      </c>
      <c r="BD14" s="32">
        <f t="shared" si="23"/>
        <v>1</v>
      </c>
      <c r="BE14">
        <f>step3_validation[[#This Row],[AI_OUT1]]</f>
        <v>8</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1</v>
      </c>
    </row>
    <row r="15" spans="1:61" x14ac:dyDescent="0.45">
      <c r="A15" s="30">
        <f>step3_validation[[#This Row],[Persona_ID]]</f>
        <v>14</v>
      </c>
      <c r="B15" s="31">
        <f>step3_validation[[#This Row],[Used_Seed]]</f>
        <v>12358</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19.120867691875361</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7</v>
      </c>
      <c r="R15" t="str">
        <f t="shared" si="0"/>
        <v>Neutral</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3</v>
      </c>
      <c r="V15">
        <f>step3_validation[[#This Row],[AI_ENF2]]</f>
        <v>6</v>
      </c>
      <c r="W15" t="str">
        <f t="shared" si="3"/>
        <v>Neutral</v>
      </c>
      <c r="X15">
        <f>survey_responses[[#This Row],[Tôi tin rằng Nhà nước, cơ quan thuế có đủ khả năng và công nghệ để phát hiện, xử lý nghiêm các hành vi trốn thuế. - HUMAN-ENF2]]</f>
        <v>10</v>
      </c>
      <c r="Y15" t="str">
        <f t="shared" si="4"/>
        <v>Support</v>
      </c>
      <c r="Z15" s="32">
        <f t="shared" si="5"/>
        <v>4</v>
      </c>
      <c r="AA15">
        <f>step3_validation[[#This Row],[AI_FAC1]]</f>
        <v>5</v>
      </c>
      <c r="AB15" t="str">
        <f t="shared" si="6"/>
        <v>Neutral</v>
      </c>
      <c r="AC15">
        <f>survey_responses[[#This Row],[Các thủ tục khai báo thuế VÀ/HOẶC quy trình làm việc với cơ quan thuế đơn giản, tiện lợi, nhanh chóng hơn so với trước đây. - HUMAN-FAC1]]</f>
        <v>8</v>
      </c>
      <c r="AD15" t="str">
        <f t="shared" si="7"/>
        <v>Support</v>
      </c>
      <c r="AE15" s="32">
        <f t="shared" si="8"/>
        <v>3</v>
      </c>
      <c r="AF15">
        <f>step3_validation[[#This Row],[AI_FAC2]]</f>
        <v>8</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0</v>
      </c>
      <c r="AK15">
        <f>step3_validation[[#This Row],[AI_TRU1]]</f>
        <v>9</v>
      </c>
      <c r="AL15" t="str">
        <f t="shared" si="12"/>
        <v>Support</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6</v>
      </c>
      <c r="AQ15" t="str">
        <f t="shared" si="15"/>
        <v>Neutral</v>
      </c>
      <c r="AR15">
        <f>survey_responses[[#This Row],[Tôi thấy mức thuế tôi phải đóng theo phương án mới là công bằng (người thu nhập như tôi đóng mức này là hợp lý). - HUMAN-TRU2]]</f>
        <v>6</v>
      </c>
      <c r="AS15" t="str">
        <f t="shared" si="16"/>
        <v>Neutral</v>
      </c>
      <c r="AT15" s="32">
        <f t="shared" si="17"/>
        <v>0</v>
      </c>
      <c r="AU15">
        <f>step3_validation[[#This Row],[AI_TRU3]]</f>
        <v>7</v>
      </c>
      <c r="AV15" t="str">
        <f t="shared" si="18"/>
        <v>Neutral</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1</v>
      </c>
      <c r="AZ15">
        <f>step3_validation[[#This Row],[AI_TRU4]]</f>
        <v>5</v>
      </c>
      <c r="BA15" t="str">
        <f t="shared" si="21"/>
        <v>Neutral</v>
      </c>
      <c r="BB15">
        <f>survey_responses[[#This Row],[Tôi thấy Nhà nước đã giải thích rõ ràng, minh bạch về lý do và mục tiêu của việc sửa đổi thuế lần này. - HUMAN-TRU4]]</f>
        <v>5</v>
      </c>
      <c r="BC15" t="str">
        <f t="shared" si="22"/>
        <v>Neutral</v>
      </c>
      <c r="BD15" s="32">
        <f t="shared" si="23"/>
        <v>0</v>
      </c>
      <c r="BE15">
        <f>step3_validation[[#This Row],[AI_OUT1]]</f>
        <v>8</v>
      </c>
      <c r="BF15" t="str">
        <f t="shared" si="24"/>
        <v>Support</v>
      </c>
      <c r="BG15">
        <f>survey_responses[[#This Row],[Sau khi xem xét các quyền lợi và nghĩa vụ, bạn có ủng hộ và tuân thủ chính sách mới hiện nay? - HUMAN-OUT1]]</f>
        <v>5</v>
      </c>
      <c r="BH15" t="str">
        <f t="shared" si="25"/>
        <v>Neutral</v>
      </c>
      <c r="BI15" s="32">
        <f t="shared" si="26"/>
        <v>3</v>
      </c>
    </row>
    <row r="16" spans="1:61" x14ac:dyDescent="0.45">
      <c r="A16" s="30">
        <f>step3_validation[[#This Row],[Persona_ID]]</f>
        <v>15</v>
      </c>
      <c r="B16" s="31">
        <f>step3_validation[[#This Row],[Used_Seed]]</f>
        <v>12359</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33.088932394530367</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7</v>
      </c>
      <c r="R16" t="str">
        <f t="shared" si="0"/>
        <v>Neutral</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0</v>
      </c>
      <c r="V16">
        <f>step3_validation[[#This Row],[AI_ENF2]]</f>
        <v>8</v>
      </c>
      <c r="W16" t="str">
        <f t="shared" si="3"/>
        <v>Support</v>
      </c>
      <c r="X16">
        <f>survey_responses[[#This Row],[Tôi tin rằng Nhà nước, cơ quan thuế có đủ khả năng và công nghệ để phát hiện, xử lý nghiêm các hành vi trốn thuế. - HUMAN-ENF2]]</f>
        <v>9</v>
      </c>
      <c r="Y16" t="str">
        <f t="shared" si="4"/>
        <v>Support</v>
      </c>
      <c r="Z16" s="32">
        <f t="shared" si="5"/>
        <v>1</v>
      </c>
      <c r="AA16">
        <f>step3_validation[[#This Row],[AI_FAC1]]</f>
        <v>6</v>
      </c>
      <c r="AB16" t="str">
        <f t="shared" si="6"/>
        <v>Neutral</v>
      </c>
      <c r="AC16">
        <f>survey_responses[[#This Row],[Các thủ tục khai báo thuế VÀ/HOẶC quy trình làm việc với cơ quan thuế đơn giản, tiện lợi, nhanh chóng hơn so với trước đây. - HUMAN-FAC1]]</f>
        <v>3</v>
      </c>
      <c r="AD16" t="str">
        <f t="shared" si="7"/>
        <v>Oppose</v>
      </c>
      <c r="AE16" s="32">
        <f t="shared" si="8"/>
        <v>3</v>
      </c>
      <c r="AF16">
        <f>step3_validation[[#This Row],[AI_FAC2]]</f>
        <v>7</v>
      </c>
      <c r="AG16" t="str">
        <f t="shared" si="9"/>
        <v>Neutral</v>
      </c>
      <c r="AH16">
        <f>survey_responses[[#This Row],[So với trước đây, tôi thấy cách tính thuế và các bậc thuế trong phương án mới đơn giản, dễ hiểu và dễ thực hiện hơn. - HUMAN-FAC2]]</f>
        <v>6</v>
      </c>
      <c r="AI16" t="str">
        <f t="shared" si="10"/>
        <v>Neutral</v>
      </c>
      <c r="AJ16" s="32">
        <f t="shared" si="11"/>
        <v>1</v>
      </c>
      <c r="AK16">
        <f>step3_validation[[#This Row],[AI_TRU1]]</f>
        <v>6</v>
      </c>
      <c r="AL16" t="str">
        <f t="shared" si="12"/>
        <v>Neutral</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5</v>
      </c>
      <c r="AP16">
        <f>step3_validation[[#This Row],[AI_TRU2]]</f>
        <v>5</v>
      </c>
      <c r="AQ16" t="str">
        <f t="shared" si="15"/>
        <v>Neutral</v>
      </c>
      <c r="AR16">
        <f>survey_responses[[#This Row],[Tôi thấy mức thuế tôi phải đóng theo phương án mới là công bằng (người thu nhập như tôi đóng mức này là hợp lý). - HUMAN-TRU2]]</f>
        <v>1</v>
      </c>
      <c r="AS16" t="str">
        <f t="shared" si="16"/>
        <v>Oppose</v>
      </c>
      <c r="AT16" s="32">
        <f t="shared" si="17"/>
        <v>4</v>
      </c>
      <c r="AU16">
        <f>step3_validation[[#This Row],[AI_TRU3]]</f>
        <v>6</v>
      </c>
      <c r="AV16" t="str">
        <f t="shared" si="18"/>
        <v>Neutral</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5</v>
      </c>
      <c r="AZ16">
        <f>step3_validation[[#This Row],[AI_TRU4]]</f>
        <v>5</v>
      </c>
      <c r="BA16" t="str">
        <f t="shared" si="21"/>
        <v>Neutral</v>
      </c>
      <c r="BB16">
        <f>survey_responses[[#This Row],[Tôi thấy Nhà nước đã giải thích rõ ràng, minh bạch về lý do và mục tiêu của việc sửa đổi thuế lần này. - HUMAN-TRU4]]</f>
        <v>1</v>
      </c>
      <c r="BC16" t="str">
        <f t="shared" si="22"/>
        <v>Oppose</v>
      </c>
      <c r="BD16" s="32">
        <f t="shared" si="23"/>
        <v>4</v>
      </c>
      <c r="BE16">
        <f>step3_validation[[#This Row],[AI_OUT1]]</f>
        <v>8</v>
      </c>
      <c r="BF16" t="str">
        <f t="shared" si="24"/>
        <v>Support</v>
      </c>
      <c r="BG16">
        <f>survey_responses[[#This Row],[Sau khi xem xét các quyền lợi và nghĩa vụ, bạn có ủng hộ và tuân thủ chính sách mới hiện nay? - HUMAN-OUT1]]</f>
        <v>1</v>
      </c>
      <c r="BH16" t="str">
        <f t="shared" si="25"/>
        <v>Oppose</v>
      </c>
      <c r="BI16" s="32">
        <f t="shared" si="26"/>
        <v>7</v>
      </c>
    </row>
    <row r="17" spans="1:61" x14ac:dyDescent="0.45">
      <c r="A17" s="30">
        <f>step3_validation[[#This Row],[Persona_ID]]</f>
        <v>16</v>
      </c>
      <c r="B17" s="31">
        <f>step3_validation[[#This Row],[Used_Seed]]</f>
        <v>12360</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83.97191403487318</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7</v>
      </c>
      <c r="R17" t="str">
        <f t="shared" si="0"/>
        <v>Neutral</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1</v>
      </c>
      <c r="V17">
        <f>step3_validation[[#This Row],[AI_ENF2]]</f>
        <v>8</v>
      </c>
      <c r="W17" t="str">
        <f t="shared" si="3"/>
        <v>Support</v>
      </c>
      <c r="X17">
        <f>survey_responses[[#This Row],[Tôi tin rằng Nhà nước, cơ quan thuế có đủ khả năng và công nghệ để phát hiện, xử lý nghiêm các hành vi trốn thuế. - HUMAN-ENF2]]</f>
        <v>8</v>
      </c>
      <c r="Y17" t="str">
        <f t="shared" si="4"/>
        <v>Support</v>
      </c>
      <c r="Z17" s="32">
        <f t="shared" si="5"/>
        <v>0</v>
      </c>
      <c r="AA17">
        <f>step3_validation[[#This Row],[AI_FAC1]]</f>
        <v>6</v>
      </c>
      <c r="AB17" t="str">
        <f t="shared" si="6"/>
        <v>Neutral</v>
      </c>
      <c r="AC17">
        <f>survey_responses[[#This Row],[Các thủ tục khai báo thuế VÀ/HOẶC quy trình làm việc với cơ quan thuế đơn giản, tiện lợi, nhanh chóng hơn so với trước đây. - HUMAN-FAC1]]</f>
        <v>8</v>
      </c>
      <c r="AD17" t="str">
        <f t="shared" si="7"/>
        <v>Support</v>
      </c>
      <c r="AE17" s="32">
        <f t="shared" si="8"/>
        <v>2</v>
      </c>
      <c r="AF17">
        <f>step3_validation[[#This Row],[AI_FAC2]]</f>
        <v>8</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1</v>
      </c>
      <c r="AK17">
        <f>step3_validation[[#This Row],[AI_TRU1]]</f>
        <v>5</v>
      </c>
      <c r="AL17" t="str">
        <f t="shared" si="12"/>
        <v>Neutral</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2</v>
      </c>
      <c r="AP17">
        <f>step3_validation[[#This Row],[AI_TRU2]]</f>
        <v>6</v>
      </c>
      <c r="AQ17" t="str">
        <f t="shared" si="15"/>
        <v>Neutral</v>
      </c>
      <c r="AR17">
        <f>survey_responses[[#This Row],[Tôi thấy mức thuế tôi phải đóng theo phương án mới là công bằng (người thu nhập như tôi đóng mức này là hợp lý). - HUMAN-TRU2]]</f>
        <v>7</v>
      </c>
      <c r="AS17" t="str">
        <f t="shared" si="16"/>
        <v>Neutral</v>
      </c>
      <c r="AT17" s="32">
        <f t="shared" si="17"/>
        <v>1</v>
      </c>
      <c r="AU17">
        <f>step3_validation[[#This Row],[AI_TRU3]]</f>
        <v>4</v>
      </c>
      <c r="AV17" t="str">
        <f t="shared" si="18"/>
        <v>Oppose</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5</v>
      </c>
      <c r="AZ17">
        <f>step3_validation[[#This Row],[AI_TRU4]]</f>
        <v>5</v>
      </c>
      <c r="BA17" t="str">
        <f t="shared" si="21"/>
        <v>Neutral</v>
      </c>
      <c r="BB17">
        <f>survey_responses[[#This Row],[Tôi thấy Nhà nước đã giải thích rõ ràng, minh bạch về lý do và mục tiêu của việc sửa đổi thuế lần này. - HUMAN-TRU4]]</f>
        <v>8</v>
      </c>
      <c r="BC17" t="str">
        <f t="shared" si="22"/>
        <v>Support</v>
      </c>
      <c r="BD17" s="32">
        <f t="shared" si="23"/>
        <v>3</v>
      </c>
      <c r="BE17">
        <f>step3_validation[[#This Row],[AI_OUT1]]</f>
        <v>4</v>
      </c>
      <c r="BF17" t="str">
        <f t="shared" si="24"/>
        <v>Oppose</v>
      </c>
      <c r="BG17">
        <f>survey_responses[[#This Row],[Sau khi xem xét các quyền lợi và nghĩa vụ, bạn có ủng hộ và tuân thủ chính sách mới hiện nay? - HUMAN-OUT1]]</f>
        <v>7</v>
      </c>
      <c r="BH17" t="str">
        <f t="shared" si="25"/>
        <v>Neutral</v>
      </c>
      <c r="BI17" s="32">
        <f t="shared" si="26"/>
        <v>3</v>
      </c>
    </row>
    <row r="18" spans="1:61" x14ac:dyDescent="0.45">
      <c r="A18" s="30">
        <f>step3_validation[[#This Row],[Persona_ID]]</f>
        <v>17</v>
      </c>
      <c r="B18" s="31">
        <f>step3_validation[[#This Row],[Used_Seed]]</f>
        <v>12361</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20.16566114604132</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7</v>
      </c>
      <c r="R18" t="str">
        <f t="shared" si="0"/>
        <v>Neutral</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1</v>
      </c>
      <c r="V18">
        <f>step3_validation[[#This Row],[AI_ENF2]]</f>
        <v>8</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2">
        <f t="shared" si="5"/>
        <v>1</v>
      </c>
      <c r="AA18">
        <f>step3_validation[[#This Row],[AI_FAC1]]</f>
        <v>6</v>
      </c>
      <c r="AB18" t="str">
        <f t="shared" si="6"/>
        <v>Neutral</v>
      </c>
      <c r="AC18">
        <f>survey_responses[[#This Row],[Các thủ tục khai báo thuế VÀ/HOẶC quy trình làm việc với cơ quan thuế đơn giản, tiện lợi, nhanh chóng hơn so với trước đây. - HUMAN-FAC1]]</f>
        <v>5</v>
      </c>
      <c r="AD18" t="str">
        <f t="shared" si="7"/>
        <v>Neutral</v>
      </c>
      <c r="AE18" s="32">
        <f t="shared" si="8"/>
        <v>1</v>
      </c>
      <c r="AF18">
        <f>step3_validation[[#This Row],[AI_FAC2]]</f>
        <v>7</v>
      </c>
      <c r="AG18" t="str">
        <f t="shared" si="9"/>
        <v>Neutral</v>
      </c>
      <c r="AH18">
        <f>survey_responses[[#This Row],[So với trước đây, tôi thấy cách tính thuế và các bậc thuế trong phương án mới đơn giản, dễ hiểu và dễ thực hiện hơn. - HUMAN-FAC2]]</f>
        <v>5</v>
      </c>
      <c r="AI18" t="str">
        <f t="shared" si="10"/>
        <v>Neutral</v>
      </c>
      <c r="AJ18" s="32">
        <f t="shared" si="11"/>
        <v>2</v>
      </c>
      <c r="AK18">
        <f>step3_validation[[#This Row],[AI_TRU1]]</f>
        <v>8</v>
      </c>
      <c r="AL18" t="str">
        <f t="shared" si="12"/>
        <v>Support</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2</v>
      </c>
      <c r="AP18">
        <f>step3_validation[[#This Row],[AI_TRU2]]</f>
        <v>7</v>
      </c>
      <c r="AQ18" t="str">
        <f t="shared" si="15"/>
        <v>Neutral</v>
      </c>
      <c r="AR18">
        <f>survey_responses[[#This Row],[Tôi thấy mức thuế tôi phải đóng theo phương án mới là công bằng (người thu nhập như tôi đóng mức này là hợp lý). - HUMAN-TRU2]]</f>
        <v>7</v>
      </c>
      <c r="AS18" t="str">
        <f t="shared" si="16"/>
        <v>Neutral</v>
      </c>
      <c r="AT18" s="32">
        <f t="shared" si="17"/>
        <v>0</v>
      </c>
      <c r="AU18">
        <f>step3_validation[[#This Row],[AI_TRU3]]</f>
        <v>6</v>
      </c>
      <c r="AV18" t="str">
        <f t="shared" si="18"/>
        <v>Neutral</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3</v>
      </c>
      <c r="AZ18">
        <f>step3_validation[[#This Row],[AI_TRU4]]</f>
        <v>5</v>
      </c>
      <c r="BA18" t="str">
        <f t="shared" si="21"/>
        <v>Neutral</v>
      </c>
      <c r="BB18">
        <f>survey_responses[[#This Row],[Tôi thấy Nhà nước đã giải thích rõ ràng, minh bạch về lý do và mục tiêu của việc sửa đổi thuế lần này. - HUMAN-TRU4]]</f>
        <v>4</v>
      </c>
      <c r="BC18" t="str">
        <f t="shared" si="22"/>
        <v>Oppose</v>
      </c>
      <c r="BD18" s="32">
        <f t="shared" si="23"/>
        <v>1</v>
      </c>
      <c r="BE18">
        <f>step3_validation[[#This Row],[AI_OUT1]]</f>
        <v>8</v>
      </c>
      <c r="BF18" t="str">
        <f t="shared" si="24"/>
        <v>Support</v>
      </c>
      <c r="BG18">
        <f>survey_responses[[#This Row],[Sau khi xem xét các quyền lợi và nghĩa vụ, bạn có ủng hộ và tuân thủ chính sách mới hiện nay? - HUMAN-OUT1]]</f>
        <v>5</v>
      </c>
      <c r="BH18" t="str">
        <f t="shared" si="25"/>
        <v>Neutral</v>
      </c>
      <c r="BI18" s="32">
        <f t="shared" si="26"/>
        <v>3</v>
      </c>
    </row>
    <row r="19" spans="1:61" x14ac:dyDescent="0.45">
      <c r="A19" s="30">
        <f>step3_validation[[#This Row],[Persona_ID]]</f>
        <v>18</v>
      </c>
      <c r="B19" s="31">
        <f>step3_validation[[#This Row],[Used_Seed]]</f>
        <v>12362</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14.778987131493366</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8</v>
      </c>
      <c r="R19" t="str">
        <f t="shared" si="0"/>
        <v>Support</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2</v>
      </c>
      <c r="V19">
        <f>step3_validation[[#This Row],[AI_ENF2]]</f>
        <v>9</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1</v>
      </c>
      <c r="AA19">
        <f>step3_validation[[#This Row],[AI_FAC1]]</f>
        <v>7</v>
      </c>
      <c r="AB19" t="str">
        <f t="shared" si="6"/>
        <v>Neutral</v>
      </c>
      <c r="AC19">
        <f>survey_responses[[#This Row],[Các thủ tục khai báo thuế VÀ/HOẶC quy trình làm việc với cơ quan thuế đơn giản, tiện lợi, nhanh chóng hơn so với trước đây. - HUMAN-FAC1]]</f>
        <v>7</v>
      </c>
      <c r="AD19" t="str">
        <f t="shared" si="7"/>
        <v>Neutral</v>
      </c>
      <c r="AE19" s="32">
        <f t="shared" si="8"/>
        <v>0</v>
      </c>
      <c r="AF19">
        <f>step3_validation[[#This Row],[AI_FAC2]]</f>
        <v>8</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0</v>
      </c>
      <c r="AK19">
        <f>step3_validation[[#This Row],[AI_TRU1]]</f>
        <v>7</v>
      </c>
      <c r="AL19" t="str">
        <f t="shared" si="12"/>
        <v>Neutral</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1</v>
      </c>
      <c r="AP19">
        <f>step3_validation[[#This Row],[AI_TRU2]]</f>
        <v>6</v>
      </c>
      <c r="AQ19" t="str">
        <f t="shared" si="15"/>
        <v>Neutral</v>
      </c>
      <c r="AR19">
        <f>survey_responses[[#This Row],[Tôi thấy mức thuế tôi phải đóng theo phương án mới là công bằng (người thu nhập như tôi đóng mức này là hợp lý). - HUMAN-TRU2]]</f>
        <v>7</v>
      </c>
      <c r="AS19" t="str">
        <f t="shared" si="16"/>
        <v>Neutral</v>
      </c>
      <c r="AT19" s="32">
        <f t="shared" si="17"/>
        <v>1</v>
      </c>
      <c r="AU19">
        <f>step3_validation[[#This Row],[AI_TRU3]]</f>
        <v>7</v>
      </c>
      <c r="AV19" t="str">
        <f t="shared" si="18"/>
        <v>Neutral</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0</v>
      </c>
      <c r="AZ19">
        <f>step3_validation[[#This Row],[AI_TRU4]]</f>
        <v>8</v>
      </c>
      <c r="BA19" t="str">
        <f t="shared" si="21"/>
        <v>Support</v>
      </c>
      <c r="BB19">
        <f>survey_responses[[#This Row],[Tôi thấy Nhà nước đã giải thích rõ ràng, minh bạch về lý do và mục tiêu của việc sửa đổi thuế lần này. - HUMAN-TRU4]]</f>
        <v>6</v>
      </c>
      <c r="BC19" t="str">
        <f t="shared" si="22"/>
        <v>Neutral</v>
      </c>
      <c r="BD19" s="32">
        <f t="shared" si="23"/>
        <v>2</v>
      </c>
      <c r="BE19">
        <f>step3_validation[[#This Row],[AI_OUT1]]</f>
        <v>7</v>
      </c>
      <c r="BF19" t="str">
        <f t="shared" si="24"/>
        <v>Neutral</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12363</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106.0420861707336</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8</v>
      </c>
      <c r="R20" t="str">
        <f t="shared" si="0"/>
        <v>Support</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2</v>
      </c>
      <c r="V20">
        <f>step3_validation[[#This Row],[AI_ENF2]]</f>
        <v>9</v>
      </c>
      <c r="W20" t="str">
        <f t="shared" si="3"/>
        <v>Support</v>
      </c>
      <c r="X20">
        <f>survey_responses[[#This Row],[Tôi tin rằng Nhà nước, cơ quan thuế có đủ khả năng và công nghệ để phát hiện, xử lý nghiêm các hành vi trốn thuế. - HUMAN-ENF2]]</f>
        <v>10</v>
      </c>
      <c r="Y20" t="str">
        <f t="shared" si="4"/>
        <v>Support</v>
      </c>
      <c r="Z20" s="32">
        <f t="shared" si="5"/>
        <v>1</v>
      </c>
      <c r="AA20">
        <f>step3_validation[[#This Row],[AI_FAC1]]</f>
        <v>7</v>
      </c>
      <c r="AB20" t="str">
        <f t="shared" si="6"/>
        <v>Neutral</v>
      </c>
      <c r="AC20">
        <f>survey_responses[[#This Row],[Các thủ tục khai báo thuế VÀ/HOẶC quy trình làm việc với cơ quan thuế đơn giản, tiện lợi, nhanh chóng hơn so với trước đây. - HUMAN-FAC1]]</f>
        <v>5</v>
      </c>
      <c r="AD20" t="str">
        <f t="shared" si="7"/>
        <v>Neutral</v>
      </c>
      <c r="AE20" s="32">
        <f t="shared" si="8"/>
        <v>2</v>
      </c>
      <c r="AF20">
        <f>step3_validation[[#This Row],[AI_FAC2]]</f>
        <v>8</v>
      </c>
      <c r="AG20" t="str">
        <f t="shared" si="9"/>
        <v>Support</v>
      </c>
      <c r="AH20">
        <f>survey_responses[[#This Row],[So với trước đây, tôi thấy cách tính thuế và các bậc thuế trong phương án mới đơn giản, dễ hiểu và dễ thực hiện hơn. - HUMAN-FAC2]]</f>
        <v>5</v>
      </c>
      <c r="AI20" t="str">
        <f t="shared" si="10"/>
        <v>Neutral</v>
      </c>
      <c r="AJ20" s="32">
        <f t="shared" si="11"/>
        <v>3</v>
      </c>
      <c r="AK20">
        <f>step3_validation[[#This Row],[AI_TRU1]]</f>
        <v>6</v>
      </c>
      <c r="AL20" t="str">
        <f t="shared" si="12"/>
        <v>Neutral</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1</v>
      </c>
      <c r="AP20">
        <f>step3_validation[[#This Row],[AI_TRU2]]</f>
        <v>7</v>
      </c>
      <c r="AQ20" t="str">
        <f t="shared" si="15"/>
        <v>Neutral</v>
      </c>
      <c r="AR20">
        <f>survey_responses[[#This Row],[Tôi thấy mức thuế tôi phải đóng theo phương án mới là công bằng (người thu nhập như tôi đóng mức này là hợp lý). - HUMAN-TRU2]]</f>
        <v>3</v>
      </c>
      <c r="AS20" t="str">
        <f t="shared" si="16"/>
        <v>Oppose</v>
      </c>
      <c r="AT20" s="32">
        <f t="shared" si="17"/>
        <v>4</v>
      </c>
      <c r="AU20">
        <f>step3_validation[[#This Row],[AI_TRU3]]</f>
        <v>5</v>
      </c>
      <c r="AV20" t="str">
        <f t="shared" si="18"/>
        <v>Neutral</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3</v>
      </c>
      <c r="AZ20">
        <f>step3_validation[[#This Row],[AI_TRU4]]</f>
        <v>4</v>
      </c>
      <c r="BA20" t="str">
        <f t="shared" si="21"/>
        <v>Oppose</v>
      </c>
      <c r="BB20">
        <f>survey_responses[[#This Row],[Tôi thấy Nhà nước đã giải thích rõ ràng, minh bạch về lý do và mục tiêu của việc sửa đổi thuế lần này. - HUMAN-TRU4]]</f>
        <v>5</v>
      </c>
      <c r="BC20" t="str">
        <f t="shared" si="22"/>
        <v>Neutral</v>
      </c>
      <c r="BD20" s="32">
        <f t="shared" si="23"/>
        <v>1</v>
      </c>
      <c r="BE20">
        <f>step3_validation[[#This Row],[AI_OUT1]]</f>
        <v>7</v>
      </c>
      <c r="BF20" t="str">
        <f t="shared" si="24"/>
        <v>Neutral</v>
      </c>
      <c r="BG20">
        <f>survey_responses[[#This Row],[Sau khi xem xét các quyền lợi và nghĩa vụ, bạn có ủng hộ và tuân thủ chính sách mới hiện nay? - HUMAN-OUT1]]</f>
        <v>8</v>
      </c>
      <c r="BH20" t="str">
        <f t="shared" si="25"/>
        <v>Support</v>
      </c>
      <c r="BI20" s="32">
        <f t="shared" si="26"/>
        <v>1</v>
      </c>
    </row>
    <row r="21" spans="1:61" x14ac:dyDescent="0.45">
      <c r="A21" s="30">
        <f>step3_validation[[#This Row],[Persona_ID]]</f>
        <v>20</v>
      </c>
      <c r="B21" s="31">
        <f>step3_validation[[#This Row],[Used_Seed]]</f>
        <v>12364</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67.573479496414791</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7</v>
      </c>
      <c r="R21" t="str">
        <f t="shared" si="0"/>
        <v>Neutral</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2</v>
      </c>
      <c r="V21">
        <f>step3_validation[[#This Row],[AI_ENF2]]</f>
        <v>6</v>
      </c>
      <c r="W21" t="str">
        <f t="shared" si="3"/>
        <v>Neutral</v>
      </c>
      <c r="X21">
        <f>survey_responses[[#This Row],[Tôi tin rằng Nhà nước, cơ quan thuế có đủ khả năng và công nghệ để phát hiện, xử lý nghiêm các hành vi trốn thuế. - HUMAN-ENF2]]</f>
        <v>9</v>
      </c>
      <c r="Y21" t="str">
        <f t="shared" si="4"/>
        <v>Support</v>
      </c>
      <c r="Z21" s="32">
        <f t="shared" si="5"/>
        <v>3</v>
      </c>
      <c r="AA21">
        <f>step3_validation[[#This Row],[AI_FAC1]]</f>
        <v>8</v>
      </c>
      <c r="AB21" t="str">
        <f t="shared" si="6"/>
        <v>Support</v>
      </c>
      <c r="AC21">
        <f>survey_responses[[#This Row],[Các thủ tục khai báo thuế VÀ/HOẶC quy trình làm việc với cơ quan thuế đơn giản, tiện lợi, nhanh chóng hơn so với trước đây. - HUMAN-FAC1]]</f>
        <v>7</v>
      </c>
      <c r="AD21" t="str">
        <f t="shared" si="7"/>
        <v>Neutral</v>
      </c>
      <c r="AE21" s="32">
        <f t="shared" si="8"/>
        <v>1</v>
      </c>
      <c r="AF21">
        <f>step3_validation[[#This Row],[AI_FAC2]]</f>
        <v>5</v>
      </c>
      <c r="AG21" t="str">
        <f t="shared" si="9"/>
        <v>Neutral</v>
      </c>
      <c r="AH21">
        <f>survey_responses[[#This Row],[So với trước đây, tôi thấy cách tính thuế và các bậc thuế trong phương án mới đơn giản, dễ hiểu và dễ thực hiện hơn. - HUMAN-FAC2]]</f>
        <v>9</v>
      </c>
      <c r="AI21" t="str">
        <f t="shared" si="10"/>
        <v>Support</v>
      </c>
      <c r="AJ21" s="32">
        <f t="shared" si="11"/>
        <v>4</v>
      </c>
      <c r="AK21">
        <f>step3_validation[[#This Row],[AI_TRU1]]</f>
        <v>7</v>
      </c>
      <c r="AL21" t="str">
        <f t="shared" si="12"/>
        <v>Neutral</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0</v>
      </c>
      <c r="AP21">
        <f>step3_validation[[#This Row],[AI_TRU2]]</f>
        <v>6</v>
      </c>
      <c r="AQ21" t="str">
        <f t="shared" si="15"/>
        <v>Neutral</v>
      </c>
      <c r="AR21">
        <f>survey_responses[[#This Row],[Tôi thấy mức thuế tôi phải đóng theo phương án mới là công bằng (người thu nhập như tôi đóng mức này là hợp lý). - HUMAN-TRU2]]</f>
        <v>8</v>
      </c>
      <c r="AS21" t="str">
        <f t="shared" si="16"/>
        <v>Support</v>
      </c>
      <c r="AT21" s="32">
        <f t="shared" si="17"/>
        <v>2</v>
      </c>
      <c r="AU21">
        <f>step3_validation[[#This Row],[AI_TRU3]]</f>
        <v>7</v>
      </c>
      <c r="AV21" t="str">
        <f t="shared" si="18"/>
        <v>Neutral</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2</v>
      </c>
      <c r="AZ21">
        <f>step3_validation[[#This Row],[AI_TRU4]]</f>
        <v>5</v>
      </c>
      <c r="BA21" t="str">
        <f t="shared" si="21"/>
        <v>Neutral</v>
      </c>
      <c r="BB21">
        <f>survey_responses[[#This Row],[Tôi thấy Nhà nước đã giải thích rõ ràng, minh bạch về lý do và mục tiêu của việc sửa đổi thuế lần này. - HUMAN-TRU4]]</f>
        <v>5</v>
      </c>
      <c r="BC21" t="str">
        <f t="shared" si="22"/>
        <v>Neutral</v>
      </c>
      <c r="BD21" s="32">
        <f t="shared" si="23"/>
        <v>0</v>
      </c>
      <c r="BE21">
        <f>step3_validation[[#This Row],[AI_OUT1]]</f>
        <v>6</v>
      </c>
      <c r="BF21" t="str">
        <f t="shared" si="24"/>
        <v>Neutral</v>
      </c>
      <c r="BG21">
        <f>survey_responses[[#This Row],[Sau khi xem xét các quyền lợi và nghĩa vụ, bạn có ủng hộ và tuân thủ chính sách mới hiện nay? - HUMAN-OUT1]]</f>
        <v>6</v>
      </c>
      <c r="BH21" t="str">
        <f t="shared" si="25"/>
        <v>Neutral</v>
      </c>
      <c r="BI21" s="32">
        <f t="shared" si="26"/>
        <v>0</v>
      </c>
    </row>
    <row r="22" spans="1:61" x14ac:dyDescent="0.45">
      <c r="A22" s="30">
        <f>step3_validation[[#This Row],[Persona_ID]]</f>
        <v>21</v>
      </c>
      <c r="B22" s="31">
        <f>step3_validation[[#This Row],[Used_Seed]]</f>
        <v>12365</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116.26419431137634</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3</v>
      </c>
      <c r="V22">
        <f>step3_validation[[#This Row],[AI_ENF2]]</f>
        <v>6</v>
      </c>
      <c r="W22" t="str">
        <f t="shared" si="3"/>
        <v>Neutral</v>
      </c>
      <c r="X22">
        <f>survey_responses[[#This Row],[Tôi tin rằng Nhà nước, cơ quan thuế có đủ khả năng và công nghệ để phát hiện, xử lý nghiêm các hành vi trốn thuế. - HUMAN-ENF2]]</f>
        <v>10</v>
      </c>
      <c r="Y22" t="str">
        <f t="shared" si="4"/>
        <v>Support</v>
      </c>
      <c r="Z22" s="32">
        <f t="shared" si="5"/>
        <v>4</v>
      </c>
      <c r="AA22">
        <f>step3_validation[[#This Row],[AI_FAC1]]</f>
        <v>8</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0</v>
      </c>
      <c r="AF22">
        <f>step3_validation[[#This Row],[AI_FAC2]]</f>
        <v>9</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2</v>
      </c>
      <c r="AK22">
        <f>step3_validation[[#This Row],[AI_TRU1]]</f>
        <v>8</v>
      </c>
      <c r="AL22" t="str">
        <f t="shared" si="12"/>
        <v>Support</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1</v>
      </c>
      <c r="AP22">
        <f>step3_validation[[#This Row],[AI_TRU2]]</f>
        <v>7</v>
      </c>
      <c r="AQ22" t="str">
        <f t="shared" si="15"/>
        <v>Neutral</v>
      </c>
      <c r="AR22">
        <f>survey_responses[[#This Row],[Tôi thấy mức thuế tôi phải đóng theo phương án mới là công bằng (người thu nhập như tôi đóng mức này là hợp lý). - HUMAN-TRU2]]</f>
        <v>7</v>
      </c>
      <c r="AS22" t="str">
        <f t="shared" si="16"/>
        <v>Neutral</v>
      </c>
      <c r="AT22" s="32">
        <f t="shared" si="17"/>
        <v>0</v>
      </c>
      <c r="AU22">
        <f>step3_validation[[#This Row],[AI_TRU3]]</f>
        <v>6</v>
      </c>
      <c r="AV22" t="str">
        <f t="shared" si="18"/>
        <v>Neutral</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4</v>
      </c>
      <c r="AZ22">
        <f>step3_validation[[#This Row],[AI_TRU4]]</f>
        <v>7</v>
      </c>
      <c r="BA22" t="str">
        <f t="shared" si="21"/>
        <v>Neutral</v>
      </c>
      <c r="BB22">
        <f>survey_responses[[#This Row],[Tôi thấy Nhà nước đã giải thích rõ ràng, minh bạch về lý do và mục tiêu của việc sửa đổi thuế lần này. - HUMAN-TRU4]]</f>
        <v>3</v>
      </c>
      <c r="BC22" t="str">
        <f t="shared" si="22"/>
        <v>Oppose</v>
      </c>
      <c r="BD22" s="32">
        <f t="shared" si="23"/>
        <v>4</v>
      </c>
      <c r="BE22">
        <f>step3_validation[[#This Row],[AI_OUT1]]</f>
        <v>8</v>
      </c>
      <c r="BF22" t="str">
        <f t="shared" si="24"/>
        <v>Support</v>
      </c>
      <c r="BG22">
        <f>survey_responses[[#This Row],[Sau khi xem xét các quyền lợi và nghĩa vụ, bạn có ủng hộ và tuân thủ chính sách mới hiện nay? - HUMAN-OUT1]]</f>
        <v>3</v>
      </c>
      <c r="BH22" t="str">
        <f t="shared" si="25"/>
        <v>Oppose</v>
      </c>
      <c r="BI22" s="32">
        <f t="shared" si="26"/>
        <v>5</v>
      </c>
    </row>
    <row r="23" spans="1:61" x14ac:dyDescent="0.45">
      <c r="A23" s="30">
        <f>step3_validation[[#This Row],[Persona_ID]]</f>
        <v>22</v>
      </c>
      <c r="B23" s="31">
        <f>step3_validation[[#This Row],[Used_Seed]]</f>
        <v>12366</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15.160051629906439</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8</v>
      </c>
      <c r="R23" t="str">
        <f t="shared" si="0"/>
        <v>Support</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0</v>
      </c>
      <c r="V23">
        <f>step3_validation[[#This Row],[AI_ENF2]]</f>
        <v>7</v>
      </c>
      <c r="W23" t="str">
        <f t="shared" si="3"/>
        <v>Neutral</v>
      </c>
      <c r="X23">
        <f>survey_responses[[#This Row],[Tôi tin rằng Nhà nước, cơ quan thuế có đủ khả năng và công nghệ để phát hiện, xử lý nghiêm các hành vi trốn thuế. - HUMAN-ENF2]]</f>
        <v>8</v>
      </c>
      <c r="Y23" t="str">
        <f t="shared" si="4"/>
        <v>Support</v>
      </c>
      <c r="Z23" s="32">
        <f t="shared" si="5"/>
        <v>1</v>
      </c>
      <c r="AA23">
        <f>step3_validation[[#This Row],[AI_FAC1]]</f>
        <v>8</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2">
        <f t="shared" si="8"/>
        <v>3</v>
      </c>
      <c r="AF23">
        <f>step3_validation[[#This Row],[AI_FAC2]]</f>
        <v>7</v>
      </c>
      <c r="AG23" t="str">
        <f t="shared" si="9"/>
        <v>Neutral</v>
      </c>
      <c r="AH23">
        <f>survey_responses[[#This Row],[So với trước đây, tôi thấy cách tính thuế và các bậc thuế trong phương án mới đơn giản, dễ hiểu và dễ thực hiện hơn. - HUMAN-FAC2]]</f>
        <v>8</v>
      </c>
      <c r="AI23" t="str">
        <f t="shared" si="10"/>
        <v>Support</v>
      </c>
      <c r="AJ23" s="32">
        <f t="shared" si="11"/>
        <v>1</v>
      </c>
      <c r="AK23">
        <f>step3_validation[[#This Row],[AI_TRU1]]</f>
        <v>7</v>
      </c>
      <c r="AL23" t="str">
        <f t="shared" si="12"/>
        <v>Neutral</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1</v>
      </c>
      <c r="AP23">
        <f>step3_validation[[#This Row],[AI_TRU2]]</f>
        <v>6</v>
      </c>
      <c r="AQ23" t="str">
        <f t="shared" si="15"/>
        <v>Neutral</v>
      </c>
      <c r="AR23">
        <f>survey_responses[[#This Row],[Tôi thấy mức thuế tôi phải đóng theo phương án mới là công bằng (người thu nhập như tôi đóng mức này là hợp lý). - HUMAN-TRU2]]</f>
        <v>8</v>
      </c>
      <c r="AS23" t="str">
        <f t="shared" si="16"/>
        <v>Support</v>
      </c>
      <c r="AT23" s="32">
        <f t="shared" si="17"/>
        <v>2</v>
      </c>
      <c r="AU23">
        <f>step3_validation[[#This Row],[AI_TRU3]]</f>
        <v>6</v>
      </c>
      <c r="AV23" t="str">
        <f t="shared" si="18"/>
        <v>Neutral</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2</v>
      </c>
      <c r="AZ23">
        <f>step3_validation[[#This Row],[AI_TRU4]]</f>
        <v>7</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2">
        <f t="shared" si="23"/>
        <v>1</v>
      </c>
      <c r="BE23">
        <f>step3_validation[[#This Row],[AI_OUT1]]</f>
        <v>6</v>
      </c>
      <c r="BF23" t="str">
        <f t="shared" si="24"/>
        <v>Neutral</v>
      </c>
      <c r="BG23">
        <f>survey_responses[[#This Row],[Sau khi xem xét các quyền lợi và nghĩa vụ, bạn có ủng hộ và tuân thủ chính sách mới hiện nay? - HUMAN-OUT1]]</f>
        <v>8</v>
      </c>
      <c r="BH23" t="str">
        <f t="shared" si="25"/>
        <v>Support</v>
      </c>
      <c r="BI23" s="32">
        <f t="shared" si="26"/>
        <v>2</v>
      </c>
    </row>
    <row r="24" spans="1:61" x14ac:dyDescent="0.45">
      <c r="A24" s="30">
        <f>step3_validation[[#This Row],[Persona_ID]]</f>
        <v>23</v>
      </c>
      <c r="B24" s="31">
        <f>step3_validation[[#This Row],[Used_Seed]]</f>
        <v>12367</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79.228395760830907</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7</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2</v>
      </c>
      <c r="V24">
        <f>step3_validation[[#This Row],[AI_ENF2]]</f>
        <v>6</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1</v>
      </c>
      <c r="AA24">
        <f>step3_validation[[#This Row],[AI_FAC1]]</f>
        <v>8</v>
      </c>
      <c r="AB24" t="str">
        <f t="shared" si="6"/>
        <v>Support</v>
      </c>
      <c r="AC24">
        <f>survey_responses[[#This Row],[Các thủ tục khai báo thuế VÀ/HOẶC quy trình làm việc với cơ quan thuế đơn giản, tiện lợi, nhanh chóng hơn so với trước đây. - HUMAN-FAC1]]</f>
        <v>5</v>
      </c>
      <c r="AD24" t="str">
        <f t="shared" si="7"/>
        <v>Neutral</v>
      </c>
      <c r="AE24" s="32">
        <f t="shared" si="8"/>
        <v>3</v>
      </c>
      <c r="AF24">
        <f>step3_validation[[#This Row],[AI_FAC2]]</f>
        <v>7</v>
      </c>
      <c r="AG24" t="str">
        <f t="shared" si="9"/>
        <v>Neutral</v>
      </c>
      <c r="AH24">
        <f>survey_responses[[#This Row],[So với trước đây, tôi thấy cách tính thuế và các bậc thuế trong phương án mới đơn giản, dễ hiểu và dễ thực hiện hơn. - HUMAN-FAC2]]</f>
        <v>5</v>
      </c>
      <c r="AI24" t="str">
        <f t="shared" si="10"/>
        <v>Neutral</v>
      </c>
      <c r="AJ24" s="32">
        <f t="shared" si="11"/>
        <v>2</v>
      </c>
      <c r="AK24">
        <f>step3_validation[[#This Row],[AI_TRU1]]</f>
        <v>8</v>
      </c>
      <c r="AL24" t="str">
        <f t="shared" si="12"/>
        <v>Support</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3</v>
      </c>
      <c r="AP24">
        <f>step3_validation[[#This Row],[AI_TRU2]]</f>
        <v>6</v>
      </c>
      <c r="AQ24" t="str">
        <f t="shared" si="15"/>
        <v>Neutral</v>
      </c>
      <c r="AR24">
        <f>survey_responses[[#This Row],[Tôi thấy mức thuế tôi phải đóng theo phương án mới là công bằng (người thu nhập như tôi đóng mức này là hợp lý). - HUMAN-TRU2]]</f>
        <v>5</v>
      </c>
      <c r="AS24" t="str">
        <f t="shared" si="16"/>
        <v>Neutral</v>
      </c>
      <c r="AT24" s="32">
        <f t="shared" si="17"/>
        <v>1</v>
      </c>
      <c r="AU24">
        <f>step3_validation[[#This Row],[AI_TRU3]]</f>
        <v>7</v>
      </c>
      <c r="AV24" t="str">
        <f t="shared" si="18"/>
        <v>Neutral</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2</v>
      </c>
      <c r="AZ24">
        <f>step3_validation[[#This Row],[AI_TRU4]]</f>
        <v>5</v>
      </c>
      <c r="BA24" t="str">
        <f t="shared" si="21"/>
        <v>Neutral</v>
      </c>
      <c r="BB24">
        <f>survey_responses[[#This Row],[Tôi thấy Nhà nước đã giải thích rõ ràng, minh bạch về lý do và mục tiêu của việc sửa đổi thuế lần này. - HUMAN-TRU4]]</f>
        <v>5</v>
      </c>
      <c r="BC24" t="str">
        <f t="shared" si="22"/>
        <v>Neutral</v>
      </c>
      <c r="BD24" s="32">
        <f t="shared" si="23"/>
        <v>0</v>
      </c>
      <c r="BE24">
        <f>step3_validation[[#This Row],[AI_OUT1]]</f>
        <v>6</v>
      </c>
      <c r="BF24" t="str">
        <f t="shared" si="24"/>
        <v>Neutral</v>
      </c>
      <c r="BG24">
        <f>survey_responses[[#This Row],[Sau khi xem xét các quyền lợi và nghĩa vụ, bạn có ủng hộ và tuân thủ chính sách mới hiện nay? - HUMAN-OUT1]]</f>
        <v>5</v>
      </c>
      <c r="BH24" t="str">
        <f t="shared" si="25"/>
        <v>Neutral</v>
      </c>
      <c r="BI24" s="32">
        <f t="shared" si="26"/>
        <v>1</v>
      </c>
    </row>
    <row r="25" spans="1:61" x14ac:dyDescent="0.45">
      <c r="A25" s="30">
        <f>step3_validation[[#This Row],[Persona_ID]]</f>
        <v>24</v>
      </c>
      <c r="B25" s="31">
        <f>step3_validation[[#This Row],[Used_Seed]]</f>
        <v>12368</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27.667757486993665</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5</v>
      </c>
      <c r="R25" t="str">
        <f t="shared" si="0"/>
        <v>Neutral</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4</v>
      </c>
      <c r="V25">
        <f>step3_validation[[#This Row],[AI_ENF2]]</f>
        <v>6</v>
      </c>
      <c r="W25" t="str">
        <f t="shared" si="3"/>
        <v>Neutral</v>
      </c>
      <c r="X25">
        <f>survey_responses[[#This Row],[Tôi tin rằng Nhà nước, cơ quan thuế có đủ khả năng và công nghệ để phát hiện, xử lý nghiêm các hành vi trốn thuế. - HUMAN-ENF2]]</f>
        <v>8</v>
      </c>
      <c r="Y25" t="str">
        <f t="shared" si="4"/>
        <v>Support</v>
      </c>
      <c r="Z25" s="32">
        <f t="shared" si="5"/>
        <v>2</v>
      </c>
      <c r="AA25">
        <f>step3_validation[[#This Row],[AI_FAC1]]</f>
        <v>8</v>
      </c>
      <c r="AB25" t="str">
        <f t="shared" si="6"/>
        <v>Support</v>
      </c>
      <c r="AC25">
        <f>survey_responses[[#This Row],[Các thủ tục khai báo thuế VÀ/HOẶC quy trình làm việc với cơ quan thuế đơn giản, tiện lợi, nhanh chóng hơn so với trước đây. - HUMAN-FAC1]]</f>
        <v>6</v>
      </c>
      <c r="AD25" t="str">
        <f t="shared" si="7"/>
        <v>Neutral</v>
      </c>
      <c r="AE25" s="32">
        <f t="shared" si="8"/>
        <v>2</v>
      </c>
      <c r="AF25">
        <f>step3_validation[[#This Row],[AI_FAC2]]</f>
        <v>7</v>
      </c>
      <c r="AG25" t="str">
        <f t="shared" si="9"/>
        <v>Neutral</v>
      </c>
      <c r="AH25">
        <f>survey_responses[[#This Row],[So với trước đây, tôi thấy cách tính thuế và các bậc thuế trong phương án mới đơn giản, dễ hiểu và dễ thực hiện hơn. - HUMAN-FAC2]]</f>
        <v>9</v>
      </c>
      <c r="AI25" t="str">
        <f t="shared" si="10"/>
        <v>Support</v>
      </c>
      <c r="AJ25" s="32">
        <f t="shared" si="11"/>
        <v>2</v>
      </c>
      <c r="AK25">
        <f>step3_validation[[#This Row],[AI_TRU1]]</f>
        <v>6</v>
      </c>
      <c r="AL25" t="str">
        <f t="shared" si="12"/>
        <v>Neutral</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2</v>
      </c>
      <c r="AP25">
        <f>step3_validation[[#This Row],[AI_TRU2]]</f>
        <v>7</v>
      </c>
      <c r="AQ25" t="str">
        <f t="shared" si="15"/>
        <v>Neutral</v>
      </c>
      <c r="AR25">
        <f>survey_responses[[#This Row],[Tôi thấy mức thuế tôi phải đóng theo phương án mới là công bằng (người thu nhập như tôi đóng mức này là hợp lý). - HUMAN-TRU2]]</f>
        <v>10</v>
      </c>
      <c r="AS25" t="str">
        <f t="shared" si="16"/>
        <v>Support</v>
      </c>
      <c r="AT25" s="32">
        <f t="shared" si="17"/>
        <v>3</v>
      </c>
      <c r="AU25">
        <f>step3_validation[[#This Row],[AI_TRU3]]</f>
        <v>6</v>
      </c>
      <c r="AV25" t="str">
        <f t="shared" si="18"/>
        <v>Neutral</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0</v>
      </c>
      <c r="AZ25">
        <f>step3_validation[[#This Row],[AI_TRU4]]</f>
        <v>5</v>
      </c>
      <c r="BA25" t="str">
        <f t="shared" si="21"/>
        <v>Neutral</v>
      </c>
      <c r="BB25">
        <f>survey_responses[[#This Row],[Tôi thấy Nhà nước đã giải thích rõ ràng, minh bạch về lý do và mục tiêu của việc sửa đổi thuế lần này. - HUMAN-TRU4]]</f>
        <v>6</v>
      </c>
      <c r="BC25" t="str">
        <f t="shared" si="22"/>
        <v>Neutral</v>
      </c>
      <c r="BD25" s="32">
        <f t="shared" si="23"/>
        <v>1</v>
      </c>
      <c r="BE25">
        <f>step3_validation[[#This Row],[AI_OUT1]]</f>
        <v>6</v>
      </c>
      <c r="BF25" t="str">
        <f t="shared" si="24"/>
        <v>Neutral</v>
      </c>
      <c r="BG25">
        <f>survey_responses[[#This Row],[Sau khi xem xét các quyền lợi và nghĩa vụ, bạn có ủng hộ và tuân thủ chính sách mới hiện nay? - HUMAN-OUT1]]</f>
        <v>8</v>
      </c>
      <c r="BH25" t="str">
        <f t="shared" si="25"/>
        <v>Support</v>
      </c>
      <c r="BI25" s="32">
        <f t="shared" si="26"/>
        <v>2</v>
      </c>
    </row>
    <row r="26" spans="1:61" x14ac:dyDescent="0.45">
      <c r="A26" s="30">
        <f>step3_validation[[#This Row],[Persona_ID]]</f>
        <v>25</v>
      </c>
      <c r="B26" s="31">
        <f>step3_validation[[#This Row],[Used_Seed]]</f>
        <v>12369</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40.060721030723165</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5</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7</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2">
        <f t="shared" si="5"/>
        <v>0</v>
      </c>
      <c r="AA26">
        <f>step3_validation[[#This Row],[AI_FAC1]]</f>
        <v>8</v>
      </c>
      <c r="AB26" t="str">
        <f t="shared" si="6"/>
        <v>Support</v>
      </c>
      <c r="AC26">
        <f>survey_responses[[#This Row],[Các thủ tục khai báo thuế VÀ/HOẶC quy trình làm việc với cơ quan thuế đơn giản, tiện lợi, nhanh chóng hơn so với trước đây. - HUMAN-FAC1]]</f>
        <v>5</v>
      </c>
      <c r="AD26" t="str">
        <f t="shared" si="7"/>
        <v>Neutral</v>
      </c>
      <c r="AE26" s="32">
        <f t="shared" si="8"/>
        <v>3</v>
      </c>
      <c r="AF26">
        <f>step3_validation[[#This Row],[AI_FAC2]]</f>
        <v>9</v>
      </c>
      <c r="AG26" t="str">
        <f t="shared" si="9"/>
        <v>Support</v>
      </c>
      <c r="AH26">
        <f>survey_responses[[#This Row],[So với trước đây, tôi thấy cách tính thuế và các bậc thuế trong phương án mới đơn giản, dễ hiểu và dễ thực hiện hơn. - HUMAN-FAC2]]</f>
        <v>6</v>
      </c>
      <c r="AI26" t="str">
        <f t="shared" si="10"/>
        <v>Neutral</v>
      </c>
      <c r="AJ26" s="32">
        <f t="shared" si="11"/>
        <v>3</v>
      </c>
      <c r="AK26">
        <f>step3_validation[[#This Row],[AI_TRU1]]</f>
        <v>8</v>
      </c>
      <c r="AL26" t="str">
        <f t="shared" si="12"/>
        <v>Support</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1</v>
      </c>
      <c r="AP26">
        <f>step3_validation[[#This Row],[AI_TRU2]]</f>
        <v>7</v>
      </c>
      <c r="AQ26" t="str">
        <f t="shared" si="15"/>
        <v>Neutral</v>
      </c>
      <c r="AR26">
        <f>survey_responses[[#This Row],[Tôi thấy mức thuế tôi phải đóng theo phương án mới là công bằng (người thu nhập như tôi đóng mức này là hợp lý). - HUMAN-TRU2]]</f>
        <v>7</v>
      </c>
      <c r="AS26" t="str">
        <f t="shared" si="16"/>
        <v>Neutral</v>
      </c>
      <c r="AT26" s="32">
        <f t="shared" si="17"/>
        <v>0</v>
      </c>
      <c r="AU26">
        <f>step3_validation[[#This Row],[AI_TRU3]]</f>
        <v>6</v>
      </c>
      <c r="AV26" t="str">
        <f t="shared" si="18"/>
        <v>Neutral</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3</v>
      </c>
      <c r="AZ26">
        <f>step3_validation[[#This Row],[AI_TRU4]]</f>
        <v>7</v>
      </c>
      <c r="BA26" t="str">
        <f t="shared" si="21"/>
        <v>Neutral</v>
      </c>
      <c r="BB26">
        <f>survey_responses[[#This Row],[Tôi thấy Nhà nước đã giải thích rõ ràng, minh bạch về lý do và mục tiêu của việc sửa đổi thuế lần này. - HUMAN-TRU4]]</f>
        <v>3</v>
      </c>
      <c r="BC26" t="str">
        <f t="shared" si="22"/>
        <v>Oppose</v>
      </c>
      <c r="BD26" s="32">
        <f t="shared" si="23"/>
        <v>4</v>
      </c>
      <c r="BE26">
        <f>step3_validation[[#This Row],[AI_OUT1]]</f>
        <v>8</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3</v>
      </c>
    </row>
    <row r="27" spans="1:61" x14ac:dyDescent="0.45">
      <c r="A27" s="30">
        <f>step3_validation[[#This Row],[Persona_ID]]</f>
        <v>26</v>
      </c>
      <c r="B27" s="31">
        <f>step3_validation[[#This Row],[Used_Seed]]</f>
        <v>12370</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8</v>
      </c>
      <c r="R27" t="str">
        <f t="shared" si="0"/>
        <v>Support</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2</v>
      </c>
      <c r="V27">
        <f>step3_validation[[#This Row],[AI_ENF2]]</f>
        <v>7</v>
      </c>
      <c r="W27" t="str">
        <f t="shared" si="3"/>
        <v>Neutral</v>
      </c>
      <c r="X27">
        <f>survey_responses[[#This Row],[Tôi tin rằng Nhà nước, cơ quan thuế có đủ khả năng và công nghệ để phát hiện, xử lý nghiêm các hành vi trốn thuế. - HUMAN-ENF2]]</f>
        <v>10</v>
      </c>
      <c r="Y27" t="str">
        <f t="shared" si="4"/>
        <v>Support</v>
      </c>
      <c r="Z27" s="32">
        <f t="shared" si="5"/>
        <v>3</v>
      </c>
      <c r="AA27">
        <f>step3_validation[[#This Row],[AI_FAC1]]</f>
        <v>9</v>
      </c>
      <c r="AB27" t="str">
        <f t="shared" si="6"/>
        <v>Support</v>
      </c>
      <c r="AC27">
        <f>survey_responses[[#This Row],[Các thủ tục khai báo thuế VÀ/HOẶC quy trình làm việc với cơ quan thuế đơn giản, tiện lợi, nhanh chóng hơn so với trước đây. - HUMAN-FAC1]]</f>
        <v>10</v>
      </c>
      <c r="AD27" t="str">
        <f t="shared" si="7"/>
        <v>Support</v>
      </c>
      <c r="AE27" s="32">
        <f t="shared" si="8"/>
        <v>1</v>
      </c>
      <c r="AF27">
        <f>step3_validation[[#This Row],[AI_FAC2]]</f>
        <v>8</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2">
        <f t="shared" si="11"/>
        <v>2</v>
      </c>
      <c r="AK27">
        <f>step3_validation[[#This Row],[AI_TRU1]]</f>
        <v>7</v>
      </c>
      <c r="AL27" t="str">
        <f t="shared" si="12"/>
        <v>Neutral</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1</v>
      </c>
      <c r="AP27">
        <f>step3_validation[[#This Row],[AI_TRU2]]</f>
        <v>6</v>
      </c>
      <c r="AQ27" t="str">
        <f t="shared" si="15"/>
        <v>Neutral</v>
      </c>
      <c r="AR27">
        <f>survey_responses[[#This Row],[Tôi thấy mức thuế tôi phải đóng theo phương án mới là công bằng (người thu nhập như tôi đóng mức này là hợp lý). - HUMAN-TRU2]]</f>
        <v>10</v>
      </c>
      <c r="AS27" t="str">
        <f t="shared" si="16"/>
        <v>Support</v>
      </c>
      <c r="AT27" s="32">
        <f t="shared" si="17"/>
        <v>4</v>
      </c>
      <c r="AU27">
        <f>step3_validation[[#This Row],[AI_TRU3]]</f>
        <v>7</v>
      </c>
      <c r="AV27" t="str">
        <f t="shared" si="18"/>
        <v>Neutral</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6</v>
      </c>
      <c r="AZ27">
        <f>step3_validation[[#This Row],[AI_TRU4]]</f>
        <v>5</v>
      </c>
      <c r="BA27" t="str">
        <f t="shared" si="21"/>
        <v>Neutral</v>
      </c>
      <c r="BB27">
        <f>survey_responses[[#This Row],[Tôi thấy Nhà nước đã giải thích rõ ràng, minh bạch về lý do và mục tiêu của việc sửa đổi thuế lần này. - HUMAN-TRU4]]</f>
        <v>4</v>
      </c>
      <c r="BC27" t="str">
        <f t="shared" si="22"/>
        <v>Oppose</v>
      </c>
      <c r="BD27" s="32">
        <f t="shared" si="23"/>
        <v>1</v>
      </c>
      <c r="BE27">
        <f>step3_validation[[#This Row],[AI_OUT1]]</f>
        <v>6</v>
      </c>
      <c r="BF27" t="str">
        <f t="shared" si="24"/>
        <v>Neutral</v>
      </c>
      <c r="BG27">
        <f>survey_responses[[#This Row],[Sau khi xem xét các quyền lợi và nghĩa vụ, bạn có ủng hộ và tuân thủ chính sách mới hiện nay? - HUMAN-OUT1]]</f>
        <v>10</v>
      </c>
      <c r="BH27" t="str">
        <f t="shared" si="25"/>
        <v>Support</v>
      </c>
      <c r="BI27" s="32">
        <f t="shared" si="26"/>
        <v>4</v>
      </c>
    </row>
    <row r="28" spans="1:61" x14ac:dyDescent="0.45">
      <c r="A28" s="30">
        <f>step3_validation[[#This Row],[Persona_ID]]</f>
        <v>27</v>
      </c>
      <c r="B28" s="31">
        <f>step3_validation[[#This Row],[Used_Seed]]</f>
        <v>12371</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t="str">
        <f t="shared" si="0"/>
        <v>Neutral</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6</v>
      </c>
      <c r="V28">
        <f>step3_validation[[#This Row],[AI_ENF2]]</f>
        <v>8</v>
      </c>
      <c r="W28" t="str">
        <f t="shared" si="3"/>
        <v>Support</v>
      </c>
      <c r="X28">
        <f>survey_responses[[#This Row],[Tôi tin rằng Nhà nước, cơ quan thuế có đủ khả năng và công nghệ để phát hiện, xử lý nghiêm các hành vi trốn thuế. - HUMAN-ENF2]]</f>
        <v>1</v>
      </c>
      <c r="Y28" t="str">
        <f t="shared" si="4"/>
        <v>Oppose</v>
      </c>
      <c r="Z28" s="32">
        <f t="shared" si="5"/>
        <v>7</v>
      </c>
      <c r="AA28">
        <f>step3_validation[[#This Row],[AI_FAC1]]</f>
        <v>6</v>
      </c>
      <c r="AB28" t="str">
        <f t="shared" si="6"/>
        <v>Neutral</v>
      </c>
      <c r="AC28">
        <f>survey_responses[[#This Row],[Các thủ tục khai báo thuế VÀ/HOẶC quy trình làm việc với cơ quan thuế đơn giản, tiện lợi, nhanh chóng hơn so với trước đây. - HUMAN-FAC1]]</f>
        <v>1</v>
      </c>
      <c r="AD28" t="str">
        <f t="shared" si="7"/>
        <v>Oppose</v>
      </c>
      <c r="AE28" s="32">
        <f t="shared" si="8"/>
        <v>5</v>
      </c>
      <c r="AF28">
        <f>step3_validation[[#This Row],[AI_FAC2]]</f>
        <v>9</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8</v>
      </c>
      <c r="AK28">
        <f>step3_validation[[#This Row],[AI_TRU1]]</f>
        <v>7</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6</v>
      </c>
      <c r="AP28">
        <f>step3_validation[[#This Row],[AI_TRU2]]</f>
        <v>8</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2">
        <f t="shared" si="17"/>
        <v>7</v>
      </c>
      <c r="AU28">
        <f>step3_validation[[#This Row],[AI_TRU3]]</f>
        <v>7</v>
      </c>
      <c r="AV28" t="str">
        <f t="shared" si="18"/>
        <v>Neutral</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6</v>
      </c>
      <c r="AZ28">
        <f>step3_validation[[#This Row],[AI_TRU4]]</f>
        <v>6</v>
      </c>
      <c r="BA28" t="str">
        <f t="shared" si="21"/>
        <v>Neutral</v>
      </c>
      <c r="BB28">
        <f>survey_responses[[#This Row],[Tôi thấy Nhà nước đã giải thích rõ ràng, minh bạch về lý do và mục tiêu của việc sửa đổi thuế lần này. - HUMAN-TRU4]]</f>
        <v>1</v>
      </c>
      <c r="BC28" t="str">
        <f t="shared" si="22"/>
        <v>Oppose</v>
      </c>
      <c r="BD28" s="32">
        <f t="shared" si="23"/>
        <v>5</v>
      </c>
      <c r="BE28">
        <f>step3_validation[[#This Row],[AI_OUT1]]</f>
        <v>7</v>
      </c>
      <c r="BF28" t="str">
        <f t="shared" si="24"/>
        <v>Neutral</v>
      </c>
      <c r="BG28">
        <f>survey_responses[[#This Row],[Sau khi xem xét các quyền lợi và nghĩa vụ, bạn có ủng hộ và tuân thủ chính sách mới hiện nay? - HUMAN-OUT1]]</f>
        <v>1</v>
      </c>
      <c r="BH28" t="str">
        <f t="shared" si="25"/>
        <v>Oppose</v>
      </c>
      <c r="BI28" s="32">
        <f t="shared" si="26"/>
        <v>6</v>
      </c>
    </row>
    <row r="29" spans="1:61" x14ac:dyDescent="0.45">
      <c r="A29" s="30">
        <f>step3_validation[[#This Row],[Persona_ID]]</f>
        <v>28</v>
      </c>
      <c r="B29" s="31">
        <f>step3_validation[[#This Row],[Used_Seed]]</f>
        <v>12372</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13.092916963171589</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8</v>
      </c>
      <c r="R29" t="str">
        <f t="shared" si="0"/>
        <v>Support</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7</v>
      </c>
      <c r="V29">
        <f>step3_validation[[#This Row],[AI_ENF2]]</f>
        <v>7</v>
      </c>
      <c r="W29" t="str">
        <f t="shared" si="3"/>
        <v>Neutral</v>
      </c>
      <c r="X29">
        <f>survey_responses[[#This Row],[Tôi tin rằng Nhà nước, cơ quan thuế có đủ khả năng và công nghệ để phát hiện, xử lý nghiêm các hành vi trốn thuế. - HUMAN-ENF2]]</f>
        <v>1</v>
      </c>
      <c r="Y29" t="str">
        <f t="shared" si="4"/>
        <v>Oppose</v>
      </c>
      <c r="Z29" s="32">
        <f t="shared" si="5"/>
        <v>6</v>
      </c>
      <c r="AA29">
        <f>step3_validation[[#This Row],[AI_FAC1]]</f>
        <v>9</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8</v>
      </c>
      <c r="AF29">
        <f>step3_validation[[#This Row],[AI_FAC2]]</f>
        <v>8</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7</v>
      </c>
      <c r="AK29">
        <f>step3_validation[[#This Row],[AI_TRU1]]</f>
        <v>7</v>
      </c>
      <c r="AL29" t="str">
        <f t="shared" si="12"/>
        <v>Neutral</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6</v>
      </c>
      <c r="AP29">
        <f>step3_validation[[#This Row],[AI_TRU2]]</f>
        <v>8</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7</v>
      </c>
      <c r="AU29">
        <f>step3_validation[[#This Row],[AI_TRU3]]</f>
        <v>7</v>
      </c>
      <c r="AV29" t="str">
        <f t="shared" si="18"/>
        <v>Neutral</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6</v>
      </c>
      <c r="AZ29">
        <f>step3_validation[[#This Row],[AI_TRU4]]</f>
        <v>6</v>
      </c>
      <c r="BA29" t="str">
        <f t="shared" si="21"/>
        <v>Neutral</v>
      </c>
      <c r="BB29">
        <f>survey_responses[[#This Row],[Tôi thấy Nhà nước đã giải thích rõ ràng, minh bạch về lý do và mục tiêu của việc sửa đổi thuế lần này. - HUMAN-TRU4]]</f>
        <v>1</v>
      </c>
      <c r="BC29" t="str">
        <f t="shared" si="22"/>
        <v>Oppose</v>
      </c>
      <c r="BD29" s="32">
        <f t="shared" si="23"/>
        <v>5</v>
      </c>
      <c r="BE29">
        <f>step3_validation[[#This Row],[AI_OUT1]]</f>
        <v>8</v>
      </c>
      <c r="BF29" t="str">
        <f t="shared" si="24"/>
        <v>Support</v>
      </c>
      <c r="BG29">
        <f>survey_responses[[#This Row],[Sau khi xem xét các quyền lợi và nghĩa vụ, bạn có ủng hộ và tuân thủ chính sách mới hiện nay? - HUMAN-OUT1]]</f>
        <v>1</v>
      </c>
      <c r="BH29" t="str">
        <f t="shared" si="25"/>
        <v>Oppose</v>
      </c>
      <c r="BI29" s="32">
        <f t="shared" si="26"/>
        <v>7</v>
      </c>
    </row>
    <row r="30" spans="1:61" x14ac:dyDescent="0.45">
      <c r="A30" s="30">
        <f>step3_validation[[#This Row],[Persona_ID]]</f>
        <v>29</v>
      </c>
      <c r="B30" s="31">
        <f>step3_validation[[#This Row],[Used_Seed]]</f>
        <v>12373</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14.715388617498849</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7</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3</v>
      </c>
      <c r="V30">
        <f>step3_validation[[#This Row],[AI_ENF2]]</f>
        <v>8</v>
      </c>
      <c r="W30" t="str">
        <f t="shared" si="3"/>
        <v>Support</v>
      </c>
      <c r="X30">
        <f>survey_responses[[#This Row],[Tôi tin rằng Nhà nước, cơ quan thuế có đủ khả năng và công nghệ để phát hiện, xử lý nghiêm các hành vi trốn thuế. - HUMAN-ENF2]]</f>
        <v>10</v>
      </c>
      <c r="Y30" t="str">
        <f t="shared" si="4"/>
        <v>Support</v>
      </c>
      <c r="Z30" s="32">
        <f t="shared" si="5"/>
        <v>2</v>
      </c>
      <c r="AA30">
        <f>step3_validation[[#This Row],[AI_FAC1]]</f>
        <v>6</v>
      </c>
      <c r="AB30" t="str">
        <f t="shared" si="6"/>
        <v>Neutral</v>
      </c>
      <c r="AC30">
        <f>survey_responses[[#This Row],[Các thủ tục khai báo thuế VÀ/HOẶC quy trình làm việc với cơ quan thuế đơn giản, tiện lợi, nhanh chóng hơn so với trước đây. - HUMAN-FAC1]]</f>
        <v>9</v>
      </c>
      <c r="AD30" t="str">
        <f t="shared" si="7"/>
        <v>Support</v>
      </c>
      <c r="AE30" s="32">
        <f t="shared" si="8"/>
        <v>3</v>
      </c>
      <c r="AF30">
        <f>step3_validation[[#This Row],[AI_FAC2]]</f>
        <v>7</v>
      </c>
      <c r="AG30" t="str">
        <f t="shared" si="9"/>
        <v>Neutral</v>
      </c>
      <c r="AH30">
        <f>survey_responses[[#This Row],[So với trước đây, tôi thấy cách tính thuế và các bậc thuế trong phương án mới đơn giản, dễ hiểu và dễ thực hiện hơn. - HUMAN-FAC2]]</f>
        <v>10</v>
      </c>
      <c r="AI30" t="str">
        <f t="shared" si="10"/>
        <v>Support</v>
      </c>
      <c r="AJ30" s="32">
        <f t="shared" si="11"/>
        <v>3</v>
      </c>
      <c r="AK30">
        <f>step3_validation[[#This Row],[AI_TRU1]]</f>
        <v>6</v>
      </c>
      <c r="AL30" t="str">
        <f t="shared" si="12"/>
        <v>Neutral</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4</v>
      </c>
      <c r="AP30">
        <f>step3_validation[[#This Row],[AI_TRU2]]</f>
        <v>8</v>
      </c>
      <c r="AQ30" t="str">
        <f t="shared" si="15"/>
        <v>Support</v>
      </c>
      <c r="AR30">
        <f>survey_responses[[#This Row],[Tôi thấy mức thuế tôi phải đóng theo phương án mới là công bằng (người thu nhập như tôi đóng mức này là hợp lý). - HUMAN-TRU2]]</f>
        <v>9</v>
      </c>
      <c r="AS30" t="str">
        <f t="shared" si="16"/>
        <v>Support</v>
      </c>
      <c r="AT30" s="32">
        <f t="shared" si="17"/>
        <v>1</v>
      </c>
      <c r="AU30">
        <f>step3_validation[[#This Row],[AI_TRU3]]</f>
        <v>6</v>
      </c>
      <c r="AV30" t="str">
        <f t="shared" si="18"/>
        <v>Neutral</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4</v>
      </c>
      <c r="AZ30">
        <f>step3_validation[[#This Row],[AI_TRU4]]</f>
        <v>7</v>
      </c>
      <c r="BA30" t="str">
        <f t="shared" si="21"/>
        <v>Neutral</v>
      </c>
      <c r="BB30">
        <f>survey_responses[[#This Row],[Tôi thấy Nhà nước đã giải thích rõ ràng, minh bạch về lý do và mục tiêu của việc sửa đổi thuế lần này. - HUMAN-TRU4]]</f>
        <v>10</v>
      </c>
      <c r="BC30" t="str">
        <f t="shared" si="22"/>
        <v>Support</v>
      </c>
      <c r="BD30" s="32">
        <f t="shared" si="23"/>
        <v>3</v>
      </c>
      <c r="BE30">
        <f>step3_validation[[#This Row],[AI_OUT1]]</f>
        <v>6</v>
      </c>
      <c r="BF30" t="str">
        <f t="shared" si="24"/>
        <v>Neutral</v>
      </c>
      <c r="BG30">
        <f>survey_responses[[#This Row],[Sau khi xem xét các quyền lợi và nghĩa vụ, bạn có ủng hộ và tuân thủ chính sách mới hiện nay? - HUMAN-OUT1]]</f>
        <v>10</v>
      </c>
      <c r="BH30" t="str">
        <f t="shared" si="25"/>
        <v>Support</v>
      </c>
      <c r="BI30" s="32">
        <f t="shared" si="26"/>
        <v>4</v>
      </c>
    </row>
    <row r="31" spans="1:61" x14ac:dyDescent="0.45">
      <c r="A31" s="30">
        <f>step3_validation[[#This Row],[Persona_ID]]</f>
        <v>30</v>
      </c>
      <c r="B31" s="31">
        <f>step3_validation[[#This Row],[Used_Seed]]</f>
        <v>12374</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13.119903841367227</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8</v>
      </c>
      <c r="R31" t="str">
        <f t="shared" si="0"/>
        <v>Support</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2</v>
      </c>
      <c r="V31">
        <f>step3_validation[[#This Row],[AI_ENF2]]</f>
        <v>8</v>
      </c>
      <c r="W31" t="str">
        <f t="shared" si="3"/>
        <v>Support</v>
      </c>
      <c r="X31">
        <f>survey_responses[[#This Row],[Tôi tin rằng Nhà nước, cơ quan thuế có đủ khả năng và công nghệ để phát hiện, xử lý nghiêm các hành vi trốn thuế. - HUMAN-ENF2]]</f>
        <v>10</v>
      </c>
      <c r="Y31" t="str">
        <f t="shared" si="4"/>
        <v>Support</v>
      </c>
      <c r="Z31" s="32">
        <f t="shared" si="5"/>
        <v>2</v>
      </c>
      <c r="AA31">
        <f>step3_validation[[#This Row],[AI_FAC1]]</f>
        <v>7</v>
      </c>
      <c r="AB31" t="str">
        <f t="shared" si="6"/>
        <v>Neutral</v>
      </c>
      <c r="AC31">
        <f>survey_responses[[#This Row],[Các thủ tục khai báo thuế VÀ/HOẶC quy trình làm việc với cơ quan thuế đơn giản, tiện lợi, nhanh chóng hơn so với trước đây. - HUMAN-FAC1]]</f>
        <v>9</v>
      </c>
      <c r="AD31" t="str">
        <f t="shared" si="7"/>
        <v>Support</v>
      </c>
      <c r="AE31" s="32">
        <f t="shared" si="8"/>
        <v>2</v>
      </c>
      <c r="AF31">
        <f>step3_validation[[#This Row],[AI_FAC2]]</f>
        <v>8</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2</v>
      </c>
      <c r="AK31">
        <f>step3_validation[[#This Row],[AI_TRU1]]</f>
        <v>7</v>
      </c>
      <c r="AL31" t="str">
        <f t="shared" si="12"/>
        <v>Neutral</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3</v>
      </c>
      <c r="AP31">
        <f>step3_validation[[#This Row],[AI_TRU2]]</f>
        <v>6</v>
      </c>
      <c r="AQ31" t="str">
        <f t="shared" si="15"/>
        <v>Neutral</v>
      </c>
      <c r="AR31">
        <f>survey_responses[[#This Row],[Tôi thấy mức thuế tôi phải đóng theo phương án mới là công bằng (người thu nhập như tôi đóng mức này là hợp lý). - HUMAN-TRU2]]</f>
        <v>10</v>
      </c>
      <c r="AS31" t="str">
        <f t="shared" si="16"/>
        <v>Support</v>
      </c>
      <c r="AT31" s="32">
        <f t="shared" si="17"/>
        <v>4</v>
      </c>
      <c r="AU31">
        <f>step3_validation[[#This Row],[AI_TRU3]]</f>
        <v>5</v>
      </c>
      <c r="AV31" t="str">
        <f t="shared" si="18"/>
        <v>Neutral</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5</v>
      </c>
      <c r="AZ31">
        <f>step3_validation[[#This Row],[AI_TRU4]]</f>
        <v>4</v>
      </c>
      <c r="BA31" t="str">
        <f t="shared" si="21"/>
        <v>Oppose</v>
      </c>
      <c r="BB31">
        <f>survey_responses[[#This Row],[Tôi thấy Nhà nước đã giải thích rõ ràng, minh bạch về lý do và mục tiêu của việc sửa đổi thuế lần này. - HUMAN-TRU4]]</f>
        <v>10</v>
      </c>
      <c r="BC31" t="str">
        <f t="shared" si="22"/>
        <v>Support</v>
      </c>
      <c r="BD31" s="32">
        <f t="shared" si="23"/>
        <v>6</v>
      </c>
      <c r="BE31">
        <f>step3_validation[[#This Row],[AI_OUT1]]</f>
        <v>6</v>
      </c>
      <c r="BF31" t="str">
        <f t="shared" si="24"/>
        <v>Neutral</v>
      </c>
      <c r="BG31">
        <f>survey_responses[[#This Row],[Sau khi xem xét các quyền lợi và nghĩa vụ, bạn có ủng hộ và tuân thủ chính sách mới hiện nay? - HUMAN-OUT1]]</f>
        <v>10</v>
      </c>
      <c r="BH31" t="str">
        <f t="shared" si="25"/>
        <v>Support</v>
      </c>
      <c r="BI31" s="32">
        <f t="shared" si="26"/>
        <v>4</v>
      </c>
    </row>
    <row r="32" spans="1:61" x14ac:dyDescent="0.45">
      <c r="A32" s="30">
        <f>step3_validation[[#This Row],[Persona_ID]]</f>
        <v>31</v>
      </c>
      <c r="B32" s="31">
        <f>step3_validation[[#This Row],[Used_Seed]]</f>
        <v>12375</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27.295945965192793</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7</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3</v>
      </c>
      <c r="V32">
        <f>step3_validation[[#This Row],[AI_ENF2]]</f>
        <v>8</v>
      </c>
      <c r="W32" t="str">
        <f t="shared" si="3"/>
        <v>Support</v>
      </c>
      <c r="X32">
        <f>survey_responses[[#This Row],[Tôi tin rằng Nhà nước, cơ quan thuế có đủ khả năng và công nghệ để phát hiện, xử lý nghiêm các hành vi trốn thuế. - HUMAN-ENF2]]</f>
        <v>7</v>
      </c>
      <c r="Y32" t="str">
        <f t="shared" si="4"/>
        <v>Neutral</v>
      </c>
      <c r="Z32" s="32">
        <f t="shared" si="5"/>
        <v>1</v>
      </c>
      <c r="AA32">
        <f>step3_validation[[#This Row],[AI_FAC1]]</f>
        <v>6</v>
      </c>
      <c r="AB32" t="str">
        <f t="shared" si="6"/>
        <v>Neutral</v>
      </c>
      <c r="AC32">
        <f>survey_responses[[#This Row],[Các thủ tục khai báo thuế VÀ/HOẶC quy trình làm việc với cơ quan thuế đơn giản, tiện lợi, nhanh chóng hơn so với trước đây. - HUMAN-FAC1]]</f>
        <v>10</v>
      </c>
      <c r="AD32" t="str">
        <f t="shared" si="7"/>
        <v>Support</v>
      </c>
      <c r="AE32" s="32">
        <f t="shared" si="8"/>
        <v>4</v>
      </c>
      <c r="AF32">
        <f>step3_validation[[#This Row],[AI_FAC2]]</f>
        <v>9</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2">
        <f t="shared" si="11"/>
        <v>2</v>
      </c>
      <c r="AK32">
        <f>step3_validation[[#This Row],[AI_TRU1]]</f>
        <v>7</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3</v>
      </c>
      <c r="AP32">
        <f>step3_validation[[#This Row],[AI_TRU2]]</f>
        <v>8</v>
      </c>
      <c r="AQ32" t="str">
        <f t="shared" si="15"/>
        <v>Support</v>
      </c>
      <c r="AR32">
        <f>survey_responses[[#This Row],[Tôi thấy mức thuế tôi phải đóng theo phương án mới là công bằng (người thu nhập như tôi đóng mức này là hợp lý). - HUMAN-TRU2]]</f>
        <v>10</v>
      </c>
      <c r="AS32" t="str">
        <f t="shared" si="16"/>
        <v>Support</v>
      </c>
      <c r="AT32" s="32">
        <f t="shared" si="17"/>
        <v>2</v>
      </c>
      <c r="AU32">
        <f>step3_validation[[#This Row],[AI_TRU3]]</f>
        <v>7</v>
      </c>
      <c r="AV32" t="str">
        <f t="shared" si="18"/>
        <v>Neutral</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4</v>
      </c>
      <c r="AZ32">
        <f>step3_validation[[#This Row],[AI_TRU4]]</f>
        <v>5</v>
      </c>
      <c r="BA32" t="str">
        <f t="shared" si="21"/>
        <v>Neutral</v>
      </c>
      <c r="BB32">
        <f>survey_responses[[#This Row],[Tôi thấy Nhà nước đã giải thích rõ ràng, minh bạch về lý do và mục tiêu của việc sửa đổi thuế lần này. - HUMAN-TRU4]]</f>
        <v>5</v>
      </c>
      <c r="BC32" t="str">
        <f t="shared" si="22"/>
        <v>Neutral</v>
      </c>
      <c r="BD32" s="32">
        <f t="shared" si="23"/>
        <v>0</v>
      </c>
      <c r="BE32">
        <f>step3_validation[[#This Row],[AI_OUT1]]</f>
        <v>6</v>
      </c>
      <c r="BF32" t="str">
        <f t="shared" si="24"/>
        <v>Neutral</v>
      </c>
      <c r="BG32">
        <f>survey_responses[[#This Row],[Sau khi xem xét các quyền lợi và nghĩa vụ, bạn có ủng hộ và tuân thủ chính sách mới hiện nay? - HUMAN-OUT1]]</f>
        <v>8</v>
      </c>
      <c r="BH32" t="str">
        <f t="shared" si="25"/>
        <v>Support</v>
      </c>
      <c r="BI32" s="32">
        <f t="shared" si="26"/>
        <v>2</v>
      </c>
    </row>
    <row r="33" spans="1:61" x14ac:dyDescent="0.45">
      <c r="A33" s="30">
        <f>step3_validation[[#This Row],[Persona_ID]]</f>
        <v>32</v>
      </c>
      <c r="B33" s="31">
        <f>step3_validation[[#This Row],[Used_Seed]]</f>
        <v>12376</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29.138658898904062</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9</v>
      </c>
      <c r="R33" t="str">
        <f t="shared" si="0"/>
        <v>Support</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4</v>
      </c>
      <c r="V33">
        <f>step3_validation[[#This Row],[AI_ENF2]]</f>
        <v>8</v>
      </c>
      <c r="W33" t="str">
        <f t="shared" si="3"/>
        <v>Support</v>
      </c>
      <c r="X33">
        <f>survey_responses[[#This Row],[Tôi tin rằng Nhà nước, cơ quan thuế có đủ khả năng và công nghệ để phát hiện, xử lý nghiêm các hành vi trốn thuế. - HUMAN-ENF2]]</f>
        <v>5</v>
      </c>
      <c r="Y33" t="str">
        <f t="shared" si="4"/>
        <v>Neutral</v>
      </c>
      <c r="Z33" s="32">
        <f t="shared" si="5"/>
        <v>3</v>
      </c>
      <c r="AA33">
        <f>step3_validation[[#This Row],[AI_FAC1]]</f>
        <v>7</v>
      </c>
      <c r="AB33" t="str">
        <f t="shared" si="6"/>
        <v>Neutral</v>
      </c>
      <c r="AC33">
        <f>survey_responses[[#This Row],[Các thủ tục khai báo thuế VÀ/HOẶC quy trình làm việc với cơ quan thuế đơn giản, tiện lợi, nhanh chóng hơn so với trước đây. - HUMAN-FAC1]]</f>
        <v>5</v>
      </c>
      <c r="AD33" t="str">
        <f t="shared" si="7"/>
        <v>Neutral</v>
      </c>
      <c r="AE33" s="32">
        <f t="shared" si="8"/>
        <v>2</v>
      </c>
      <c r="AF33">
        <f>step3_validation[[#This Row],[AI_FAC2]]</f>
        <v>8</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2">
        <f t="shared" si="11"/>
        <v>3</v>
      </c>
      <c r="AK33">
        <f>step3_validation[[#This Row],[AI_TRU1]]</f>
        <v>7</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2</v>
      </c>
      <c r="AP33">
        <f>step3_validation[[#This Row],[AI_TRU2]]</f>
        <v>8</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3</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2</v>
      </c>
      <c r="AZ33">
        <f>step3_validation[[#This Row],[AI_TRU4]]</f>
        <v>6</v>
      </c>
      <c r="BA33" t="str">
        <f t="shared" si="21"/>
        <v>Neutral</v>
      </c>
      <c r="BB33">
        <f>survey_responses[[#This Row],[Tôi thấy Nhà nước đã giải thích rõ ràng, minh bạch về lý do và mục tiêu của việc sửa đổi thuế lần này. - HUMAN-TRU4]]</f>
        <v>5</v>
      </c>
      <c r="BC33" t="str">
        <f t="shared" si="22"/>
        <v>Neutral</v>
      </c>
      <c r="BD33" s="32">
        <f t="shared" si="23"/>
        <v>1</v>
      </c>
      <c r="BE33">
        <f>step3_validation[[#This Row],[AI_OUT1]]</f>
        <v>9</v>
      </c>
      <c r="BF33" t="str">
        <f t="shared" si="24"/>
        <v>Support</v>
      </c>
      <c r="BG33">
        <f>survey_responses[[#This Row],[Sau khi xem xét các quyền lợi và nghĩa vụ, bạn có ủng hộ và tuân thủ chính sách mới hiện nay? - HUMAN-OUT1]]</f>
        <v>5</v>
      </c>
      <c r="BH33" t="str">
        <f t="shared" si="25"/>
        <v>Neutral</v>
      </c>
      <c r="BI33" s="32">
        <f t="shared" si="26"/>
        <v>4</v>
      </c>
    </row>
    <row r="34" spans="1:61" x14ac:dyDescent="0.45">
      <c r="A34" s="30">
        <f>step3_validation[[#This Row],[Persona_ID]]</f>
        <v>33</v>
      </c>
      <c r="B34" s="31">
        <f>step3_validation[[#This Row],[Used_Seed]]</f>
        <v>12377</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29.609550179087222</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t="str">
        <f t="shared" si="0"/>
        <v>Neutral</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1</v>
      </c>
      <c r="V34">
        <f>step3_validation[[#This Row],[AI_ENF2]]</f>
        <v>8</v>
      </c>
      <c r="W34" t="str">
        <f t="shared" si="3"/>
        <v>Support</v>
      </c>
      <c r="X34">
        <f>survey_responses[[#This Row],[Tôi tin rằng Nhà nước, cơ quan thuế có đủ khả năng và công nghệ để phát hiện, xử lý nghiêm các hành vi trốn thuế. - HUMAN-ENF2]]</f>
        <v>9</v>
      </c>
      <c r="Y34" t="str">
        <f t="shared" si="4"/>
        <v>Support</v>
      </c>
      <c r="Z34" s="32">
        <f t="shared" si="5"/>
        <v>1</v>
      </c>
      <c r="AA34">
        <f>step3_validation[[#This Row],[AI_FAC1]]</f>
        <v>8</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2">
        <f t="shared" si="8"/>
        <v>1</v>
      </c>
      <c r="AF34">
        <f>step3_validation[[#This Row],[AI_FAC2]]</f>
        <v>9</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2">
        <f t="shared" si="11"/>
        <v>1</v>
      </c>
      <c r="AK34">
        <f>step3_validation[[#This Row],[AI_TRU1]]</f>
        <v>7</v>
      </c>
      <c r="AL34" t="str">
        <f t="shared" si="12"/>
        <v>Neutral</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1</v>
      </c>
      <c r="AP34">
        <f>step3_validation[[#This Row],[AI_TRU2]]</f>
        <v>8</v>
      </c>
      <c r="AQ34" t="str">
        <f t="shared" si="15"/>
        <v>Support</v>
      </c>
      <c r="AR34">
        <f>survey_responses[[#This Row],[Tôi thấy mức thuế tôi phải đóng theo phương án mới là công bằng (người thu nhập như tôi đóng mức này là hợp lý). - HUMAN-TRU2]]</f>
        <v>8</v>
      </c>
      <c r="AS34" t="str">
        <f t="shared" si="16"/>
        <v>Support</v>
      </c>
      <c r="AT34" s="32">
        <f t="shared" si="17"/>
        <v>0</v>
      </c>
      <c r="AU34">
        <f>step3_validation[[#This Row],[AI_TRU3]]</f>
        <v>7</v>
      </c>
      <c r="AV34" t="str">
        <f t="shared" si="18"/>
        <v>Neutral</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4</v>
      </c>
      <c r="AZ34">
        <f>step3_validation[[#This Row],[AI_TRU4]]</f>
        <v>8</v>
      </c>
      <c r="BA34" t="str">
        <f t="shared" si="21"/>
        <v>Support</v>
      </c>
      <c r="BB34">
        <f>survey_responses[[#This Row],[Tôi thấy Nhà nước đã giải thích rõ ràng, minh bạch về lý do và mục tiêu của việc sửa đổi thuế lần này. - HUMAN-TRU4]]</f>
        <v>6</v>
      </c>
      <c r="BC34" t="str">
        <f t="shared" si="22"/>
        <v>Neutral</v>
      </c>
      <c r="BD34" s="32">
        <f t="shared" si="23"/>
        <v>2</v>
      </c>
      <c r="BE34">
        <f>step3_validation[[#This Row],[AI_OUT1]]</f>
        <v>8</v>
      </c>
      <c r="BF34" t="str">
        <f t="shared" si="24"/>
        <v>Support</v>
      </c>
      <c r="BG34">
        <f>survey_responses[[#This Row],[Sau khi xem xét các quyền lợi và nghĩa vụ, bạn có ủng hộ và tuân thủ chính sách mới hiện nay? - HUMAN-OUT1]]</f>
        <v>7</v>
      </c>
      <c r="BH34" t="str">
        <f t="shared" si="25"/>
        <v>Neutral</v>
      </c>
      <c r="BI34" s="32">
        <f t="shared" si="26"/>
        <v>1</v>
      </c>
    </row>
    <row r="35" spans="1:61" x14ac:dyDescent="0.45">
      <c r="A35" s="30">
        <f>step3_validation[[#This Row],[Persona_ID]]</f>
        <v>34</v>
      </c>
      <c r="B35" s="31">
        <f>step3_validation[[#This Row],[Used_Seed]]</f>
        <v>12378</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12.238145044249537</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7</v>
      </c>
      <c r="R35" t="str">
        <f t="shared" si="0"/>
        <v>Neutral</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3</v>
      </c>
      <c r="V35">
        <f>step3_validation[[#This Row],[AI_ENF2]]</f>
        <v>6</v>
      </c>
      <c r="W35" t="str">
        <f t="shared" si="3"/>
        <v>Neutral</v>
      </c>
      <c r="X35">
        <f>survey_responses[[#This Row],[Tôi tin rằng Nhà nước, cơ quan thuế có đủ khả năng và công nghệ để phát hiện, xử lý nghiêm các hành vi trốn thuế. - HUMAN-ENF2]]</f>
        <v>10</v>
      </c>
      <c r="Y35" t="str">
        <f t="shared" si="4"/>
        <v>Support</v>
      </c>
      <c r="Z35" s="32">
        <f t="shared" si="5"/>
        <v>4</v>
      </c>
      <c r="AA35">
        <f>step3_validation[[#This Row],[AI_FAC1]]</f>
        <v>8</v>
      </c>
      <c r="AB35" t="str">
        <f t="shared" si="6"/>
        <v>Support</v>
      </c>
      <c r="AC35">
        <f>survey_responses[[#This Row],[Các thủ tục khai báo thuế VÀ/HOẶC quy trình làm việc với cơ quan thuế đơn giản, tiện lợi, nhanh chóng hơn so với trước đây. - HUMAN-FAC1]]</f>
        <v>10</v>
      </c>
      <c r="AD35" t="str">
        <f t="shared" si="7"/>
        <v>Support</v>
      </c>
      <c r="AE35" s="32">
        <f t="shared" si="8"/>
        <v>2</v>
      </c>
      <c r="AF35">
        <f>step3_validation[[#This Row],[AI_FAC2]]</f>
        <v>9</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1</v>
      </c>
      <c r="AK35">
        <f>step3_validation[[#This Row],[AI_TRU1]]</f>
        <v>7</v>
      </c>
      <c r="AL35" t="str">
        <f t="shared" si="12"/>
        <v>Neutral</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3</v>
      </c>
      <c r="AP35">
        <f>step3_validation[[#This Row],[AI_TRU2]]</f>
        <v>8</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2">
        <f t="shared" si="17"/>
        <v>2</v>
      </c>
      <c r="AU35">
        <f>step3_validation[[#This Row],[AI_TRU3]]</f>
        <v>7</v>
      </c>
      <c r="AV35" t="str">
        <f t="shared" si="18"/>
        <v>Neutral</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3</v>
      </c>
      <c r="AZ35">
        <f>step3_validation[[#This Row],[AI_TRU4]]</f>
        <v>6</v>
      </c>
      <c r="BA35" t="str">
        <f t="shared" si="21"/>
        <v>Neutral</v>
      </c>
      <c r="BB35">
        <f>survey_responses[[#This Row],[Tôi thấy Nhà nước đã giải thích rõ ràng, minh bạch về lý do và mục tiêu của việc sửa đổi thuế lần này. - HUMAN-TRU4]]</f>
        <v>10</v>
      </c>
      <c r="BC35" t="str">
        <f t="shared" si="22"/>
        <v>Support</v>
      </c>
      <c r="BD35" s="32">
        <f t="shared" si="23"/>
        <v>4</v>
      </c>
      <c r="BE35">
        <f>step3_validation[[#This Row],[AI_OUT1]]</f>
        <v>7</v>
      </c>
      <c r="BF35" t="str">
        <f t="shared" si="24"/>
        <v>Neutral</v>
      </c>
      <c r="BG35">
        <f>survey_responses[[#This Row],[Sau khi xem xét các quyền lợi và nghĩa vụ, bạn có ủng hộ và tuân thủ chính sách mới hiện nay? - HUMAN-OUT1]]</f>
        <v>10</v>
      </c>
      <c r="BH35" t="str">
        <f t="shared" si="25"/>
        <v>Support</v>
      </c>
      <c r="BI35" s="32">
        <f t="shared" si="26"/>
        <v>3</v>
      </c>
    </row>
    <row r="36" spans="1:61" x14ac:dyDescent="0.45">
      <c r="A36" s="30">
        <f>step3_validation[[#This Row],[Persona_ID]]</f>
        <v>35</v>
      </c>
      <c r="B36" s="31">
        <f>step3_validation[[#This Row],[Used_Seed]]</f>
        <v>12379</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12.199839148378798</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8</v>
      </c>
      <c r="R36" t="str">
        <f t="shared" si="0"/>
        <v>Support</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2</v>
      </c>
      <c r="V36">
        <f>step3_validation[[#This Row],[AI_ENF2]]</f>
        <v>7</v>
      </c>
      <c r="W36" t="str">
        <f t="shared" si="3"/>
        <v>Neutral</v>
      </c>
      <c r="X36">
        <f>survey_responses[[#This Row],[Tôi tin rằng Nhà nước, cơ quan thuế có đủ khả năng và công nghệ để phát hiện, xử lý nghiêm các hành vi trốn thuế. - HUMAN-ENF2]]</f>
        <v>10</v>
      </c>
      <c r="Y36" t="str">
        <f t="shared" si="4"/>
        <v>Support</v>
      </c>
      <c r="Z36" s="32">
        <f t="shared" si="5"/>
        <v>3</v>
      </c>
      <c r="AA36">
        <f>step3_validation[[#This Row],[AI_FAC1]]</f>
        <v>6</v>
      </c>
      <c r="AB36" t="str">
        <f t="shared" si="6"/>
        <v>Neutral</v>
      </c>
      <c r="AC36">
        <f>survey_responses[[#This Row],[Các thủ tục khai báo thuế VÀ/HOẶC quy trình làm việc với cơ quan thuế đơn giản, tiện lợi, nhanh chóng hơn so với trước đây. - HUMAN-FAC1]]</f>
        <v>10</v>
      </c>
      <c r="AD36" t="str">
        <f t="shared" si="7"/>
        <v>Support</v>
      </c>
      <c r="AE36" s="32">
        <f t="shared" si="8"/>
        <v>4</v>
      </c>
      <c r="AF36">
        <f>step3_validation[[#This Row],[AI_FAC2]]</f>
        <v>7</v>
      </c>
      <c r="AG36" t="str">
        <f t="shared" si="9"/>
        <v>Neutral</v>
      </c>
      <c r="AH36">
        <f>survey_responses[[#This Row],[So với trước đây, tôi thấy cách tính thuế và các bậc thuế trong phương án mới đơn giản, dễ hiểu và dễ thực hiện hơn. - HUMAN-FAC2]]</f>
        <v>10</v>
      </c>
      <c r="AI36" t="str">
        <f t="shared" si="10"/>
        <v>Support</v>
      </c>
      <c r="AJ36" s="32">
        <f t="shared" si="11"/>
        <v>3</v>
      </c>
      <c r="AK36">
        <f>step3_validation[[#This Row],[AI_TRU1]]</f>
        <v>8</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2</v>
      </c>
      <c r="AP36">
        <f>step3_validation[[#This Row],[AI_TRU2]]</f>
        <v>7</v>
      </c>
      <c r="AQ36" t="str">
        <f t="shared" si="15"/>
        <v>Neutral</v>
      </c>
      <c r="AR36">
        <f>survey_responses[[#This Row],[Tôi thấy mức thuế tôi phải đóng theo phương án mới là công bằng (người thu nhập như tôi đóng mức này là hợp lý). - HUMAN-TRU2]]</f>
        <v>10</v>
      </c>
      <c r="AS36" t="str">
        <f t="shared" si="16"/>
        <v>Support</v>
      </c>
      <c r="AT36" s="32">
        <f t="shared" si="17"/>
        <v>3</v>
      </c>
      <c r="AU36">
        <f>step3_validation[[#This Row],[AI_TRU3]]</f>
        <v>8</v>
      </c>
      <c r="AV36" t="str">
        <f t="shared" si="18"/>
        <v>Support</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2</v>
      </c>
      <c r="AZ36">
        <f>step3_validation[[#This Row],[AI_TRU4]]</f>
        <v>7</v>
      </c>
      <c r="BA36" t="str">
        <f t="shared" si="21"/>
        <v>Neutral</v>
      </c>
      <c r="BB36">
        <f>survey_responses[[#This Row],[Tôi thấy Nhà nước đã giải thích rõ ràng, minh bạch về lý do và mục tiêu của việc sửa đổi thuế lần này. - HUMAN-TRU4]]</f>
        <v>10</v>
      </c>
      <c r="BC36" t="str">
        <f t="shared" si="22"/>
        <v>Support</v>
      </c>
      <c r="BD36" s="32">
        <f t="shared" si="23"/>
        <v>3</v>
      </c>
      <c r="BE36">
        <f>step3_validation[[#This Row],[AI_OUT1]]</f>
        <v>8</v>
      </c>
      <c r="BF36" t="str">
        <f t="shared" si="24"/>
        <v>Support</v>
      </c>
      <c r="BG36">
        <f>survey_responses[[#This Row],[Sau khi xem xét các quyền lợi và nghĩa vụ, bạn có ủng hộ và tuân thủ chính sách mới hiện nay? - HUMAN-OUT1]]</f>
        <v>10</v>
      </c>
      <c r="BH36" t="str">
        <f t="shared" si="25"/>
        <v>Support</v>
      </c>
      <c r="BI36" s="32">
        <f t="shared" si="26"/>
        <v>2</v>
      </c>
    </row>
    <row r="37" spans="1:61" x14ac:dyDescent="0.45">
      <c r="A37" s="30">
        <f>step3_validation[[#This Row],[Persona_ID]]</f>
        <v>36</v>
      </c>
      <c r="B37" s="31">
        <f>step3_validation[[#This Row],[Used_Seed]]</f>
        <v>12380</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12.036573186404826</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3</v>
      </c>
      <c r="V37">
        <f>step3_validation[[#This Row],[AI_ENF2]]</f>
        <v>8</v>
      </c>
      <c r="W37" t="str">
        <f t="shared" si="3"/>
        <v>Support</v>
      </c>
      <c r="X37">
        <f>survey_responses[[#This Row],[Tôi tin rằng Nhà nước, cơ quan thuế có đủ khả năng và công nghệ để phát hiện, xử lý nghiêm các hành vi trốn thuế. - HUMAN-ENF2]]</f>
        <v>9</v>
      </c>
      <c r="Y37" t="str">
        <f t="shared" si="4"/>
        <v>Support</v>
      </c>
      <c r="Z37" s="32">
        <f t="shared" si="5"/>
        <v>1</v>
      </c>
      <c r="AA37">
        <f>step3_validation[[#This Row],[AI_FAC1]]</f>
        <v>9</v>
      </c>
      <c r="AB37" t="str">
        <f t="shared" si="6"/>
        <v>Support</v>
      </c>
      <c r="AC37">
        <f>survey_responses[[#This Row],[Các thủ tục khai báo thuế VÀ/HOẶC quy trình làm việc với cơ quan thuế đơn giản, tiện lợi, nhanh chóng hơn so với trước đây. - HUMAN-FAC1]]</f>
        <v>10</v>
      </c>
      <c r="AD37" t="str">
        <f t="shared" si="7"/>
        <v>Support</v>
      </c>
      <c r="AE37" s="32">
        <f t="shared" si="8"/>
        <v>1</v>
      </c>
      <c r="AF37">
        <f>step3_validation[[#This Row],[AI_FAC2]]</f>
        <v>8</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2">
        <f t="shared" si="11"/>
        <v>0</v>
      </c>
      <c r="AK37">
        <f>step3_validation[[#This Row],[AI_TRU1]]</f>
        <v>7</v>
      </c>
      <c r="AL37" t="str">
        <f t="shared" si="12"/>
        <v>Neutral</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3</v>
      </c>
      <c r="AP37">
        <f>step3_validation[[#This Row],[AI_TRU2]]</f>
        <v>6</v>
      </c>
      <c r="AQ37" t="str">
        <f t="shared" si="15"/>
        <v>Neutral</v>
      </c>
      <c r="AR37">
        <f>survey_responses[[#This Row],[Tôi thấy mức thuế tôi phải đóng theo phương án mới là công bằng (người thu nhập như tôi đóng mức này là hợp lý). - HUMAN-TRU2]]</f>
        <v>9</v>
      </c>
      <c r="AS37" t="str">
        <f t="shared" si="16"/>
        <v>Support</v>
      </c>
      <c r="AT37" s="32">
        <f t="shared" si="17"/>
        <v>3</v>
      </c>
      <c r="AU37">
        <f>step3_validation[[#This Row],[AI_TRU3]]</f>
        <v>5</v>
      </c>
      <c r="AV37" t="str">
        <f t="shared" si="18"/>
        <v>Neutral</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5</v>
      </c>
      <c r="AZ37">
        <f>step3_validation[[#This Row],[AI_TRU4]]</f>
        <v>6</v>
      </c>
      <c r="BA37" t="str">
        <f t="shared" si="21"/>
        <v>Neutral</v>
      </c>
      <c r="BB37">
        <f>survey_responses[[#This Row],[Tôi thấy Nhà nước đã giải thích rõ ràng, minh bạch về lý do và mục tiêu của việc sửa đổi thuế lần này. - HUMAN-TRU4]]</f>
        <v>10</v>
      </c>
      <c r="BC37" t="str">
        <f t="shared" si="22"/>
        <v>Support</v>
      </c>
      <c r="BD37" s="32">
        <f t="shared" si="23"/>
        <v>4</v>
      </c>
      <c r="BE37">
        <f>step3_validation[[#This Row],[AI_OUT1]]</f>
        <v>7</v>
      </c>
      <c r="BF37" t="str">
        <f t="shared" si="24"/>
        <v>Neutral</v>
      </c>
      <c r="BG37">
        <f>survey_responses[[#This Row],[Sau khi xem xét các quyền lợi và nghĩa vụ, bạn có ủng hộ và tuân thủ chính sách mới hiện nay? - HUMAN-OUT1]]</f>
        <v>10</v>
      </c>
      <c r="BH37" t="str">
        <f t="shared" si="25"/>
        <v>Support</v>
      </c>
      <c r="BI37" s="32">
        <f t="shared" si="26"/>
        <v>3</v>
      </c>
    </row>
    <row r="38" spans="1:61" x14ac:dyDescent="0.45">
      <c r="A38" s="30">
        <f>step3_validation[[#This Row],[Persona_ID]]</f>
        <v>37</v>
      </c>
      <c r="B38" s="31">
        <f>step3_validation[[#This Row],[Used_Seed]]</f>
        <v>12381</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12.284195665474812</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8</v>
      </c>
      <c r="R38" t="str">
        <f t="shared" si="0"/>
        <v>Support</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2</v>
      </c>
      <c r="V38">
        <f>step3_validation[[#This Row],[AI_ENF2]]</f>
        <v>9</v>
      </c>
      <c r="W38" t="str">
        <f t="shared" si="3"/>
        <v>Support</v>
      </c>
      <c r="X38">
        <f>survey_responses[[#This Row],[Tôi tin rằng Nhà nước, cơ quan thuế có đủ khả năng và công nghệ để phát hiện, xử lý nghiêm các hành vi trốn thuế. - HUMAN-ENF2]]</f>
        <v>10</v>
      </c>
      <c r="Y38" t="str">
        <f t="shared" si="4"/>
        <v>Support</v>
      </c>
      <c r="Z38" s="32">
        <f t="shared" si="5"/>
        <v>1</v>
      </c>
      <c r="AA38">
        <f>step3_validation[[#This Row],[AI_FAC1]]</f>
        <v>7</v>
      </c>
      <c r="AB38" t="str">
        <f t="shared" si="6"/>
        <v>Neutral</v>
      </c>
      <c r="AC38">
        <f>survey_responses[[#This Row],[Các thủ tục khai báo thuế VÀ/HOẶC quy trình làm việc với cơ quan thuế đơn giản, tiện lợi, nhanh chóng hơn so với trước đây. - HUMAN-FAC1]]</f>
        <v>10</v>
      </c>
      <c r="AD38" t="str">
        <f t="shared" si="7"/>
        <v>Support</v>
      </c>
      <c r="AE38" s="32">
        <f t="shared" si="8"/>
        <v>3</v>
      </c>
      <c r="AF38">
        <f>step3_validation[[#This Row],[AI_FAC2]]</f>
        <v>8</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2">
        <f t="shared" si="11"/>
        <v>2</v>
      </c>
      <c r="AK38">
        <f>step3_validation[[#This Row],[AI_TRU1]]</f>
        <v>6</v>
      </c>
      <c r="AL38" t="str">
        <f t="shared" si="12"/>
        <v>Neutral</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3</v>
      </c>
      <c r="AP38">
        <f>step3_validation[[#This Row],[AI_TRU2]]</f>
        <v>5</v>
      </c>
      <c r="AQ38" t="str">
        <f t="shared" si="15"/>
        <v>Neutral</v>
      </c>
      <c r="AR38">
        <f>survey_responses[[#This Row],[Tôi thấy mức thuế tôi phải đóng theo phương án mới là công bằng (người thu nhập như tôi đóng mức này là hợp lý). - HUMAN-TRU2]]</f>
        <v>9</v>
      </c>
      <c r="AS38" t="str">
        <f t="shared" si="16"/>
        <v>Support</v>
      </c>
      <c r="AT38" s="32">
        <f t="shared" si="17"/>
        <v>4</v>
      </c>
      <c r="AU38">
        <f>step3_validation[[#This Row],[AI_TRU3]]</f>
        <v>6</v>
      </c>
      <c r="AV38" t="str">
        <f t="shared" si="18"/>
        <v>Neutral</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3</v>
      </c>
      <c r="AZ38">
        <f>step3_validation[[#This Row],[AI_TRU4]]</f>
        <v>4</v>
      </c>
      <c r="BA38" t="str">
        <f t="shared" si="21"/>
        <v>Oppose</v>
      </c>
      <c r="BB38">
        <f>survey_responses[[#This Row],[Tôi thấy Nhà nước đã giải thích rõ ràng, minh bạch về lý do và mục tiêu của việc sửa đổi thuế lần này. - HUMAN-TRU4]]</f>
        <v>9</v>
      </c>
      <c r="BC38" t="str">
        <f t="shared" si="22"/>
        <v>Support</v>
      </c>
      <c r="BD38" s="32">
        <f t="shared" si="23"/>
        <v>5</v>
      </c>
      <c r="BE38">
        <f>step3_validation[[#This Row],[AI_OUT1]]</f>
        <v>5</v>
      </c>
      <c r="BF38" t="str">
        <f t="shared" si="24"/>
        <v>Neutral</v>
      </c>
      <c r="BG38">
        <f>survey_responses[[#This Row],[Sau khi xem xét các quyền lợi và nghĩa vụ, bạn có ủng hộ và tuân thủ chính sách mới hiện nay? - HUMAN-OUT1]]</f>
        <v>8</v>
      </c>
      <c r="BH38" t="str">
        <f t="shared" si="25"/>
        <v>Support</v>
      </c>
      <c r="BI38" s="32">
        <f t="shared" si="26"/>
        <v>3</v>
      </c>
    </row>
    <row r="39" spans="1:61" x14ac:dyDescent="0.45">
      <c r="A39" s="30">
        <f>step3_validation[[#This Row],[Persona_ID]]</f>
        <v>38</v>
      </c>
      <c r="B39" s="31">
        <f>step3_validation[[#This Row],[Used_Seed]]</f>
        <v>12382</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46.409239854903745</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7</v>
      </c>
      <c r="R39" t="str">
        <f t="shared" si="0"/>
        <v>Neutral</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1</v>
      </c>
      <c r="V39">
        <f>step3_validation[[#This Row],[AI_ENF2]]</f>
        <v>8</v>
      </c>
      <c r="W39" t="str">
        <f t="shared" si="3"/>
        <v>Support</v>
      </c>
      <c r="X39">
        <f>survey_responses[[#This Row],[Tôi tin rằng Nhà nước, cơ quan thuế có đủ khả năng và công nghệ để phát hiện, xử lý nghiêm các hành vi trốn thuế. - HUMAN-ENF2]]</f>
        <v>8</v>
      </c>
      <c r="Y39" t="str">
        <f t="shared" si="4"/>
        <v>Support</v>
      </c>
      <c r="Z39" s="32">
        <f t="shared" si="5"/>
        <v>0</v>
      </c>
      <c r="AA39">
        <f>step3_validation[[#This Row],[AI_FAC1]]</f>
        <v>6</v>
      </c>
      <c r="AB39" t="str">
        <f t="shared" si="6"/>
        <v>Neutral</v>
      </c>
      <c r="AC39">
        <f>survey_responses[[#This Row],[Các thủ tục khai báo thuế VÀ/HOẶC quy trình làm việc với cơ quan thuế đơn giản, tiện lợi, nhanh chóng hơn so với trước đây. - HUMAN-FAC1]]</f>
        <v>8</v>
      </c>
      <c r="AD39" t="str">
        <f t="shared" si="7"/>
        <v>Support</v>
      </c>
      <c r="AE39" s="32">
        <f t="shared" si="8"/>
        <v>2</v>
      </c>
      <c r="AF39">
        <f>step3_validation[[#This Row],[AI_FAC2]]</f>
        <v>7</v>
      </c>
      <c r="AG39" t="str">
        <f t="shared" si="9"/>
        <v>Neutral</v>
      </c>
      <c r="AH39">
        <f>survey_responses[[#This Row],[So với trước đây, tôi thấy cách tính thuế và các bậc thuế trong phương án mới đơn giản, dễ hiểu và dễ thực hiện hơn. - HUMAN-FAC2]]</f>
        <v>8</v>
      </c>
      <c r="AI39" t="str">
        <f t="shared" si="10"/>
        <v>Support</v>
      </c>
      <c r="AJ39" s="32">
        <f t="shared" si="11"/>
        <v>1</v>
      </c>
      <c r="AK39">
        <f>step3_validation[[#This Row],[AI_TRU1]]</f>
        <v>5</v>
      </c>
      <c r="AL39" t="str">
        <f t="shared" si="12"/>
        <v>Neutral</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3</v>
      </c>
      <c r="AP39">
        <f>step3_validation[[#This Row],[AI_TRU2]]</f>
        <v>6</v>
      </c>
      <c r="AQ39" t="str">
        <f t="shared" si="15"/>
        <v>Neutral</v>
      </c>
      <c r="AR39">
        <f>survey_responses[[#This Row],[Tôi thấy mức thuế tôi phải đóng theo phương án mới là công bằng (người thu nhập như tôi đóng mức này là hợp lý). - HUMAN-TRU2]]</f>
        <v>8</v>
      </c>
      <c r="AS39" t="str">
        <f t="shared" si="16"/>
        <v>Support</v>
      </c>
      <c r="AT39" s="32">
        <f t="shared" si="17"/>
        <v>2</v>
      </c>
      <c r="AU39">
        <f>step3_validation[[#This Row],[AI_TRU3]]</f>
        <v>4</v>
      </c>
      <c r="AV39" t="str">
        <f t="shared" si="18"/>
        <v>Oppose</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4</v>
      </c>
      <c r="AZ39">
        <f>step3_validation[[#This Row],[AI_TRU4]]</f>
        <v>5</v>
      </c>
      <c r="BA39" t="str">
        <f t="shared" si="21"/>
        <v>Neutral</v>
      </c>
      <c r="BB39">
        <f>survey_responses[[#This Row],[Tôi thấy Nhà nước đã giải thích rõ ràng, minh bạch về lý do và mục tiêu của việc sửa đổi thuế lần này. - HUMAN-TRU4]]</f>
        <v>8</v>
      </c>
      <c r="BC39" t="str">
        <f t="shared" si="22"/>
        <v>Support</v>
      </c>
      <c r="BD39" s="32">
        <f t="shared" si="23"/>
        <v>3</v>
      </c>
      <c r="BE39">
        <f>step3_validation[[#This Row],[AI_OUT1]]</f>
        <v>6</v>
      </c>
      <c r="BF39" t="str">
        <f t="shared" si="24"/>
        <v>Neutral</v>
      </c>
      <c r="BG39">
        <f>survey_responses[[#This Row],[Sau khi xem xét các quyền lợi và nghĩa vụ, bạn có ủng hộ và tuân thủ chính sách mới hiện nay? - HUMAN-OUT1]]</f>
        <v>8</v>
      </c>
      <c r="BH39" t="str">
        <f t="shared" si="25"/>
        <v>Support</v>
      </c>
      <c r="BI39" s="32">
        <f t="shared" si="26"/>
        <v>2</v>
      </c>
    </row>
    <row r="40" spans="1:61" x14ac:dyDescent="0.45">
      <c r="A40" s="30">
        <f>step3_validation[[#This Row],[Persona_ID]]</f>
        <v>39</v>
      </c>
      <c r="B40" s="31">
        <f>step3_validation[[#This Row],[Used_Seed]]</f>
        <v>12383</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14.660964797434934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8</v>
      </c>
      <c r="R40" t="str">
        <f t="shared" si="0"/>
        <v>Support</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2</v>
      </c>
      <c r="V40">
        <f>step3_validation[[#This Row],[AI_ENF2]]</f>
        <v>9</v>
      </c>
      <c r="W40" t="str">
        <f t="shared" si="3"/>
        <v>Support</v>
      </c>
      <c r="X40">
        <f>survey_responses[[#This Row],[Tôi tin rằng Nhà nước, cơ quan thuế có đủ khả năng và công nghệ để phát hiện, xử lý nghiêm các hành vi trốn thuế. - HUMAN-ENF2]]</f>
        <v>10</v>
      </c>
      <c r="Y40" t="str">
        <f t="shared" si="4"/>
        <v>Support</v>
      </c>
      <c r="Z40" s="32">
        <f t="shared" si="5"/>
        <v>1</v>
      </c>
      <c r="AA40">
        <f>step3_validation[[#This Row],[AI_FAC1]]</f>
        <v>7</v>
      </c>
      <c r="AB40" t="str">
        <f t="shared" si="6"/>
        <v>Neutral</v>
      </c>
      <c r="AC40">
        <f>survey_responses[[#This Row],[Các thủ tục khai báo thuế VÀ/HOẶC quy trình làm việc với cơ quan thuế đơn giản, tiện lợi, nhanh chóng hơn so với trước đây. - HUMAN-FAC1]]</f>
        <v>10</v>
      </c>
      <c r="AD40" t="str">
        <f t="shared" si="7"/>
        <v>Support</v>
      </c>
      <c r="AE40" s="32">
        <f t="shared" si="8"/>
        <v>3</v>
      </c>
      <c r="AF40">
        <f>step3_validation[[#This Row],[AI_FAC2]]</f>
        <v>8</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2</v>
      </c>
      <c r="AK40">
        <f>step3_validation[[#This Row],[AI_TRU1]]</f>
        <v>9</v>
      </c>
      <c r="AL40" t="str">
        <f t="shared" si="12"/>
        <v>Support</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1</v>
      </c>
      <c r="AP40">
        <f>step3_validation[[#This Row],[AI_TRU2]]</f>
        <v>8</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2">
        <f t="shared" si="17"/>
        <v>2</v>
      </c>
      <c r="AU40">
        <f>step3_validation[[#This Row],[AI_TRU3]]</f>
        <v>9</v>
      </c>
      <c r="AV40" t="str">
        <f t="shared" si="18"/>
        <v>Support</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1</v>
      </c>
      <c r="AZ40">
        <f>step3_validation[[#This Row],[AI_TRU4]]</f>
        <v>7</v>
      </c>
      <c r="BA40" t="str">
        <f t="shared" si="21"/>
        <v>Neutral</v>
      </c>
      <c r="BB40">
        <f>survey_responses[[#This Row],[Tôi thấy Nhà nước đã giải thích rõ ràng, minh bạch về lý do và mục tiêu của việc sửa đổi thuế lần này. - HUMAN-TRU4]]</f>
        <v>10</v>
      </c>
      <c r="BC40" t="str">
        <f t="shared" si="22"/>
        <v>Support</v>
      </c>
      <c r="BD40" s="32">
        <f t="shared" si="23"/>
        <v>3</v>
      </c>
      <c r="BE40">
        <f>step3_validation[[#This Row],[AI_OUT1]]</f>
        <v>8</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2</v>
      </c>
    </row>
    <row r="41" spans="1:61" x14ac:dyDescent="0.45">
      <c r="A41" s="30">
        <f>step3_validation[[#This Row],[Persona_ID]]</f>
        <v>40</v>
      </c>
      <c r="B41" s="31">
        <f>step3_validation[[#This Row],[Used_Seed]]</f>
        <v>12384</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127.22034440499482</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7</v>
      </c>
      <c r="R41" t="str">
        <f t="shared" si="0"/>
        <v>Neutral</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1</v>
      </c>
      <c r="V41">
        <f>step3_validation[[#This Row],[AI_ENF2]]</f>
        <v>6</v>
      </c>
      <c r="W41" t="str">
        <f t="shared" si="3"/>
        <v>Neutral</v>
      </c>
      <c r="X41">
        <f>survey_responses[[#This Row],[Tôi tin rằng Nhà nước, cơ quan thuế có đủ khả năng và công nghệ để phát hiện, xử lý nghiêm các hành vi trốn thuế. - HUMAN-ENF2]]</f>
        <v>8</v>
      </c>
      <c r="Y41" t="str">
        <f t="shared" si="4"/>
        <v>Support</v>
      </c>
      <c r="Z41" s="32">
        <f t="shared" si="5"/>
        <v>2</v>
      </c>
      <c r="AA41">
        <f>step3_validation[[#This Row],[AI_FAC1]]</f>
        <v>8</v>
      </c>
      <c r="AB41" t="str">
        <f t="shared" si="6"/>
        <v>Support</v>
      </c>
      <c r="AC41">
        <f>survey_responses[[#This Row],[Các thủ tục khai báo thuế VÀ/HOẶC quy trình làm việc với cơ quan thuế đơn giản, tiện lợi, nhanh chóng hơn so với trước đây. - HUMAN-FAC1]]</f>
        <v>6</v>
      </c>
      <c r="AD41" t="str">
        <f t="shared" si="7"/>
        <v>Neutral</v>
      </c>
      <c r="AE41" s="32">
        <f t="shared" si="8"/>
        <v>2</v>
      </c>
      <c r="AF41">
        <f>step3_validation[[#This Row],[AI_FAC2]]</f>
        <v>9</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2">
        <f t="shared" si="11"/>
        <v>1</v>
      </c>
      <c r="AK41">
        <f>step3_validation[[#This Row],[AI_TRU1]]</f>
        <v>6</v>
      </c>
      <c r="AL41" t="str">
        <f t="shared" si="12"/>
        <v>Neutral</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1</v>
      </c>
      <c r="AP41">
        <f>step3_validation[[#This Row],[AI_TRU2]]</f>
        <v>7</v>
      </c>
      <c r="AQ41" t="str">
        <f t="shared" si="15"/>
        <v>Neutral</v>
      </c>
      <c r="AR41">
        <f>survey_responses[[#This Row],[Tôi thấy mức thuế tôi phải đóng theo phương án mới là công bằng (người thu nhập như tôi đóng mức này là hợp lý). - HUMAN-TRU2]]</f>
        <v>8</v>
      </c>
      <c r="AS41" t="str">
        <f t="shared" si="16"/>
        <v>Support</v>
      </c>
      <c r="AT41" s="32">
        <f t="shared" si="17"/>
        <v>1</v>
      </c>
      <c r="AU41">
        <f>step3_validation[[#This Row],[AI_TRU3]]</f>
        <v>6</v>
      </c>
      <c r="AV41" t="str">
        <f t="shared" si="18"/>
        <v>Neutral</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1</v>
      </c>
      <c r="AZ41">
        <f>step3_validation[[#This Row],[AI_TRU4]]</f>
        <v>5</v>
      </c>
      <c r="BA41" t="str">
        <f t="shared" si="21"/>
        <v>Neutral</v>
      </c>
      <c r="BB41">
        <f>survey_responses[[#This Row],[Tôi thấy Nhà nước đã giải thích rõ ràng, minh bạch về lý do và mục tiêu của việc sửa đổi thuế lần này. - HUMAN-TRU4]]</f>
        <v>6</v>
      </c>
      <c r="BC41" t="str">
        <f t="shared" si="22"/>
        <v>Neutral</v>
      </c>
      <c r="BD41" s="32">
        <f t="shared" si="23"/>
        <v>1</v>
      </c>
      <c r="BE41">
        <f>step3_validation[[#This Row],[AI_OUT1]]</f>
        <v>7</v>
      </c>
      <c r="BF41" t="str">
        <f t="shared" si="24"/>
        <v>Neutral</v>
      </c>
      <c r="BG41">
        <f>survey_responses[[#This Row],[Sau khi xem xét các quyền lợi và nghĩa vụ, bạn có ủng hộ và tuân thủ chính sách mới hiện nay? - HUMAN-OUT1]]</f>
        <v>7</v>
      </c>
      <c r="BH41" t="str">
        <f t="shared" si="25"/>
        <v>Neutral</v>
      </c>
      <c r="BI41" s="32">
        <f t="shared" si="26"/>
        <v>0</v>
      </c>
    </row>
    <row r="42" spans="1:61" x14ac:dyDescent="0.45">
      <c r="A42" s="30">
        <f>step3_validation[[#This Row],[Persona_ID]]</f>
        <v>41</v>
      </c>
      <c r="B42" s="31">
        <f>step3_validation[[#This Row],[Used_Seed]]</f>
        <v>12385</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75.800182024381115</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7</v>
      </c>
      <c r="R42" t="str">
        <f t="shared" si="0"/>
        <v>Neutral</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2</v>
      </c>
      <c r="V42">
        <f>step3_validation[[#This Row],[AI_ENF2]]</f>
        <v>6</v>
      </c>
      <c r="W42" t="str">
        <f t="shared" si="3"/>
        <v>Neutral</v>
      </c>
      <c r="X42">
        <f>survey_responses[[#This Row],[Tôi tin rằng Nhà nước, cơ quan thuế có đủ khả năng và công nghệ để phát hiện, xử lý nghiêm các hành vi trốn thuế. - HUMAN-ENF2]]</f>
        <v>8</v>
      </c>
      <c r="Y42" t="str">
        <f t="shared" si="4"/>
        <v>Support</v>
      </c>
      <c r="Z42" s="32">
        <f t="shared" si="5"/>
        <v>2</v>
      </c>
      <c r="AA42">
        <f>step3_validation[[#This Row],[AI_FAC1]]</f>
        <v>8</v>
      </c>
      <c r="AB42" t="str">
        <f t="shared" si="6"/>
        <v>Support</v>
      </c>
      <c r="AC42">
        <f>survey_responses[[#This Row],[Các thủ tục khai báo thuế VÀ/HOẶC quy trình làm việc với cơ quan thuế đơn giản, tiện lợi, nhanh chóng hơn so với trước đây. - HUMAN-FAC1]]</f>
        <v>7</v>
      </c>
      <c r="AD42" t="str">
        <f t="shared" si="7"/>
        <v>Neutral</v>
      </c>
      <c r="AE42" s="32">
        <f t="shared" si="8"/>
        <v>1</v>
      </c>
      <c r="AF42">
        <f>step3_validation[[#This Row],[AI_FAC2]]</f>
        <v>9</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1</v>
      </c>
      <c r="AK42">
        <f>step3_validation[[#This Row],[AI_TRU1]]</f>
        <v>5</v>
      </c>
      <c r="AL42" t="str">
        <f t="shared" si="12"/>
        <v>Neutral</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2</v>
      </c>
      <c r="AP42">
        <f>step3_validation[[#This Row],[AI_TRU2]]</f>
        <v>6</v>
      </c>
      <c r="AQ42" t="str">
        <f t="shared" si="15"/>
        <v>Neutral</v>
      </c>
      <c r="AR42">
        <f>survey_responses[[#This Row],[Tôi thấy mức thuế tôi phải đóng theo phương án mới là công bằng (người thu nhập như tôi đóng mức này là hợp lý). - HUMAN-TRU2]]</f>
        <v>4</v>
      </c>
      <c r="AS42" t="str">
        <f t="shared" si="16"/>
        <v>Oppose</v>
      </c>
      <c r="AT42" s="32">
        <f t="shared" si="17"/>
        <v>2</v>
      </c>
      <c r="AU42">
        <f>step3_validation[[#This Row],[AI_TRU3]]</f>
        <v>4</v>
      </c>
      <c r="AV42" t="str">
        <f t="shared" si="18"/>
        <v>Oppose</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2</v>
      </c>
      <c r="AZ42">
        <f>step3_validation[[#This Row],[AI_TRU4]]</f>
        <v>5</v>
      </c>
      <c r="BA42" t="str">
        <f t="shared" si="21"/>
        <v>Neutral</v>
      </c>
      <c r="BB42">
        <f>survey_responses[[#This Row],[Tôi thấy Nhà nước đã giải thích rõ ràng, minh bạch về lý do và mục tiêu của việc sửa đổi thuế lần này. - HUMAN-TRU4]]</f>
        <v>8</v>
      </c>
      <c r="BC42" t="str">
        <f t="shared" si="22"/>
        <v>Support</v>
      </c>
      <c r="BD42" s="32">
        <f t="shared" si="23"/>
        <v>3</v>
      </c>
      <c r="BE42">
        <f>step3_validation[[#This Row],[AI_OUT1]]</f>
        <v>6</v>
      </c>
      <c r="BF42" t="str">
        <f t="shared" si="24"/>
        <v>Neutral</v>
      </c>
      <c r="BG42">
        <f>survey_responses[[#This Row],[Sau khi xem xét các quyền lợi và nghĩa vụ, bạn có ủng hộ và tuân thủ chính sách mới hiện nay? - HUMAN-OUT1]]</f>
        <v>8</v>
      </c>
      <c r="BH42" t="str">
        <f t="shared" si="25"/>
        <v>Support</v>
      </c>
      <c r="BI42" s="32">
        <f t="shared" si="26"/>
        <v>2</v>
      </c>
    </row>
    <row r="43" spans="1:61" x14ac:dyDescent="0.45">
      <c r="A43" s="30">
        <f>step3_validation[[#This Row],[Persona_ID]]</f>
        <v>42</v>
      </c>
      <c r="B43" s="31">
        <f>step3_validation[[#This Row],[Used_Seed]]</f>
        <v>12386</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44.832411102554097</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3</v>
      </c>
      <c r="V43">
        <f>step3_validation[[#This Row],[AI_ENF2]]</f>
        <v>6</v>
      </c>
      <c r="W43" t="str">
        <f t="shared" si="3"/>
        <v>Neutral</v>
      </c>
      <c r="X43">
        <f>survey_responses[[#This Row],[Tôi tin rằng Nhà nước, cơ quan thuế có đủ khả năng và công nghệ để phát hiện, xử lý nghiêm các hành vi trốn thuế. - HUMAN-ENF2]]</f>
        <v>10</v>
      </c>
      <c r="Y43" t="str">
        <f t="shared" si="4"/>
        <v>Support</v>
      </c>
      <c r="Z43" s="32">
        <f t="shared" si="5"/>
        <v>4</v>
      </c>
      <c r="AA43">
        <f>step3_validation[[#This Row],[AI_FAC1]]</f>
        <v>8</v>
      </c>
      <c r="AB43" t="str">
        <f t="shared" si="6"/>
        <v>Support</v>
      </c>
      <c r="AC43">
        <f>survey_responses[[#This Row],[Các thủ tục khai báo thuế VÀ/HOẶC quy trình làm việc với cơ quan thuế đơn giản, tiện lợi, nhanh chóng hơn so với trước đây. - HUMAN-FAC1]]</f>
        <v>9</v>
      </c>
      <c r="AD43" t="str">
        <f t="shared" si="7"/>
        <v>Support</v>
      </c>
      <c r="AE43" s="32">
        <f t="shared" si="8"/>
        <v>1</v>
      </c>
      <c r="AF43">
        <f>step3_validation[[#This Row],[AI_FAC2]]</f>
        <v>9</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2">
        <f t="shared" si="11"/>
        <v>1</v>
      </c>
      <c r="AK43">
        <f>step3_validation[[#This Row],[AI_TRU1]]</f>
        <v>8</v>
      </c>
      <c r="AL43" t="str">
        <f t="shared" si="12"/>
        <v>Support</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1</v>
      </c>
      <c r="AP43">
        <f>step3_validation[[#This Row],[AI_TRU2]]</f>
        <v>7</v>
      </c>
      <c r="AQ43" t="str">
        <f t="shared" si="15"/>
        <v>Neutral</v>
      </c>
      <c r="AR43">
        <f>survey_responses[[#This Row],[Tôi thấy mức thuế tôi phải đóng theo phương án mới là công bằng (người thu nhập như tôi đóng mức này là hợp lý). - HUMAN-TRU2]]</f>
        <v>9</v>
      </c>
      <c r="AS43" t="str">
        <f t="shared" si="16"/>
        <v>Support</v>
      </c>
      <c r="AT43" s="32">
        <f t="shared" si="17"/>
        <v>2</v>
      </c>
      <c r="AU43">
        <f>step3_validation[[#This Row],[AI_TRU3]]</f>
        <v>6</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3</v>
      </c>
      <c r="AZ43">
        <f>step3_validation[[#This Row],[AI_TRU4]]</f>
        <v>5</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3</v>
      </c>
      <c r="BE43">
        <f>step3_validation[[#This Row],[AI_OUT1]]</f>
        <v>7</v>
      </c>
      <c r="BF43" t="str">
        <f t="shared" si="24"/>
        <v>Neutral</v>
      </c>
      <c r="BG43">
        <f>survey_responses[[#This Row],[Sau khi xem xét các quyền lợi và nghĩa vụ, bạn có ủng hộ và tuân thủ chính sách mới hiện nay? - HUMAN-OUT1]]</f>
        <v>8</v>
      </c>
      <c r="BH43" t="str">
        <f t="shared" si="25"/>
        <v>Support</v>
      </c>
      <c r="BI43" s="32">
        <f t="shared" si="26"/>
        <v>1</v>
      </c>
    </row>
    <row r="44" spans="1:61" x14ac:dyDescent="0.45">
      <c r="A44" s="30">
        <f>step3_validation[[#This Row],[Persona_ID]]</f>
        <v>43</v>
      </c>
      <c r="B44" s="31">
        <f>step3_validation[[#This Row],[Used_Seed]]</f>
        <v>12387</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181.46460242033686</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8</v>
      </c>
      <c r="R44" t="str">
        <f t="shared" si="0"/>
        <v>Support</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2</v>
      </c>
      <c r="V44">
        <f>step3_validation[[#This Row],[AI_ENF2]]</f>
        <v>7</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2">
        <f t="shared" si="5"/>
        <v>1</v>
      </c>
      <c r="AA44">
        <f>step3_validation[[#This Row],[AI_FAC1]]</f>
        <v>9</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2">
        <f t="shared" si="8"/>
        <v>1</v>
      </c>
      <c r="AF44">
        <f>step3_validation[[#This Row],[AI_FAC2]]</f>
        <v>8</v>
      </c>
      <c r="AG44" t="str">
        <f t="shared" si="9"/>
        <v>Support</v>
      </c>
      <c r="AH44">
        <f>survey_responses[[#This Row],[So với trước đây, tôi thấy cách tính thuế và các bậc thuế trong phương án mới đơn giản, dễ hiểu và dễ thực hiện hơn. - HUMAN-FAC2]]</f>
        <v>10</v>
      </c>
      <c r="AI44" t="str">
        <f t="shared" si="10"/>
        <v>Support</v>
      </c>
      <c r="AJ44" s="32">
        <f t="shared" si="11"/>
        <v>2</v>
      </c>
      <c r="AK44">
        <f>step3_validation[[#This Row],[AI_TRU1]]</f>
        <v>7</v>
      </c>
      <c r="AL44" t="str">
        <f t="shared" si="12"/>
        <v>Neutral</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2</v>
      </c>
      <c r="AP44">
        <f>step3_validation[[#This Row],[AI_TRU2]]</f>
        <v>8</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2">
        <f t="shared" si="17"/>
        <v>7</v>
      </c>
      <c r="AU44">
        <f>step3_validation[[#This Row],[AI_TRU3]]</f>
        <v>6</v>
      </c>
      <c r="AV44" t="str">
        <f t="shared" si="18"/>
        <v>Neutral</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1</v>
      </c>
      <c r="AZ44">
        <f>step3_validation[[#This Row],[AI_TRU4]]</f>
        <v>7</v>
      </c>
      <c r="BA44" t="str">
        <f t="shared" si="21"/>
        <v>Neutral</v>
      </c>
      <c r="BB44">
        <f>survey_responses[[#This Row],[Tôi thấy Nhà nước đã giải thích rõ ràng, minh bạch về lý do và mục tiêu của việc sửa đổi thuế lần này. - HUMAN-TRU4]]</f>
        <v>7</v>
      </c>
      <c r="BC44" t="str">
        <f t="shared" si="22"/>
        <v>Neutral</v>
      </c>
      <c r="BD44" s="32">
        <f t="shared" si="23"/>
        <v>0</v>
      </c>
      <c r="BE44">
        <f>step3_validation[[#This Row],[AI_OUT1]]</f>
        <v>8</v>
      </c>
      <c r="BF44" t="str">
        <f t="shared" si="24"/>
        <v>Support</v>
      </c>
      <c r="BG44">
        <f>survey_responses[[#This Row],[Sau khi xem xét các quyền lợi và nghĩa vụ, bạn có ủng hộ và tuân thủ chính sách mới hiện nay? - HUMAN-OUT1]]</f>
        <v>8</v>
      </c>
      <c r="BH44" t="str">
        <f t="shared" si="25"/>
        <v>Support</v>
      </c>
      <c r="BI44" s="32">
        <f t="shared" si="26"/>
        <v>0</v>
      </c>
    </row>
    <row r="45" spans="1:61" x14ac:dyDescent="0.45">
      <c r="A45" s="30">
        <f>step3_validation[[#This Row],[Persona_ID]]</f>
        <v>44</v>
      </c>
      <c r="B45" s="31">
        <f>step3_validation[[#This Row],[Used_Seed]]</f>
        <v>12388</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27.035028786955039</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9</v>
      </c>
      <c r="R45" t="str">
        <f t="shared" si="0"/>
        <v>Support</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1</v>
      </c>
      <c r="V45">
        <f>step3_validation[[#This Row],[AI_ENF2]]</f>
        <v>8</v>
      </c>
      <c r="W45" t="str">
        <f t="shared" si="3"/>
        <v>Support</v>
      </c>
      <c r="X45">
        <f>survey_responses[[#This Row],[Tôi tin rằng Nhà nước, cơ quan thuế có đủ khả năng và công nghệ để phát hiện, xử lý nghiêm các hành vi trốn thuế. - HUMAN-ENF2]]</f>
        <v>8</v>
      </c>
      <c r="Y45" t="str">
        <f t="shared" si="4"/>
        <v>Support</v>
      </c>
      <c r="Z45" s="32">
        <f t="shared" si="5"/>
        <v>0</v>
      </c>
      <c r="AA45">
        <f>step3_validation[[#This Row],[AI_FAC1]]</f>
        <v>8</v>
      </c>
      <c r="AB45" t="str">
        <f t="shared" si="6"/>
        <v>Support</v>
      </c>
      <c r="AC45">
        <f>survey_responses[[#This Row],[Các thủ tục khai báo thuế VÀ/HOẶC quy trình làm việc với cơ quan thuế đơn giản, tiện lợi, nhanh chóng hơn so với trước đây. - HUMAN-FAC1]]</f>
        <v>8</v>
      </c>
      <c r="AD45" t="str">
        <f t="shared" si="7"/>
        <v>Support</v>
      </c>
      <c r="AE45" s="32">
        <f t="shared" si="8"/>
        <v>0</v>
      </c>
      <c r="AF45">
        <f>step3_validation[[#This Row],[AI_FAC2]]</f>
        <v>7</v>
      </c>
      <c r="AG45" t="str">
        <f t="shared" si="9"/>
        <v>Neutral</v>
      </c>
      <c r="AH45">
        <f>survey_responses[[#This Row],[So với trước đây, tôi thấy cách tính thuế và các bậc thuế trong phương án mới đơn giản, dễ hiểu và dễ thực hiện hơn. - HUMAN-FAC2]]</f>
        <v>8</v>
      </c>
      <c r="AI45" t="str">
        <f t="shared" si="10"/>
        <v>Support</v>
      </c>
      <c r="AJ45" s="32">
        <f t="shared" si="11"/>
        <v>1</v>
      </c>
      <c r="AK45">
        <f>step3_validation[[#This Row],[AI_TRU1]]</f>
        <v>8</v>
      </c>
      <c r="AL45" t="str">
        <f t="shared" si="12"/>
        <v>Support</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0</v>
      </c>
      <c r="AP45">
        <f>step3_validation[[#This Row],[AI_TRU2]]</f>
        <v>9</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2">
        <f t="shared" si="17"/>
        <v>1</v>
      </c>
      <c r="AU45">
        <f>step3_validation[[#This Row],[AI_TRU3]]</f>
        <v>7</v>
      </c>
      <c r="AV45" t="str">
        <f t="shared" si="18"/>
        <v>Neutral</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2</v>
      </c>
      <c r="AZ45">
        <f>step3_validation[[#This Row],[AI_TRU4]]</f>
        <v>8</v>
      </c>
      <c r="BA45" t="str">
        <f t="shared" si="21"/>
        <v>Support</v>
      </c>
      <c r="BB45">
        <f>survey_responses[[#This Row],[Tôi thấy Nhà nước đã giải thích rõ ràng, minh bạch về lý do và mục tiêu của việc sửa đổi thuế lần này. - HUMAN-TRU4]]</f>
        <v>5</v>
      </c>
      <c r="BC45" t="str">
        <f t="shared" si="22"/>
        <v>Neutral</v>
      </c>
      <c r="BD45" s="32">
        <f t="shared" si="23"/>
        <v>3</v>
      </c>
      <c r="BE45">
        <f>step3_validation[[#This Row],[AI_OUT1]]</f>
        <v>9</v>
      </c>
      <c r="BF45" t="str">
        <f t="shared" si="24"/>
        <v>Support</v>
      </c>
      <c r="BG45">
        <f>survey_responses[[#This Row],[Sau khi xem xét các quyền lợi và nghĩa vụ, bạn có ủng hộ và tuân thủ chính sách mới hiện nay? - HUMAN-OUT1]]</f>
        <v>9</v>
      </c>
      <c r="BH45" t="str">
        <f t="shared" si="25"/>
        <v>Support</v>
      </c>
      <c r="BI45" s="32">
        <f t="shared" si="26"/>
        <v>0</v>
      </c>
    </row>
    <row r="46" spans="1:61" x14ac:dyDescent="0.45">
      <c r="A46" s="30">
        <f>step3_validation[[#This Row],[Persona_ID]]</f>
        <v>45</v>
      </c>
      <c r="B46" s="31">
        <f>step3_validation[[#This Row],[Used_Seed]]</f>
        <v>12389</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26.332748776775741</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7</v>
      </c>
      <c r="R46" t="str">
        <f t="shared" si="0"/>
        <v>Neutral</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3</v>
      </c>
      <c r="V46">
        <f>step3_validation[[#This Row],[AI_ENF2]]</f>
        <v>8</v>
      </c>
      <c r="W46" t="str">
        <f t="shared" si="3"/>
        <v>Support</v>
      </c>
      <c r="X46">
        <f>survey_responses[[#This Row],[Tôi tin rằng Nhà nước, cơ quan thuế có đủ khả năng và công nghệ để phát hiện, xử lý nghiêm các hành vi trốn thuế. - HUMAN-ENF2]]</f>
        <v>10</v>
      </c>
      <c r="Y46" t="str">
        <f t="shared" si="4"/>
        <v>Support</v>
      </c>
      <c r="Z46" s="32">
        <f t="shared" si="5"/>
        <v>2</v>
      </c>
      <c r="AA46">
        <f>step3_validation[[#This Row],[AI_FAC1]]</f>
        <v>6</v>
      </c>
      <c r="AB46" t="str">
        <f t="shared" si="6"/>
        <v>Neutral</v>
      </c>
      <c r="AC46">
        <f>survey_responses[[#This Row],[Các thủ tục khai báo thuế VÀ/HOẶC quy trình làm việc với cơ quan thuế đơn giản, tiện lợi, nhanh chóng hơn so với trước đây. - HUMAN-FAC1]]</f>
        <v>10</v>
      </c>
      <c r="AD46" t="str">
        <f t="shared" si="7"/>
        <v>Support</v>
      </c>
      <c r="AE46" s="32">
        <f t="shared" si="8"/>
        <v>4</v>
      </c>
      <c r="AF46">
        <f>step3_validation[[#This Row],[AI_FAC2]]</f>
        <v>7</v>
      </c>
      <c r="AG46" t="str">
        <f t="shared" si="9"/>
        <v>Neutral</v>
      </c>
      <c r="AH46">
        <f>survey_responses[[#This Row],[So với trước đây, tôi thấy cách tính thuế và các bậc thuế trong phương án mới đơn giản, dễ hiểu và dễ thực hiện hơn. - HUMAN-FAC2]]</f>
        <v>9</v>
      </c>
      <c r="AI46" t="str">
        <f t="shared" si="10"/>
        <v>Support</v>
      </c>
      <c r="AJ46" s="32">
        <f t="shared" si="11"/>
        <v>2</v>
      </c>
      <c r="AK46">
        <f>step3_validation[[#This Row],[AI_TRU1]]</f>
        <v>6</v>
      </c>
      <c r="AL46" t="str">
        <f t="shared" si="12"/>
        <v>Neutral</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4</v>
      </c>
      <c r="AP46">
        <f>step3_validation[[#This Row],[AI_TRU2]]</f>
        <v>5</v>
      </c>
      <c r="AQ46" t="str">
        <f t="shared" si="15"/>
        <v>Neutral</v>
      </c>
      <c r="AR46">
        <f>survey_responses[[#This Row],[Tôi thấy mức thuế tôi phải đóng theo phương án mới là công bằng (người thu nhập như tôi đóng mức này là hợp lý). - HUMAN-TRU2]]</f>
        <v>10</v>
      </c>
      <c r="AS46" t="str">
        <f t="shared" si="16"/>
        <v>Support</v>
      </c>
      <c r="AT46" s="32">
        <f t="shared" si="17"/>
        <v>5</v>
      </c>
      <c r="AU46">
        <f>step3_validation[[#This Row],[AI_TRU3]]</f>
        <v>5</v>
      </c>
      <c r="AV46" t="str">
        <f t="shared" si="18"/>
        <v>Neutral</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5</v>
      </c>
      <c r="AZ46">
        <f>step3_validation[[#This Row],[AI_TRU4]]</f>
        <v>6</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4</v>
      </c>
      <c r="BE46">
        <f>step3_validation[[#This Row],[AI_OUT1]]</f>
        <v>6</v>
      </c>
      <c r="BF46" t="str">
        <f t="shared" si="24"/>
        <v>Neutral</v>
      </c>
      <c r="BG46">
        <f>survey_responses[[#This Row],[Sau khi xem xét các quyền lợi và nghĩa vụ, bạn có ủng hộ và tuân thủ chính sách mới hiện nay? - HUMAN-OUT1]]</f>
        <v>10</v>
      </c>
      <c r="BH46" t="str">
        <f t="shared" si="25"/>
        <v>Support</v>
      </c>
      <c r="BI46" s="32">
        <f t="shared" si="26"/>
        <v>4</v>
      </c>
    </row>
    <row r="47" spans="1:61" x14ac:dyDescent="0.45">
      <c r="A47" s="30">
        <f>step3_validation[[#This Row],[Persona_ID]]</f>
        <v>46</v>
      </c>
      <c r="B47" s="31">
        <f>step3_validation[[#This Row],[Used_Seed]]</f>
        <v>12390</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6</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5</v>
      </c>
      <c r="V47">
        <f>step3_validation[[#This Row],[AI_ENF2]]</f>
        <v>7</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6</v>
      </c>
      <c r="AA47">
        <f>step3_validation[[#This Row],[AI_FAC1]]</f>
        <v>6</v>
      </c>
      <c r="AB47" t="str">
        <f t="shared" si="6"/>
        <v>Neutral</v>
      </c>
      <c r="AC47">
        <f>survey_responses[[#This Row],[Các thủ tục khai báo thuế VÀ/HOẶC quy trình làm việc với cơ quan thuế đơn giản, tiện lợi, nhanh chóng hơn so với trước đây. - HUMAN-FAC1]]</f>
        <v>2</v>
      </c>
      <c r="AD47" t="str">
        <f t="shared" si="7"/>
        <v>Oppose</v>
      </c>
      <c r="AE47" s="32">
        <f t="shared" si="8"/>
        <v>4</v>
      </c>
      <c r="AF47">
        <f>step3_validation[[#This Row],[AI_FAC2]]</f>
        <v>8</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7</v>
      </c>
      <c r="AK47">
        <f>step3_validation[[#This Row],[AI_TRU1]]</f>
        <v>7</v>
      </c>
      <c r="AL47" t="str">
        <f t="shared" si="12"/>
        <v>Neutral</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6</v>
      </c>
      <c r="AP47">
        <f>step3_validation[[#This Row],[AI_TRU2]]</f>
        <v>6</v>
      </c>
      <c r="AQ47" t="str">
        <f t="shared" si="15"/>
        <v>Neutral</v>
      </c>
      <c r="AR47">
        <f>survey_responses[[#This Row],[Tôi thấy mức thuế tôi phải đóng theo phương án mới là công bằng (người thu nhập như tôi đóng mức này là hợp lý). - HUMAN-TRU2]]</f>
        <v>1</v>
      </c>
      <c r="AS47" t="str">
        <f t="shared" si="16"/>
        <v>Oppose</v>
      </c>
      <c r="AT47" s="32">
        <f t="shared" si="17"/>
        <v>5</v>
      </c>
      <c r="AU47">
        <f>step3_validation[[#This Row],[AI_TRU3]]</f>
        <v>6</v>
      </c>
      <c r="AV47" t="str">
        <f t="shared" si="18"/>
        <v>Neutral</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5</v>
      </c>
      <c r="AZ47">
        <f>step3_validation[[#This Row],[AI_TRU4]]</f>
        <v>5</v>
      </c>
      <c r="BA47" t="str">
        <f t="shared" si="21"/>
        <v>Neutral</v>
      </c>
      <c r="BB47">
        <f>survey_responses[[#This Row],[Tôi thấy Nhà nước đã giải thích rõ ràng, minh bạch về lý do và mục tiêu của việc sửa đổi thuế lần này. - HUMAN-TRU4]]</f>
        <v>1</v>
      </c>
      <c r="BC47" t="str">
        <f t="shared" si="22"/>
        <v>Oppose</v>
      </c>
      <c r="BD47" s="32">
        <f t="shared" si="23"/>
        <v>4</v>
      </c>
      <c r="BE47">
        <f>step3_validation[[#This Row],[AI_OUT1]]</f>
        <v>7</v>
      </c>
      <c r="BF47" t="str">
        <f t="shared" si="24"/>
        <v>Neutral</v>
      </c>
      <c r="BG47">
        <f>survey_responses[[#This Row],[Sau khi xem xét các quyền lợi và nghĩa vụ, bạn có ủng hộ và tuân thủ chính sách mới hiện nay? - HUMAN-OUT1]]</f>
        <v>1</v>
      </c>
      <c r="BH47" t="str">
        <f t="shared" si="25"/>
        <v>Oppose</v>
      </c>
      <c r="BI47" s="32">
        <f t="shared" si="26"/>
        <v>6</v>
      </c>
    </row>
    <row r="48" spans="1:61" x14ac:dyDescent="0.45">
      <c r="A48" s="30">
        <f>step3_validation[[#This Row],[Persona_ID]]</f>
        <v>47</v>
      </c>
      <c r="B48" s="31">
        <f>step3_validation[[#This Row],[Used_Seed]]</f>
        <v>12391</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8</v>
      </c>
      <c r="R48" t="str">
        <f t="shared" si="0"/>
        <v>Support</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0</v>
      </c>
      <c r="V48">
        <f>step3_validation[[#This Row],[AI_ENF2]]</f>
        <v>7</v>
      </c>
      <c r="W48" t="str">
        <f t="shared" si="3"/>
        <v>Neutral</v>
      </c>
      <c r="X48">
        <f>survey_responses[[#This Row],[Tôi tin rằng Nhà nước, cơ quan thuế có đủ khả năng và công nghệ để phát hiện, xử lý nghiêm các hành vi trốn thuế. - HUMAN-ENF2]]</f>
        <v>8</v>
      </c>
      <c r="Y48" t="str">
        <f t="shared" si="4"/>
        <v>Support</v>
      </c>
      <c r="Z48" s="32">
        <f t="shared" si="5"/>
        <v>1</v>
      </c>
      <c r="AA48">
        <f>step3_validation[[#This Row],[AI_FAC1]]</f>
        <v>6</v>
      </c>
      <c r="AB48" t="str">
        <f t="shared" si="6"/>
        <v>Neutral</v>
      </c>
      <c r="AC48">
        <f>survey_responses[[#This Row],[Các thủ tục khai báo thuế VÀ/HOẶC quy trình làm việc với cơ quan thuế đơn giản, tiện lợi, nhanh chóng hơn so với trước đây. - HUMAN-FAC1]]</f>
        <v>8</v>
      </c>
      <c r="AD48" t="str">
        <f t="shared" si="7"/>
        <v>Support</v>
      </c>
      <c r="AE48" s="32">
        <f t="shared" si="8"/>
        <v>2</v>
      </c>
      <c r="AF48">
        <f>step3_validation[[#This Row],[AI_FAC2]]</f>
        <v>8</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1</v>
      </c>
      <c r="AK48">
        <f>step3_validation[[#This Row],[AI_TRU1]]</f>
        <v>5</v>
      </c>
      <c r="AL48" t="str">
        <f t="shared" si="12"/>
        <v>Neutral</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1</v>
      </c>
      <c r="AP48">
        <f>step3_validation[[#This Row],[AI_TRU2]]</f>
        <v>6</v>
      </c>
      <c r="AQ48" t="str">
        <f t="shared" si="15"/>
        <v>Neutral</v>
      </c>
      <c r="AR48">
        <f>survey_responses[[#This Row],[Tôi thấy mức thuế tôi phải đóng theo phương án mới là công bằng (người thu nhập như tôi đóng mức này là hợp lý). - HUMAN-TRU2]]</f>
        <v>8</v>
      </c>
      <c r="AS48" t="str">
        <f t="shared" si="16"/>
        <v>Support</v>
      </c>
      <c r="AT48" s="32">
        <f t="shared" si="17"/>
        <v>2</v>
      </c>
      <c r="AU48">
        <f>step3_validation[[#This Row],[AI_TRU3]]</f>
        <v>4</v>
      </c>
      <c r="AV48" t="str">
        <f t="shared" si="18"/>
        <v>Oppose</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4</v>
      </c>
      <c r="AZ48">
        <f>step3_validation[[#This Row],[AI_TRU4]]</f>
        <v>6</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2">
        <f t="shared" si="23"/>
        <v>3</v>
      </c>
      <c r="BE48">
        <f>step3_validation[[#This Row],[AI_OUT1]]</f>
        <v>7</v>
      </c>
      <c r="BF48" t="str">
        <f t="shared" si="24"/>
        <v>Neutral</v>
      </c>
      <c r="BG48">
        <f>survey_responses[[#This Row],[Sau khi xem xét các quyền lợi và nghĩa vụ, bạn có ủng hộ và tuân thủ chính sách mới hiện nay? - HUMAN-OUT1]]</f>
        <v>8</v>
      </c>
      <c r="BH48" t="str">
        <f t="shared" si="25"/>
        <v>Support</v>
      </c>
      <c r="BI48" s="32">
        <f t="shared" si="26"/>
        <v>1</v>
      </c>
    </row>
    <row r="49" spans="1:61" x14ac:dyDescent="0.45">
      <c r="A49" s="30">
        <f>step3_validation[[#This Row],[Persona_ID]]</f>
        <v>48</v>
      </c>
      <c r="B49" s="31">
        <f>step3_validation[[#This Row],[Used_Seed]]</f>
        <v>12392</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34.345379820134994</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8</v>
      </c>
      <c r="R49" t="str">
        <f t="shared" si="0"/>
        <v>Support</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2</v>
      </c>
      <c r="V49">
        <f>step3_validation[[#This Row],[AI_ENF2]]</f>
        <v>7</v>
      </c>
      <c r="W49" t="str">
        <f t="shared" si="3"/>
        <v>Neutral</v>
      </c>
      <c r="X49">
        <f>survey_responses[[#This Row],[Tôi tin rằng Nhà nước, cơ quan thuế có đủ khả năng và công nghệ để phát hiện, xử lý nghiêm các hành vi trốn thuế. - HUMAN-ENF2]]</f>
        <v>10</v>
      </c>
      <c r="Y49" t="str">
        <f t="shared" si="4"/>
        <v>Support</v>
      </c>
      <c r="Z49" s="32">
        <f t="shared" si="5"/>
        <v>3</v>
      </c>
      <c r="AA49">
        <f>step3_validation[[#This Row],[AI_FAC1]]</f>
        <v>6</v>
      </c>
      <c r="AB49" t="str">
        <f t="shared" si="6"/>
        <v>Neutral</v>
      </c>
      <c r="AC49">
        <f>survey_responses[[#This Row],[Các thủ tục khai báo thuế VÀ/HOẶC quy trình làm việc với cơ quan thuế đơn giản, tiện lợi, nhanh chóng hơn so với trước đây. - HUMAN-FAC1]]</f>
        <v>10</v>
      </c>
      <c r="AD49" t="str">
        <f t="shared" si="7"/>
        <v>Support</v>
      </c>
      <c r="AE49" s="32">
        <f t="shared" si="8"/>
        <v>4</v>
      </c>
      <c r="AF49">
        <f>step3_validation[[#This Row],[AI_FAC2]]</f>
        <v>6</v>
      </c>
      <c r="AG49" t="str">
        <f t="shared" si="9"/>
        <v>Neutral</v>
      </c>
      <c r="AH49">
        <f>survey_responses[[#This Row],[So với trước đây, tôi thấy cách tính thuế và các bậc thuế trong phương án mới đơn giản, dễ hiểu và dễ thực hiện hơn. - HUMAN-FAC2]]</f>
        <v>10</v>
      </c>
      <c r="AI49" t="str">
        <f t="shared" si="10"/>
        <v>Support</v>
      </c>
      <c r="AJ49" s="32">
        <f t="shared" si="11"/>
        <v>4</v>
      </c>
      <c r="AK49">
        <f>step3_validation[[#This Row],[AI_TRU1]]</f>
        <v>5</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5</v>
      </c>
      <c r="AP49">
        <f>step3_validation[[#This Row],[AI_TRU2]]</f>
        <v>6</v>
      </c>
      <c r="AQ49" t="str">
        <f t="shared" si="15"/>
        <v>Neutral</v>
      </c>
      <c r="AR49">
        <f>survey_responses[[#This Row],[Tôi thấy mức thuế tôi phải đóng theo phương án mới là công bằng (người thu nhập như tôi đóng mức này là hợp lý). - HUMAN-TRU2]]</f>
        <v>10</v>
      </c>
      <c r="AS49" t="str">
        <f t="shared" si="16"/>
        <v>Support</v>
      </c>
      <c r="AT49" s="32">
        <f t="shared" si="17"/>
        <v>4</v>
      </c>
      <c r="AU49">
        <f>step3_validation[[#This Row],[AI_TRU3]]</f>
        <v>4</v>
      </c>
      <c r="AV49" t="str">
        <f t="shared" si="18"/>
        <v>Oppose</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6</v>
      </c>
      <c r="AZ49">
        <f>step3_validation[[#This Row],[AI_TRU4]]</f>
        <v>5</v>
      </c>
      <c r="BA49" t="str">
        <f t="shared" si="21"/>
        <v>Neutral</v>
      </c>
      <c r="BB49">
        <f>survey_responses[[#This Row],[Tôi thấy Nhà nước đã giải thích rõ ràng, minh bạch về lý do và mục tiêu của việc sửa đổi thuế lần này. - HUMAN-TRU4]]</f>
        <v>10</v>
      </c>
      <c r="BC49" t="str">
        <f t="shared" si="22"/>
        <v>Support</v>
      </c>
      <c r="BD49" s="32">
        <f t="shared" si="23"/>
        <v>5</v>
      </c>
      <c r="BE49">
        <f>step3_validation[[#This Row],[AI_OUT1]]</f>
        <v>6</v>
      </c>
      <c r="BF49" t="str">
        <f t="shared" si="24"/>
        <v>Neutral</v>
      </c>
      <c r="BG49">
        <f>survey_responses[[#This Row],[Sau khi xem xét các quyền lợi và nghĩa vụ, bạn có ủng hộ và tuân thủ chính sách mới hiện nay? - HUMAN-OUT1]]</f>
        <v>10</v>
      </c>
      <c r="BH49" t="str">
        <f t="shared" si="25"/>
        <v>Support</v>
      </c>
      <c r="BI49" s="32">
        <f t="shared" si="26"/>
        <v>4</v>
      </c>
    </row>
    <row r="50" spans="1:61" x14ac:dyDescent="0.45">
      <c r="A50" s="30">
        <f>step3_validation[[#This Row],[Persona_ID]]</f>
        <v>49</v>
      </c>
      <c r="B50" s="31">
        <f>step3_validation[[#This Row],[Used_Seed]]</f>
        <v>12393</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108.15945156406887</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7</v>
      </c>
      <c r="R50" t="str">
        <f t="shared" si="0"/>
        <v>Neutral</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1</v>
      </c>
      <c r="V50">
        <f>step3_validation[[#This Row],[AI_ENF2]]</f>
        <v>8</v>
      </c>
      <c r="W50" t="str">
        <f t="shared" si="3"/>
        <v>Support</v>
      </c>
      <c r="X50">
        <f>survey_responses[[#This Row],[Tôi tin rằng Nhà nước, cơ quan thuế có đủ khả năng và công nghệ để phát hiện, xử lý nghiêm các hành vi trốn thuế. - HUMAN-ENF2]]</f>
        <v>8</v>
      </c>
      <c r="Y50" t="str">
        <f t="shared" si="4"/>
        <v>Support</v>
      </c>
      <c r="Z50" s="32">
        <f t="shared" si="5"/>
        <v>0</v>
      </c>
      <c r="AA50">
        <f>step3_validation[[#This Row],[AI_FAC1]]</f>
        <v>9</v>
      </c>
      <c r="AB50" t="str">
        <f t="shared" si="6"/>
        <v>Support</v>
      </c>
      <c r="AC50">
        <f>survey_responses[[#This Row],[Các thủ tục khai báo thuế VÀ/HOẶC quy trình làm việc với cơ quan thuế đơn giản, tiện lợi, nhanh chóng hơn so với trước đây. - HUMAN-FAC1]]</f>
        <v>7</v>
      </c>
      <c r="AD50" t="str">
        <f t="shared" si="7"/>
        <v>Neutral</v>
      </c>
      <c r="AE50" s="32">
        <f t="shared" si="8"/>
        <v>2</v>
      </c>
      <c r="AF50">
        <f>step3_validation[[#This Row],[AI_FAC2]]</f>
        <v>8</v>
      </c>
      <c r="AG50" t="str">
        <f t="shared" si="9"/>
        <v>Support</v>
      </c>
      <c r="AH50">
        <f>survey_responses[[#This Row],[So với trước đây, tôi thấy cách tính thuế và các bậc thuế trong phương án mới đơn giản, dễ hiểu và dễ thực hiện hơn. - HUMAN-FAC2]]</f>
        <v>8</v>
      </c>
      <c r="AI50" t="str">
        <f t="shared" si="10"/>
        <v>Support</v>
      </c>
      <c r="AJ50" s="32">
        <f t="shared" si="11"/>
        <v>0</v>
      </c>
      <c r="AK50">
        <f>step3_validation[[#This Row],[AI_TRU1]]</f>
        <v>7</v>
      </c>
      <c r="AL50" t="str">
        <f t="shared" si="12"/>
        <v>Neutral</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1</v>
      </c>
      <c r="AP50">
        <f>step3_validation[[#This Row],[AI_TRU2]]</f>
        <v>8</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0</v>
      </c>
      <c r="AU50">
        <f>step3_validation[[#This Row],[AI_TRU3]]</f>
        <v>7</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1</v>
      </c>
      <c r="AZ50">
        <f>step3_validation[[#This Row],[AI_TRU4]]</f>
        <v>6</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2">
        <f t="shared" si="23"/>
        <v>1</v>
      </c>
      <c r="BE50">
        <f>step3_validation[[#This Row],[AI_OUT1]]</f>
        <v>8</v>
      </c>
      <c r="BF50" t="str">
        <f t="shared" si="24"/>
        <v>Support</v>
      </c>
      <c r="BG50">
        <f>survey_responses[[#This Row],[Sau khi xem xét các quyền lợi và nghĩa vụ, bạn có ủng hộ và tuân thủ chính sách mới hiện nay? - HUMAN-OUT1]]</f>
        <v>8</v>
      </c>
      <c r="BH50" t="str">
        <f t="shared" si="25"/>
        <v>Support</v>
      </c>
      <c r="BI50" s="32">
        <f t="shared" si="26"/>
        <v>0</v>
      </c>
    </row>
    <row r="51" spans="1:61" x14ac:dyDescent="0.45">
      <c r="A51" s="30">
        <f>step3_validation[[#This Row],[Persona_ID]]</f>
        <v>50</v>
      </c>
      <c r="B51" s="31">
        <f>step3_validation[[#This Row],[Used_Seed]]</f>
        <v>12394</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20.174158865869114</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t="str">
        <f t="shared" si="0"/>
        <v>Neutral</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3</v>
      </c>
      <c r="V51">
        <f>step3_validation[[#This Row],[AI_ENF2]]</f>
        <v>8</v>
      </c>
      <c r="W51" t="str">
        <f t="shared" si="3"/>
        <v>Support</v>
      </c>
      <c r="X51">
        <f>survey_responses[[#This Row],[Tôi tin rằng Nhà nước, cơ quan thuế có đủ khả năng và công nghệ để phát hiện, xử lý nghiêm các hành vi trốn thuế. - HUMAN-ENF2]]</f>
        <v>10</v>
      </c>
      <c r="Y51" t="str">
        <f t="shared" si="4"/>
        <v>Support</v>
      </c>
      <c r="Z51" s="32">
        <f t="shared" si="5"/>
        <v>2</v>
      </c>
      <c r="AA51">
        <f>step3_validation[[#This Row],[AI_FAC1]]</f>
        <v>9</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2">
        <f t="shared" si="8"/>
        <v>1</v>
      </c>
      <c r="AF51">
        <f>step3_validation[[#This Row],[AI_FAC2]]</f>
        <v>8</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0</v>
      </c>
      <c r="AK51">
        <f>step3_validation[[#This Row],[AI_TRU1]]</f>
        <v>7</v>
      </c>
      <c r="AL51" t="str">
        <f t="shared" si="12"/>
        <v>Neutral</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1</v>
      </c>
      <c r="AP51">
        <f>step3_validation[[#This Row],[AI_TRU2]]</f>
        <v>8</v>
      </c>
      <c r="AQ51" t="str">
        <f t="shared" si="15"/>
        <v>Support</v>
      </c>
      <c r="AR51">
        <f>survey_responses[[#This Row],[Tôi thấy mức thuế tôi phải đóng theo phương án mới là công bằng (người thu nhập như tôi đóng mức này là hợp lý). - HUMAN-TRU2]]</f>
        <v>8</v>
      </c>
      <c r="AS51" t="str">
        <f t="shared" si="16"/>
        <v>Support</v>
      </c>
      <c r="AT51" s="32">
        <f t="shared" si="17"/>
        <v>0</v>
      </c>
      <c r="AU51">
        <f>step3_validation[[#This Row],[AI_TRU3]]</f>
        <v>7</v>
      </c>
      <c r="AV51" t="str">
        <f t="shared" si="18"/>
        <v>Neutral</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1</v>
      </c>
      <c r="AZ51">
        <f>step3_validation[[#This Row],[AI_TRU4]]</f>
        <v>6</v>
      </c>
      <c r="BA51" t="str">
        <f t="shared" si="21"/>
        <v>Neutral</v>
      </c>
      <c r="BB51">
        <f>survey_responses[[#This Row],[Tôi thấy Nhà nước đã giải thích rõ ràng, minh bạch về lý do và mục tiêu của việc sửa đổi thuế lần này. - HUMAN-TRU4]]</f>
        <v>8</v>
      </c>
      <c r="BC51" t="str">
        <f t="shared" si="22"/>
        <v>Support</v>
      </c>
      <c r="BD51" s="32">
        <f t="shared" si="23"/>
        <v>2</v>
      </c>
      <c r="BE51">
        <f>step3_validation[[#This Row],[AI_OUT1]]</f>
        <v>8</v>
      </c>
      <c r="BF51" t="str">
        <f t="shared" si="24"/>
        <v>Support</v>
      </c>
      <c r="BG51">
        <f>survey_responses[[#This Row],[Sau khi xem xét các quyền lợi và nghĩa vụ, bạn có ủng hộ và tuân thủ chính sách mới hiện nay? - HUMAN-OUT1]]</f>
        <v>8</v>
      </c>
      <c r="BH51" t="str">
        <f t="shared" si="25"/>
        <v>Support</v>
      </c>
      <c r="BI51" s="32">
        <f t="shared" si="26"/>
        <v>0</v>
      </c>
    </row>
    <row r="52" spans="1:61" x14ac:dyDescent="0.45">
      <c r="A52" s="30">
        <f>step3_validation[[#This Row],[Persona_ID]]</f>
        <v>51</v>
      </c>
      <c r="B52" s="31">
        <f>step3_validation[[#This Row],[Used_Seed]]</f>
        <v>12395</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12.655826388712205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7</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3</v>
      </c>
      <c r="V52">
        <f>step3_validation[[#This Row],[AI_ENF2]]</f>
        <v>8</v>
      </c>
      <c r="W52" t="str">
        <f t="shared" si="3"/>
        <v>Support</v>
      </c>
      <c r="X52">
        <f>survey_responses[[#This Row],[Tôi tin rằng Nhà nước, cơ quan thuế có đủ khả năng và công nghệ để phát hiện, xử lý nghiêm các hành vi trốn thuế. - HUMAN-ENF2]]</f>
        <v>10</v>
      </c>
      <c r="Y52" t="str">
        <f t="shared" si="4"/>
        <v>Support</v>
      </c>
      <c r="Z52" s="32">
        <f t="shared" si="5"/>
        <v>2</v>
      </c>
      <c r="AA52">
        <f>step3_validation[[#This Row],[AI_FAC1]]</f>
        <v>6</v>
      </c>
      <c r="AB52" t="str">
        <f t="shared" si="6"/>
        <v>Neutral</v>
      </c>
      <c r="AC52">
        <f>survey_responses[[#This Row],[Các thủ tục khai báo thuế VÀ/HOẶC quy trình làm việc với cơ quan thuế đơn giản, tiện lợi, nhanh chóng hơn so với trước đây. - HUMAN-FAC1]]</f>
        <v>10</v>
      </c>
      <c r="AD52" t="str">
        <f t="shared" si="7"/>
        <v>Support</v>
      </c>
      <c r="AE52" s="32">
        <f t="shared" si="8"/>
        <v>4</v>
      </c>
      <c r="AF52">
        <f>step3_validation[[#This Row],[AI_FAC2]]</f>
        <v>8</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2">
        <f t="shared" si="11"/>
        <v>2</v>
      </c>
      <c r="AK52">
        <f>step3_validation[[#This Row],[AI_TRU1]]</f>
        <v>7</v>
      </c>
      <c r="AL52" t="str">
        <f t="shared" si="12"/>
        <v>Neutral</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3</v>
      </c>
      <c r="AP52">
        <f>step3_validation[[#This Row],[AI_TRU2]]</f>
        <v>6</v>
      </c>
      <c r="AQ52" t="str">
        <f t="shared" si="15"/>
        <v>Neutral</v>
      </c>
      <c r="AR52">
        <f>survey_responses[[#This Row],[Tôi thấy mức thuế tôi phải đóng theo phương án mới là công bằng (người thu nhập như tôi đóng mức này là hợp lý). - HUMAN-TRU2]]</f>
        <v>10</v>
      </c>
      <c r="AS52" t="str">
        <f t="shared" si="16"/>
        <v>Support</v>
      </c>
      <c r="AT52" s="32">
        <f t="shared" si="17"/>
        <v>4</v>
      </c>
      <c r="AU52">
        <f>step3_validation[[#This Row],[AI_TRU3]]</f>
        <v>7</v>
      </c>
      <c r="AV52" t="str">
        <f t="shared" si="18"/>
        <v>Neutral</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3</v>
      </c>
      <c r="AZ52">
        <f>step3_validation[[#This Row],[AI_TRU4]]</f>
        <v>6</v>
      </c>
      <c r="BA52" t="str">
        <f t="shared" si="21"/>
        <v>Neutral</v>
      </c>
      <c r="BB52">
        <f>survey_responses[[#This Row],[Tôi thấy Nhà nước đã giải thích rõ ràng, minh bạch về lý do và mục tiêu của việc sửa đổi thuế lần này. - HUMAN-TRU4]]</f>
        <v>10</v>
      </c>
      <c r="BC52" t="str">
        <f t="shared" si="22"/>
        <v>Support</v>
      </c>
      <c r="BD52" s="32">
        <f t="shared" si="23"/>
        <v>4</v>
      </c>
      <c r="BE52">
        <f>step3_validation[[#This Row],[AI_OUT1]]</f>
        <v>5</v>
      </c>
      <c r="BF52" t="str">
        <f t="shared" si="24"/>
        <v>Neutral</v>
      </c>
      <c r="BG52">
        <f>survey_responses[[#This Row],[Sau khi xem xét các quyền lợi và nghĩa vụ, bạn có ủng hộ và tuân thủ chính sách mới hiện nay? - HUMAN-OUT1]]</f>
        <v>10</v>
      </c>
      <c r="BH52" t="str">
        <f t="shared" si="25"/>
        <v>Support</v>
      </c>
      <c r="BI52" s="32">
        <f t="shared" si="26"/>
        <v>5</v>
      </c>
    </row>
    <row r="53" spans="1:61" x14ac:dyDescent="0.45">
      <c r="A53" s="30">
        <f>step3_validation[[#This Row],[Persona_ID]]</f>
        <v>52</v>
      </c>
      <c r="B53" s="31">
        <f>step3_validation[[#This Row],[Used_Seed]]</f>
        <v>12396</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18.604831155484682</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5</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5</v>
      </c>
      <c r="V53">
        <f>step3_validation[[#This Row],[AI_ENF2]]</f>
        <v>7</v>
      </c>
      <c r="W53" t="str">
        <f t="shared" si="3"/>
        <v>Neutral</v>
      </c>
      <c r="X53">
        <f>survey_responses[[#This Row],[Tôi tin rằng Nhà nước, cơ quan thuế có đủ khả năng và công nghệ để phát hiện, xử lý nghiêm các hành vi trốn thuế. - HUMAN-ENF2]]</f>
        <v>10</v>
      </c>
      <c r="Y53" t="str">
        <f t="shared" si="4"/>
        <v>Support</v>
      </c>
      <c r="Z53" s="32">
        <f t="shared" si="5"/>
        <v>3</v>
      </c>
      <c r="AA53">
        <f>step3_validation[[#This Row],[AI_FAC1]]</f>
        <v>8</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2</v>
      </c>
      <c r="AF53">
        <f>step3_validation[[#This Row],[AI_FAC2]]</f>
        <v>9</v>
      </c>
      <c r="AG53" t="str">
        <f t="shared" si="9"/>
        <v>Support</v>
      </c>
      <c r="AH53">
        <f>survey_responses[[#This Row],[So với trước đây, tôi thấy cách tính thuế và các bậc thuế trong phương án mới đơn giản, dễ hiểu và dễ thực hiện hơn. - HUMAN-FAC2]]</f>
        <v>10</v>
      </c>
      <c r="AI53" t="str">
        <f t="shared" si="10"/>
        <v>Support</v>
      </c>
      <c r="AJ53" s="32">
        <f t="shared" si="11"/>
        <v>1</v>
      </c>
      <c r="AK53">
        <f>step3_validation[[#This Row],[AI_TRU1]]</f>
        <v>6</v>
      </c>
      <c r="AL53" t="str">
        <f t="shared" si="12"/>
        <v>Neutral</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4</v>
      </c>
      <c r="AP53">
        <f>step3_validation[[#This Row],[AI_TRU2]]</f>
        <v>8</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2">
        <f t="shared" si="17"/>
        <v>2</v>
      </c>
      <c r="AU53">
        <f>step3_validation[[#This Row],[AI_TRU3]]</f>
        <v>7</v>
      </c>
      <c r="AV53" t="str">
        <f t="shared" si="18"/>
        <v>Neutral</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3</v>
      </c>
      <c r="AZ53">
        <f>step3_validation[[#This Row],[AI_TRU4]]</f>
        <v>8</v>
      </c>
      <c r="BA53" t="str">
        <f t="shared" si="21"/>
        <v>Support</v>
      </c>
      <c r="BB53">
        <f>survey_responses[[#This Row],[Tôi thấy Nhà nước đã giải thích rõ ràng, minh bạch về lý do và mục tiêu của việc sửa đổi thuế lần này. - HUMAN-TRU4]]</f>
        <v>10</v>
      </c>
      <c r="BC53" t="str">
        <f t="shared" si="22"/>
        <v>Support</v>
      </c>
      <c r="BD53" s="32">
        <f t="shared" si="23"/>
        <v>2</v>
      </c>
      <c r="BE53">
        <f>step3_validation[[#This Row],[AI_OUT1]]</f>
        <v>7</v>
      </c>
      <c r="BF53" t="str">
        <f t="shared" si="24"/>
        <v>Neutral</v>
      </c>
      <c r="BG53">
        <f>survey_responses[[#This Row],[Sau khi xem xét các quyền lợi và nghĩa vụ, bạn có ủng hộ và tuân thủ chính sách mới hiện nay? - HUMAN-OUT1]]</f>
        <v>8</v>
      </c>
      <c r="BH53" t="str">
        <f t="shared" si="25"/>
        <v>Support</v>
      </c>
      <c r="BI53" s="32">
        <f t="shared" si="26"/>
        <v>1</v>
      </c>
    </row>
    <row r="54" spans="1:61" x14ac:dyDescent="0.45">
      <c r="A54" s="30">
        <f>step3_validation[[#This Row],[Persona_ID]]</f>
        <v>53</v>
      </c>
      <c r="B54" s="31">
        <f>step3_validation[[#This Row],[Used_Seed]]</f>
        <v>12397</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14.9461250365175</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7</v>
      </c>
      <c r="R54" t="str">
        <f t="shared" si="0"/>
        <v>Neutral</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3</v>
      </c>
      <c r="V54">
        <f>step3_validation[[#This Row],[AI_ENF2]]</f>
        <v>6</v>
      </c>
      <c r="W54" t="str">
        <f t="shared" si="3"/>
        <v>Neutral</v>
      </c>
      <c r="X54">
        <f>survey_responses[[#This Row],[Tôi tin rằng Nhà nước, cơ quan thuế có đủ khả năng và công nghệ để phát hiện, xử lý nghiêm các hành vi trốn thuế. - HUMAN-ENF2]]</f>
        <v>10</v>
      </c>
      <c r="Y54" t="str">
        <f t="shared" si="4"/>
        <v>Support</v>
      </c>
      <c r="Z54" s="32">
        <f t="shared" si="5"/>
        <v>4</v>
      </c>
      <c r="AA54">
        <f>step3_validation[[#This Row],[AI_FAC1]]</f>
        <v>8</v>
      </c>
      <c r="AB54" t="str">
        <f t="shared" si="6"/>
        <v>Support</v>
      </c>
      <c r="AC54">
        <f>survey_responses[[#This Row],[Các thủ tục khai báo thuế VÀ/HOẶC quy trình làm việc với cơ quan thuế đơn giản, tiện lợi, nhanh chóng hơn so với trước đây. - HUMAN-FAC1]]</f>
        <v>10</v>
      </c>
      <c r="AD54" t="str">
        <f t="shared" si="7"/>
        <v>Support</v>
      </c>
      <c r="AE54" s="32">
        <f t="shared" si="8"/>
        <v>2</v>
      </c>
      <c r="AF54">
        <f>step3_validation[[#This Row],[AI_FAC2]]</f>
        <v>9</v>
      </c>
      <c r="AG54" t="str">
        <f t="shared" si="9"/>
        <v>Support</v>
      </c>
      <c r="AH54">
        <f>survey_responses[[#This Row],[So với trước đây, tôi thấy cách tính thuế và các bậc thuế trong phương án mới đơn giản, dễ hiểu và dễ thực hiện hơn. - HUMAN-FAC2]]</f>
        <v>10</v>
      </c>
      <c r="AI54" t="str">
        <f t="shared" si="10"/>
        <v>Support</v>
      </c>
      <c r="AJ54" s="32">
        <f t="shared" si="11"/>
        <v>1</v>
      </c>
      <c r="AK54">
        <f>step3_validation[[#This Row],[AI_TRU1]]</f>
        <v>8</v>
      </c>
      <c r="AL54" t="str">
        <f t="shared" si="12"/>
        <v>Support</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2</v>
      </c>
      <c r="AP54">
        <f>step3_validation[[#This Row],[AI_TRU2]]</f>
        <v>7</v>
      </c>
      <c r="AQ54" t="str">
        <f t="shared" si="15"/>
        <v>Neutral</v>
      </c>
      <c r="AR54">
        <f>survey_responses[[#This Row],[Tôi thấy mức thuế tôi phải đóng theo phương án mới là công bằng (người thu nhập như tôi đóng mức này là hợp lý). - HUMAN-TRU2]]</f>
        <v>10</v>
      </c>
      <c r="AS54" t="str">
        <f t="shared" si="16"/>
        <v>Support</v>
      </c>
      <c r="AT54" s="32">
        <f t="shared" si="17"/>
        <v>3</v>
      </c>
      <c r="AU54">
        <f>step3_validation[[#This Row],[AI_TRU3]]</f>
        <v>6</v>
      </c>
      <c r="AV54" t="str">
        <f t="shared" si="18"/>
        <v>Neutral</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4</v>
      </c>
      <c r="AZ54">
        <f>step3_validation[[#This Row],[AI_TRU4]]</f>
        <v>8</v>
      </c>
      <c r="BA54" t="str">
        <f t="shared" si="21"/>
        <v>Support</v>
      </c>
      <c r="BB54">
        <f>survey_responses[[#This Row],[Tôi thấy Nhà nước đã giải thích rõ ràng, minh bạch về lý do và mục tiêu của việc sửa đổi thuế lần này. - HUMAN-TRU4]]</f>
        <v>10</v>
      </c>
      <c r="BC54" t="str">
        <f t="shared" si="22"/>
        <v>Support</v>
      </c>
      <c r="BD54" s="32">
        <f t="shared" si="23"/>
        <v>2</v>
      </c>
      <c r="BE54">
        <f>step3_validation[[#This Row],[AI_OUT1]]</f>
        <v>7</v>
      </c>
      <c r="BF54" t="str">
        <f t="shared" si="24"/>
        <v>Neutral</v>
      </c>
      <c r="BG54">
        <f>survey_responses[[#This Row],[Sau khi xem xét các quyền lợi và nghĩa vụ, bạn có ủng hộ và tuân thủ chính sách mới hiện nay? - HUMAN-OUT1]]</f>
        <v>10</v>
      </c>
      <c r="BH54" t="str">
        <f t="shared" si="25"/>
        <v>Support</v>
      </c>
      <c r="BI54" s="32">
        <f t="shared" si="26"/>
        <v>3</v>
      </c>
    </row>
    <row r="55" spans="1:61" x14ac:dyDescent="0.45">
      <c r="A55" s="30">
        <f>step3_validation[[#This Row],[Persona_ID]]</f>
        <v>54</v>
      </c>
      <c r="B55" s="31">
        <f>step3_validation[[#This Row],[Used_Seed]]</f>
        <v>12398</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36.294419909457389</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8</v>
      </c>
      <c r="R55" t="str">
        <f t="shared" si="0"/>
        <v>Support</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0</v>
      </c>
      <c r="V55">
        <f>step3_validation[[#This Row],[AI_ENF2]]</f>
        <v>7</v>
      </c>
      <c r="W55" t="str">
        <f t="shared" si="3"/>
        <v>Neutral</v>
      </c>
      <c r="X55">
        <f>survey_responses[[#This Row],[Tôi tin rằng Nhà nước, cơ quan thuế có đủ khả năng và công nghệ để phát hiện, xử lý nghiêm các hành vi trốn thuế. - HUMAN-ENF2]]</f>
        <v>7</v>
      </c>
      <c r="Y55" t="str">
        <f t="shared" si="4"/>
        <v>Neutral</v>
      </c>
      <c r="Z55" s="32">
        <f t="shared" si="5"/>
        <v>0</v>
      </c>
      <c r="AA55">
        <f>step3_validation[[#This Row],[AI_FAC1]]</f>
        <v>8</v>
      </c>
      <c r="AB55" t="str">
        <f t="shared" si="6"/>
        <v>Support</v>
      </c>
      <c r="AC55">
        <f>survey_responses[[#This Row],[Các thủ tục khai báo thuế VÀ/HOẶC quy trình làm việc với cơ quan thuế đơn giản, tiện lợi, nhanh chóng hơn so với trước đây. - HUMAN-FAC1]]</f>
        <v>7</v>
      </c>
      <c r="AD55" t="str">
        <f t="shared" si="7"/>
        <v>Neutral</v>
      </c>
      <c r="AE55" s="32">
        <f t="shared" si="8"/>
        <v>1</v>
      </c>
      <c r="AF55">
        <f>step3_validation[[#This Row],[AI_FAC2]]</f>
        <v>6</v>
      </c>
      <c r="AG55" t="str">
        <f t="shared" si="9"/>
        <v>Neutral</v>
      </c>
      <c r="AH55">
        <f>survey_responses[[#This Row],[So với trước đây, tôi thấy cách tính thuế và các bậc thuế trong phương án mới đơn giản, dễ hiểu và dễ thực hiện hơn. - HUMAN-FAC2]]</f>
        <v>8</v>
      </c>
      <c r="AI55" t="str">
        <f t="shared" si="10"/>
        <v>Support</v>
      </c>
      <c r="AJ55" s="32">
        <f t="shared" si="11"/>
        <v>2</v>
      </c>
      <c r="AK55">
        <f>step3_validation[[#This Row],[AI_TRU1]]</f>
        <v>8</v>
      </c>
      <c r="AL55" t="str">
        <f t="shared" si="12"/>
        <v>Support</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1</v>
      </c>
      <c r="AP55">
        <f>step3_validation[[#This Row],[AI_TRU2]]</f>
        <v>7</v>
      </c>
      <c r="AQ55" t="str">
        <f t="shared" si="15"/>
        <v>Neutral</v>
      </c>
      <c r="AR55">
        <f>survey_responses[[#This Row],[Tôi thấy mức thuế tôi phải đóng theo phương án mới là công bằng (người thu nhập như tôi đóng mức này là hợp lý). - HUMAN-TRU2]]</f>
        <v>8</v>
      </c>
      <c r="AS55" t="str">
        <f t="shared" si="16"/>
        <v>Support</v>
      </c>
      <c r="AT55" s="32">
        <f t="shared" si="17"/>
        <v>1</v>
      </c>
      <c r="AU55">
        <f>step3_validation[[#This Row],[AI_TRU3]]</f>
        <v>8</v>
      </c>
      <c r="AV55" t="str">
        <f t="shared" si="18"/>
        <v>Support</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1</v>
      </c>
      <c r="AZ55">
        <f>step3_validation[[#This Row],[AI_TRU4]]</f>
        <v>6</v>
      </c>
      <c r="BA55" t="str">
        <f t="shared" si="21"/>
        <v>Neutral</v>
      </c>
      <c r="BB55">
        <f>survey_responses[[#This Row],[Tôi thấy Nhà nước đã giải thích rõ ràng, minh bạch về lý do và mục tiêu của việc sửa đổi thuế lần này. - HUMAN-TRU4]]</f>
        <v>7</v>
      </c>
      <c r="BC55" t="str">
        <f t="shared" si="22"/>
        <v>Neutral</v>
      </c>
      <c r="BD55" s="32">
        <f t="shared" si="23"/>
        <v>1</v>
      </c>
      <c r="BE55">
        <f>step3_validation[[#This Row],[AI_OUT1]]</f>
        <v>7</v>
      </c>
      <c r="BF55" t="str">
        <f t="shared" si="24"/>
        <v>Neutral</v>
      </c>
      <c r="BG55">
        <f>survey_responses[[#This Row],[Sau khi xem xét các quyền lợi và nghĩa vụ, bạn có ủng hộ và tuân thủ chính sách mới hiện nay? - HUMAN-OUT1]]</f>
        <v>8</v>
      </c>
      <c r="BH55" t="str">
        <f t="shared" si="25"/>
        <v>Support</v>
      </c>
      <c r="BI55" s="32">
        <f t="shared" si="26"/>
        <v>1</v>
      </c>
    </row>
    <row r="56" spans="1:61" x14ac:dyDescent="0.45">
      <c r="A56" s="30">
        <f>step3_validation[[#This Row],[Persona_ID]]</f>
        <v>55</v>
      </c>
      <c r="B56" s="31">
        <f>step3_validation[[#This Row],[Used_Seed]]</f>
        <v>12399</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43.726389203210836</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7</v>
      </c>
      <c r="R56" t="str">
        <f t="shared" si="0"/>
        <v>Neutral</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3</v>
      </c>
      <c r="V56">
        <f>step3_validation[[#This Row],[AI_ENF2]]</f>
        <v>8</v>
      </c>
      <c r="W56" t="str">
        <f t="shared" si="3"/>
        <v>Support</v>
      </c>
      <c r="X56">
        <f>survey_responses[[#This Row],[Tôi tin rằng Nhà nước, cơ quan thuế có đủ khả năng và công nghệ để phát hiện, xử lý nghiêm các hành vi trốn thuế. - HUMAN-ENF2]]</f>
        <v>9</v>
      </c>
      <c r="Y56" t="str">
        <f t="shared" si="4"/>
        <v>Support</v>
      </c>
      <c r="Z56" s="32">
        <f t="shared" si="5"/>
        <v>1</v>
      </c>
      <c r="AA56">
        <f>step3_validation[[#This Row],[AI_FAC1]]</f>
        <v>9</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6</v>
      </c>
      <c r="AF56">
        <f>step3_validation[[#This Row],[AI_FAC2]]</f>
        <v>8</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4</v>
      </c>
      <c r="AK56">
        <f>step3_validation[[#This Row],[AI_TRU1]]</f>
        <v>6</v>
      </c>
      <c r="AL56" t="str">
        <f t="shared" si="12"/>
        <v>Neutral</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3</v>
      </c>
      <c r="AP56">
        <f>step3_validation[[#This Row],[AI_TRU2]]</f>
        <v>7</v>
      </c>
      <c r="AQ56" t="str">
        <f t="shared" si="15"/>
        <v>Neutral</v>
      </c>
      <c r="AR56">
        <f>survey_responses[[#This Row],[Tôi thấy mức thuế tôi phải đóng theo phương án mới là công bằng (người thu nhập như tôi đóng mức này là hợp lý). - HUMAN-TRU2]]</f>
        <v>3</v>
      </c>
      <c r="AS56" t="str">
        <f t="shared" si="16"/>
        <v>Oppose</v>
      </c>
      <c r="AT56" s="32">
        <f t="shared" si="17"/>
        <v>4</v>
      </c>
      <c r="AU56">
        <f>step3_validation[[#This Row],[AI_TRU3]]</f>
        <v>6</v>
      </c>
      <c r="AV56" t="str">
        <f t="shared" si="18"/>
        <v>Neutral</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5</v>
      </c>
      <c r="AZ56">
        <f>step3_validation[[#This Row],[AI_TRU4]]</f>
        <v>7</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6</v>
      </c>
      <c r="BE56">
        <f>step3_validation[[#This Row],[AI_OUT1]]</f>
        <v>8</v>
      </c>
      <c r="BF56" t="str">
        <f t="shared" si="24"/>
        <v>Support</v>
      </c>
      <c r="BG56">
        <f>survey_responses[[#This Row],[Sau khi xem xét các quyền lợi và nghĩa vụ, bạn có ủng hộ và tuân thủ chính sách mới hiện nay? - HUMAN-OUT1]]</f>
        <v>3</v>
      </c>
      <c r="BH56" t="str">
        <f t="shared" si="25"/>
        <v>Oppose</v>
      </c>
      <c r="BI56" s="32">
        <f t="shared" si="26"/>
        <v>5</v>
      </c>
    </row>
    <row r="57" spans="1:61" x14ac:dyDescent="0.45">
      <c r="A57" s="30">
        <f>step3_validation[[#This Row],[Persona_ID]]</f>
        <v>56</v>
      </c>
      <c r="B57" s="31">
        <f>step3_validation[[#This Row],[Used_Seed]]</f>
        <v>12400</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3</v>
      </c>
      <c r="V57">
        <f>step3_validation[[#This Row],[AI_ENF2]]</f>
        <v>8</v>
      </c>
      <c r="W57" t="str">
        <f t="shared" si="3"/>
        <v>Support</v>
      </c>
      <c r="X57">
        <f>survey_responses[[#This Row],[Tôi tin rằng Nhà nước, cơ quan thuế có đủ khả năng và công nghệ để phát hiện, xử lý nghiêm các hành vi trốn thuế. - HUMAN-ENF2]]</f>
        <v>10</v>
      </c>
      <c r="Y57" t="str">
        <f t="shared" si="4"/>
        <v>Support</v>
      </c>
      <c r="Z57" s="32">
        <f t="shared" si="5"/>
        <v>2</v>
      </c>
      <c r="AA57">
        <f>step3_validation[[#This Row],[AI_FAC1]]</f>
        <v>9</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0</v>
      </c>
      <c r="AF57">
        <f>step3_validation[[#This Row],[AI_FAC2]]</f>
        <v>8</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2">
        <f t="shared" si="11"/>
        <v>2</v>
      </c>
      <c r="AK57">
        <f>step3_validation[[#This Row],[AI_TRU1]]</f>
        <v>9</v>
      </c>
      <c r="AL57" t="str">
        <f t="shared" si="12"/>
        <v>Support</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0</v>
      </c>
      <c r="AP57">
        <f>step3_validation[[#This Row],[AI_TRU2]]</f>
        <v>8</v>
      </c>
      <c r="AQ57" t="str">
        <f t="shared" si="15"/>
        <v>Support</v>
      </c>
      <c r="AR57">
        <f>survey_responses[[#This Row],[Tôi thấy mức thuế tôi phải đóng theo phương án mới là công bằng (người thu nhập như tôi đóng mức này là hợp lý). - HUMAN-TRU2]]</f>
        <v>10</v>
      </c>
      <c r="AS57" t="str">
        <f t="shared" si="16"/>
        <v>Support</v>
      </c>
      <c r="AT57" s="32">
        <f t="shared" si="17"/>
        <v>2</v>
      </c>
      <c r="AU57">
        <f>step3_validation[[#This Row],[AI_TRU3]]</f>
        <v>7</v>
      </c>
      <c r="AV57" t="str">
        <f t="shared" si="18"/>
        <v>Neutral</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2</v>
      </c>
      <c r="AZ57">
        <f>step3_validation[[#This Row],[AI_TRU4]]</f>
        <v>6</v>
      </c>
      <c r="BA57" t="str">
        <f t="shared" si="21"/>
        <v>Neutral</v>
      </c>
      <c r="BB57">
        <f>survey_responses[[#This Row],[Tôi thấy Nhà nước đã giải thích rõ ràng, minh bạch về lý do và mục tiêu của việc sửa đổi thuế lần này. - HUMAN-TRU4]]</f>
        <v>10</v>
      </c>
      <c r="BC57" t="str">
        <f t="shared" si="22"/>
        <v>Support</v>
      </c>
      <c r="BD57" s="32">
        <f t="shared" si="23"/>
        <v>4</v>
      </c>
      <c r="BE57">
        <f>step3_validation[[#This Row],[AI_OUT1]]</f>
        <v>8</v>
      </c>
      <c r="BF57" t="str">
        <f t="shared" si="24"/>
        <v>Support</v>
      </c>
      <c r="BG57">
        <f>survey_responses[[#This Row],[Sau khi xem xét các quyền lợi và nghĩa vụ, bạn có ủng hộ và tuân thủ chính sách mới hiện nay? - HUMAN-OUT1]]</f>
        <v>9</v>
      </c>
      <c r="BH57" t="str">
        <f t="shared" si="25"/>
        <v>Support</v>
      </c>
      <c r="BI57" s="32">
        <f t="shared" si="26"/>
        <v>1</v>
      </c>
    </row>
    <row r="58" spans="1:61" x14ac:dyDescent="0.45">
      <c r="A58" s="30">
        <f>step3_validation[[#This Row],[Persona_ID]]</f>
        <v>57</v>
      </c>
      <c r="B58" s="31">
        <f>step3_validation[[#This Row],[Used_Seed]]</f>
        <v>12401</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13.601403136374421</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8</v>
      </c>
      <c r="R58" t="str">
        <f t="shared" si="0"/>
        <v>Support</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2</v>
      </c>
      <c r="V58">
        <f>step3_validation[[#This Row],[AI_ENF2]]</f>
        <v>7</v>
      </c>
      <c r="W58" t="str">
        <f t="shared" si="3"/>
        <v>Neutral</v>
      </c>
      <c r="X58">
        <f>survey_responses[[#This Row],[Tôi tin rằng Nhà nước, cơ quan thuế có đủ khả năng và công nghệ để phát hiện, xử lý nghiêm các hành vi trốn thuế. - HUMAN-ENF2]]</f>
        <v>10</v>
      </c>
      <c r="Y58" t="str">
        <f t="shared" si="4"/>
        <v>Support</v>
      </c>
      <c r="Z58" s="32">
        <f t="shared" si="5"/>
        <v>3</v>
      </c>
      <c r="AA58">
        <f>step3_validation[[#This Row],[AI_FAC1]]</f>
        <v>9</v>
      </c>
      <c r="AB58" t="str">
        <f t="shared" si="6"/>
        <v>Support</v>
      </c>
      <c r="AC58">
        <f>survey_responses[[#This Row],[Các thủ tục khai báo thuế VÀ/HOẶC quy trình làm việc với cơ quan thuế đơn giản, tiện lợi, nhanh chóng hơn so với trước đây. - HUMAN-FAC1]]</f>
        <v>1</v>
      </c>
      <c r="AD58" t="str">
        <f t="shared" si="7"/>
        <v>Oppose</v>
      </c>
      <c r="AE58" s="32">
        <f t="shared" si="8"/>
        <v>8</v>
      </c>
      <c r="AF58">
        <f>step3_validation[[#This Row],[AI_FAC2]]</f>
        <v>8</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3</v>
      </c>
      <c r="AK58">
        <f>step3_validation[[#This Row],[AI_TRU1]]</f>
        <v>9</v>
      </c>
      <c r="AL58" t="str">
        <f t="shared" si="12"/>
        <v>Support</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2</v>
      </c>
      <c r="AP58">
        <f>step3_validation[[#This Row],[AI_TRU2]]</f>
        <v>7</v>
      </c>
      <c r="AQ58" t="str">
        <f t="shared" si="15"/>
        <v>Neutral</v>
      </c>
      <c r="AR58">
        <f>survey_responses[[#This Row],[Tôi thấy mức thuế tôi phải đóng theo phương án mới là công bằng (người thu nhập như tôi đóng mức này là hợp lý). - HUMAN-TRU2]]</f>
        <v>10</v>
      </c>
      <c r="AS58" t="str">
        <f t="shared" si="16"/>
        <v>Support</v>
      </c>
      <c r="AT58" s="32">
        <f t="shared" si="17"/>
        <v>3</v>
      </c>
      <c r="AU58">
        <f>step3_validation[[#This Row],[AI_TRU3]]</f>
        <v>8</v>
      </c>
      <c r="AV58" t="str">
        <f t="shared" si="18"/>
        <v>Support</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1</v>
      </c>
      <c r="AZ58">
        <f>step3_validation[[#This Row],[AI_TRU4]]</f>
        <v>6</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2">
        <f t="shared" si="23"/>
        <v>3</v>
      </c>
      <c r="BE58">
        <f>step3_validation[[#This Row],[AI_OUT1]]</f>
        <v>7</v>
      </c>
      <c r="BF58" t="str">
        <f t="shared" si="24"/>
        <v>Neutral</v>
      </c>
      <c r="BG58">
        <f>survey_responses[[#This Row],[Sau khi xem xét các quyền lợi và nghĩa vụ, bạn có ủng hộ và tuân thủ chính sách mới hiện nay? - HUMAN-OUT1]]</f>
        <v>10</v>
      </c>
      <c r="BH58" t="str">
        <f t="shared" si="25"/>
        <v>Support</v>
      </c>
      <c r="BI58" s="32">
        <f t="shared" si="26"/>
        <v>3</v>
      </c>
    </row>
    <row r="59" spans="1:61" x14ac:dyDescent="0.45">
      <c r="A59" s="30">
        <f>step3_validation[[#This Row],[Persona_ID]]</f>
        <v>58</v>
      </c>
      <c r="B59" s="31">
        <f>step3_validation[[#This Row],[Used_Seed]]</f>
        <v>12402</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23.182107525731588</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2</v>
      </c>
      <c r="V59">
        <f>step3_validation[[#This Row],[AI_ENF2]]</f>
        <v>6</v>
      </c>
      <c r="W59" t="str">
        <f t="shared" si="3"/>
        <v>Neutral</v>
      </c>
      <c r="X59">
        <f>survey_responses[[#This Row],[Tôi tin rằng Nhà nước, cơ quan thuế có đủ khả năng và công nghệ để phát hiện, xử lý nghiêm các hành vi trốn thuế. - HUMAN-ENF2]]</f>
        <v>5</v>
      </c>
      <c r="Y59" t="str">
        <f t="shared" si="4"/>
        <v>Neutral</v>
      </c>
      <c r="Z59" s="32">
        <f t="shared" si="5"/>
        <v>1</v>
      </c>
      <c r="AA59">
        <f>step3_validation[[#This Row],[AI_FAC1]]</f>
        <v>8</v>
      </c>
      <c r="AB59" t="str">
        <f t="shared" si="6"/>
        <v>Support</v>
      </c>
      <c r="AC59">
        <f>survey_responses[[#This Row],[Các thủ tục khai báo thuế VÀ/HOẶC quy trình làm việc với cơ quan thuế đơn giản, tiện lợi, nhanh chóng hơn so với trước đây. - HUMAN-FAC1]]</f>
        <v>4</v>
      </c>
      <c r="AD59" t="str">
        <f t="shared" si="7"/>
        <v>Oppose</v>
      </c>
      <c r="AE59" s="32">
        <f t="shared" si="8"/>
        <v>4</v>
      </c>
      <c r="AF59">
        <f>step3_validation[[#This Row],[AI_FAC2]]</f>
        <v>7</v>
      </c>
      <c r="AG59" t="str">
        <f t="shared" si="9"/>
        <v>Neutral</v>
      </c>
      <c r="AH59">
        <f>survey_responses[[#This Row],[So với trước đây, tôi thấy cách tính thuế và các bậc thuế trong phương án mới đơn giản, dễ hiểu và dễ thực hiện hơn. - HUMAN-FAC2]]</f>
        <v>8</v>
      </c>
      <c r="AI59" t="str">
        <f t="shared" si="10"/>
        <v>Support</v>
      </c>
      <c r="AJ59" s="32">
        <f t="shared" si="11"/>
        <v>1</v>
      </c>
      <c r="AK59">
        <f>step3_validation[[#This Row],[AI_TRU1]]</f>
        <v>8</v>
      </c>
      <c r="AL59" t="str">
        <f t="shared" si="12"/>
        <v>Support</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3</v>
      </c>
      <c r="AP59">
        <f>step3_validation[[#This Row],[AI_TRU2]]</f>
        <v>7</v>
      </c>
      <c r="AQ59" t="str">
        <f t="shared" si="15"/>
        <v>Neutral</v>
      </c>
      <c r="AR59">
        <f>survey_responses[[#This Row],[Tôi thấy mức thuế tôi phải đóng theo phương án mới là công bằng (người thu nhập như tôi đóng mức này là hợp lý). - HUMAN-TRU2]]</f>
        <v>7</v>
      </c>
      <c r="AS59" t="str">
        <f t="shared" si="16"/>
        <v>Neutral</v>
      </c>
      <c r="AT59" s="32">
        <f t="shared" si="17"/>
        <v>0</v>
      </c>
      <c r="AU59">
        <f>step3_validation[[#This Row],[AI_TRU3]]</f>
        <v>6</v>
      </c>
      <c r="AV59" t="str">
        <f t="shared" si="18"/>
        <v>Neutral</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1</v>
      </c>
      <c r="AZ59">
        <f>step3_validation[[#This Row],[AI_TRU4]]</f>
        <v>7</v>
      </c>
      <c r="BA59" t="str">
        <f t="shared" si="21"/>
        <v>Neutral</v>
      </c>
      <c r="BB59">
        <f>survey_responses[[#This Row],[Tôi thấy Nhà nước đã giải thích rõ ràng, minh bạch về lý do và mục tiêu của việc sửa đổi thuế lần này. - HUMAN-TRU4]]</f>
        <v>7</v>
      </c>
      <c r="BC59" t="str">
        <f t="shared" si="22"/>
        <v>Neutral</v>
      </c>
      <c r="BD59" s="32">
        <f t="shared" si="23"/>
        <v>0</v>
      </c>
      <c r="BE59">
        <f>step3_validation[[#This Row],[AI_OUT1]]</f>
        <v>8</v>
      </c>
      <c r="BF59" t="str">
        <f t="shared" si="24"/>
        <v>Support</v>
      </c>
      <c r="BG59">
        <f>survey_responses[[#This Row],[Sau khi xem xét các quyền lợi và nghĩa vụ, bạn có ủng hộ và tuân thủ chính sách mới hiện nay? - HUMAN-OUT1]]</f>
        <v>7</v>
      </c>
      <c r="BH59" t="str">
        <f t="shared" si="25"/>
        <v>Neutral</v>
      </c>
      <c r="BI59" s="32">
        <f t="shared" si="26"/>
        <v>1</v>
      </c>
    </row>
    <row r="60" spans="1:61" x14ac:dyDescent="0.45">
      <c r="A60" s="30">
        <f>step3_validation[[#This Row],[Persona_ID]]</f>
        <v>59</v>
      </c>
      <c r="B60" s="31">
        <f>step3_validation[[#This Row],[Used_Seed]]</f>
        <v>12403</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8</v>
      </c>
      <c r="R60" t="str">
        <f t="shared" si="0"/>
        <v>Support</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1</v>
      </c>
      <c r="V60">
        <f>step3_validation[[#This Row],[AI_ENF2]]</f>
        <v>8</v>
      </c>
      <c r="W60" t="str">
        <f t="shared" si="3"/>
        <v>Support</v>
      </c>
      <c r="X60">
        <f>survey_responses[[#This Row],[Tôi tin rằng Nhà nước, cơ quan thuế có đủ khả năng và công nghệ để phát hiện, xử lý nghiêm các hành vi trốn thuế. - HUMAN-ENF2]]</f>
        <v>9</v>
      </c>
      <c r="Y60" t="str">
        <f t="shared" si="4"/>
        <v>Support</v>
      </c>
      <c r="Z60" s="32">
        <f t="shared" si="5"/>
        <v>1</v>
      </c>
      <c r="AA60">
        <f>step3_validation[[#This Row],[AI_FAC1]]</f>
        <v>9</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2">
        <f t="shared" si="8"/>
        <v>0</v>
      </c>
      <c r="AF60">
        <f>step3_validation[[#This Row],[AI_FAC2]]</f>
        <v>8</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2">
        <f t="shared" si="11"/>
        <v>1</v>
      </c>
      <c r="AK60">
        <f>step3_validation[[#This Row],[AI_TRU1]]</f>
        <v>7</v>
      </c>
      <c r="AL60" t="str">
        <f t="shared" si="12"/>
        <v>Neutral</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0</v>
      </c>
      <c r="AP60">
        <f>step3_validation[[#This Row],[AI_TRU2]]</f>
        <v>6</v>
      </c>
      <c r="AQ60" t="str">
        <f t="shared" si="15"/>
        <v>Neutral</v>
      </c>
      <c r="AR60">
        <f>survey_responses[[#This Row],[Tôi thấy mức thuế tôi phải đóng theo phương án mới là công bằng (người thu nhập như tôi đóng mức này là hợp lý). - HUMAN-TRU2]]</f>
        <v>8</v>
      </c>
      <c r="AS60" t="str">
        <f t="shared" si="16"/>
        <v>Support</v>
      </c>
      <c r="AT60" s="32">
        <f t="shared" si="17"/>
        <v>2</v>
      </c>
      <c r="AU60">
        <f>step3_validation[[#This Row],[AI_TRU3]]</f>
        <v>7</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1</v>
      </c>
      <c r="AZ60">
        <f>step3_validation[[#This Row],[AI_TRU4]]</f>
        <v>5</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1</v>
      </c>
      <c r="BE60">
        <f>step3_validation[[#This Row],[AI_OUT1]]</f>
        <v>6</v>
      </c>
      <c r="BF60" t="str">
        <f t="shared" si="24"/>
        <v>Neutral</v>
      </c>
      <c r="BG60">
        <f>survey_responses[[#This Row],[Sau khi xem xét các quyền lợi và nghĩa vụ, bạn có ủng hộ và tuân thủ chính sách mới hiện nay? - HUMAN-OUT1]]</f>
        <v>5</v>
      </c>
      <c r="BH60" t="str">
        <f t="shared" si="25"/>
        <v>Neutral</v>
      </c>
      <c r="BI60" s="32">
        <f t="shared" si="26"/>
        <v>1</v>
      </c>
    </row>
    <row r="61" spans="1:61" x14ac:dyDescent="0.45">
      <c r="A61" s="30">
        <f>step3_validation[[#This Row],[Persona_ID]]</f>
        <v>60</v>
      </c>
      <c r="B61" s="31">
        <f>step3_validation[[#This Row],[Used_Seed]]</f>
        <v>12404</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16.799528534169426</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2</v>
      </c>
      <c r="V61">
        <f>step3_validation[[#This Row],[AI_ENF2]]</f>
        <v>6</v>
      </c>
      <c r="W61" t="str">
        <f t="shared" si="3"/>
        <v>Neutral</v>
      </c>
      <c r="X61">
        <f>survey_responses[[#This Row],[Tôi tin rằng Nhà nước, cơ quan thuế có đủ khả năng và công nghệ để phát hiện, xử lý nghiêm các hành vi trốn thuế. - HUMAN-ENF2]]</f>
        <v>5</v>
      </c>
      <c r="Y61" t="str">
        <f t="shared" si="4"/>
        <v>Neutral</v>
      </c>
      <c r="Z61" s="32">
        <f t="shared" si="5"/>
        <v>1</v>
      </c>
      <c r="AA61">
        <f>step3_validation[[#This Row],[AI_FAC1]]</f>
        <v>8</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3</v>
      </c>
      <c r="AF61">
        <f>step3_validation[[#This Row],[AI_FAC2]]</f>
        <v>9</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2">
        <f t="shared" si="11"/>
        <v>4</v>
      </c>
      <c r="AK61">
        <f>step3_validation[[#This Row],[AI_TRU1]]</f>
        <v>5</v>
      </c>
      <c r="AL61" t="str">
        <f t="shared" si="12"/>
        <v>Neutral</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0</v>
      </c>
      <c r="AP61">
        <f>step3_validation[[#This Row],[AI_TRU2]]</f>
        <v>6</v>
      </c>
      <c r="AQ61" t="str">
        <f t="shared" si="15"/>
        <v>Neutral</v>
      </c>
      <c r="AR61">
        <f>survey_responses[[#This Row],[Tôi thấy mức thuế tôi phải đóng theo phương án mới là công bằng (người thu nhập như tôi đóng mức này là hợp lý). - HUMAN-TRU2]]</f>
        <v>8</v>
      </c>
      <c r="AS61" t="str">
        <f t="shared" si="16"/>
        <v>Support</v>
      </c>
      <c r="AT61" s="32">
        <f t="shared" si="17"/>
        <v>2</v>
      </c>
      <c r="AU61">
        <f>step3_validation[[#This Row],[AI_TRU3]]</f>
        <v>7</v>
      </c>
      <c r="AV61" t="str">
        <f t="shared" si="18"/>
        <v>Neutral</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3</v>
      </c>
      <c r="AZ61">
        <f>step3_validation[[#This Row],[AI_TRU4]]</f>
        <v>6</v>
      </c>
      <c r="BA61" t="str">
        <f t="shared" si="21"/>
        <v>Neutral</v>
      </c>
      <c r="BB61">
        <f>survey_responses[[#This Row],[Tôi thấy Nhà nước đã giải thích rõ ràng, minh bạch về lý do và mục tiêu của việc sửa đổi thuế lần này. - HUMAN-TRU4]]</f>
        <v>5</v>
      </c>
      <c r="BC61" t="str">
        <f t="shared" si="22"/>
        <v>Neutral</v>
      </c>
      <c r="BD61" s="32">
        <f t="shared" si="23"/>
        <v>1</v>
      </c>
      <c r="BE61">
        <f>step3_validation[[#This Row],[AI_OUT1]]</f>
        <v>7</v>
      </c>
      <c r="BF61" t="str">
        <f t="shared" si="24"/>
        <v>Neutral</v>
      </c>
      <c r="BG61">
        <f>survey_responses[[#This Row],[Sau khi xem xét các quyền lợi và nghĩa vụ, bạn có ủng hộ và tuân thủ chính sách mới hiện nay? - HUMAN-OUT1]]</f>
        <v>5</v>
      </c>
      <c r="BH61" t="str">
        <f t="shared" si="25"/>
        <v>Neutral</v>
      </c>
      <c r="BI61" s="32">
        <f t="shared" si="26"/>
        <v>2</v>
      </c>
    </row>
    <row r="62" spans="1:61" x14ac:dyDescent="0.45">
      <c r="A62" s="30">
        <f>step3_validation[[#This Row],[Persona_ID]]</f>
        <v>61</v>
      </c>
      <c r="B62" s="31">
        <f>step3_validation[[#This Row],[Used_Seed]]</f>
        <v>12405</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19.765813758228159</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8</v>
      </c>
      <c r="R62" t="str">
        <f t="shared" si="0"/>
        <v>Support</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0</v>
      </c>
      <c r="V62">
        <f>step3_validation[[#This Row],[AI_ENF2]]</f>
        <v>7</v>
      </c>
      <c r="W62" t="str">
        <f t="shared" si="3"/>
        <v>Neutral</v>
      </c>
      <c r="X62">
        <f>survey_responses[[#This Row],[Tôi tin rằng Nhà nước, cơ quan thuế có đủ khả năng và công nghệ để phát hiện, xử lý nghiêm các hành vi trốn thuế. - HUMAN-ENF2]]</f>
        <v>9</v>
      </c>
      <c r="Y62" t="str">
        <f t="shared" si="4"/>
        <v>Support</v>
      </c>
      <c r="Z62" s="32">
        <f t="shared" si="5"/>
        <v>2</v>
      </c>
      <c r="AA62">
        <f>step3_validation[[#This Row],[AI_FAC1]]</f>
        <v>6</v>
      </c>
      <c r="AB62" t="str">
        <f t="shared" si="6"/>
        <v>Neutral</v>
      </c>
      <c r="AC62">
        <f>survey_responses[[#This Row],[Các thủ tục khai báo thuế VÀ/HOẶC quy trình làm việc với cơ quan thuế đơn giản, tiện lợi, nhanh chóng hơn so với trước đây. - HUMAN-FAC1]]</f>
        <v>9</v>
      </c>
      <c r="AD62" t="str">
        <f t="shared" si="7"/>
        <v>Support</v>
      </c>
      <c r="AE62" s="32">
        <f t="shared" si="8"/>
        <v>3</v>
      </c>
      <c r="AF62">
        <f>step3_validation[[#This Row],[AI_FAC2]]</f>
        <v>8</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1</v>
      </c>
      <c r="AK62">
        <f>step3_validation[[#This Row],[AI_TRU1]]</f>
        <v>7</v>
      </c>
      <c r="AL62" t="str">
        <f t="shared" si="12"/>
        <v>Neutral</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2</v>
      </c>
      <c r="AP62">
        <f>step3_validation[[#This Row],[AI_TRU2]]</f>
        <v>9</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2">
        <f t="shared" si="17"/>
        <v>1</v>
      </c>
      <c r="AU62">
        <f>step3_validation[[#This Row],[AI_TRU3]]</f>
        <v>8</v>
      </c>
      <c r="AV62" t="str">
        <f t="shared" si="18"/>
        <v>Support</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0</v>
      </c>
      <c r="AZ62">
        <f>step3_validation[[#This Row],[AI_TRU4]]</f>
        <v>7</v>
      </c>
      <c r="BA62" t="str">
        <f t="shared" si="21"/>
        <v>Neutral</v>
      </c>
      <c r="BB62">
        <f>survey_responses[[#This Row],[Tôi thấy Nhà nước đã giải thích rõ ràng, minh bạch về lý do và mục tiêu của việc sửa đổi thuế lần này. - HUMAN-TRU4]]</f>
        <v>8</v>
      </c>
      <c r="BC62" t="str">
        <f t="shared" si="22"/>
        <v>Support</v>
      </c>
      <c r="BD62" s="32">
        <f t="shared" si="23"/>
        <v>1</v>
      </c>
      <c r="BE62">
        <f>step3_validation[[#This Row],[AI_OUT1]]</f>
        <v>9</v>
      </c>
      <c r="BF62" t="str">
        <f t="shared" si="24"/>
        <v>Support</v>
      </c>
      <c r="BG62">
        <f>survey_responses[[#This Row],[Sau khi xem xét các quyền lợi và nghĩa vụ, bạn có ủng hộ và tuân thủ chính sách mới hiện nay? - HUMAN-OUT1]]</f>
        <v>9</v>
      </c>
      <c r="BH62" t="str">
        <f t="shared" si="25"/>
        <v>Support</v>
      </c>
      <c r="BI62" s="32">
        <f t="shared" si="26"/>
        <v>0</v>
      </c>
    </row>
    <row r="63" spans="1:61" x14ac:dyDescent="0.45">
      <c r="A63" s="30">
        <f>step3_validation[[#This Row],[Persona_ID]]</f>
        <v>62</v>
      </c>
      <c r="B63" s="31">
        <f>step3_validation[[#This Row],[Used_Seed]]</f>
        <v>12406</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29.772795733875441</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t="str">
        <f t="shared" si="0"/>
        <v>Neutral</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2</v>
      </c>
      <c r="V63">
        <f>step3_validation[[#This Row],[AI_ENF2]]</f>
        <v>8</v>
      </c>
      <c r="W63" t="str">
        <f t="shared" si="3"/>
        <v>Support</v>
      </c>
      <c r="X63">
        <f>survey_responses[[#This Row],[Tôi tin rằng Nhà nước, cơ quan thuế có đủ khả năng và công nghệ để phát hiện, xử lý nghiêm các hành vi trốn thuế. - HUMAN-ENF2]]</f>
        <v>9</v>
      </c>
      <c r="Y63" t="str">
        <f t="shared" si="4"/>
        <v>Support</v>
      </c>
      <c r="Z63" s="32">
        <f t="shared" si="5"/>
        <v>1</v>
      </c>
      <c r="AA63">
        <f>step3_validation[[#This Row],[AI_FAC1]]</f>
        <v>9</v>
      </c>
      <c r="AB63" t="str">
        <f t="shared" si="6"/>
        <v>Support</v>
      </c>
      <c r="AC63">
        <f>survey_responses[[#This Row],[Các thủ tục khai báo thuế VÀ/HOẶC quy trình làm việc với cơ quan thuế đơn giản, tiện lợi, nhanh chóng hơn so với trước đây. - HUMAN-FAC1]]</f>
        <v>7</v>
      </c>
      <c r="AD63" t="str">
        <f t="shared" si="7"/>
        <v>Neutral</v>
      </c>
      <c r="AE63" s="32">
        <f t="shared" si="8"/>
        <v>2</v>
      </c>
      <c r="AF63">
        <f>step3_validation[[#This Row],[AI_FAC2]]</f>
        <v>8</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2</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5</v>
      </c>
      <c r="AQ63" t="str">
        <f t="shared" si="15"/>
        <v>Neutral</v>
      </c>
      <c r="AR63">
        <f>survey_responses[[#This Row],[Tôi thấy mức thuế tôi phải đóng theo phương án mới là công bằng (người thu nhập như tôi đóng mức này là hợp lý). - HUMAN-TRU2]]</f>
        <v>5</v>
      </c>
      <c r="AS63" t="str">
        <f t="shared" si="16"/>
        <v>Neutral</v>
      </c>
      <c r="AT63" s="32">
        <f t="shared" si="17"/>
        <v>0</v>
      </c>
      <c r="AU63">
        <f>step3_validation[[#This Row],[AI_TRU3]]</f>
        <v>6</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0</v>
      </c>
      <c r="AZ63">
        <f>step3_validation[[#This Row],[AI_TRU4]]</f>
        <v>4</v>
      </c>
      <c r="BA63" t="str">
        <f t="shared" si="21"/>
        <v>Oppose</v>
      </c>
      <c r="BB63">
        <f>survey_responses[[#This Row],[Tôi thấy Nhà nước đã giải thích rõ ràng, minh bạch về lý do và mục tiêu của việc sửa đổi thuế lần này. - HUMAN-TRU4]]</f>
        <v>8</v>
      </c>
      <c r="BC63" t="str">
        <f t="shared" si="22"/>
        <v>Support</v>
      </c>
      <c r="BD63" s="32">
        <f t="shared" si="23"/>
        <v>4</v>
      </c>
      <c r="BE63">
        <f>step3_validation[[#This Row],[AI_OUT1]]</f>
        <v>6</v>
      </c>
      <c r="BF63" t="str">
        <f t="shared" si="24"/>
        <v>Neutral</v>
      </c>
      <c r="BG63">
        <f>survey_responses[[#This Row],[Sau khi xem xét các quyền lợi và nghĩa vụ, bạn có ủng hộ và tuân thủ chính sách mới hiện nay? - HUMAN-OUT1]]</f>
        <v>5</v>
      </c>
      <c r="BH63" t="str">
        <f t="shared" si="25"/>
        <v>Neutral</v>
      </c>
      <c r="BI63" s="32">
        <f t="shared" si="26"/>
        <v>1</v>
      </c>
    </row>
    <row r="64" spans="1:61" x14ac:dyDescent="0.45">
      <c r="A64" s="30">
        <f>step3_validation[[#This Row],[Persona_ID]]</f>
        <v>63</v>
      </c>
      <c r="B64" s="31">
        <f>step3_validation[[#This Row],[Used_Seed]]</f>
        <v>12407</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19.427213280906926</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7</v>
      </c>
      <c r="R64" t="str">
        <f t="shared" si="0"/>
        <v>Neutral</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2</v>
      </c>
      <c r="V64">
        <f>step3_validation[[#This Row],[AI_ENF2]]</f>
        <v>8</v>
      </c>
      <c r="W64" t="str">
        <f t="shared" si="3"/>
        <v>Support</v>
      </c>
      <c r="X64">
        <f>survey_responses[[#This Row],[Tôi tin rằng Nhà nước, cơ quan thuế có đủ khả năng và công nghệ để phát hiện, xử lý nghiêm các hành vi trốn thuế. - HUMAN-ENF2]]</f>
        <v>9</v>
      </c>
      <c r="Y64" t="str">
        <f t="shared" si="4"/>
        <v>Support</v>
      </c>
      <c r="Z64" s="32">
        <f t="shared" si="5"/>
        <v>1</v>
      </c>
      <c r="AA64">
        <f>step3_validation[[#This Row],[AI_FAC1]]</f>
        <v>6</v>
      </c>
      <c r="AB64" t="str">
        <f t="shared" si="6"/>
        <v>Neutral</v>
      </c>
      <c r="AC64">
        <f>survey_responses[[#This Row],[Các thủ tục khai báo thuế VÀ/HOẶC quy trình làm việc với cơ quan thuế đơn giản, tiện lợi, nhanh chóng hơn so với trước đây. - HUMAN-FAC1]]</f>
        <v>9</v>
      </c>
      <c r="AD64" t="str">
        <f t="shared" si="7"/>
        <v>Support</v>
      </c>
      <c r="AE64" s="32">
        <f t="shared" si="8"/>
        <v>3</v>
      </c>
      <c r="AF64">
        <f>step3_validation[[#This Row],[AI_FAC2]]</f>
        <v>8</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1</v>
      </c>
      <c r="AK64">
        <f>step3_validation[[#This Row],[AI_TRU1]]</f>
        <v>7</v>
      </c>
      <c r="AL64" t="str">
        <f t="shared" si="12"/>
        <v>Neutral</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1</v>
      </c>
      <c r="AP64">
        <f>step3_validation[[#This Row],[AI_TRU2]]</f>
        <v>7</v>
      </c>
      <c r="AQ64" t="str">
        <f t="shared" si="15"/>
        <v>Neutral</v>
      </c>
      <c r="AR64">
        <f>survey_responses[[#This Row],[Tôi thấy mức thuế tôi phải đóng theo phương án mới là công bằng (người thu nhập như tôi đóng mức này là hợp lý). - HUMAN-TRU2]]</f>
        <v>9</v>
      </c>
      <c r="AS64" t="str">
        <f t="shared" si="16"/>
        <v>Support</v>
      </c>
      <c r="AT64" s="32">
        <f t="shared" si="17"/>
        <v>2</v>
      </c>
      <c r="AU64">
        <f>step3_validation[[#This Row],[AI_TRU3]]</f>
        <v>6</v>
      </c>
      <c r="AV64" t="str">
        <f t="shared" si="18"/>
        <v>Neutral</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3</v>
      </c>
      <c r="AZ64">
        <f>step3_validation[[#This Row],[AI_TRU4]]</f>
        <v>6</v>
      </c>
      <c r="BA64" t="str">
        <f t="shared" si="21"/>
        <v>Neutral</v>
      </c>
      <c r="BB64">
        <f>survey_responses[[#This Row],[Tôi thấy Nhà nước đã giải thích rõ ràng, minh bạch về lý do và mục tiêu của việc sửa đổi thuế lần này. - HUMAN-TRU4]]</f>
        <v>8</v>
      </c>
      <c r="BC64" t="str">
        <f t="shared" si="22"/>
        <v>Support</v>
      </c>
      <c r="BD64" s="32">
        <f t="shared" si="23"/>
        <v>2</v>
      </c>
      <c r="BE64">
        <f>step3_validation[[#This Row],[AI_OUT1]]</f>
        <v>5</v>
      </c>
      <c r="BF64" t="str">
        <f t="shared" si="24"/>
        <v>Neutral</v>
      </c>
      <c r="BG64">
        <f>survey_responses[[#This Row],[Sau khi xem xét các quyền lợi và nghĩa vụ, bạn có ủng hộ và tuân thủ chính sách mới hiện nay? - HUMAN-OUT1]]</f>
        <v>7</v>
      </c>
      <c r="BH64" t="str">
        <f t="shared" si="25"/>
        <v>Neutral</v>
      </c>
      <c r="BI64" s="32">
        <f t="shared" si="26"/>
        <v>2</v>
      </c>
    </row>
    <row r="65" spans="1:61" x14ac:dyDescent="0.45">
      <c r="A65" s="30">
        <f>step3_validation[[#This Row],[Persona_ID]]</f>
        <v>64</v>
      </c>
      <c r="B65" s="31">
        <f>step3_validation[[#This Row],[Used_Seed]]</f>
        <v>12408</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220.56389065472962</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7</v>
      </c>
      <c r="R65" t="str">
        <f t="shared" si="0"/>
        <v>Neutral</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2</v>
      </c>
      <c r="V65">
        <f>step3_validation[[#This Row],[AI_ENF2]]</f>
        <v>8</v>
      </c>
      <c r="W65" t="str">
        <f t="shared" si="3"/>
        <v>Support</v>
      </c>
      <c r="X65">
        <f>survey_responses[[#This Row],[Tôi tin rằng Nhà nước, cơ quan thuế có đủ khả năng và công nghệ để phát hiện, xử lý nghiêm các hành vi trốn thuế. - HUMAN-ENF2]]</f>
        <v>10</v>
      </c>
      <c r="Y65" t="str">
        <f t="shared" si="4"/>
        <v>Support</v>
      </c>
      <c r="Z65" s="32">
        <f t="shared" si="5"/>
        <v>2</v>
      </c>
      <c r="AA65">
        <f>step3_validation[[#This Row],[AI_FAC1]]</f>
        <v>6</v>
      </c>
      <c r="AB65" t="str">
        <f t="shared" si="6"/>
        <v>Neutral</v>
      </c>
      <c r="AC65">
        <f>survey_responses[[#This Row],[Các thủ tục khai báo thuế VÀ/HOẶC quy trình làm việc với cơ quan thuế đơn giản, tiện lợi, nhanh chóng hơn so với trước đây. - HUMAN-FAC1]]</f>
        <v>9</v>
      </c>
      <c r="AD65" t="str">
        <f t="shared" si="7"/>
        <v>Support</v>
      </c>
      <c r="AE65" s="32">
        <f t="shared" si="8"/>
        <v>3</v>
      </c>
      <c r="AF65">
        <f>step3_validation[[#This Row],[AI_FAC2]]</f>
        <v>5</v>
      </c>
      <c r="AG65" t="str">
        <f t="shared" si="9"/>
        <v>Neutral</v>
      </c>
      <c r="AH65">
        <f>survey_responses[[#This Row],[So với trước đây, tôi thấy cách tính thuế và các bậc thuế trong phương án mới đơn giản, dễ hiểu và dễ thực hiện hơn. - HUMAN-FAC2]]</f>
        <v>10</v>
      </c>
      <c r="AI65" t="str">
        <f t="shared" si="10"/>
        <v>Support</v>
      </c>
      <c r="AJ65" s="32">
        <f t="shared" si="11"/>
        <v>5</v>
      </c>
      <c r="AK65">
        <f>step3_validation[[#This Row],[AI_TRU1]]</f>
        <v>8</v>
      </c>
      <c r="AL65" t="str">
        <f t="shared" si="12"/>
        <v>Support</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2</v>
      </c>
      <c r="AP65">
        <f>step3_validation[[#This Row],[AI_TRU2]]</f>
        <v>7</v>
      </c>
      <c r="AQ65" t="str">
        <f t="shared" si="15"/>
        <v>Neutral</v>
      </c>
      <c r="AR65">
        <f>survey_responses[[#This Row],[Tôi thấy mức thuế tôi phải đóng theo phương án mới là công bằng (người thu nhập như tôi đóng mức này là hợp lý). - HUMAN-TRU2]]</f>
        <v>5</v>
      </c>
      <c r="AS65" t="str">
        <f t="shared" si="16"/>
        <v>Neutral</v>
      </c>
      <c r="AT65" s="32">
        <f t="shared" si="17"/>
        <v>2</v>
      </c>
      <c r="AU65">
        <f>step3_validation[[#This Row],[AI_TRU3]]</f>
        <v>8</v>
      </c>
      <c r="AV65" t="str">
        <f t="shared" si="18"/>
        <v>Support</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2</v>
      </c>
      <c r="AZ65">
        <f>step3_validation[[#This Row],[AI_TRU4]]</f>
        <v>6</v>
      </c>
      <c r="BA65" t="str">
        <f t="shared" si="21"/>
        <v>Neutral</v>
      </c>
      <c r="BB65">
        <f>survey_responses[[#This Row],[Tôi thấy Nhà nước đã giải thích rõ ràng, minh bạch về lý do và mục tiêu của việc sửa đổi thuế lần này. - HUMAN-TRU4]]</f>
        <v>7</v>
      </c>
      <c r="BC65" t="str">
        <f t="shared" si="22"/>
        <v>Neutral</v>
      </c>
      <c r="BD65" s="32">
        <f t="shared" si="23"/>
        <v>1</v>
      </c>
      <c r="BE65">
        <f>step3_validation[[#This Row],[AI_OUT1]]</f>
        <v>7</v>
      </c>
      <c r="BF65" t="str">
        <f t="shared" si="24"/>
        <v>Neutral</v>
      </c>
      <c r="BG65">
        <f>survey_responses[[#This Row],[Sau khi xem xét các quyền lợi và nghĩa vụ, bạn có ủng hộ và tuân thủ chính sách mới hiện nay? - HUMAN-OUT1]]</f>
        <v>9</v>
      </c>
      <c r="BH65" t="str">
        <f t="shared" si="25"/>
        <v>Support</v>
      </c>
      <c r="BI65" s="32">
        <f t="shared" si="26"/>
        <v>2</v>
      </c>
    </row>
    <row r="66" spans="1:61" x14ac:dyDescent="0.45">
      <c r="A66" s="30">
        <f>step3_validation[[#This Row],[Persona_ID]]</f>
        <v>65</v>
      </c>
      <c r="B66" s="31">
        <f>step3_validation[[#This Row],[Used_Seed]]</f>
        <v>12409</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3</v>
      </c>
      <c r="V66">
        <f>step3_validation[[#This Row],[AI_ENF2]]</f>
        <v>6</v>
      </c>
      <c r="W66" t="str">
        <f t="shared" si="3"/>
        <v>Neutral</v>
      </c>
      <c r="X66">
        <f>survey_responses[[#This Row],[Tôi tin rằng Nhà nước, cơ quan thuế có đủ khả năng và công nghệ để phát hiện, xử lý nghiêm các hành vi trốn thuế. - HUMAN-ENF2]]</f>
        <v>10</v>
      </c>
      <c r="Y66" t="str">
        <f t="shared" si="4"/>
        <v>Support</v>
      </c>
      <c r="Z66" s="32">
        <f t="shared" si="5"/>
        <v>4</v>
      </c>
      <c r="AA66">
        <f>step3_validation[[#This Row],[AI_FAC1]]</f>
        <v>8</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2">
        <f t="shared" si="8"/>
        <v>2</v>
      </c>
      <c r="AF66">
        <f>step3_validation[[#This Row],[AI_FAC2]]</f>
        <v>9</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1</v>
      </c>
      <c r="AK66">
        <f>step3_validation[[#This Row],[AI_TRU1]]</f>
        <v>6</v>
      </c>
      <c r="AL66" t="str">
        <f t="shared" si="12"/>
        <v>Neutral</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4</v>
      </c>
      <c r="AP66">
        <f>step3_validation[[#This Row],[AI_TRU2]]</f>
        <v>7</v>
      </c>
      <c r="AQ66" t="str">
        <f t="shared" si="15"/>
        <v>Neutral</v>
      </c>
      <c r="AR66">
        <f>survey_responses[[#This Row],[Tôi thấy mức thuế tôi phải đóng theo phương án mới là công bằng (người thu nhập như tôi đóng mức này là hợp lý). - HUMAN-TRU2]]</f>
        <v>10</v>
      </c>
      <c r="AS66" t="str">
        <f t="shared" si="16"/>
        <v>Support</v>
      </c>
      <c r="AT66" s="32">
        <f t="shared" si="17"/>
        <v>3</v>
      </c>
      <c r="AU66">
        <f>step3_validation[[#This Row],[AI_TRU3]]</f>
        <v>5</v>
      </c>
      <c r="AV66" t="str">
        <f t="shared" si="18"/>
        <v>Neutral</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5</v>
      </c>
      <c r="AZ66">
        <f>step3_validation[[#This Row],[AI_TRU4]]</f>
        <v>4</v>
      </c>
      <c r="BA66" t="str">
        <f t="shared" si="21"/>
        <v>Oppose</v>
      </c>
      <c r="BB66">
        <f>survey_responses[[#This Row],[Tôi thấy Nhà nước đã giải thích rõ ràng, minh bạch về lý do và mục tiêu của việc sửa đổi thuế lần này. - HUMAN-TRU4]]</f>
        <v>10</v>
      </c>
      <c r="BC66" t="str">
        <f t="shared" si="22"/>
        <v>Support</v>
      </c>
      <c r="BD66" s="32">
        <f t="shared" si="23"/>
        <v>6</v>
      </c>
      <c r="BE66">
        <f>step3_validation[[#This Row],[AI_OUT1]]</f>
        <v>5</v>
      </c>
      <c r="BF66" t="str">
        <f t="shared" si="24"/>
        <v>Neutral</v>
      </c>
      <c r="BG66">
        <f>survey_responses[[#This Row],[Sau khi xem xét các quyền lợi và nghĩa vụ, bạn có ủng hộ và tuân thủ chính sách mới hiện nay? - HUMAN-OUT1]]</f>
        <v>10</v>
      </c>
      <c r="BH66" t="str">
        <f t="shared" si="25"/>
        <v>Support</v>
      </c>
      <c r="BI66" s="32">
        <f t="shared" si="26"/>
        <v>5</v>
      </c>
    </row>
    <row r="67" spans="1:61" x14ac:dyDescent="0.45">
      <c r="A67" s="30">
        <f>step3_validation[[#This Row],[Persona_ID]]</f>
        <v>66</v>
      </c>
      <c r="B67" s="31">
        <f>step3_validation[[#This Row],[Used_Seed]]</f>
        <v>12410</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15.941225843089081</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7</v>
      </c>
      <c r="R67" t="str">
        <f t="shared" ref="R67:R130" si="27">IF(AND(Q67&gt;=1,Q67&lt;5),"Oppose",IF(AND(Q67&gt;=5,Q67&lt;8),"Neutral",IF(AND(Q67&gt;=8,Q67&lt;=10),"Support","")))</f>
        <v>Neutral</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0</v>
      </c>
      <c r="V67">
        <f>step3_validation[[#This Row],[AI_ENF2]]</f>
        <v>8</v>
      </c>
      <c r="W67" t="str">
        <f t="shared" ref="W67:W130" si="30">IF(AND(V67&gt;=1,V67&lt;5),"Oppose",IF(AND(V67&gt;=5,V67&lt;8),"Neutral",IF(AND(V67&gt;=8,V67&lt;=10),"Support","")))</f>
        <v>Support</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3</v>
      </c>
      <c r="AA67">
        <f>step3_validation[[#This Row],[AI_FAC1]]</f>
        <v>6</v>
      </c>
      <c r="AB67" t="str">
        <f t="shared" ref="AB67:AB130" si="33">IF(AND(AA67&gt;=1,AA67&lt;5),"Oppose",IF(AND(AA67&gt;=5,AA67&lt;8),"Neutral",IF(AND(AA67&gt;=8,AA67&lt;=10),"Support","")))</f>
        <v>Neutral</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3</v>
      </c>
      <c r="AF67">
        <f>step3_validation[[#This Row],[AI_FAC2]]</f>
        <v>8</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3</v>
      </c>
      <c r="AK67">
        <f>step3_validation[[#This Row],[AI_TRU1]]</f>
        <v>7</v>
      </c>
      <c r="AL67" t="str">
        <f t="shared" ref="AL67:AL130" si="39">IF(AND(AK67&gt;=1,AK67&lt;5),"Oppose",IF(AND(AK67&gt;=5,AK67&lt;8),"Neutral",IF(AND(AK67&gt;=8,AK67&lt;=10),"Support","")))</f>
        <v>Neutral</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3</v>
      </c>
      <c r="AP67">
        <f>step3_validation[[#This Row],[AI_TRU2]]</f>
        <v>6</v>
      </c>
      <c r="AQ67" t="str">
        <f t="shared" ref="AQ67:AQ130" si="42">IF(AND(AP67&gt;=1,AP67&lt;5),"Oppose",IF(AND(AP67&gt;=5,AP67&lt;8),"Neutral",IF(AND(AP67&gt;=8,AP67&lt;=10),"Support","")))</f>
        <v>Neutral</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3</v>
      </c>
      <c r="AU67">
        <f>step3_validation[[#This Row],[AI_TRU3]]</f>
        <v>7</v>
      </c>
      <c r="AV67" t="str">
        <f t="shared" ref="AV67:AV130" si="45">IF(AND(AU67&gt;=1,AU67&lt;5),"Oppose",IF(AND(AU67&gt;=5,AU67&lt;8),"Neutral",IF(AND(AU67&gt;=8,AU67&lt;=10),"Support","")))</f>
        <v>Neutral</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2</v>
      </c>
      <c r="AZ67">
        <f>step3_validation[[#This Row],[AI_TRU4]]</f>
        <v>5</v>
      </c>
      <c r="BA67" t="str">
        <f t="shared" ref="BA67:BA130" si="48">IF(AND(AZ67&gt;=1,AZ67&lt;5),"Oppose",IF(AND(AZ67&gt;=5,AZ67&lt;8),"Neutral",IF(AND(AZ67&gt;=8,AZ67&lt;=10),"Support","")))</f>
        <v>Neutral</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1</v>
      </c>
      <c r="BE67">
        <f>step3_validation[[#This Row],[AI_OUT1]]</f>
        <v>6</v>
      </c>
      <c r="BF67" t="str">
        <f t="shared" ref="BF67:BF130" si="51">IF(AND(BE67&gt;=1,BE67&lt;5),"Oppose",IF(AND(BE67&gt;=5,BE67&lt;8),"Neutral",IF(AND(BE67&gt;=8,BE67&lt;=10),"Support","")))</f>
        <v>Neutral</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0</v>
      </c>
    </row>
    <row r="68" spans="1:61" x14ac:dyDescent="0.45">
      <c r="A68" s="30">
        <f>step3_validation[[#This Row],[Persona_ID]]</f>
        <v>67</v>
      </c>
      <c r="B68" s="31">
        <f>step3_validation[[#This Row],[Used_Seed]]</f>
        <v>12411</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74.297528366625542</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2</v>
      </c>
      <c r="V68">
        <f>step3_validation[[#This Row],[AI_ENF2]]</f>
        <v>6</v>
      </c>
      <c r="W68" t="str">
        <f t="shared" si="30"/>
        <v>Neutral</v>
      </c>
      <c r="X68">
        <f>survey_responses[[#This Row],[Tôi tin rằng Nhà nước, cơ quan thuế có đủ khả năng và công nghệ để phát hiện, xử lý nghiêm các hành vi trốn thuế. - HUMAN-ENF2]]</f>
        <v>5</v>
      </c>
      <c r="Y68" t="str">
        <f t="shared" si="31"/>
        <v>Neutral</v>
      </c>
      <c r="Z68" s="32">
        <f t="shared" si="32"/>
        <v>1</v>
      </c>
      <c r="AA68">
        <f>step3_validation[[#This Row],[AI_FAC1]]</f>
        <v>8</v>
      </c>
      <c r="AB68" t="str">
        <f t="shared" si="33"/>
        <v>Support</v>
      </c>
      <c r="AC68">
        <f>survey_responses[[#This Row],[Các thủ tục khai báo thuế VÀ/HOẶC quy trình làm việc với cơ quan thuế đơn giản, tiện lợi, nhanh chóng hơn so với trước đây. - HUMAN-FAC1]]</f>
        <v>4</v>
      </c>
      <c r="AD68" t="str">
        <f t="shared" si="34"/>
        <v>Oppose</v>
      </c>
      <c r="AE68" s="32">
        <f t="shared" si="35"/>
        <v>4</v>
      </c>
      <c r="AF68">
        <f>step3_validation[[#This Row],[AI_FAC2]]</f>
        <v>9</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2">
        <f t="shared" si="38"/>
        <v>5</v>
      </c>
      <c r="AK68">
        <f>step3_validation[[#This Row],[AI_TRU1]]</f>
        <v>8</v>
      </c>
      <c r="AL68" t="str">
        <f t="shared" si="39"/>
        <v>Support</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6</v>
      </c>
      <c r="AP68">
        <f>step3_validation[[#This Row],[AI_TRU2]]</f>
        <v>7</v>
      </c>
      <c r="AQ68" t="str">
        <f t="shared" si="42"/>
        <v>Neutral</v>
      </c>
      <c r="AR68">
        <f>survey_responses[[#This Row],[Tôi thấy mức thuế tôi phải đóng theo phương án mới là công bằng (người thu nhập như tôi đóng mức này là hợp lý). - HUMAN-TRU2]]</f>
        <v>3</v>
      </c>
      <c r="AS68" t="str">
        <f t="shared" si="43"/>
        <v>Oppose</v>
      </c>
      <c r="AT68" s="32">
        <f t="shared" si="44"/>
        <v>4</v>
      </c>
      <c r="AU68">
        <f>step3_validation[[#This Row],[AI_TRU3]]</f>
        <v>6</v>
      </c>
      <c r="AV68" t="str">
        <f t="shared" si="45"/>
        <v>Neutral</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4</v>
      </c>
      <c r="AZ68">
        <f>step3_validation[[#This Row],[AI_TRU4]]</f>
        <v>7</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4</v>
      </c>
      <c r="BE68">
        <f>step3_validation[[#This Row],[AI_OUT1]]</f>
        <v>8</v>
      </c>
      <c r="BF68" t="str">
        <f t="shared" si="51"/>
        <v>Support</v>
      </c>
      <c r="BG68">
        <f>survey_responses[[#This Row],[Sau khi xem xét các quyền lợi và nghĩa vụ, bạn có ủng hộ và tuân thủ chính sách mới hiện nay? - HUMAN-OUT1]]</f>
        <v>3</v>
      </c>
      <c r="BH68" t="str">
        <f t="shared" si="52"/>
        <v>Oppose</v>
      </c>
      <c r="BI68" s="32">
        <f t="shared" si="53"/>
        <v>5</v>
      </c>
    </row>
    <row r="69" spans="1:61" x14ac:dyDescent="0.45">
      <c r="A69" s="30">
        <f>step3_validation[[#This Row],[Persona_ID]]</f>
        <v>68</v>
      </c>
      <c r="B69" s="31">
        <f>step3_validation[[#This Row],[Used_Seed]]</f>
        <v>12412</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53.094981893488004</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7</v>
      </c>
      <c r="R69" t="str">
        <f t="shared" si="27"/>
        <v>Neutral</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3</v>
      </c>
      <c r="V69">
        <f>step3_validation[[#This Row],[AI_ENF2]]</f>
        <v>8</v>
      </c>
      <c r="W69" t="str">
        <f t="shared" si="30"/>
        <v>Support</v>
      </c>
      <c r="X69">
        <f>survey_responses[[#This Row],[Tôi tin rằng Nhà nước, cơ quan thuế có đủ khả năng và công nghệ để phát hiện, xử lý nghiêm các hành vi trốn thuế. - HUMAN-ENF2]]</f>
        <v>3</v>
      </c>
      <c r="Y69" t="str">
        <f t="shared" si="31"/>
        <v>Oppose</v>
      </c>
      <c r="Z69" s="32">
        <f t="shared" si="32"/>
        <v>5</v>
      </c>
      <c r="AA69">
        <f>step3_validation[[#This Row],[AI_FAC1]]</f>
        <v>9</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2">
        <f t="shared" si="35"/>
        <v>8</v>
      </c>
      <c r="AF69">
        <f>step3_validation[[#This Row],[AI_FAC2]]</f>
        <v>6</v>
      </c>
      <c r="AG69" t="str">
        <f t="shared" si="36"/>
        <v>Neutral</v>
      </c>
      <c r="AH69">
        <f>survey_responses[[#This Row],[So với trước đây, tôi thấy cách tính thuế và các bậc thuế trong phương án mới đơn giản, dễ hiểu và dễ thực hiện hơn. - HUMAN-FAC2]]</f>
        <v>5</v>
      </c>
      <c r="AI69" t="str">
        <f t="shared" si="37"/>
        <v>Neutral</v>
      </c>
      <c r="AJ69" s="32">
        <f t="shared" si="38"/>
        <v>1</v>
      </c>
      <c r="AK69">
        <f>step3_validation[[#This Row],[AI_TRU1]]</f>
        <v>8</v>
      </c>
      <c r="AL69" t="str">
        <f t="shared" si="39"/>
        <v>Support</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4</v>
      </c>
      <c r="AP69">
        <f>step3_validation[[#This Row],[AI_TRU2]]</f>
        <v>7</v>
      </c>
      <c r="AQ69" t="str">
        <f t="shared" si="42"/>
        <v>Neutral</v>
      </c>
      <c r="AR69">
        <f>survey_responses[[#This Row],[Tôi thấy mức thuế tôi phải đóng theo phương án mới là công bằng (người thu nhập như tôi đóng mức này là hợp lý). - HUMAN-TRU2]]</f>
        <v>3</v>
      </c>
      <c r="AS69" t="str">
        <f t="shared" si="43"/>
        <v>Oppose</v>
      </c>
      <c r="AT69" s="32">
        <f t="shared" si="44"/>
        <v>4</v>
      </c>
      <c r="AU69">
        <f>step3_validation[[#This Row],[AI_TRU3]]</f>
        <v>8</v>
      </c>
      <c r="AV69" t="str">
        <f t="shared" si="45"/>
        <v>Support</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7</v>
      </c>
      <c r="AZ69">
        <f>step3_validation[[#This Row],[AI_TRU4]]</f>
        <v>6</v>
      </c>
      <c r="BA69" t="str">
        <f t="shared" si="48"/>
        <v>Neutral</v>
      </c>
      <c r="BB69">
        <f>survey_responses[[#This Row],[Tôi thấy Nhà nước đã giải thích rõ ràng, minh bạch về lý do và mục tiêu của việc sửa đổi thuế lần này. - HUMAN-TRU4]]</f>
        <v>3</v>
      </c>
      <c r="BC69" t="str">
        <f t="shared" si="49"/>
        <v>Oppose</v>
      </c>
      <c r="BD69" s="32">
        <f t="shared" si="50"/>
        <v>3</v>
      </c>
      <c r="BE69">
        <f>step3_validation[[#This Row],[AI_OUT1]]</f>
        <v>7</v>
      </c>
      <c r="BF69" t="str">
        <f t="shared" si="51"/>
        <v>Neutral</v>
      </c>
      <c r="BG69">
        <f>survey_responses[[#This Row],[Sau khi xem xét các quyền lợi và nghĩa vụ, bạn có ủng hộ và tuân thủ chính sách mới hiện nay? - HUMAN-OUT1]]</f>
        <v>5</v>
      </c>
      <c r="BH69" t="str">
        <f t="shared" si="52"/>
        <v>Neutral</v>
      </c>
      <c r="BI69" s="32">
        <f t="shared" si="53"/>
        <v>2</v>
      </c>
    </row>
    <row r="70" spans="1:61" x14ac:dyDescent="0.45">
      <c r="A70" s="30">
        <f>step3_validation[[#This Row],[Persona_ID]]</f>
        <v>69</v>
      </c>
      <c r="B70" s="31">
        <f>step3_validation[[#This Row],[Used_Seed]]</f>
        <v>12413</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20.004502608983355</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t="str">
        <f t="shared" si="27"/>
        <v>Neutral</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0</v>
      </c>
      <c r="V70">
        <f>step3_validation[[#This Row],[AI_ENF2]]</f>
        <v>7</v>
      </c>
      <c r="W70" t="str">
        <f t="shared" si="30"/>
        <v>Neutral</v>
      </c>
      <c r="X70">
        <f>survey_responses[[#This Row],[Tôi tin rằng Nhà nước, cơ quan thuế có đủ khả năng và công nghệ để phát hiện, xử lý nghiêm các hành vi trốn thuế. - HUMAN-ENF2]]</f>
        <v>7</v>
      </c>
      <c r="Y70" t="str">
        <f t="shared" si="31"/>
        <v>Neutral</v>
      </c>
      <c r="Z70" s="32">
        <f t="shared" si="32"/>
        <v>0</v>
      </c>
      <c r="AA70">
        <f>step3_validation[[#This Row],[AI_FAC1]]</f>
        <v>8</v>
      </c>
      <c r="AB70" t="str">
        <f t="shared" si="33"/>
        <v>Support</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0</v>
      </c>
      <c r="AF70">
        <f>step3_validation[[#This Row],[AI_FAC2]]</f>
        <v>8</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1</v>
      </c>
      <c r="AK70">
        <f>step3_validation[[#This Row],[AI_TRU1]]</f>
        <v>7</v>
      </c>
      <c r="AL70" t="str">
        <f t="shared" si="39"/>
        <v>Neutral</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1</v>
      </c>
      <c r="AP70">
        <f>step3_validation[[#This Row],[AI_TRU2]]</f>
        <v>7</v>
      </c>
      <c r="AQ70" t="str">
        <f t="shared" si="42"/>
        <v>Neutral</v>
      </c>
      <c r="AR70">
        <f>survey_responses[[#This Row],[Tôi thấy mức thuế tôi phải đóng theo phương án mới là công bằng (người thu nhập như tôi đóng mức này là hợp lý). - HUMAN-TRU2]]</f>
        <v>10</v>
      </c>
      <c r="AS70" t="str">
        <f t="shared" si="43"/>
        <v>Support</v>
      </c>
      <c r="AT70" s="32">
        <f t="shared" si="44"/>
        <v>3</v>
      </c>
      <c r="AU70">
        <f>step3_validation[[#This Row],[AI_TRU3]]</f>
        <v>7</v>
      </c>
      <c r="AV70" t="str">
        <f t="shared" si="45"/>
        <v>Neutral</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2</v>
      </c>
      <c r="AZ70">
        <f>step3_validation[[#This Row],[AI_TRU4]]</f>
        <v>6</v>
      </c>
      <c r="BA70" t="str">
        <f t="shared" si="48"/>
        <v>Neutral</v>
      </c>
      <c r="BB70">
        <f>survey_responses[[#This Row],[Tôi thấy Nhà nước đã giải thích rõ ràng, minh bạch về lý do và mục tiêu của việc sửa đổi thuế lần này. - HUMAN-TRU4]]</f>
        <v>9</v>
      </c>
      <c r="BC70" t="str">
        <f t="shared" si="49"/>
        <v>Support</v>
      </c>
      <c r="BD70" s="32">
        <f t="shared" si="50"/>
        <v>3</v>
      </c>
      <c r="BE70">
        <f>step3_validation[[#This Row],[AI_OUT1]]</f>
        <v>8</v>
      </c>
      <c r="BF70" t="str">
        <f t="shared" si="51"/>
        <v>Support</v>
      </c>
      <c r="BG70">
        <f>survey_responses[[#This Row],[Sau khi xem xét các quyền lợi và nghĩa vụ, bạn có ủng hộ và tuân thủ chính sách mới hiện nay? - HUMAN-OUT1]]</f>
        <v>9</v>
      </c>
      <c r="BH70" t="str">
        <f t="shared" si="52"/>
        <v>Support</v>
      </c>
      <c r="BI70" s="32">
        <f t="shared" si="53"/>
        <v>1</v>
      </c>
    </row>
    <row r="71" spans="1:61" x14ac:dyDescent="0.45">
      <c r="A71" s="30">
        <f>step3_validation[[#This Row],[Persona_ID]]</f>
        <v>70</v>
      </c>
      <c r="B71" s="31">
        <f>step3_validation[[#This Row],[Used_Seed]]</f>
        <v>12414</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176.18011881551902</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t="str">
        <f t="shared" si="27"/>
        <v>Neutral</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1</v>
      </c>
      <c r="V71">
        <f>step3_validation[[#This Row],[AI_ENF2]]</f>
        <v>8</v>
      </c>
      <c r="W71" t="str">
        <f t="shared" si="30"/>
        <v>Support</v>
      </c>
      <c r="X71">
        <f>survey_responses[[#This Row],[Tôi tin rằng Nhà nước, cơ quan thuế có đủ khả năng và công nghệ để phát hiện, xử lý nghiêm các hành vi trốn thuế. - HUMAN-ENF2]]</f>
        <v>6</v>
      </c>
      <c r="Y71" t="str">
        <f t="shared" si="31"/>
        <v>Neutral</v>
      </c>
      <c r="Z71" s="32">
        <f t="shared" si="32"/>
        <v>2</v>
      </c>
      <c r="AA71">
        <f>step3_validation[[#This Row],[AI_FAC1]]</f>
        <v>9</v>
      </c>
      <c r="AB71" t="str">
        <f t="shared" si="33"/>
        <v>Support</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4</v>
      </c>
      <c r="AF71">
        <f>step3_validation[[#This Row],[AI_FAC2]]</f>
        <v>8</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3</v>
      </c>
      <c r="AK71">
        <f>step3_validation[[#This Row],[AI_TRU1]]</f>
        <v>7</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2</v>
      </c>
      <c r="AP71">
        <f>step3_validation[[#This Row],[AI_TRU2]]</f>
        <v>8</v>
      </c>
      <c r="AQ71" t="str">
        <f t="shared" si="42"/>
        <v>Support</v>
      </c>
      <c r="AR71">
        <f>survey_responses[[#This Row],[Tôi thấy mức thuế tôi phải đóng theo phương án mới là công bằng (người thu nhập như tôi đóng mức này là hợp lý). - HUMAN-TRU2]]</f>
        <v>1</v>
      </c>
      <c r="AS71" t="str">
        <f t="shared" si="43"/>
        <v>Oppose</v>
      </c>
      <c r="AT71" s="32">
        <f t="shared" si="44"/>
        <v>7</v>
      </c>
      <c r="AU71">
        <f>step3_validation[[#This Row],[AI_TRU3]]</f>
        <v>7</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2</v>
      </c>
      <c r="AZ71">
        <f>step3_validation[[#This Row],[AI_TRU4]]</f>
        <v>7</v>
      </c>
      <c r="BA71" t="str">
        <f t="shared" si="48"/>
        <v>Neutral</v>
      </c>
      <c r="BB71">
        <f>survey_responses[[#This Row],[Tôi thấy Nhà nước đã giải thích rõ ràng, minh bạch về lý do và mục tiêu của việc sửa đổi thuế lần này. - HUMAN-TRU4]]</f>
        <v>5</v>
      </c>
      <c r="BC71" t="str">
        <f t="shared" si="49"/>
        <v>Neutral</v>
      </c>
      <c r="BD71" s="32">
        <f t="shared" si="50"/>
        <v>2</v>
      </c>
      <c r="BE71">
        <f>step3_validation[[#This Row],[AI_OUT1]]</f>
        <v>8</v>
      </c>
      <c r="BF71" t="str">
        <f t="shared" si="51"/>
        <v>Support</v>
      </c>
      <c r="BG71">
        <f>survey_responses[[#This Row],[Sau khi xem xét các quyền lợi và nghĩa vụ, bạn có ủng hộ và tuân thủ chính sách mới hiện nay? - HUMAN-OUT1]]</f>
        <v>5</v>
      </c>
      <c r="BH71" t="str">
        <f t="shared" si="52"/>
        <v>Neutral</v>
      </c>
      <c r="BI71" s="32">
        <f t="shared" si="53"/>
        <v>3</v>
      </c>
    </row>
    <row r="72" spans="1:61" x14ac:dyDescent="0.45">
      <c r="A72" s="30">
        <f>step3_validation[[#This Row],[Persona_ID]]</f>
        <v>71</v>
      </c>
      <c r="B72" s="31">
        <f>step3_validation[[#This Row],[Used_Seed]]</f>
        <v>12415</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28.784619879217345</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8</v>
      </c>
      <c r="R72" t="str">
        <f t="shared" si="27"/>
        <v>Support</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5</v>
      </c>
      <c r="V72">
        <f>step3_validation[[#This Row],[AI_ENF2]]</f>
        <v>9</v>
      </c>
      <c r="W72" t="str">
        <f t="shared" si="30"/>
        <v>Support</v>
      </c>
      <c r="X72">
        <f>survey_responses[[#This Row],[Tôi tin rằng Nhà nước, cơ quan thuế có đủ khả năng và công nghệ để phát hiện, xử lý nghiêm các hành vi trốn thuế. - HUMAN-ENF2]]</f>
        <v>3</v>
      </c>
      <c r="Y72" t="str">
        <f t="shared" si="31"/>
        <v>Oppose</v>
      </c>
      <c r="Z72" s="32">
        <f t="shared" si="32"/>
        <v>6</v>
      </c>
      <c r="AA72">
        <f>step3_validation[[#This Row],[AI_FAC1]]</f>
        <v>8</v>
      </c>
      <c r="AB72" t="str">
        <f t="shared" si="33"/>
        <v>Support</v>
      </c>
      <c r="AC72">
        <f>survey_responses[[#This Row],[Các thủ tục khai báo thuế VÀ/HOẶC quy trình làm việc với cơ quan thuế đơn giản, tiện lợi, nhanh chóng hơn so với trước đây. - HUMAN-FAC1]]</f>
        <v>3</v>
      </c>
      <c r="AD72" t="str">
        <f t="shared" si="34"/>
        <v>Oppose</v>
      </c>
      <c r="AE72" s="32">
        <f t="shared" si="35"/>
        <v>5</v>
      </c>
      <c r="AF72">
        <f>step3_validation[[#This Row],[AI_FAC2]]</f>
        <v>9</v>
      </c>
      <c r="AG72" t="str">
        <f t="shared" si="36"/>
        <v>Support</v>
      </c>
      <c r="AH72">
        <f>survey_responses[[#This Row],[So với trước đây, tôi thấy cách tính thuế và các bậc thuế trong phương án mới đơn giản, dễ hiểu và dễ thực hiện hơn. - HUMAN-FAC2]]</f>
        <v>5</v>
      </c>
      <c r="AI72" t="str">
        <f t="shared" si="37"/>
        <v>Neutral</v>
      </c>
      <c r="AJ72" s="32">
        <f t="shared" si="38"/>
        <v>4</v>
      </c>
      <c r="AK72">
        <f>step3_validation[[#This Row],[AI_TRU1]]</f>
        <v>7</v>
      </c>
      <c r="AL72" t="str">
        <f t="shared" si="39"/>
        <v>Neutral</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4</v>
      </c>
      <c r="AP72">
        <f>step3_validation[[#This Row],[AI_TRU2]]</f>
        <v>8</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5</v>
      </c>
      <c r="AU72">
        <f>step3_validation[[#This Row],[AI_TRU3]]</f>
        <v>7</v>
      </c>
      <c r="AV72" t="str">
        <f t="shared" si="45"/>
        <v>Neutral</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4</v>
      </c>
      <c r="AZ72">
        <f>step3_validation[[#This Row],[AI_TRU4]]</f>
        <v>6</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3</v>
      </c>
      <c r="BE72">
        <f>step3_validation[[#This Row],[AI_OUT1]]</f>
        <v>8</v>
      </c>
      <c r="BF72" t="str">
        <f t="shared" si="51"/>
        <v>Support</v>
      </c>
      <c r="BG72">
        <f>survey_responses[[#This Row],[Sau khi xem xét các quyền lợi và nghĩa vụ, bạn có ủng hộ và tuân thủ chính sách mới hiện nay? - HUMAN-OUT1]]</f>
        <v>4</v>
      </c>
      <c r="BH72" t="str">
        <f t="shared" si="52"/>
        <v>Oppose</v>
      </c>
      <c r="BI72" s="32">
        <f t="shared" si="53"/>
        <v>4</v>
      </c>
    </row>
    <row r="73" spans="1:61" x14ac:dyDescent="0.45">
      <c r="A73" s="30">
        <f>step3_validation[[#This Row],[Persona_ID]]</f>
        <v>72</v>
      </c>
      <c r="B73" s="31">
        <f>step3_validation[[#This Row],[Used_Seed]]</f>
        <v>12416</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20.235315403830867</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8</v>
      </c>
      <c r="R73" t="str">
        <f t="shared" si="27"/>
        <v>Support</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0</v>
      </c>
      <c r="V73">
        <f>step3_validation[[#This Row],[AI_ENF2]]</f>
        <v>9</v>
      </c>
      <c r="W73" t="str">
        <f t="shared" si="30"/>
        <v>Support</v>
      </c>
      <c r="X73">
        <f>survey_responses[[#This Row],[Tôi tin rằng Nhà nước, cơ quan thuế có đủ khả năng và công nghệ để phát hiện, xử lý nghiêm các hành vi trốn thuế. - HUMAN-ENF2]]</f>
        <v>8</v>
      </c>
      <c r="Y73" t="str">
        <f t="shared" si="31"/>
        <v>Support</v>
      </c>
      <c r="Z73" s="32">
        <f t="shared" si="32"/>
        <v>1</v>
      </c>
      <c r="AA73">
        <f>step3_validation[[#This Row],[AI_FAC1]]</f>
        <v>7</v>
      </c>
      <c r="AB73" t="str">
        <f t="shared" si="33"/>
        <v>Neutral</v>
      </c>
      <c r="AC73">
        <f>survey_responses[[#This Row],[Các thủ tục khai báo thuế VÀ/HOẶC quy trình làm việc với cơ quan thuế đơn giản, tiện lợi, nhanh chóng hơn so với trước đây. - HUMAN-FAC1]]</f>
        <v>4</v>
      </c>
      <c r="AD73" t="str">
        <f t="shared" si="34"/>
        <v>Oppose</v>
      </c>
      <c r="AE73" s="32">
        <f t="shared" si="35"/>
        <v>3</v>
      </c>
      <c r="AF73">
        <f>step3_validation[[#This Row],[AI_FAC2]]</f>
        <v>8</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2">
        <f t="shared" si="38"/>
        <v>6</v>
      </c>
      <c r="AK73">
        <f>step3_validation[[#This Row],[AI_TRU1]]</f>
        <v>7</v>
      </c>
      <c r="AL73" t="str">
        <f t="shared" si="39"/>
        <v>Neutral</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1</v>
      </c>
      <c r="AP73">
        <f>step3_validation[[#This Row],[AI_TRU2]]</f>
        <v>6</v>
      </c>
      <c r="AQ73" t="str">
        <f t="shared" si="42"/>
        <v>Neutral</v>
      </c>
      <c r="AR73">
        <f>survey_responses[[#This Row],[Tôi thấy mức thuế tôi phải đóng theo phương án mới là công bằng (người thu nhập như tôi đóng mức này là hợp lý). - HUMAN-TRU2]]</f>
        <v>3</v>
      </c>
      <c r="AS73" t="str">
        <f t="shared" si="43"/>
        <v>Oppose</v>
      </c>
      <c r="AT73" s="32">
        <f t="shared" si="44"/>
        <v>3</v>
      </c>
      <c r="AU73">
        <f>step3_validation[[#This Row],[AI_TRU3]]</f>
        <v>7</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1</v>
      </c>
      <c r="AZ73">
        <f>step3_validation[[#This Row],[AI_TRU4]]</f>
        <v>5</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2">
        <f t="shared" si="50"/>
        <v>1</v>
      </c>
      <c r="BE73">
        <f>step3_validation[[#This Row],[AI_OUT1]]</f>
        <v>7</v>
      </c>
      <c r="BF73" t="str">
        <f t="shared" si="51"/>
        <v>Neutral</v>
      </c>
      <c r="BG73">
        <f>survey_responses[[#This Row],[Sau khi xem xét các quyền lợi và nghĩa vụ, bạn có ủng hộ và tuân thủ chính sách mới hiện nay? - HUMAN-OUT1]]</f>
        <v>8</v>
      </c>
      <c r="BH73" t="str">
        <f t="shared" si="52"/>
        <v>Support</v>
      </c>
      <c r="BI73" s="32">
        <f t="shared" si="53"/>
        <v>1</v>
      </c>
    </row>
    <row r="74" spans="1:61" x14ac:dyDescent="0.45">
      <c r="A74" s="30">
        <f>step3_validation[[#This Row],[Persona_ID]]</f>
        <v>73</v>
      </c>
      <c r="B74" s="31">
        <f>step3_validation[[#This Row],[Used_Seed]]</f>
        <v>12417</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14.673189306981197</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5</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0</v>
      </c>
      <c r="V74">
        <f>step3_validation[[#This Row],[AI_ENF2]]</f>
        <v>6</v>
      </c>
      <c r="W74" t="str">
        <f t="shared" si="30"/>
        <v>Neutral</v>
      </c>
      <c r="X74">
        <f>survey_responses[[#This Row],[Tôi tin rằng Nhà nước, cơ quan thuế có đủ khả năng và công nghệ để phát hiện, xử lý nghiêm các hành vi trốn thuế. - HUMAN-ENF2]]</f>
        <v>5</v>
      </c>
      <c r="Y74" t="str">
        <f t="shared" si="31"/>
        <v>Neutral</v>
      </c>
      <c r="Z74" s="32">
        <f t="shared" si="32"/>
        <v>1</v>
      </c>
      <c r="AA74">
        <f>step3_validation[[#This Row],[AI_FAC1]]</f>
        <v>7</v>
      </c>
      <c r="AB74" t="str">
        <f t="shared" si="33"/>
        <v>Neutral</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2</v>
      </c>
      <c r="AF74">
        <f>step3_validation[[#This Row],[AI_FAC2]]</f>
        <v>8</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2">
        <f t="shared" si="38"/>
        <v>3</v>
      </c>
      <c r="AK74">
        <f>step3_validation[[#This Row],[AI_TRU1]]</f>
        <v>6</v>
      </c>
      <c r="AL74" t="str">
        <f t="shared" si="39"/>
        <v>Neutral</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1</v>
      </c>
      <c r="AP74">
        <f>step3_validation[[#This Row],[AI_TRU2]]</f>
        <v>8</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2">
        <f t="shared" si="44"/>
        <v>2</v>
      </c>
      <c r="AU74">
        <f>step3_validation[[#This Row],[AI_TRU3]]</f>
        <v>7</v>
      </c>
      <c r="AV74" t="str">
        <f t="shared" si="45"/>
        <v>Neutral</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2</v>
      </c>
      <c r="AZ74">
        <f>step3_validation[[#This Row],[AI_TRU4]]</f>
        <v>6</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2">
        <f t="shared" si="50"/>
        <v>1</v>
      </c>
      <c r="BE74">
        <f>step3_validation[[#This Row],[AI_OUT1]]</f>
        <v>7</v>
      </c>
      <c r="BF74" t="str">
        <f t="shared" si="51"/>
        <v>Neutral</v>
      </c>
      <c r="BG74">
        <f>survey_responses[[#This Row],[Sau khi xem xét các quyền lợi và nghĩa vụ, bạn có ủng hộ và tuân thủ chính sách mới hiện nay? - HUMAN-OUT1]]</f>
        <v>10</v>
      </c>
      <c r="BH74" t="str">
        <f t="shared" si="52"/>
        <v>Support</v>
      </c>
      <c r="BI74" s="32">
        <f t="shared" si="53"/>
        <v>3</v>
      </c>
    </row>
    <row r="75" spans="1:61" x14ac:dyDescent="0.45">
      <c r="A75" s="30">
        <f>step3_validation[[#This Row],[Persona_ID]]</f>
        <v>74</v>
      </c>
      <c r="B75" s="31">
        <f>step3_validation[[#This Row],[Used_Seed]]</f>
        <v>12418</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19.207040619684111</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8</v>
      </c>
      <c r="R75" t="str">
        <f t="shared" si="27"/>
        <v>Support</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3</v>
      </c>
      <c r="V75">
        <f>step3_validation[[#This Row],[AI_ENF2]]</f>
        <v>7</v>
      </c>
      <c r="W75" t="str">
        <f t="shared" si="30"/>
        <v>Neutral</v>
      </c>
      <c r="X75">
        <f>survey_responses[[#This Row],[Tôi tin rằng Nhà nước, cơ quan thuế có đủ khả năng và công nghệ để phát hiện, xử lý nghiêm các hành vi trốn thuế. - HUMAN-ENF2]]</f>
        <v>10</v>
      </c>
      <c r="Y75" t="str">
        <f t="shared" si="31"/>
        <v>Support</v>
      </c>
      <c r="Z75" s="32">
        <f t="shared" si="32"/>
        <v>3</v>
      </c>
      <c r="AA75">
        <f>step3_validation[[#This Row],[AI_FAC1]]</f>
        <v>6</v>
      </c>
      <c r="AB75" t="str">
        <f t="shared" si="33"/>
        <v>Neutral</v>
      </c>
      <c r="AC75">
        <f>survey_responses[[#This Row],[Các thủ tục khai báo thuế VÀ/HOẶC quy trình làm việc với cơ quan thuế đơn giản, tiện lợi, nhanh chóng hơn so với trước đây. - HUMAN-FAC1]]</f>
        <v>2</v>
      </c>
      <c r="AD75" t="str">
        <f t="shared" si="34"/>
        <v>Oppose</v>
      </c>
      <c r="AE75" s="32">
        <f t="shared" si="35"/>
        <v>4</v>
      </c>
      <c r="AF75">
        <f>step3_validation[[#This Row],[AI_FAC2]]</f>
        <v>7</v>
      </c>
      <c r="AG75" t="str">
        <f t="shared" si="36"/>
        <v>Neutral</v>
      </c>
      <c r="AH75">
        <f>survey_responses[[#This Row],[So với trước đây, tôi thấy cách tính thuế và các bậc thuế trong phương án mới đơn giản, dễ hiểu và dễ thực hiện hơn. - HUMAN-FAC2]]</f>
        <v>8</v>
      </c>
      <c r="AI75" t="str">
        <f t="shared" si="37"/>
        <v>Support</v>
      </c>
      <c r="AJ75" s="32">
        <f t="shared" si="38"/>
        <v>1</v>
      </c>
      <c r="AK75">
        <f>step3_validation[[#This Row],[AI_TRU1]]</f>
        <v>5</v>
      </c>
      <c r="AL75" t="str">
        <f t="shared" si="39"/>
        <v>Neutral</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0</v>
      </c>
      <c r="AP75">
        <f>step3_validation[[#This Row],[AI_TRU2]]</f>
        <v>6</v>
      </c>
      <c r="AQ75" t="str">
        <f t="shared" si="42"/>
        <v>Neutral</v>
      </c>
      <c r="AR75">
        <f>survey_responses[[#This Row],[Tôi thấy mức thuế tôi phải đóng theo phương án mới là công bằng (người thu nhập như tôi đóng mức này là hợp lý). - HUMAN-TRU2]]</f>
        <v>5</v>
      </c>
      <c r="AS75" t="str">
        <f t="shared" si="43"/>
        <v>Neutral</v>
      </c>
      <c r="AT75" s="32">
        <f t="shared" si="44"/>
        <v>1</v>
      </c>
      <c r="AU75">
        <f>step3_validation[[#This Row],[AI_TRU3]]</f>
        <v>7</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6</v>
      </c>
      <c r="AZ75">
        <f>step3_validation[[#This Row],[AI_TRU4]]</f>
        <v>5</v>
      </c>
      <c r="BA75" t="str">
        <f t="shared" si="48"/>
        <v>Neutral</v>
      </c>
      <c r="BB75">
        <f>survey_responses[[#This Row],[Tôi thấy Nhà nước đã giải thích rõ ràng, minh bạch về lý do và mục tiêu của việc sửa đổi thuế lần này. - HUMAN-TRU4]]</f>
        <v>4</v>
      </c>
      <c r="BC75" t="str">
        <f t="shared" si="49"/>
        <v>Oppose</v>
      </c>
      <c r="BD75" s="32">
        <f t="shared" si="50"/>
        <v>1</v>
      </c>
      <c r="BE75">
        <f>step3_validation[[#This Row],[AI_OUT1]]</f>
        <v>6</v>
      </c>
      <c r="BF75" t="str">
        <f t="shared" si="51"/>
        <v>Neutral</v>
      </c>
      <c r="BG75">
        <f>survey_responses[[#This Row],[Sau khi xem xét các quyền lợi và nghĩa vụ, bạn có ủng hộ và tuân thủ chính sách mới hiện nay? - HUMAN-OUT1]]</f>
        <v>5</v>
      </c>
      <c r="BH75" t="str">
        <f t="shared" si="52"/>
        <v>Neutral</v>
      </c>
      <c r="BI75" s="32">
        <f t="shared" si="53"/>
        <v>1</v>
      </c>
    </row>
    <row r="76" spans="1:61" x14ac:dyDescent="0.45">
      <c r="A76" s="30">
        <f>step3_validation[[#This Row],[Persona_ID]]</f>
        <v>75</v>
      </c>
      <c r="B76" s="31">
        <f>step3_validation[[#This Row],[Used_Seed]]</f>
        <v>12419</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52.464608183525499</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5</v>
      </c>
      <c r="R76" t="str">
        <f t="shared" si="27"/>
        <v>Neutral</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3</v>
      </c>
      <c r="V76">
        <f>step3_validation[[#This Row],[AI_ENF2]]</f>
        <v>6</v>
      </c>
      <c r="W76" t="str">
        <f t="shared" si="30"/>
        <v>Neutral</v>
      </c>
      <c r="X76">
        <f>survey_responses[[#This Row],[Tôi tin rằng Nhà nước, cơ quan thuế có đủ khả năng và công nghệ để phát hiện, xử lý nghiêm các hành vi trốn thuế. - HUMAN-ENF2]]</f>
        <v>9</v>
      </c>
      <c r="Y76" t="str">
        <f t="shared" si="31"/>
        <v>Support</v>
      </c>
      <c r="Z76" s="32">
        <f t="shared" si="32"/>
        <v>3</v>
      </c>
      <c r="AA76">
        <f>step3_validation[[#This Row],[AI_FAC1]]</f>
        <v>8</v>
      </c>
      <c r="AB76" t="str">
        <f t="shared" si="33"/>
        <v>Support</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1</v>
      </c>
      <c r="AF76">
        <f>step3_validation[[#This Row],[AI_FAC2]]</f>
        <v>7</v>
      </c>
      <c r="AG76" t="str">
        <f t="shared" si="36"/>
        <v>Neutral</v>
      </c>
      <c r="AH76">
        <f>survey_responses[[#This Row],[So với trước đây, tôi thấy cách tính thuế và các bậc thuế trong phương án mới đơn giản, dễ hiểu và dễ thực hiện hơn. - HUMAN-FAC2]]</f>
        <v>9</v>
      </c>
      <c r="AI76" t="str">
        <f t="shared" si="37"/>
        <v>Support</v>
      </c>
      <c r="AJ76" s="32">
        <f t="shared" si="38"/>
        <v>2</v>
      </c>
      <c r="AK76">
        <f>step3_validation[[#This Row],[AI_TRU1]]</f>
        <v>8</v>
      </c>
      <c r="AL76" t="str">
        <f t="shared" si="39"/>
        <v>Support</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5</v>
      </c>
      <c r="AP76">
        <f>step3_validation[[#This Row],[AI_TRU2]]</f>
        <v>7</v>
      </c>
      <c r="AQ76" t="str">
        <f t="shared" si="42"/>
        <v>Neutral</v>
      </c>
      <c r="AR76">
        <f>survey_responses[[#This Row],[Tôi thấy mức thuế tôi phải đóng theo phương án mới là công bằng (người thu nhập như tôi đóng mức này là hợp lý). - HUMAN-TRU2]]</f>
        <v>3</v>
      </c>
      <c r="AS76" t="str">
        <f t="shared" si="43"/>
        <v>Oppose</v>
      </c>
      <c r="AT76" s="32">
        <f t="shared" si="44"/>
        <v>4</v>
      </c>
      <c r="AU76">
        <f>step3_validation[[#This Row],[AI_TRU3]]</f>
        <v>6</v>
      </c>
      <c r="AV76" t="str">
        <f t="shared" si="45"/>
        <v>Neutral</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4</v>
      </c>
      <c r="AZ76">
        <f>step3_validation[[#This Row],[AI_TRU4]]</f>
        <v>4</v>
      </c>
      <c r="BA76" t="str">
        <f t="shared" si="48"/>
        <v>Oppose</v>
      </c>
      <c r="BB76">
        <f>survey_responses[[#This Row],[Tôi thấy Nhà nước đã giải thích rõ ràng, minh bạch về lý do và mục tiêu của việc sửa đổi thuế lần này. - HUMAN-TRU4]]</f>
        <v>2</v>
      </c>
      <c r="BC76" t="str">
        <f t="shared" si="49"/>
        <v>Oppose</v>
      </c>
      <c r="BD76" s="32">
        <f t="shared" si="50"/>
        <v>2</v>
      </c>
      <c r="BE76">
        <f>step3_validation[[#This Row],[AI_OUT1]]</f>
        <v>7</v>
      </c>
      <c r="BF76" t="str">
        <f t="shared" si="51"/>
        <v>Neutral</v>
      </c>
      <c r="BG76">
        <f>survey_responses[[#This Row],[Sau khi xem xét các quyền lợi và nghĩa vụ, bạn có ủng hộ và tuân thủ chính sách mới hiện nay? - HUMAN-OUT1]]</f>
        <v>6</v>
      </c>
      <c r="BH76" t="str">
        <f t="shared" si="52"/>
        <v>Neutral</v>
      </c>
      <c r="BI76" s="32">
        <f t="shared" si="53"/>
        <v>1</v>
      </c>
    </row>
    <row r="77" spans="1:61" x14ac:dyDescent="0.45">
      <c r="A77" s="30">
        <f>step3_validation[[#This Row],[Persona_ID]]</f>
        <v>76</v>
      </c>
      <c r="B77" s="31">
        <f>step3_validation[[#This Row],[Used_Seed]]</f>
        <v>12420</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13.707324246743351</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7</v>
      </c>
      <c r="R77" t="str">
        <f t="shared" si="27"/>
        <v>Neutral</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2</v>
      </c>
      <c r="V77">
        <f>step3_validation[[#This Row],[AI_ENF2]]</f>
        <v>6</v>
      </c>
      <c r="W77" t="str">
        <f t="shared" si="30"/>
        <v>Neutral</v>
      </c>
      <c r="X77">
        <f>survey_responses[[#This Row],[Tôi tin rằng Nhà nước, cơ quan thuế có đủ khả năng và công nghệ để phát hiện, xử lý nghiêm các hành vi trốn thuế. - HUMAN-ENF2]]</f>
        <v>5</v>
      </c>
      <c r="Y77" t="str">
        <f t="shared" si="31"/>
        <v>Neutral</v>
      </c>
      <c r="Z77" s="32">
        <f t="shared" si="32"/>
        <v>1</v>
      </c>
      <c r="AA77">
        <f>step3_validation[[#This Row],[AI_FAC1]]</f>
        <v>8</v>
      </c>
      <c r="AB77" t="str">
        <f t="shared" si="33"/>
        <v>Support</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3</v>
      </c>
      <c r="AF77">
        <f>step3_validation[[#This Row],[AI_FAC2]]</f>
        <v>9</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2">
        <f t="shared" si="38"/>
        <v>4</v>
      </c>
      <c r="AK77">
        <f>step3_validation[[#This Row],[AI_TRU1]]</f>
        <v>6</v>
      </c>
      <c r="AL77" t="str">
        <f t="shared" si="39"/>
        <v>Neutral</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1</v>
      </c>
      <c r="AP77">
        <f>step3_validation[[#This Row],[AI_TRU2]]</f>
        <v>7</v>
      </c>
      <c r="AQ77" t="str">
        <f t="shared" si="42"/>
        <v>Neutral</v>
      </c>
      <c r="AR77">
        <f>survey_responses[[#This Row],[Tôi thấy mức thuế tôi phải đóng theo phương án mới là công bằng (người thu nhập như tôi đóng mức này là hợp lý). - HUMAN-TRU2]]</f>
        <v>5</v>
      </c>
      <c r="AS77" t="str">
        <f t="shared" si="43"/>
        <v>Neutral</v>
      </c>
      <c r="AT77" s="32">
        <f t="shared" si="44"/>
        <v>2</v>
      </c>
      <c r="AU77">
        <f>step3_validation[[#This Row],[AI_TRU3]]</f>
        <v>6</v>
      </c>
      <c r="AV77" t="str">
        <f t="shared" si="45"/>
        <v>Neutral</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1</v>
      </c>
      <c r="AZ77">
        <f>step3_validation[[#This Row],[AI_TRU4]]</f>
        <v>5</v>
      </c>
      <c r="BA77" t="str">
        <f t="shared" si="48"/>
        <v>Neutral</v>
      </c>
      <c r="BB77">
        <f>survey_responses[[#This Row],[Tôi thấy Nhà nước đã giải thích rõ ràng, minh bạch về lý do và mục tiêu của việc sửa đổi thuế lần này. - HUMAN-TRU4]]</f>
        <v>5</v>
      </c>
      <c r="BC77" t="str">
        <f t="shared" si="49"/>
        <v>Neutral</v>
      </c>
      <c r="BD77" s="32">
        <f t="shared" si="50"/>
        <v>0</v>
      </c>
      <c r="BE77">
        <f>step3_validation[[#This Row],[AI_OUT1]]</f>
        <v>6</v>
      </c>
      <c r="BF77" t="str">
        <f t="shared" si="51"/>
        <v>Neutral</v>
      </c>
      <c r="BG77">
        <f>survey_responses[[#This Row],[Sau khi xem xét các quyền lợi và nghĩa vụ, bạn có ủng hộ và tuân thủ chính sách mới hiện nay? - HUMAN-OUT1]]</f>
        <v>5</v>
      </c>
      <c r="BH77" t="str">
        <f t="shared" si="52"/>
        <v>Neutral</v>
      </c>
      <c r="BI77" s="32">
        <f t="shared" si="53"/>
        <v>1</v>
      </c>
    </row>
    <row r="78" spans="1:61" x14ac:dyDescent="0.45">
      <c r="A78" s="30">
        <f>step3_validation[[#This Row],[Persona_ID]]</f>
        <v>77</v>
      </c>
      <c r="B78" s="31">
        <f>step3_validation[[#This Row],[Used_Seed]]</f>
        <v>12421</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15.590317767582842</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8</v>
      </c>
      <c r="R78" t="str">
        <f t="shared" si="27"/>
        <v>Support</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0</v>
      </c>
      <c r="V78">
        <f>step3_validation[[#This Row],[AI_ENF2]]</f>
        <v>7</v>
      </c>
      <c r="W78" t="str">
        <f t="shared" si="30"/>
        <v>Neutral</v>
      </c>
      <c r="X78">
        <f>survey_responses[[#This Row],[Tôi tin rằng Nhà nước, cơ quan thuế có đủ khả năng và công nghệ để phát hiện, xử lý nghiêm các hành vi trốn thuế. - HUMAN-ENF2]]</f>
        <v>8</v>
      </c>
      <c r="Y78" t="str">
        <f t="shared" si="31"/>
        <v>Support</v>
      </c>
      <c r="Z78" s="32">
        <f t="shared" si="32"/>
        <v>1</v>
      </c>
      <c r="AA78">
        <f>step3_validation[[#This Row],[AI_FAC1]]</f>
        <v>9</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1</v>
      </c>
      <c r="AF78">
        <f>step3_validation[[#This Row],[AI_FAC2]]</f>
        <v>8</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2">
        <f t="shared" si="38"/>
        <v>0</v>
      </c>
      <c r="AK78">
        <f>step3_validation[[#This Row],[AI_TRU1]]</f>
        <v>7</v>
      </c>
      <c r="AL78" t="str">
        <f t="shared" si="39"/>
        <v>Neutral</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2</v>
      </c>
      <c r="AP78">
        <f>step3_validation[[#This Row],[AI_TRU2]]</f>
        <v>6</v>
      </c>
      <c r="AQ78" t="str">
        <f t="shared" si="42"/>
        <v>Neutral</v>
      </c>
      <c r="AR78">
        <f>survey_responses[[#This Row],[Tôi thấy mức thuế tôi phải đóng theo phương án mới là công bằng (người thu nhập như tôi đóng mức này là hợp lý). - HUMAN-TRU2]]</f>
        <v>7</v>
      </c>
      <c r="AS78" t="str">
        <f t="shared" si="43"/>
        <v>Neutral</v>
      </c>
      <c r="AT78" s="32">
        <f t="shared" si="44"/>
        <v>1</v>
      </c>
      <c r="AU78">
        <f>step3_validation[[#This Row],[AI_TRU3]]</f>
        <v>6</v>
      </c>
      <c r="AV78" t="str">
        <f t="shared" si="45"/>
        <v>Neutral</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3</v>
      </c>
      <c r="AZ78">
        <f>step3_validation[[#This Row],[AI_TRU4]]</f>
        <v>7</v>
      </c>
      <c r="BA78" t="str">
        <f t="shared" si="48"/>
        <v>Neutral</v>
      </c>
      <c r="BB78">
        <f>survey_responses[[#This Row],[Tôi thấy Nhà nước đã giải thích rõ ràng, minh bạch về lý do và mục tiêu của việc sửa đổi thuế lần này. - HUMAN-TRU4]]</f>
        <v>10</v>
      </c>
      <c r="BC78" t="str">
        <f t="shared" si="49"/>
        <v>Support</v>
      </c>
      <c r="BD78" s="32">
        <f t="shared" si="50"/>
        <v>3</v>
      </c>
      <c r="BE78">
        <f>step3_validation[[#This Row],[AI_OUT1]]</f>
        <v>8</v>
      </c>
      <c r="BF78" t="str">
        <f t="shared" si="51"/>
        <v>Support</v>
      </c>
      <c r="BG78">
        <f>survey_responses[[#This Row],[Sau khi xem xét các quyền lợi và nghĩa vụ, bạn có ủng hộ và tuân thủ chính sách mới hiện nay? - HUMAN-OUT1]]</f>
        <v>8</v>
      </c>
      <c r="BH78" t="str">
        <f t="shared" si="52"/>
        <v>Support</v>
      </c>
      <c r="BI78" s="32">
        <f t="shared" si="53"/>
        <v>0</v>
      </c>
    </row>
    <row r="79" spans="1:61" x14ac:dyDescent="0.45">
      <c r="A79" s="30">
        <f>step3_validation[[#This Row],[Persona_ID]]</f>
        <v>78</v>
      </c>
      <c r="B79" s="31">
        <f>step3_validation[[#This Row],[Used_Seed]]</f>
        <v>12422</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39.11859631923631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8</v>
      </c>
      <c r="R79" t="str">
        <f t="shared" si="27"/>
        <v>Support</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0</v>
      </c>
      <c r="V79">
        <f>step3_validation[[#This Row],[AI_ENF2]]</f>
        <v>9</v>
      </c>
      <c r="W79" t="str">
        <f t="shared" si="30"/>
        <v>Support</v>
      </c>
      <c r="X79">
        <f>survey_responses[[#This Row],[Tôi tin rằng Nhà nước, cơ quan thuế có đủ khả năng và công nghệ để phát hiện, xử lý nghiêm các hành vi trốn thuế. - HUMAN-ENF2]]</f>
        <v>7</v>
      </c>
      <c r="Y79" t="str">
        <f t="shared" si="31"/>
        <v>Neutral</v>
      </c>
      <c r="Z79" s="32">
        <f t="shared" si="32"/>
        <v>2</v>
      </c>
      <c r="AA79">
        <f>step3_validation[[#This Row],[AI_FAC1]]</f>
        <v>8</v>
      </c>
      <c r="AB79" t="str">
        <f t="shared" si="33"/>
        <v>Support</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1</v>
      </c>
      <c r="AF79">
        <f>step3_validation[[#This Row],[AI_FAC2]]</f>
        <v>7</v>
      </c>
      <c r="AG79" t="str">
        <f t="shared" si="36"/>
        <v>Neutral</v>
      </c>
      <c r="AH79">
        <f>survey_responses[[#This Row],[So với trước đây, tôi thấy cách tính thuế và các bậc thuế trong phương án mới đơn giản, dễ hiểu và dễ thực hiện hơn. - HUMAN-FAC2]]</f>
        <v>8</v>
      </c>
      <c r="AI79" t="str">
        <f t="shared" si="37"/>
        <v>Support</v>
      </c>
      <c r="AJ79" s="32">
        <f t="shared" si="38"/>
        <v>1</v>
      </c>
      <c r="AK79">
        <f>step3_validation[[#This Row],[AI_TRU1]]</f>
        <v>8</v>
      </c>
      <c r="AL79" t="str">
        <f t="shared" si="39"/>
        <v>Support</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0</v>
      </c>
      <c r="AP79">
        <f>step3_validation[[#This Row],[AI_TRU2]]</f>
        <v>7</v>
      </c>
      <c r="AQ79" t="str">
        <f t="shared" si="42"/>
        <v>Neutral</v>
      </c>
      <c r="AR79">
        <f>survey_responses[[#This Row],[Tôi thấy mức thuế tôi phải đóng theo phương án mới là công bằng (người thu nhập như tôi đóng mức này là hợp lý). - HUMAN-TRU2]]</f>
        <v>8</v>
      </c>
      <c r="AS79" t="str">
        <f t="shared" si="43"/>
        <v>Support</v>
      </c>
      <c r="AT79" s="32">
        <f t="shared" si="44"/>
        <v>1</v>
      </c>
      <c r="AU79">
        <f>step3_validation[[#This Row],[AI_TRU3]]</f>
        <v>8</v>
      </c>
      <c r="AV79" t="str">
        <f t="shared" si="45"/>
        <v>Support</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2</v>
      </c>
      <c r="AZ79">
        <f>step3_validation[[#This Row],[AI_TRU4]]</f>
        <v>6</v>
      </c>
      <c r="BA79" t="str">
        <f t="shared" si="48"/>
        <v>Neutral</v>
      </c>
      <c r="BB79">
        <f>survey_responses[[#This Row],[Tôi thấy Nhà nước đã giải thích rõ ràng, minh bạch về lý do và mục tiêu của việc sửa đổi thuế lần này. - HUMAN-TRU4]]</f>
        <v>6</v>
      </c>
      <c r="BC79" t="str">
        <f t="shared" si="49"/>
        <v>Neutral</v>
      </c>
      <c r="BD79" s="32">
        <f t="shared" si="50"/>
        <v>0</v>
      </c>
      <c r="BE79">
        <f>step3_validation[[#This Row],[AI_OUT1]]</f>
        <v>8</v>
      </c>
      <c r="BF79" t="str">
        <f t="shared" si="51"/>
        <v>Support</v>
      </c>
      <c r="BG79">
        <f>survey_responses[[#This Row],[Sau khi xem xét các quyền lợi và nghĩa vụ, bạn có ủng hộ và tuân thủ chính sách mới hiện nay? - HUMAN-OUT1]]</f>
        <v>7</v>
      </c>
      <c r="BH79" t="str">
        <f t="shared" si="52"/>
        <v>Neutral</v>
      </c>
      <c r="BI79" s="32">
        <f t="shared" si="53"/>
        <v>1</v>
      </c>
    </row>
    <row r="80" spans="1:61" x14ac:dyDescent="0.45">
      <c r="A80" s="30">
        <f>step3_validation[[#This Row],[Persona_ID]]</f>
        <v>79</v>
      </c>
      <c r="B80" s="31">
        <f>step3_validation[[#This Row],[Used_Seed]]</f>
        <v>12423</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15.103633376351024</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8</v>
      </c>
      <c r="R80" t="str">
        <f t="shared" si="27"/>
        <v>Support</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2</v>
      </c>
      <c r="V80">
        <f>step3_validation[[#This Row],[AI_ENF2]]</f>
        <v>7</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2">
        <f t="shared" si="32"/>
        <v>5</v>
      </c>
      <c r="AA80">
        <f>step3_validation[[#This Row],[AI_FAC1]]</f>
        <v>6</v>
      </c>
      <c r="AB80" t="str">
        <f t="shared" si="33"/>
        <v>Neutral</v>
      </c>
      <c r="AC80">
        <f>survey_responses[[#This Row],[Các thủ tục khai báo thuế VÀ/HOẶC quy trình làm việc với cơ quan thuế đơn giản, tiện lợi, nhanh chóng hơn so với trước đây. - HUMAN-FAC1]]</f>
        <v>3</v>
      </c>
      <c r="AD80" t="str">
        <f t="shared" si="34"/>
        <v>Oppose</v>
      </c>
      <c r="AE80" s="32">
        <f t="shared" si="35"/>
        <v>3</v>
      </c>
      <c r="AF80">
        <f>step3_validation[[#This Row],[AI_FAC2]]</f>
        <v>7</v>
      </c>
      <c r="AG80" t="str">
        <f t="shared" si="36"/>
        <v>Neutral</v>
      </c>
      <c r="AH80">
        <f>survey_responses[[#This Row],[So với trước đây, tôi thấy cách tính thuế và các bậc thuế trong phương án mới đơn giản, dễ hiểu và dễ thực hiện hơn. - HUMAN-FAC2]]</f>
        <v>2</v>
      </c>
      <c r="AI80" t="str">
        <f t="shared" si="37"/>
        <v>Oppose</v>
      </c>
      <c r="AJ80" s="32">
        <f t="shared" si="38"/>
        <v>5</v>
      </c>
      <c r="AK80">
        <f>step3_validation[[#This Row],[AI_TRU1]]</f>
        <v>8</v>
      </c>
      <c r="AL80" t="str">
        <f t="shared" si="39"/>
        <v>Support</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5</v>
      </c>
      <c r="AP80">
        <f>step3_validation[[#This Row],[AI_TRU2]]</f>
        <v>6</v>
      </c>
      <c r="AQ80" t="str">
        <f t="shared" si="42"/>
        <v>Neutral</v>
      </c>
      <c r="AR80">
        <f>survey_responses[[#This Row],[Tôi thấy mức thuế tôi phải đóng theo phương án mới là công bằng (người thu nhập như tôi đóng mức này là hợp lý). - HUMAN-TRU2]]</f>
        <v>7</v>
      </c>
      <c r="AS80" t="str">
        <f t="shared" si="43"/>
        <v>Neutral</v>
      </c>
      <c r="AT80" s="32">
        <f t="shared" si="44"/>
        <v>1</v>
      </c>
      <c r="AU80">
        <f>step3_validation[[#This Row],[AI_TRU3]]</f>
        <v>5</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0</v>
      </c>
      <c r="AZ80">
        <f>step3_validation[[#This Row],[AI_TRU4]]</f>
        <v>6</v>
      </c>
      <c r="BA80" t="str">
        <f t="shared" si="48"/>
        <v>Neutral</v>
      </c>
      <c r="BB80">
        <f>survey_responses[[#This Row],[Tôi thấy Nhà nước đã giải thích rõ ràng, minh bạch về lý do và mục tiêu của việc sửa đổi thuế lần này. - HUMAN-TRU4]]</f>
        <v>5</v>
      </c>
      <c r="BC80" t="str">
        <f t="shared" si="49"/>
        <v>Neutral</v>
      </c>
      <c r="BD80" s="32">
        <f t="shared" si="50"/>
        <v>1</v>
      </c>
      <c r="BE80">
        <f>step3_validation[[#This Row],[AI_OUT1]]</f>
        <v>7</v>
      </c>
      <c r="BF80" t="str">
        <f t="shared" si="51"/>
        <v>Neutral</v>
      </c>
      <c r="BG80">
        <f>survey_responses[[#This Row],[Sau khi xem xét các quyền lợi và nghĩa vụ, bạn có ủng hộ và tuân thủ chính sách mới hiện nay? - HUMAN-OUT1]]</f>
        <v>7</v>
      </c>
      <c r="BH80" t="str">
        <f t="shared" si="52"/>
        <v>Neutral</v>
      </c>
      <c r="BI80" s="32">
        <f t="shared" si="53"/>
        <v>0</v>
      </c>
    </row>
    <row r="81" spans="1:61" x14ac:dyDescent="0.45">
      <c r="A81" s="30">
        <f>step3_validation[[#This Row],[Persona_ID]]</f>
        <v>80</v>
      </c>
      <c r="B81" s="31">
        <f>step3_validation[[#This Row],[Used_Seed]]</f>
        <v>12424</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14.140176863895586</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7</v>
      </c>
      <c r="R81" t="str">
        <f t="shared" si="27"/>
        <v>Neutral</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1</v>
      </c>
      <c r="V81">
        <f>step3_validation[[#This Row],[AI_ENF2]]</f>
        <v>9</v>
      </c>
      <c r="W81" t="str">
        <f t="shared" si="30"/>
        <v>Support</v>
      </c>
      <c r="X81">
        <f>survey_responses[[#This Row],[Tôi tin rằng Nhà nước, cơ quan thuế có đủ khả năng và công nghệ để phát hiện, xử lý nghiêm các hành vi trốn thuế. - HUMAN-ENF2]]</f>
        <v>8</v>
      </c>
      <c r="Y81" t="str">
        <f t="shared" si="31"/>
        <v>Support</v>
      </c>
      <c r="Z81" s="32">
        <f t="shared" si="32"/>
        <v>1</v>
      </c>
      <c r="AA81">
        <f>step3_validation[[#This Row],[AI_FAC1]]</f>
        <v>6</v>
      </c>
      <c r="AB81" t="str">
        <f t="shared" si="33"/>
        <v>Neutral</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2</v>
      </c>
      <c r="AF81">
        <f>step3_validation[[#This Row],[AI_FAC2]]</f>
        <v>8</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0</v>
      </c>
      <c r="AK81">
        <f>step3_validation[[#This Row],[AI_TRU1]]</f>
        <v>7</v>
      </c>
      <c r="AL81" t="str">
        <f t="shared" si="39"/>
        <v>Neutral</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1</v>
      </c>
      <c r="AP81">
        <f>step3_validation[[#This Row],[AI_TRU2]]</f>
        <v>6</v>
      </c>
      <c r="AQ81" t="str">
        <f t="shared" si="42"/>
        <v>Neutral</v>
      </c>
      <c r="AR81">
        <f>survey_responses[[#This Row],[Tôi thấy mức thuế tôi phải đóng theo phương án mới là công bằng (người thu nhập như tôi đóng mức này là hợp lý). - HUMAN-TRU2]]</f>
        <v>8</v>
      </c>
      <c r="AS81" t="str">
        <f t="shared" si="43"/>
        <v>Support</v>
      </c>
      <c r="AT81" s="32">
        <f t="shared" si="44"/>
        <v>2</v>
      </c>
      <c r="AU81">
        <f>step3_validation[[#This Row],[AI_TRU3]]</f>
        <v>7</v>
      </c>
      <c r="AV81" t="str">
        <f t="shared" si="45"/>
        <v>Neutral</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1</v>
      </c>
      <c r="AZ81">
        <f>step3_validation[[#This Row],[AI_TRU4]]</f>
        <v>8</v>
      </c>
      <c r="BA81" t="str">
        <f t="shared" si="48"/>
        <v>Support</v>
      </c>
      <c r="BB81">
        <f>survey_responses[[#This Row],[Tôi thấy Nhà nước đã giải thích rõ ràng, minh bạch về lý do và mục tiêu của việc sửa đổi thuế lần này. - HUMAN-TRU4]]</f>
        <v>8</v>
      </c>
      <c r="BC81" t="str">
        <f t="shared" si="49"/>
        <v>Support</v>
      </c>
      <c r="BD81" s="32">
        <f t="shared" si="50"/>
        <v>0</v>
      </c>
      <c r="BE81">
        <f>step3_validation[[#This Row],[AI_OUT1]]</f>
        <v>7</v>
      </c>
      <c r="BF81" t="str">
        <f t="shared" si="51"/>
        <v>Neutral</v>
      </c>
      <c r="BG81">
        <f>survey_responses[[#This Row],[Sau khi xem xét các quyền lợi và nghĩa vụ, bạn có ủng hộ và tuân thủ chính sách mới hiện nay? - HUMAN-OUT1]]</f>
        <v>8</v>
      </c>
      <c r="BH81" t="str">
        <f t="shared" si="52"/>
        <v>Support</v>
      </c>
      <c r="BI81" s="32">
        <f t="shared" si="53"/>
        <v>1</v>
      </c>
    </row>
    <row r="82" spans="1:61" x14ac:dyDescent="0.45">
      <c r="A82" s="30">
        <f>step3_validation[[#This Row],[Persona_ID]]</f>
        <v>81</v>
      </c>
      <c r="B82" s="31">
        <f>step3_validation[[#This Row],[Used_Seed]]</f>
        <v>12425</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8</v>
      </c>
      <c r="R82" t="str">
        <f t="shared" si="27"/>
        <v>Support</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1</v>
      </c>
      <c r="V82">
        <f>step3_validation[[#This Row],[AI_ENF2]]</f>
        <v>7</v>
      </c>
      <c r="W82" t="str">
        <f t="shared" si="30"/>
        <v>Neutral</v>
      </c>
      <c r="X82">
        <f>survey_responses[[#This Row],[Tôi tin rằng Nhà nước, cơ quan thuế có đủ khả năng và công nghệ để phát hiện, xử lý nghiêm các hành vi trốn thuế. - HUMAN-ENF2]]</f>
        <v>7</v>
      </c>
      <c r="Y82" t="str">
        <f t="shared" si="31"/>
        <v>Neutral</v>
      </c>
      <c r="Z82" s="32">
        <f t="shared" si="32"/>
        <v>0</v>
      </c>
      <c r="AA82">
        <f>step3_validation[[#This Row],[AI_FAC1]]</f>
        <v>9</v>
      </c>
      <c r="AB82" t="str">
        <f t="shared" si="33"/>
        <v>Support</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4</v>
      </c>
      <c r="AF82">
        <f>step3_validation[[#This Row],[AI_FAC2]]</f>
        <v>8</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3</v>
      </c>
      <c r="AK82">
        <f>step3_validation[[#This Row],[AI_TRU1]]</f>
        <v>9</v>
      </c>
      <c r="AL82" t="str">
        <f t="shared" si="39"/>
        <v>Support</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3</v>
      </c>
      <c r="AP82">
        <f>step3_validation[[#This Row],[AI_TRU2]]</f>
        <v>7</v>
      </c>
      <c r="AQ82" t="str">
        <f t="shared" si="42"/>
        <v>Neutral</v>
      </c>
      <c r="AR82">
        <f>survey_responses[[#This Row],[Tôi thấy mức thuế tôi phải đóng theo phương án mới là công bằng (người thu nhập như tôi đóng mức này là hợp lý). - HUMAN-TRU2]]</f>
        <v>5</v>
      </c>
      <c r="AS82" t="str">
        <f t="shared" si="43"/>
        <v>Neutral</v>
      </c>
      <c r="AT82" s="32">
        <f t="shared" si="44"/>
        <v>2</v>
      </c>
      <c r="AU82">
        <f>step3_validation[[#This Row],[AI_TRU3]]</f>
        <v>6</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2</v>
      </c>
      <c r="AZ82">
        <f>step3_validation[[#This Row],[AI_TRU4]]</f>
        <v>5</v>
      </c>
      <c r="BA82" t="str">
        <f t="shared" si="48"/>
        <v>Neutral</v>
      </c>
      <c r="BB82">
        <f>survey_responses[[#This Row],[Tôi thấy Nhà nước đã giải thích rõ ràng, minh bạch về lý do và mục tiêu của việc sửa đổi thuế lần này. - HUMAN-TRU4]]</f>
        <v>6</v>
      </c>
      <c r="BC82" t="str">
        <f t="shared" si="49"/>
        <v>Neutral</v>
      </c>
      <c r="BD82" s="32">
        <f t="shared" si="50"/>
        <v>1</v>
      </c>
      <c r="BE82">
        <f>step3_validation[[#This Row],[AI_OUT1]]</f>
        <v>7</v>
      </c>
      <c r="BF82" t="str">
        <f t="shared" si="51"/>
        <v>Neutral</v>
      </c>
      <c r="BG82">
        <f>survey_responses[[#This Row],[Sau khi xem xét các quyền lợi và nghĩa vụ, bạn có ủng hộ và tuân thủ chính sách mới hiện nay? - HUMAN-OUT1]]</f>
        <v>8</v>
      </c>
      <c r="BH82" t="str">
        <f t="shared" si="52"/>
        <v>Support</v>
      </c>
      <c r="BI82" s="32">
        <f t="shared" si="53"/>
        <v>1</v>
      </c>
    </row>
    <row r="83" spans="1:61" x14ac:dyDescent="0.45">
      <c r="A83" s="30">
        <f>step3_validation[[#This Row],[Persona_ID]]</f>
        <v>82</v>
      </c>
      <c r="B83" s="31">
        <f>step3_validation[[#This Row],[Used_Seed]]</f>
        <v>12426</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15.135041924578026</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1</v>
      </c>
      <c r="V83">
        <f>step3_validation[[#This Row],[AI_ENF2]]</f>
        <v>6</v>
      </c>
      <c r="W83" t="str">
        <f t="shared" si="30"/>
        <v>Neutral</v>
      </c>
      <c r="X83">
        <f>survey_responses[[#This Row],[Tôi tin rằng Nhà nước, cơ quan thuế có đủ khả năng và công nghệ để phát hiện, xử lý nghiêm các hành vi trốn thuế. - HUMAN-ENF2]]</f>
        <v>9</v>
      </c>
      <c r="Y83" t="str">
        <f t="shared" si="31"/>
        <v>Support</v>
      </c>
      <c r="Z83" s="32">
        <f t="shared" si="32"/>
        <v>3</v>
      </c>
      <c r="AA83">
        <f>step3_validation[[#This Row],[AI_FAC1]]</f>
        <v>8</v>
      </c>
      <c r="AB83" t="str">
        <f t="shared" si="33"/>
        <v>Support</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3</v>
      </c>
      <c r="AF83">
        <f>step3_validation[[#This Row],[AI_FAC2]]</f>
        <v>9</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4</v>
      </c>
      <c r="AK83">
        <f>step3_validation[[#This Row],[AI_TRU1]]</f>
        <v>6</v>
      </c>
      <c r="AL83" t="str">
        <f t="shared" si="39"/>
        <v>Neutral</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1</v>
      </c>
      <c r="AP83">
        <f>step3_validation[[#This Row],[AI_TRU2]]</f>
        <v>7</v>
      </c>
      <c r="AQ83" t="str">
        <f t="shared" si="42"/>
        <v>Neutral</v>
      </c>
      <c r="AR83">
        <f>survey_responses[[#This Row],[Tôi thấy mức thuế tôi phải đóng theo phương án mới là công bằng (người thu nhập như tôi đóng mức này là hợp lý). - HUMAN-TRU2]]</f>
        <v>5</v>
      </c>
      <c r="AS83" t="str">
        <f t="shared" si="43"/>
        <v>Neutral</v>
      </c>
      <c r="AT83" s="32">
        <f t="shared" si="44"/>
        <v>2</v>
      </c>
      <c r="AU83">
        <f>step3_validation[[#This Row],[AI_TRU3]]</f>
        <v>6</v>
      </c>
      <c r="AV83" t="str">
        <f t="shared" si="45"/>
        <v>Neutral</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5</v>
      </c>
      <c r="AZ83">
        <f>step3_validation[[#This Row],[AI_TRU4]]</f>
        <v>5</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2">
        <f t="shared" si="50"/>
        <v>0</v>
      </c>
      <c r="BE83">
        <f>step3_validation[[#This Row],[AI_OUT1]]</f>
        <v>6</v>
      </c>
      <c r="BF83" t="str">
        <f t="shared" si="51"/>
        <v>Neutral</v>
      </c>
      <c r="BG83">
        <f>survey_responses[[#This Row],[Sau khi xem xét các quyền lợi và nghĩa vụ, bạn có ủng hộ và tuân thủ chính sách mới hiện nay? - HUMAN-OUT1]]</f>
        <v>5</v>
      </c>
      <c r="BH83" t="str">
        <f t="shared" si="52"/>
        <v>Neutral</v>
      </c>
      <c r="BI83" s="32">
        <f t="shared" si="53"/>
        <v>1</v>
      </c>
    </row>
    <row r="84" spans="1:61" x14ac:dyDescent="0.45">
      <c r="A84" s="30">
        <f>step3_validation[[#This Row],[Persona_ID]]</f>
        <v>83</v>
      </c>
      <c r="B84" s="31">
        <f>step3_validation[[#This Row],[Used_Seed]]</f>
        <v>12427</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12.3044467206063</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t="str">
        <f t="shared" si="27"/>
        <v>Neutral</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3</v>
      </c>
      <c r="V84">
        <f>step3_validation[[#This Row],[AI_ENF2]]</f>
        <v>7</v>
      </c>
      <c r="W84" t="str">
        <f t="shared" si="30"/>
        <v>Neutral</v>
      </c>
      <c r="X84">
        <f>survey_responses[[#This Row],[Tôi tin rằng Nhà nước, cơ quan thuế có đủ khả năng và công nghệ để phát hiện, xử lý nghiêm các hành vi trốn thuế. - HUMAN-ENF2]]</f>
        <v>8</v>
      </c>
      <c r="Y84" t="str">
        <f t="shared" si="31"/>
        <v>Support</v>
      </c>
      <c r="Z84" s="32">
        <f t="shared" si="32"/>
        <v>1</v>
      </c>
      <c r="AA84">
        <f>step3_validation[[#This Row],[AI_FAC1]]</f>
        <v>8</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0</v>
      </c>
      <c r="AF84">
        <f>step3_validation[[#This Row],[AI_FAC2]]</f>
        <v>8</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1</v>
      </c>
      <c r="AK84">
        <f>step3_validation[[#This Row],[AI_TRU1]]</f>
        <v>8</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1</v>
      </c>
      <c r="AP84">
        <f>step3_validation[[#This Row],[AI_TRU2]]</f>
        <v>8</v>
      </c>
      <c r="AQ84" t="str">
        <f t="shared" si="42"/>
        <v>Support</v>
      </c>
      <c r="AR84">
        <f>survey_responses[[#This Row],[Tôi thấy mức thuế tôi phải đóng theo phương án mới là công bằng (người thu nhập như tôi đóng mức này là hợp lý). - HUMAN-TRU2]]</f>
        <v>6</v>
      </c>
      <c r="AS84" t="str">
        <f t="shared" si="43"/>
        <v>Neutral</v>
      </c>
      <c r="AT84" s="32">
        <f t="shared" si="44"/>
        <v>2</v>
      </c>
      <c r="AU84">
        <f>step3_validation[[#This Row],[AI_TRU3]]</f>
        <v>8</v>
      </c>
      <c r="AV84" t="str">
        <f t="shared" si="45"/>
        <v>Support</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1</v>
      </c>
      <c r="AZ84">
        <f>step3_validation[[#This Row],[AI_TRU4]]</f>
        <v>6</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2">
        <f t="shared" si="50"/>
        <v>0</v>
      </c>
      <c r="BE84">
        <f>step3_validation[[#This Row],[AI_OUT1]]</f>
        <v>7</v>
      </c>
      <c r="BF84" t="str">
        <f t="shared" si="51"/>
        <v>Neutral</v>
      </c>
      <c r="BG84">
        <f>survey_responses[[#This Row],[Sau khi xem xét các quyền lợi và nghĩa vụ, bạn có ủng hộ và tuân thủ chính sách mới hiện nay? - HUMAN-OUT1]]</f>
        <v>8</v>
      </c>
      <c r="BH84" t="str">
        <f t="shared" si="52"/>
        <v>Support</v>
      </c>
      <c r="BI84" s="32">
        <f t="shared" si="53"/>
        <v>1</v>
      </c>
    </row>
    <row r="85" spans="1:61" x14ac:dyDescent="0.45">
      <c r="A85" s="30">
        <f>step3_validation[[#This Row],[Persona_ID]]</f>
        <v>84</v>
      </c>
      <c r="B85" s="31">
        <f>step3_validation[[#This Row],[Used_Seed]]</f>
        <v>12428</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12.024673872801911</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7</v>
      </c>
      <c r="R85" t="str">
        <f t="shared" si="27"/>
        <v>Neutral</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1</v>
      </c>
      <c r="V85">
        <f>step3_validation[[#This Row],[AI_ENF2]]</f>
        <v>8</v>
      </c>
      <c r="W85" t="str">
        <f t="shared" si="30"/>
        <v>Support</v>
      </c>
      <c r="X85">
        <f>survey_responses[[#This Row],[Tôi tin rằng Nhà nước, cơ quan thuế có đủ khả năng và công nghệ để phát hiện, xử lý nghiêm các hành vi trốn thuế. - HUMAN-ENF2]]</f>
        <v>7</v>
      </c>
      <c r="Y85" t="str">
        <f t="shared" si="31"/>
        <v>Neutral</v>
      </c>
      <c r="Z85" s="32">
        <f t="shared" si="32"/>
        <v>1</v>
      </c>
      <c r="AA85">
        <f>step3_validation[[#This Row],[AI_FAC1]]</f>
        <v>6</v>
      </c>
      <c r="AB85" t="str">
        <f t="shared" si="33"/>
        <v>Neutral</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1</v>
      </c>
      <c r="AF85">
        <f>step3_validation[[#This Row],[AI_FAC2]]</f>
        <v>8</v>
      </c>
      <c r="AG85" t="str">
        <f t="shared" si="36"/>
        <v>Support</v>
      </c>
      <c r="AH85">
        <f>survey_responses[[#This Row],[So với trước đây, tôi thấy cách tính thuế và các bậc thuế trong phương án mới đơn giản, dễ hiểu và dễ thực hiện hơn. - HUMAN-FAC2]]</f>
        <v>5</v>
      </c>
      <c r="AI85" t="str">
        <f t="shared" si="37"/>
        <v>Neutral</v>
      </c>
      <c r="AJ85" s="32">
        <f t="shared" si="38"/>
        <v>3</v>
      </c>
      <c r="AK85">
        <f>step3_validation[[#This Row],[AI_TRU1]]</f>
        <v>6</v>
      </c>
      <c r="AL85" t="str">
        <f t="shared" si="39"/>
        <v>Neutral</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1</v>
      </c>
      <c r="AP85">
        <f>step3_validation[[#This Row],[AI_TRU2]]</f>
        <v>7</v>
      </c>
      <c r="AQ85" t="str">
        <f t="shared" si="42"/>
        <v>Neutral</v>
      </c>
      <c r="AR85">
        <f>survey_responses[[#This Row],[Tôi thấy mức thuế tôi phải đóng theo phương án mới là công bằng (người thu nhập như tôi đóng mức này là hợp lý). - HUMAN-TRU2]]</f>
        <v>5</v>
      </c>
      <c r="AS85" t="str">
        <f t="shared" si="43"/>
        <v>Neutral</v>
      </c>
      <c r="AT85" s="32">
        <f t="shared" si="44"/>
        <v>2</v>
      </c>
      <c r="AU85">
        <f>step3_validation[[#This Row],[AI_TRU3]]</f>
        <v>5</v>
      </c>
      <c r="AV85" t="str">
        <f t="shared" si="45"/>
        <v>Neutral</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0</v>
      </c>
      <c r="AZ85">
        <f>step3_validation[[#This Row],[AI_TRU4]]</f>
        <v>6</v>
      </c>
      <c r="BA85" t="str">
        <f t="shared" si="48"/>
        <v>Neutral</v>
      </c>
      <c r="BB85">
        <f>survey_responses[[#This Row],[Tôi thấy Nhà nước đã giải thích rõ ràng, minh bạch về lý do và mục tiêu của việc sửa đổi thuế lần này. - HUMAN-TRU4]]</f>
        <v>5</v>
      </c>
      <c r="BC85" t="str">
        <f t="shared" si="49"/>
        <v>Neutral</v>
      </c>
      <c r="BD85" s="32">
        <f t="shared" si="50"/>
        <v>1</v>
      </c>
      <c r="BE85">
        <f>step3_validation[[#This Row],[AI_OUT1]]</f>
        <v>5</v>
      </c>
      <c r="BF85" t="str">
        <f t="shared" si="51"/>
        <v>Neutral</v>
      </c>
      <c r="BG85">
        <f>survey_responses[[#This Row],[Sau khi xem xét các quyền lợi và nghĩa vụ, bạn có ủng hộ và tuân thủ chính sách mới hiện nay? - HUMAN-OUT1]]</f>
        <v>5</v>
      </c>
      <c r="BH85" t="str">
        <f t="shared" si="52"/>
        <v>Neutral</v>
      </c>
      <c r="BI85" s="32">
        <f t="shared" si="53"/>
        <v>0</v>
      </c>
    </row>
    <row r="86" spans="1:61" x14ac:dyDescent="0.45">
      <c r="A86" s="30">
        <f>step3_validation[[#This Row],[Persona_ID]]</f>
        <v>85</v>
      </c>
      <c r="B86" s="31">
        <f>step3_validation[[#This Row],[Used_Seed]]</f>
        <v>12429</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14.83525377811864</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2</v>
      </c>
      <c r="V86">
        <f>step3_validation[[#This Row],[AI_ENF2]]</f>
        <v>7</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2">
        <f t="shared" si="32"/>
        <v>2</v>
      </c>
      <c r="AA86">
        <f>step3_validation[[#This Row],[AI_FAC1]]</f>
        <v>6</v>
      </c>
      <c r="AB86" t="str">
        <f t="shared" si="33"/>
        <v>Neutral</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2</v>
      </c>
      <c r="AF86">
        <f>step3_validation[[#This Row],[AI_FAC2]]</f>
        <v>6</v>
      </c>
      <c r="AG86" t="str">
        <f t="shared" si="36"/>
        <v>Neutral</v>
      </c>
      <c r="AH86">
        <f>survey_responses[[#This Row],[So với trước đây, tôi thấy cách tính thuế và các bậc thuế trong phương án mới đơn giản, dễ hiểu và dễ thực hiện hơn. - HUMAN-FAC2]]</f>
        <v>9</v>
      </c>
      <c r="AI86" t="str">
        <f t="shared" si="37"/>
        <v>Support</v>
      </c>
      <c r="AJ86" s="32">
        <f t="shared" si="38"/>
        <v>3</v>
      </c>
      <c r="AK86">
        <f>step3_validation[[#This Row],[AI_TRU1]]</f>
        <v>5</v>
      </c>
      <c r="AL86" t="str">
        <f t="shared" si="39"/>
        <v>Neutral</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4</v>
      </c>
      <c r="AP86">
        <f>step3_validation[[#This Row],[AI_TRU2]]</f>
        <v>5</v>
      </c>
      <c r="AQ86" t="str">
        <f t="shared" si="42"/>
        <v>Neutral</v>
      </c>
      <c r="AR86">
        <f>survey_responses[[#This Row],[Tôi thấy mức thuế tôi phải đóng theo phương án mới là công bằng (người thu nhập như tôi đóng mức này là hợp lý). - HUMAN-TRU2]]</f>
        <v>9</v>
      </c>
      <c r="AS86" t="str">
        <f t="shared" si="43"/>
        <v>Support</v>
      </c>
      <c r="AT86" s="32">
        <f t="shared" si="44"/>
        <v>4</v>
      </c>
      <c r="AU86">
        <f>step3_validation[[#This Row],[AI_TRU3]]</f>
        <v>4</v>
      </c>
      <c r="AV86" t="str">
        <f t="shared" si="45"/>
        <v>Oppose</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3</v>
      </c>
      <c r="AZ86">
        <f>step3_validation[[#This Row],[AI_TRU4]]</f>
        <v>5</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3</v>
      </c>
      <c r="BE86">
        <f>step3_validation[[#This Row],[AI_OUT1]]</f>
        <v>4</v>
      </c>
      <c r="BF86" t="str">
        <f t="shared" si="51"/>
        <v>Oppose</v>
      </c>
      <c r="BG86">
        <f>survey_responses[[#This Row],[Sau khi xem xét các quyền lợi và nghĩa vụ, bạn có ủng hộ và tuân thủ chính sách mới hiện nay? - HUMAN-OUT1]]</f>
        <v>8</v>
      </c>
      <c r="BH86" t="str">
        <f t="shared" si="52"/>
        <v>Support</v>
      </c>
      <c r="BI86" s="32">
        <f t="shared" si="53"/>
        <v>4</v>
      </c>
    </row>
    <row r="87" spans="1:61" x14ac:dyDescent="0.45">
      <c r="A87" s="30">
        <f>step3_validation[[#This Row],[Persona_ID]]</f>
        <v>86</v>
      </c>
      <c r="B87" s="31">
        <f>step3_validation[[#This Row],[Used_Seed]]</f>
        <v>12430</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14.195470345216716</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8</v>
      </c>
      <c r="R87" t="str">
        <f t="shared" si="27"/>
        <v>Support</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3</v>
      </c>
      <c r="V87">
        <f>step3_validation[[#This Row],[AI_ENF2]]</f>
        <v>8</v>
      </c>
      <c r="W87" t="str">
        <f t="shared" si="30"/>
        <v>Support</v>
      </c>
      <c r="X87">
        <f>survey_responses[[#This Row],[Tôi tin rằng Nhà nước, cơ quan thuế có đủ khả năng và công nghệ để phát hiện, xử lý nghiêm các hành vi trốn thuế. - HUMAN-ENF2]]</f>
        <v>5</v>
      </c>
      <c r="Y87" t="str">
        <f t="shared" si="31"/>
        <v>Neutral</v>
      </c>
      <c r="Z87" s="32">
        <f t="shared" si="32"/>
        <v>3</v>
      </c>
      <c r="AA87">
        <f>step3_validation[[#This Row],[AI_FAC1]]</f>
        <v>9</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1</v>
      </c>
      <c r="AF87">
        <f>step3_validation[[#This Row],[AI_FAC2]]</f>
        <v>8</v>
      </c>
      <c r="AG87" t="str">
        <f t="shared" si="36"/>
        <v>Support</v>
      </c>
      <c r="AH87">
        <f>survey_responses[[#This Row],[So với trước đây, tôi thấy cách tính thuế và các bậc thuế trong phương án mới đơn giản, dễ hiểu và dễ thực hiện hơn. - HUMAN-FAC2]]</f>
        <v>4</v>
      </c>
      <c r="AI87" t="str">
        <f t="shared" si="37"/>
        <v>Oppose</v>
      </c>
      <c r="AJ87" s="32">
        <f t="shared" si="38"/>
        <v>4</v>
      </c>
      <c r="AK87">
        <f>step3_validation[[#This Row],[AI_TRU1]]</f>
        <v>7</v>
      </c>
      <c r="AL87" t="str">
        <f t="shared" si="39"/>
        <v>Neutral</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3</v>
      </c>
      <c r="AP87">
        <f>step3_validation[[#This Row],[AI_TRU2]]</f>
        <v>8</v>
      </c>
      <c r="AQ87" t="str">
        <f t="shared" si="42"/>
        <v>Support</v>
      </c>
      <c r="AR87">
        <f>survey_responses[[#This Row],[Tôi thấy mức thuế tôi phải đóng theo phương án mới là công bằng (người thu nhập như tôi đóng mức này là hợp lý). - HUMAN-TRU2]]</f>
        <v>5</v>
      </c>
      <c r="AS87" t="str">
        <f t="shared" si="43"/>
        <v>Neutral</v>
      </c>
      <c r="AT87" s="32">
        <f t="shared" si="44"/>
        <v>3</v>
      </c>
      <c r="AU87">
        <f>step3_validation[[#This Row],[AI_TRU3]]</f>
        <v>7</v>
      </c>
      <c r="AV87" t="str">
        <f t="shared" si="45"/>
        <v>Neutral</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2</v>
      </c>
      <c r="AZ87">
        <f>step3_validation[[#This Row],[AI_TRU4]]</f>
        <v>6</v>
      </c>
      <c r="BA87" t="str">
        <f t="shared" si="48"/>
        <v>Neutral</v>
      </c>
      <c r="BB87">
        <f>survey_responses[[#This Row],[Tôi thấy Nhà nước đã giải thích rõ ràng, minh bạch về lý do và mục tiêu của việc sửa đổi thuế lần này. - HUMAN-TRU4]]</f>
        <v>8</v>
      </c>
      <c r="BC87" t="str">
        <f t="shared" si="49"/>
        <v>Support</v>
      </c>
      <c r="BD87" s="32">
        <f t="shared" si="50"/>
        <v>2</v>
      </c>
      <c r="BE87">
        <f>step3_validation[[#This Row],[AI_OUT1]]</f>
        <v>7</v>
      </c>
      <c r="BF87" t="str">
        <f t="shared" si="51"/>
        <v>Neutral</v>
      </c>
      <c r="BG87">
        <f>survey_responses[[#This Row],[Sau khi xem xét các quyền lợi và nghĩa vụ, bạn có ủng hộ và tuân thủ chính sách mới hiện nay? - HUMAN-OUT1]]</f>
        <v>8</v>
      </c>
      <c r="BH87" t="str">
        <f t="shared" si="52"/>
        <v>Support</v>
      </c>
      <c r="BI87" s="32">
        <f t="shared" si="53"/>
        <v>1</v>
      </c>
    </row>
    <row r="88" spans="1:61" x14ac:dyDescent="0.45">
      <c r="A88" s="30">
        <f>step3_validation[[#This Row],[Persona_ID]]</f>
        <v>87</v>
      </c>
      <c r="B88" s="31">
        <f>step3_validation[[#This Row],[Used_Seed]]</f>
        <v>12431</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13.88391325950928</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3</v>
      </c>
      <c r="V88">
        <f>step3_validation[[#This Row],[AI_ENF2]]</f>
        <v>8</v>
      </c>
      <c r="W88" t="str">
        <f t="shared" si="30"/>
        <v>Support</v>
      </c>
      <c r="X88">
        <f>survey_responses[[#This Row],[Tôi tin rằng Nhà nước, cơ quan thuế có đủ khả năng và công nghệ để phát hiện, xử lý nghiêm các hành vi trốn thuế. - HUMAN-ENF2]]</f>
        <v>9</v>
      </c>
      <c r="Y88" t="str">
        <f t="shared" si="31"/>
        <v>Support</v>
      </c>
      <c r="Z88" s="32">
        <f t="shared" si="32"/>
        <v>1</v>
      </c>
      <c r="AA88">
        <f>step3_validation[[#This Row],[AI_FAC1]]</f>
        <v>6</v>
      </c>
      <c r="AB88" t="str">
        <f t="shared" si="33"/>
        <v>Neutral</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3</v>
      </c>
      <c r="AF88">
        <f>step3_validation[[#This Row],[AI_FAC2]]</f>
        <v>9</v>
      </c>
      <c r="AG88" t="str">
        <f t="shared" si="36"/>
        <v>Support</v>
      </c>
      <c r="AH88">
        <f>survey_responses[[#This Row],[So với trước đây, tôi thấy cách tính thuế và các bậc thuế trong phương án mới đơn giản, dễ hiểu và dễ thực hiện hơn. - HUMAN-FAC2]]</f>
        <v>9</v>
      </c>
      <c r="AI88" t="str">
        <f t="shared" si="37"/>
        <v>Support</v>
      </c>
      <c r="AJ88" s="32">
        <f t="shared" si="38"/>
        <v>0</v>
      </c>
      <c r="AK88">
        <f>step3_validation[[#This Row],[AI_TRU1]]</f>
        <v>7</v>
      </c>
      <c r="AL88" t="str">
        <f t="shared" si="39"/>
        <v>Neutral</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2</v>
      </c>
      <c r="AP88">
        <f>step3_validation[[#This Row],[AI_TRU2]]</f>
        <v>8</v>
      </c>
      <c r="AQ88" t="str">
        <f t="shared" si="42"/>
        <v>Support</v>
      </c>
      <c r="AR88">
        <f>survey_responses[[#This Row],[Tôi thấy mức thuế tôi phải đóng theo phương án mới là công bằng (người thu nhập như tôi đóng mức này là hợp lý). - HUMAN-TRU2]]</f>
        <v>9</v>
      </c>
      <c r="AS88" t="str">
        <f t="shared" si="43"/>
        <v>Support</v>
      </c>
      <c r="AT88" s="32">
        <f t="shared" si="44"/>
        <v>1</v>
      </c>
      <c r="AU88">
        <f>step3_validation[[#This Row],[AI_TRU3]]</f>
        <v>7</v>
      </c>
      <c r="AV88" t="str">
        <f t="shared" si="45"/>
        <v>Neutral</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3</v>
      </c>
      <c r="AZ88">
        <f>step3_validation[[#This Row],[AI_TRU4]]</f>
        <v>8</v>
      </c>
      <c r="BA88" t="str">
        <f t="shared" si="48"/>
        <v>Support</v>
      </c>
      <c r="BB88">
        <f>survey_responses[[#This Row],[Tôi thấy Nhà nước đã giải thích rõ ràng, minh bạch về lý do và mục tiêu của việc sửa đổi thuế lần này. - HUMAN-TRU4]]</f>
        <v>9</v>
      </c>
      <c r="BC88" t="str">
        <f t="shared" si="49"/>
        <v>Support</v>
      </c>
      <c r="BD88" s="32">
        <f t="shared" si="50"/>
        <v>1</v>
      </c>
      <c r="BE88">
        <f>step3_validation[[#This Row],[AI_OUT1]]</f>
        <v>6</v>
      </c>
      <c r="BF88" t="str">
        <f t="shared" si="51"/>
        <v>Neutral</v>
      </c>
      <c r="BG88">
        <f>survey_responses[[#This Row],[Sau khi xem xét các quyền lợi và nghĩa vụ, bạn có ủng hộ và tuân thủ chính sách mới hiện nay? - HUMAN-OUT1]]</f>
        <v>10</v>
      </c>
      <c r="BH88" t="str">
        <f t="shared" si="52"/>
        <v>Support</v>
      </c>
      <c r="BI88" s="32">
        <f t="shared" si="53"/>
        <v>4</v>
      </c>
    </row>
    <row r="89" spans="1:61" x14ac:dyDescent="0.45">
      <c r="A89" s="30">
        <f>step3_validation[[#This Row],[Persona_ID]]</f>
        <v>88</v>
      </c>
      <c r="B89" s="31">
        <f>step3_validation[[#This Row],[Used_Seed]]</f>
        <v>12432</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7</v>
      </c>
      <c r="R89" t="str">
        <f t="shared" si="27"/>
        <v>Neutral</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3</v>
      </c>
      <c r="V89">
        <f>step3_validation[[#This Row],[AI_ENF2]]</f>
        <v>8</v>
      </c>
      <c r="W89" t="str">
        <f t="shared" si="30"/>
        <v>Support</v>
      </c>
      <c r="X89">
        <f>survey_responses[[#This Row],[Tôi tin rằng Nhà nước, cơ quan thuế có đủ khả năng và công nghệ để phát hiện, xử lý nghiêm các hành vi trốn thuế. - HUMAN-ENF2]]</f>
        <v>10</v>
      </c>
      <c r="Y89" t="str">
        <f t="shared" si="31"/>
        <v>Support</v>
      </c>
      <c r="Z89" s="32">
        <f t="shared" si="32"/>
        <v>2</v>
      </c>
      <c r="AA89">
        <f>step3_validation[[#This Row],[AI_FAC1]]</f>
        <v>6</v>
      </c>
      <c r="AB89" t="str">
        <f t="shared" si="33"/>
        <v>Neutral</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4</v>
      </c>
      <c r="AF89">
        <f>step3_validation[[#This Row],[AI_FAC2]]</f>
        <v>9</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1</v>
      </c>
      <c r="AK89">
        <f>step3_validation[[#This Row],[AI_TRU1]]</f>
        <v>7</v>
      </c>
      <c r="AL89" t="str">
        <f t="shared" si="39"/>
        <v>Neutral</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3</v>
      </c>
      <c r="AP89">
        <f>step3_validation[[#This Row],[AI_TRU2]]</f>
        <v>8</v>
      </c>
      <c r="AQ89" t="str">
        <f t="shared" si="42"/>
        <v>Support</v>
      </c>
      <c r="AR89">
        <f>survey_responses[[#This Row],[Tôi thấy mức thuế tôi phải đóng theo phương án mới là công bằng (người thu nhập như tôi đóng mức này là hợp lý). - HUMAN-TRU2]]</f>
        <v>10</v>
      </c>
      <c r="AS89" t="str">
        <f t="shared" si="43"/>
        <v>Support</v>
      </c>
      <c r="AT89" s="32">
        <f t="shared" si="44"/>
        <v>2</v>
      </c>
      <c r="AU89">
        <f>step3_validation[[#This Row],[AI_TRU3]]</f>
        <v>7</v>
      </c>
      <c r="AV89" t="str">
        <f t="shared" si="45"/>
        <v>Neutral</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3</v>
      </c>
      <c r="AZ89">
        <f>step3_validation[[#This Row],[AI_TRU4]]</f>
        <v>6</v>
      </c>
      <c r="BA89" t="str">
        <f t="shared" si="48"/>
        <v>Neutral</v>
      </c>
      <c r="BB89">
        <f>survey_responses[[#This Row],[Tôi thấy Nhà nước đã giải thích rõ ràng, minh bạch về lý do và mục tiêu của việc sửa đổi thuế lần này. - HUMAN-TRU4]]</f>
        <v>10</v>
      </c>
      <c r="BC89" t="str">
        <f t="shared" si="49"/>
        <v>Support</v>
      </c>
      <c r="BD89" s="32">
        <f t="shared" si="50"/>
        <v>4</v>
      </c>
      <c r="BE89">
        <f>step3_validation[[#This Row],[AI_OUT1]]</f>
        <v>7</v>
      </c>
      <c r="BF89" t="str">
        <f t="shared" si="51"/>
        <v>Neutral</v>
      </c>
      <c r="BG89">
        <f>survey_responses[[#This Row],[Sau khi xem xét các quyền lợi và nghĩa vụ, bạn có ủng hộ và tuân thủ chính sách mới hiện nay? - HUMAN-OUT1]]</f>
        <v>10</v>
      </c>
      <c r="BH89" t="str">
        <f t="shared" si="52"/>
        <v>Support</v>
      </c>
      <c r="BI89" s="32">
        <f t="shared" si="53"/>
        <v>3</v>
      </c>
    </row>
    <row r="90" spans="1:61" x14ac:dyDescent="0.45">
      <c r="A90" s="30">
        <f>step3_validation[[#This Row],[Persona_ID]]</f>
        <v>89</v>
      </c>
      <c r="B90" s="31">
        <f>step3_validation[[#This Row],[Used_Seed]]</f>
        <v>12433</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4</v>
      </c>
      <c r="R90" t="str">
        <f t="shared" si="27"/>
        <v>Oppose</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6</v>
      </c>
      <c r="V90">
        <f>step3_validation[[#This Row],[AI_ENF2]]</f>
        <v>5</v>
      </c>
      <c r="W90" t="str">
        <f t="shared" si="30"/>
        <v>Neutral</v>
      </c>
      <c r="X90">
        <f>survey_responses[[#This Row],[Tôi tin rằng Nhà nước, cơ quan thuế có đủ khả năng và công nghệ để phát hiện, xử lý nghiêm các hành vi trốn thuế. - HUMAN-ENF2]]</f>
        <v>9</v>
      </c>
      <c r="Y90" t="str">
        <f t="shared" si="31"/>
        <v>Support</v>
      </c>
      <c r="Z90" s="32">
        <f t="shared" si="32"/>
        <v>4</v>
      </c>
      <c r="AA90">
        <f>step3_validation[[#This Row],[AI_FAC1]]</f>
        <v>8</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1</v>
      </c>
      <c r="AF90">
        <f>step3_validation[[#This Row],[AI_FAC2]]</f>
        <v>7</v>
      </c>
      <c r="AG90" t="str">
        <f t="shared" si="36"/>
        <v>Neutral</v>
      </c>
      <c r="AH90">
        <f>survey_responses[[#This Row],[So với trước đây, tôi thấy cách tính thuế và các bậc thuế trong phương án mới đơn giản, dễ hiểu và dễ thực hiện hơn. - HUMAN-FAC2]]</f>
        <v>9</v>
      </c>
      <c r="AI90" t="str">
        <f t="shared" si="37"/>
        <v>Support</v>
      </c>
      <c r="AJ90" s="32">
        <f t="shared" si="38"/>
        <v>2</v>
      </c>
      <c r="AK90">
        <f>step3_validation[[#This Row],[AI_TRU1]]</f>
        <v>5</v>
      </c>
      <c r="AL90" t="str">
        <f t="shared" si="39"/>
        <v>Neutral</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5</v>
      </c>
      <c r="AP90">
        <f>step3_validation[[#This Row],[AI_TRU2]]</f>
        <v>6</v>
      </c>
      <c r="AQ90" t="str">
        <f t="shared" si="42"/>
        <v>Neutral</v>
      </c>
      <c r="AR90">
        <f>survey_responses[[#This Row],[Tôi thấy mức thuế tôi phải đóng theo phương án mới là công bằng (người thu nhập như tôi đóng mức này là hợp lý). - HUMAN-TRU2]]</f>
        <v>9</v>
      </c>
      <c r="AS90" t="str">
        <f t="shared" si="43"/>
        <v>Support</v>
      </c>
      <c r="AT90" s="32">
        <f t="shared" si="44"/>
        <v>3</v>
      </c>
      <c r="AU90">
        <f>step3_validation[[#This Row],[AI_TRU3]]</f>
        <v>4</v>
      </c>
      <c r="AV90" t="str">
        <f t="shared" si="45"/>
        <v>Oppose</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5</v>
      </c>
      <c r="AZ90">
        <f>step3_validation[[#This Row],[AI_TRU4]]</f>
        <v>5</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2">
        <f t="shared" si="50"/>
        <v>3</v>
      </c>
      <c r="BE90">
        <f>step3_validation[[#This Row],[AI_OUT1]]</f>
        <v>6</v>
      </c>
      <c r="BF90" t="str">
        <f t="shared" si="51"/>
        <v>Neutral</v>
      </c>
      <c r="BG90">
        <f>survey_responses[[#This Row],[Sau khi xem xét các quyền lợi và nghĩa vụ, bạn có ủng hộ và tuân thủ chính sách mới hiện nay? - HUMAN-OUT1]]</f>
        <v>9</v>
      </c>
      <c r="BH90" t="str">
        <f t="shared" si="52"/>
        <v>Support</v>
      </c>
      <c r="BI90" s="32">
        <f t="shared" si="53"/>
        <v>3</v>
      </c>
    </row>
    <row r="91" spans="1:61" x14ac:dyDescent="0.45">
      <c r="A91" s="30">
        <f>step3_validation[[#This Row],[Persona_ID]]</f>
        <v>90</v>
      </c>
      <c r="B91" s="31">
        <f>step3_validation[[#This Row],[Used_Seed]]</f>
        <v>12434</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5</v>
      </c>
      <c r="R91" t="str">
        <f t="shared" si="27"/>
        <v>Neutral</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1</v>
      </c>
      <c r="V91">
        <f>step3_validation[[#This Row],[AI_ENF2]]</f>
        <v>6</v>
      </c>
      <c r="W91" t="str">
        <f t="shared" si="30"/>
        <v>Neutral</v>
      </c>
      <c r="X91">
        <f>survey_responses[[#This Row],[Tôi tin rằng Nhà nước, cơ quan thuế có đủ khả năng và công nghệ để phát hiện, xử lý nghiêm các hành vi trốn thuế. - HUMAN-ENF2]]</f>
        <v>10</v>
      </c>
      <c r="Y91" t="str">
        <f t="shared" si="31"/>
        <v>Support</v>
      </c>
      <c r="Z91" s="32">
        <f t="shared" si="32"/>
        <v>4</v>
      </c>
      <c r="AA91">
        <f>step3_validation[[#This Row],[AI_FAC1]]</f>
        <v>7</v>
      </c>
      <c r="AB91" t="str">
        <f t="shared" si="33"/>
        <v>Neutral</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1</v>
      </c>
      <c r="AF91">
        <f>step3_validation[[#This Row],[AI_FAC2]]</f>
        <v>8</v>
      </c>
      <c r="AG91" t="str">
        <f t="shared" si="36"/>
        <v>Support</v>
      </c>
      <c r="AH91">
        <f>survey_responses[[#This Row],[So với trước đây, tôi thấy cách tính thuế và các bậc thuế trong phương án mới đơn giản, dễ hiểu và dễ thực hiện hơn. - HUMAN-FAC2]]</f>
        <v>9</v>
      </c>
      <c r="AI91" t="str">
        <f t="shared" si="37"/>
        <v>Support</v>
      </c>
      <c r="AJ91" s="32">
        <f t="shared" si="38"/>
        <v>1</v>
      </c>
      <c r="AK91">
        <f>step3_validation[[#This Row],[AI_TRU1]]</f>
        <v>4</v>
      </c>
      <c r="AL91" t="str">
        <f t="shared" si="39"/>
        <v>Oppose</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5</v>
      </c>
      <c r="AP91">
        <f>step3_validation[[#This Row],[AI_TRU2]]</f>
        <v>6</v>
      </c>
      <c r="AQ91" t="str">
        <f t="shared" si="42"/>
        <v>Neutral</v>
      </c>
      <c r="AR91">
        <f>survey_responses[[#This Row],[Tôi thấy mức thuế tôi phải đóng theo phương án mới là công bằng (người thu nhập như tôi đóng mức này là hợp lý). - HUMAN-TRU2]]</f>
        <v>9</v>
      </c>
      <c r="AS91" t="str">
        <f t="shared" si="43"/>
        <v>Support</v>
      </c>
      <c r="AT91" s="32">
        <f t="shared" si="44"/>
        <v>3</v>
      </c>
      <c r="AU91">
        <f>step3_validation[[#This Row],[AI_TRU3]]</f>
        <v>5</v>
      </c>
      <c r="AV91" t="str">
        <f t="shared" si="45"/>
        <v>Neutral</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3</v>
      </c>
      <c r="AZ91">
        <f>step3_validation[[#This Row],[AI_TRU4]]</f>
        <v>5</v>
      </c>
      <c r="BA91" t="str">
        <f t="shared" si="48"/>
        <v>Neutral</v>
      </c>
      <c r="BB91">
        <f>survey_responses[[#This Row],[Tôi thấy Nhà nước đã giải thích rõ ràng, minh bạch về lý do và mục tiêu của việc sửa đổi thuế lần này. - HUMAN-TRU4]]</f>
        <v>8</v>
      </c>
      <c r="BC91" t="str">
        <f t="shared" si="49"/>
        <v>Support</v>
      </c>
      <c r="BD91" s="32">
        <f t="shared" si="50"/>
        <v>3</v>
      </c>
      <c r="BE91">
        <f>step3_validation[[#This Row],[AI_OUT1]]</f>
        <v>6</v>
      </c>
      <c r="BF91" t="str">
        <f t="shared" si="51"/>
        <v>Neutral</v>
      </c>
      <c r="BG91">
        <f>survey_responses[[#This Row],[Sau khi xem xét các quyền lợi và nghĩa vụ, bạn có ủng hộ và tuân thủ chính sách mới hiện nay? - HUMAN-OUT1]]</f>
        <v>9</v>
      </c>
      <c r="BH91" t="str">
        <f t="shared" si="52"/>
        <v>Support</v>
      </c>
      <c r="BI91" s="32">
        <f t="shared" si="53"/>
        <v>3</v>
      </c>
    </row>
    <row r="92" spans="1:61" x14ac:dyDescent="0.45">
      <c r="A92" s="30">
        <f>step3_validation[[#This Row],[Persona_ID]]</f>
        <v>91</v>
      </c>
      <c r="B92" s="31">
        <f>step3_validation[[#This Row],[Used_Seed]]</f>
        <v>12435</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7</v>
      </c>
      <c r="R92" t="str">
        <f t="shared" si="27"/>
        <v>Neutral</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3</v>
      </c>
      <c r="V92">
        <f>step3_validation[[#This Row],[AI_ENF2]]</f>
        <v>6</v>
      </c>
      <c r="W92" t="str">
        <f t="shared" si="30"/>
        <v>Neutral</v>
      </c>
      <c r="X92">
        <f>survey_responses[[#This Row],[Tôi tin rằng Nhà nước, cơ quan thuế có đủ khả năng và công nghệ để phát hiện, xử lý nghiêm các hành vi trốn thuế. - HUMAN-ENF2]]</f>
        <v>9</v>
      </c>
      <c r="Y92" t="str">
        <f t="shared" si="31"/>
        <v>Support</v>
      </c>
      <c r="Z92" s="32">
        <f t="shared" si="32"/>
        <v>3</v>
      </c>
      <c r="AA92">
        <f>step3_validation[[#This Row],[AI_FAC1]]</f>
        <v>8</v>
      </c>
      <c r="AB92" t="str">
        <f t="shared" si="33"/>
        <v>Support</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1</v>
      </c>
      <c r="AF92">
        <f>step3_validation[[#This Row],[AI_FAC2]]</f>
        <v>9</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0</v>
      </c>
      <c r="AK92">
        <f>step3_validation[[#This Row],[AI_TRU1]]</f>
        <v>8</v>
      </c>
      <c r="AL92" t="str">
        <f t="shared" si="39"/>
        <v>Support</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2</v>
      </c>
      <c r="AP92">
        <f>step3_validation[[#This Row],[AI_TRU2]]</f>
        <v>7</v>
      </c>
      <c r="AQ92" t="str">
        <f t="shared" si="42"/>
        <v>Neutral</v>
      </c>
      <c r="AR92">
        <f>survey_responses[[#This Row],[Tôi thấy mức thuế tôi phải đóng theo phương án mới là công bằng (người thu nhập như tôi đóng mức này là hợp lý). - HUMAN-TRU2]]</f>
        <v>9</v>
      </c>
      <c r="AS92" t="str">
        <f t="shared" si="43"/>
        <v>Support</v>
      </c>
      <c r="AT92" s="32">
        <f t="shared" si="44"/>
        <v>2</v>
      </c>
      <c r="AU92">
        <f>step3_validation[[#This Row],[AI_TRU3]]</f>
        <v>6</v>
      </c>
      <c r="AV92" t="str">
        <f t="shared" si="45"/>
        <v>Neutral</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2</v>
      </c>
      <c r="AZ92">
        <f>step3_validation[[#This Row],[AI_TRU4]]</f>
        <v>7</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2">
        <f t="shared" si="50"/>
        <v>1</v>
      </c>
      <c r="BE92">
        <f>step3_validation[[#This Row],[AI_OUT1]]</f>
        <v>8</v>
      </c>
      <c r="BF92" t="str">
        <f t="shared" si="51"/>
        <v>Support</v>
      </c>
      <c r="BG92">
        <f>survey_responses[[#This Row],[Sau khi xem xét các quyền lợi và nghĩa vụ, bạn có ủng hộ và tuân thủ chính sách mới hiện nay? - HUMAN-OUT1]]</f>
        <v>10</v>
      </c>
      <c r="BH92" t="str">
        <f t="shared" si="52"/>
        <v>Support</v>
      </c>
      <c r="BI92" s="32">
        <f t="shared" si="53"/>
        <v>2</v>
      </c>
    </row>
    <row r="93" spans="1:61" x14ac:dyDescent="0.45">
      <c r="A93" s="30">
        <f>step3_validation[[#This Row],[Persona_ID]]</f>
        <v>92</v>
      </c>
      <c r="B93" s="31">
        <f>step3_validation[[#This Row],[Used_Seed]]</f>
        <v>12436</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7</v>
      </c>
      <c r="R93" t="str">
        <f t="shared" si="27"/>
        <v>Neutral</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3</v>
      </c>
      <c r="V93">
        <f>step3_validation[[#This Row],[AI_ENF2]]</f>
        <v>6</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2">
        <f t="shared" si="32"/>
        <v>4</v>
      </c>
      <c r="AA93">
        <f>step3_validation[[#This Row],[AI_FAC1]]</f>
        <v>5</v>
      </c>
      <c r="AB93" t="str">
        <f t="shared" si="33"/>
        <v>Neutral</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5</v>
      </c>
      <c r="AF93">
        <f>step3_validation[[#This Row],[AI_FAC2]]</f>
        <v>4</v>
      </c>
      <c r="AG93" t="str">
        <f t="shared" si="36"/>
        <v>Oppose</v>
      </c>
      <c r="AH93">
        <f>survey_responses[[#This Row],[So với trước đây, tôi thấy cách tính thuế và các bậc thuế trong phương án mới đơn giản, dễ hiểu và dễ thực hiện hơn. - HUMAN-FAC2]]</f>
        <v>10</v>
      </c>
      <c r="AI93" t="str">
        <f t="shared" si="37"/>
        <v>Support</v>
      </c>
      <c r="AJ93" s="32">
        <f t="shared" si="38"/>
        <v>6</v>
      </c>
      <c r="AK93">
        <f>step3_validation[[#This Row],[AI_TRU1]]</f>
        <v>3</v>
      </c>
      <c r="AL93" t="str">
        <f t="shared" si="39"/>
        <v>Oppose</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7</v>
      </c>
      <c r="AP93">
        <f>step3_validation[[#This Row],[AI_TRU2]]</f>
        <v>5</v>
      </c>
      <c r="AQ93" t="str">
        <f t="shared" si="42"/>
        <v>Neutral</v>
      </c>
      <c r="AR93">
        <f>survey_responses[[#This Row],[Tôi thấy mức thuế tôi phải đóng theo phương án mới là công bằng (người thu nhập như tôi đóng mức này là hợp lý). - HUMAN-TRU2]]</f>
        <v>1</v>
      </c>
      <c r="AS93" t="str">
        <f t="shared" si="43"/>
        <v>Oppose</v>
      </c>
      <c r="AT93" s="32">
        <f t="shared" si="44"/>
        <v>4</v>
      </c>
      <c r="AU93">
        <f>step3_validation[[#This Row],[AI_TRU3]]</f>
        <v>4</v>
      </c>
      <c r="AV93" t="str">
        <f t="shared" si="45"/>
        <v>Oppose</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6</v>
      </c>
      <c r="AZ93">
        <f>step3_validation[[#This Row],[AI_TRU4]]</f>
        <v>2</v>
      </c>
      <c r="BA93" t="str">
        <f t="shared" si="48"/>
        <v>Oppose</v>
      </c>
      <c r="BB93">
        <f>survey_responses[[#This Row],[Tôi thấy Nhà nước đã giải thích rõ ràng, minh bạch về lý do và mục tiêu của việc sửa đổi thuế lần này. - HUMAN-TRU4]]</f>
        <v>10</v>
      </c>
      <c r="BC93" t="str">
        <f t="shared" si="49"/>
        <v>Support</v>
      </c>
      <c r="BD93" s="32">
        <f t="shared" si="50"/>
        <v>8</v>
      </c>
      <c r="BE93">
        <f>step3_validation[[#This Row],[AI_OUT1]]</f>
        <v>3</v>
      </c>
      <c r="BF93" t="str">
        <f t="shared" si="51"/>
        <v>Oppose</v>
      </c>
      <c r="BG93">
        <f>survey_responses[[#This Row],[Sau khi xem xét các quyền lợi và nghĩa vụ, bạn có ủng hộ và tuân thủ chính sách mới hiện nay? - HUMAN-OUT1]]</f>
        <v>10</v>
      </c>
      <c r="BH93" t="str">
        <f t="shared" si="52"/>
        <v>Support</v>
      </c>
      <c r="BI93" s="32">
        <f t="shared" si="53"/>
        <v>7</v>
      </c>
    </row>
    <row r="94" spans="1:61" x14ac:dyDescent="0.45">
      <c r="A94" s="30">
        <f>step3_validation[[#This Row],[Persona_ID]]</f>
        <v>93</v>
      </c>
      <c r="B94" s="31">
        <f>step3_validation[[#This Row],[Used_Seed]]</f>
        <v>12437</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32.798162109154326</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1</v>
      </c>
      <c r="V94">
        <f>step3_validation[[#This Row],[AI_ENF2]]</f>
        <v>5</v>
      </c>
      <c r="W94" t="str">
        <f t="shared" si="30"/>
        <v>Neutral</v>
      </c>
      <c r="X94">
        <f>survey_responses[[#This Row],[Tôi tin rằng Nhà nước, cơ quan thuế có đủ khả năng và công nghệ để phát hiện, xử lý nghiêm các hành vi trốn thuế. - HUMAN-ENF2]]</f>
        <v>8</v>
      </c>
      <c r="Y94" t="str">
        <f t="shared" si="31"/>
        <v>Support</v>
      </c>
      <c r="Z94" s="32">
        <f t="shared" si="32"/>
        <v>3</v>
      </c>
      <c r="AA94">
        <f>step3_validation[[#This Row],[AI_FAC1]]</f>
        <v>7</v>
      </c>
      <c r="AB94" t="str">
        <f t="shared" si="33"/>
        <v>Neutral</v>
      </c>
      <c r="AC94">
        <f>survey_responses[[#This Row],[Các thủ tục khai báo thuế VÀ/HOẶC quy trình làm việc với cơ quan thuế đơn giản, tiện lợi, nhanh chóng hơn so với trước đây. - HUMAN-FAC1]]</f>
        <v>4</v>
      </c>
      <c r="AD94" t="str">
        <f t="shared" si="34"/>
        <v>Oppose</v>
      </c>
      <c r="AE94" s="32">
        <f t="shared" si="35"/>
        <v>3</v>
      </c>
      <c r="AF94">
        <f>step3_validation[[#This Row],[AI_FAC2]]</f>
        <v>6</v>
      </c>
      <c r="AG94" t="str">
        <f t="shared" si="36"/>
        <v>Neutral</v>
      </c>
      <c r="AH94">
        <f>survey_responses[[#This Row],[So với trước đây, tôi thấy cách tính thuế và các bậc thuế trong phương án mới đơn giản, dễ hiểu và dễ thực hiện hơn. - HUMAN-FAC2]]</f>
        <v>9</v>
      </c>
      <c r="AI94" t="str">
        <f t="shared" si="37"/>
        <v>Support</v>
      </c>
      <c r="AJ94" s="32">
        <f t="shared" si="38"/>
        <v>3</v>
      </c>
      <c r="AK94">
        <f>step3_validation[[#This Row],[AI_TRU1]]</f>
        <v>8</v>
      </c>
      <c r="AL94" t="str">
        <f t="shared" si="39"/>
        <v>Support</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1</v>
      </c>
      <c r="AP94">
        <f>step3_validation[[#This Row],[AI_TRU2]]</f>
        <v>5</v>
      </c>
      <c r="AQ94" t="str">
        <f t="shared" si="42"/>
        <v>Neutral</v>
      </c>
      <c r="AR94">
        <f>survey_responses[[#This Row],[Tôi thấy mức thuế tôi phải đóng theo phương án mới là công bằng (người thu nhập như tôi đóng mức này là hợp lý). - HUMAN-TRU2]]</f>
        <v>5</v>
      </c>
      <c r="AS94" t="str">
        <f t="shared" si="43"/>
        <v>Neutral</v>
      </c>
      <c r="AT94" s="32">
        <f t="shared" si="44"/>
        <v>0</v>
      </c>
      <c r="AU94">
        <f>step3_validation[[#This Row],[AI_TRU3]]</f>
        <v>8</v>
      </c>
      <c r="AV94" t="str">
        <f t="shared" si="45"/>
        <v>Support</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1</v>
      </c>
      <c r="AZ94">
        <f>step3_validation[[#This Row],[AI_TRU4]]</f>
        <v>7</v>
      </c>
      <c r="BA94" t="str">
        <f t="shared" si="48"/>
        <v>Neutral</v>
      </c>
      <c r="BB94">
        <f>survey_responses[[#This Row],[Tôi thấy Nhà nước đã giải thích rõ ràng, minh bạch về lý do và mục tiêu của việc sửa đổi thuế lần này. - HUMAN-TRU4]]</f>
        <v>8</v>
      </c>
      <c r="BC94" t="str">
        <f t="shared" si="49"/>
        <v>Support</v>
      </c>
      <c r="BD94" s="32">
        <f t="shared" si="50"/>
        <v>1</v>
      </c>
      <c r="BE94">
        <f>step3_validation[[#This Row],[AI_OUT1]]</f>
        <v>7</v>
      </c>
      <c r="BF94" t="str">
        <f t="shared" si="51"/>
        <v>Neutral</v>
      </c>
      <c r="BG94">
        <f>survey_responses[[#This Row],[Sau khi xem xét các quyền lợi và nghĩa vụ, bạn có ủng hộ và tuân thủ chính sách mới hiện nay? - HUMAN-OUT1]]</f>
        <v>10</v>
      </c>
      <c r="BH94" t="str">
        <f t="shared" si="52"/>
        <v>Support</v>
      </c>
      <c r="BI94" s="32">
        <f t="shared" si="53"/>
        <v>3</v>
      </c>
    </row>
    <row r="95" spans="1:61" x14ac:dyDescent="0.45">
      <c r="A95" s="30">
        <f>step3_validation[[#This Row],[Persona_ID]]</f>
        <v>94</v>
      </c>
      <c r="B95" s="31">
        <f>step3_validation[[#This Row],[Used_Seed]]</f>
        <v>12438</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7</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2</v>
      </c>
      <c r="V95">
        <f>step3_validation[[#This Row],[AI_ENF2]]</f>
        <v>8</v>
      </c>
      <c r="W95" t="str">
        <f t="shared" si="30"/>
        <v>Support</v>
      </c>
      <c r="X95">
        <f>survey_responses[[#This Row],[Tôi tin rằng Nhà nước, cơ quan thuế có đủ khả năng và công nghệ để phát hiện, xử lý nghiêm các hành vi trốn thuế. - HUMAN-ENF2]]</f>
        <v>7</v>
      </c>
      <c r="Y95" t="str">
        <f t="shared" si="31"/>
        <v>Neutral</v>
      </c>
      <c r="Z95" s="32">
        <f t="shared" si="32"/>
        <v>1</v>
      </c>
      <c r="AA95">
        <f>step3_validation[[#This Row],[AI_FAC1]]</f>
        <v>9</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4</v>
      </c>
      <c r="AF95">
        <f>step3_validation[[#This Row],[AI_FAC2]]</f>
        <v>8</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2">
        <f t="shared" si="38"/>
        <v>1</v>
      </c>
      <c r="AK95">
        <f>step3_validation[[#This Row],[AI_TRU1]]</f>
        <v>7</v>
      </c>
      <c r="AL95" t="str">
        <f t="shared" si="39"/>
        <v>Neutral</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2</v>
      </c>
      <c r="AP95">
        <f>step3_validation[[#This Row],[AI_TRU2]]</f>
        <v>6</v>
      </c>
      <c r="AQ95" t="str">
        <f t="shared" si="42"/>
        <v>Neutral</v>
      </c>
      <c r="AR95">
        <f>survey_responses[[#This Row],[Tôi thấy mức thuế tôi phải đóng theo phương án mới là công bằng (người thu nhập như tôi đóng mức này là hợp lý). - HUMAN-TRU2]]</f>
        <v>8</v>
      </c>
      <c r="AS95" t="str">
        <f t="shared" si="43"/>
        <v>Support</v>
      </c>
      <c r="AT95" s="32">
        <f t="shared" si="44"/>
        <v>2</v>
      </c>
      <c r="AU95">
        <f>step3_validation[[#This Row],[AI_TRU3]]</f>
        <v>6</v>
      </c>
      <c r="AV95" t="str">
        <f t="shared" si="45"/>
        <v>Neutral</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1</v>
      </c>
      <c r="AZ95">
        <f>step3_validation[[#This Row],[AI_TRU4]]</f>
        <v>5</v>
      </c>
      <c r="BA95" t="str">
        <f t="shared" si="48"/>
        <v>Neutral</v>
      </c>
      <c r="BB95">
        <f>survey_responses[[#This Row],[Tôi thấy Nhà nước đã giải thích rõ ràng, minh bạch về lý do và mục tiêu của việc sửa đổi thuế lần này. - HUMAN-TRU4]]</f>
        <v>5</v>
      </c>
      <c r="BC95" t="str">
        <f t="shared" si="49"/>
        <v>Neutral</v>
      </c>
      <c r="BD95" s="32">
        <f t="shared" si="50"/>
        <v>0</v>
      </c>
      <c r="BE95">
        <f>step3_validation[[#This Row],[AI_OUT1]]</f>
        <v>7</v>
      </c>
      <c r="BF95" t="str">
        <f t="shared" si="51"/>
        <v>Neutral</v>
      </c>
      <c r="BG95">
        <f>survey_responses[[#This Row],[Sau khi xem xét các quyền lợi và nghĩa vụ, bạn có ủng hộ và tuân thủ chính sách mới hiện nay? - HUMAN-OUT1]]</f>
        <v>7</v>
      </c>
      <c r="BH95" t="str">
        <f t="shared" si="52"/>
        <v>Neutral</v>
      </c>
      <c r="BI95" s="32">
        <f t="shared" si="53"/>
        <v>0</v>
      </c>
    </row>
    <row r="96" spans="1:61" x14ac:dyDescent="0.45">
      <c r="A96" s="30">
        <f>step3_validation[[#This Row],[Persona_ID]]</f>
        <v>95</v>
      </c>
      <c r="B96" s="31">
        <f>step3_validation[[#This Row],[Used_Seed]]</f>
        <v>12439</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33.847147653280899</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7</v>
      </c>
      <c r="R96" t="str">
        <f t="shared" si="27"/>
        <v>Neutral</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3</v>
      </c>
      <c r="V96">
        <f>step3_validation[[#This Row],[AI_ENF2]]</f>
        <v>8</v>
      </c>
      <c r="W96" t="str">
        <f t="shared" si="30"/>
        <v>Support</v>
      </c>
      <c r="X96">
        <f>survey_responses[[#This Row],[Tôi tin rằng Nhà nước, cơ quan thuế có đủ khả năng và công nghệ để phát hiện, xử lý nghiêm các hành vi trốn thuế. - HUMAN-ENF2]]</f>
        <v>6</v>
      </c>
      <c r="Y96" t="str">
        <f t="shared" si="31"/>
        <v>Neutral</v>
      </c>
      <c r="Z96" s="32">
        <f t="shared" si="32"/>
        <v>2</v>
      </c>
      <c r="AA96">
        <f>step3_validation[[#This Row],[AI_FAC1]]</f>
        <v>6</v>
      </c>
      <c r="AB96" t="str">
        <f t="shared" si="33"/>
        <v>Neutral</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1</v>
      </c>
      <c r="AF96">
        <f>step3_validation[[#This Row],[AI_FAC2]]</f>
        <v>9</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2">
        <f t="shared" si="38"/>
        <v>4</v>
      </c>
      <c r="AK96">
        <f>step3_validation[[#This Row],[AI_TRU1]]</f>
        <v>7</v>
      </c>
      <c r="AL96" t="str">
        <f t="shared" si="39"/>
        <v>Neutral</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3</v>
      </c>
      <c r="AP96">
        <f>step3_validation[[#This Row],[AI_TRU2]]</f>
        <v>6</v>
      </c>
      <c r="AQ96" t="str">
        <f t="shared" si="42"/>
        <v>Neutral</v>
      </c>
      <c r="AR96">
        <f>survey_responses[[#This Row],[Tôi thấy mức thuế tôi phải đóng theo phương án mới là công bằng (người thu nhập như tôi đóng mức này là hợp lý). - HUMAN-TRU2]]</f>
        <v>4</v>
      </c>
      <c r="AS96" t="str">
        <f t="shared" si="43"/>
        <v>Oppose</v>
      </c>
      <c r="AT96" s="32">
        <f t="shared" si="44"/>
        <v>2</v>
      </c>
      <c r="AU96">
        <f>step3_validation[[#This Row],[AI_TRU3]]</f>
        <v>8</v>
      </c>
      <c r="AV96" t="str">
        <f t="shared" si="45"/>
        <v>Support</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5</v>
      </c>
      <c r="AZ96">
        <f>step3_validation[[#This Row],[AI_TRU4]]</f>
        <v>7</v>
      </c>
      <c r="BA96" t="str">
        <f t="shared" si="48"/>
        <v>Neutral</v>
      </c>
      <c r="BB96">
        <f>survey_responses[[#This Row],[Tôi thấy Nhà nước đã giải thích rõ ràng, minh bạch về lý do và mục tiêu của việc sửa đổi thuế lần này. - HUMAN-TRU4]]</f>
        <v>4</v>
      </c>
      <c r="BC96" t="str">
        <f t="shared" si="49"/>
        <v>Oppose</v>
      </c>
      <c r="BD96" s="32">
        <f t="shared" si="50"/>
        <v>3</v>
      </c>
      <c r="BE96">
        <f>step3_validation[[#This Row],[AI_OUT1]]</f>
        <v>7</v>
      </c>
      <c r="BF96" t="str">
        <f t="shared" si="51"/>
        <v>Neutral</v>
      </c>
      <c r="BG96">
        <f>survey_responses[[#This Row],[Sau khi xem xét các quyền lợi và nghĩa vụ, bạn có ủng hộ và tuân thủ chính sách mới hiện nay? - HUMAN-OUT1]]</f>
        <v>3</v>
      </c>
      <c r="BH96" t="str">
        <f t="shared" si="52"/>
        <v>Oppose</v>
      </c>
      <c r="BI96" s="32">
        <f t="shared" si="53"/>
        <v>4</v>
      </c>
    </row>
    <row r="97" spans="1:61" x14ac:dyDescent="0.45">
      <c r="A97" s="30">
        <f>step3_validation[[#This Row],[Persona_ID]]</f>
        <v>96</v>
      </c>
      <c r="B97" s="31">
        <f>step3_validation[[#This Row],[Used_Seed]]</f>
        <v>12440</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1</v>
      </c>
      <c r="V97">
        <f>step3_validation[[#This Row],[AI_ENF2]]</f>
        <v>8</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2">
        <f t="shared" si="32"/>
        <v>1</v>
      </c>
      <c r="AA97">
        <f>step3_validation[[#This Row],[AI_FAC1]]</f>
        <v>6</v>
      </c>
      <c r="AB97" t="str">
        <f t="shared" si="33"/>
        <v>Neutral</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1</v>
      </c>
      <c r="AF97">
        <f>step3_validation[[#This Row],[AI_FAC2]]</f>
        <v>9</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2</v>
      </c>
      <c r="AK97">
        <f>step3_validation[[#This Row],[AI_TRU1]]</f>
        <v>8</v>
      </c>
      <c r="AL97" t="str">
        <f t="shared" si="39"/>
        <v>Support</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1</v>
      </c>
      <c r="AP97">
        <f>step3_validation[[#This Row],[AI_TRU2]]</f>
        <v>9</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2">
        <f t="shared" si="44"/>
        <v>4</v>
      </c>
      <c r="AU97">
        <f>step3_validation[[#This Row],[AI_TRU3]]</f>
        <v>8</v>
      </c>
      <c r="AV97" t="str">
        <f t="shared" si="45"/>
        <v>Support</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3</v>
      </c>
      <c r="AZ97">
        <f>step3_validation[[#This Row],[AI_TRU4]]</f>
        <v>7</v>
      </c>
      <c r="BA97" t="str">
        <f t="shared" si="48"/>
        <v>Neutral</v>
      </c>
      <c r="BB97">
        <f>survey_responses[[#This Row],[Tôi thấy Nhà nước đã giải thích rõ ràng, minh bạch về lý do và mục tiêu của việc sửa đổi thuế lần này. - HUMAN-TRU4]]</f>
        <v>7</v>
      </c>
      <c r="BC97" t="str">
        <f t="shared" si="49"/>
        <v>Neutral</v>
      </c>
      <c r="BD97" s="32">
        <f t="shared" si="50"/>
        <v>0</v>
      </c>
      <c r="BE97">
        <f>step3_validation[[#This Row],[AI_OUT1]]</f>
        <v>8</v>
      </c>
      <c r="BF97" t="str">
        <f t="shared" si="51"/>
        <v>Support</v>
      </c>
      <c r="BG97">
        <f>survey_responses[[#This Row],[Sau khi xem xét các quyền lợi và nghĩa vụ, bạn có ủng hộ và tuân thủ chính sách mới hiện nay? - HUMAN-OUT1]]</f>
        <v>7</v>
      </c>
      <c r="BH97" t="str">
        <f t="shared" si="52"/>
        <v>Neutral</v>
      </c>
      <c r="BI97" s="32">
        <f t="shared" si="53"/>
        <v>1</v>
      </c>
    </row>
    <row r="98" spans="1:61" x14ac:dyDescent="0.45">
      <c r="A98" s="30">
        <f>step3_validation[[#This Row],[Persona_ID]]</f>
        <v>97</v>
      </c>
      <c r="B98" s="31">
        <f>step3_validation[[#This Row],[Used_Seed]]</f>
        <v>12441</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111.51328760485315</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7</v>
      </c>
      <c r="R98" t="str">
        <f t="shared" si="27"/>
        <v>Neutral</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1</v>
      </c>
      <c r="V98">
        <f>step3_validation[[#This Row],[AI_ENF2]]</f>
        <v>8</v>
      </c>
      <c r="W98" t="str">
        <f t="shared" si="30"/>
        <v>Support</v>
      </c>
      <c r="X98">
        <f>survey_responses[[#This Row],[Tôi tin rằng Nhà nước, cơ quan thuế có đủ khả năng và công nghệ để phát hiện, xử lý nghiêm các hành vi trốn thuế. - HUMAN-ENF2]]</f>
        <v>6</v>
      </c>
      <c r="Y98" t="str">
        <f t="shared" si="31"/>
        <v>Neutral</v>
      </c>
      <c r="Z98" s="32">
        <f t="shared" si="32"/>
        <v>2</v>
      </c>
      <c r="AA98">
        <f>step3_validation[[#This Row],[AI_FAC1]]</f>
        <v>6</v>
      </c>
      <c r="AB98" t="str">
        <f t="shared" si="33"/>
        <v>Neutral</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1</v>
      </c>
      <c r="AF98">
        <f>step3_validation[[#This Row],[AI_FAC2]]</f>
        <v>8</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3</v>
      </c>
      <c r="AK98">
        <f>step3_validation[[#This Row],[AI_TRU1]]</f>
        <v>7</v>
      </c>
      <c r="AL98" t="str">
        <f t="shared" si="39"/>
        <v>Neutral</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2</v>
      </c>
      <c r="AP98">
        <f>step3_validation[[#This Row],[AI_TRU2]]</f>
        <v>7</v>
      </c>
      <c r="AQ98" t="str">
        <f t="shared" si="42"/>
        <v>Neutral</v>
      </c>
      <c r="AR98">
        <f>survey_responses[[#This Row],[Tôi thấy mức thuế tôi phải đóng theo phương án mới là công bằng (người thu nhập như tôi đóng mức này là hợp lý). - HUMAN-TRU2]]</f>
        <v>5</v>
      </c>
      <c r="AS98" t="str">
        <f t="shared" si="43"/>
        <v>Neutral</v>
      </c>
      <c r="AT98" s="32">
        <f t="shared" si="44"/>
        <v>2</v>
      </c>
      <c r="AU98">
        <f>step3_validation[[#This Row],[AI_TRU3]]</f>
        <v>6</v>
      </c>
      <c r="AV98" t="str">
        <f t="shared" si="45"/>
        <v>Neutral</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1</v>
      </c>
      <c r="AZ98">
        <f>step3_validation[[#This Row],[AI_TRU4]]</f>
        <v>7</v>
      </c>
      <c r="BA98" t="str">
        <f t="shared" si="48"/>
        <v>Neutral</v>
      </c>
      <c r="BB98">
        <f>survey_responses[[#This Row],[Tôi thấy Nhà nước đã giải thích rõ ràng, minh bạch về lý do và mục tiêu của việc sửa đổi thuế lần này. - HUMAN-TRU4]]</f>
        <v>5</v>
      </c>
      <c r="BC98" t="str">
        <f t="shared" si="49"/>
        <v>Neutral</v>
      </c>
      <c r="BD98" s="32">
        <f t="shared" si="50"/>
        <v>2</v>
      </c>
      <c r="BE98">
        <f>step3_validation[[#This Row],[AI_OUT1]]</f>
        <v>6</v>
      </c>
      <c r="BF98" t="str">
        <f t="shared" si="51"/>
        <v>Neutral</v>
      </c>
      <c r="BG98">
        <f>survey_responses[[#This Row],[Sau khi xem xét các quyền lợi và nghĩa vụ, bạn có ủng hộ và tuân thủ chính sách mới hiện nay? - HUMAN-OUT1]]</f>
        <v>5</v>
      </c>
      <c r="BH98" t="str">
        <f t="shared" si="52"/>
        <v>Neutral</v>
      </c>
      <c r="BI98" s="32">
        <f t="shared" si="53"/>
        <v>1</v>
      </c>
    </row>
    <row r="99" spans="1:61" x14ac:dyDescent="0.45">
      <c r="A99" s="30">
        <f>step3_validation[[#This Row],[Persona_ID]]</f>
        <v>98</v>
      </c>
      <c r="B99" s="31">
        <f>step3_validation[[#This Row],[Used_Seed]]</f>
        <v>12442</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20.932553600708715</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7</v>
      </c>
      <c r="R99" t="str">
        <f t="shared" si="27"/>
        <v>Neutral</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1</v>
      </c>
      <c r="V99">
        <f>step3_validation[[#This Row],[AI_ENF2]]</f>
        <v>6</v>
      </c>
      <c r="W99" t="str">
        <f t="shared" si="30"/>
        <v>Neutral</v>
      </c>
      <c r="X99">
        <f>survey_responses[[#This Row],[Tôi tin rằng Nhà nước, cơ quan thuế có đủ khả năng và công nghệ để phát hiện, xử lý nghiêm các hành vi trốn thuế. - HUMAN-ENF2]]</f>
        <v>8</v>
      </c>
      <c r="Y99" t="str">
        <f t="shared" si="31"/>
        <v>Support</v>
      </c>
      <c r="Z99" s="32">
        <f t="shared" si="32"/>
        <v>2</v>
      </c>
      <c r="AA99">
        <f>step3_validation[[#This Row],[AI_FAC1]]</f>
        <v>8</v>
      </c>
      <c r="AB99" t="str">
        <f t="shared" si="33"/>
        <v>Support</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3</v>
      </c>
      <c r="AF99">
        <f>step3_validation[[#This Row],[AI_FAC2]]</f>
        <v>7</v>
      </c>
      <c r="AG99" t="str">
        <f t="shared" si="36"/>
        <v>Neutral</v>
      </c>
      <c r="AH99">
        <f>survey_responses[[#This Row],[So với trước đây, tôi thấy cách tính thuế và các bậc thuế trong phương án mới đơn giản, dễ hiểu và dễ thực hiện hơn. - HUMAN-FAC2]]</f>
        <v>8</v>
      </c>
      <c r="AI99" t="str">
        <f t="shared" si="37"/>
        <v>Support</v>
      </c>
      <c r="AJ99" s="32">
        <f t="shared" si="38"/>
        <v>1</v>
      </c>
      <c r="AK99">
        <f>step3_validation[[#This Row],[AI_TRU1]]</f>
        <v>8</v>
      </c>
      <c r="AL99" t="str">
        <f t="shared" si="39"/>
        <v>Support</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2</v>
      </c>
      <c r="AP99">
        <f>step3_validation[[#This Row],[AI_TRU2]]</f>
        <v>7</v>
      </c>
      <c r="AQ99" t="str">
        <f t="shared" si="42"/>
        <v>Neutral</v>
      </c>
      <c r="AR99">
        <f>survey_responses[[#This Row],[Tôi thấy mức thuế tôi phải đóng theo phương án mới là công bằng (người thu nhập như tôi đóng mức này là hợp lý). - HUMAN-TRU2]]</f>
        <v>9</v>
      </c>
      <c r="AS99" t="str">
        <f t="shared" si="43"/>
        <v>Support</v>
      </c>
      <c r="AT99" s="32">
        <f t="shared" si="44"/>
        <v>2</v>
      </c>
      <c r="AU99">
        <f>step3_validation[[#This Row],[AI_TRU3]]</f>
        <v>6</v>
      </c>
      <c r="AV99" t="str">
        <f t="shared" si="45"/>
        <v>Neutral</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1</v>
      </c>
      <c r="AZ99">
        <f>step3_validation[[#This Row],[AI_TRU4]]</f>
        <v>5</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2</v>
      </c>
      <c r="BE99">
        <f>step3_validation[[#This Row],[AI_OUT1]]</f>
        <v>7</v>
      </c>
      <c r="BF99" t="str">
        <f t="shared" si="51"/>
        <v>Neutral</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12443</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28.721568597096145</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7</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1</v>
      </c>
      <c r="V100">
        <f>step3_validation[[#This Row],[AI_ENF2]]</f>
        <v>6</v>
      </c>
      <c r="W100" t="str">
        <f t="shared" si="30"/>
        <v>Neutral</v>
      </c>
      <c r="X100">
        <f>survey_responses[[#This Row],[Tôi tin rằng Nhà nước, cơ quan thuế có đủ khả năng và công nghệ để phát hiện, xử lý nghiêm các hành vi trốn thuế. - HUMAN-ENF2]]</f>
        <v>6</v>
      </c>
      <c r="Y100" t="str">
        <f t="shared" si="31"/>
        <v>Neutral</v>
      </c>
      <c r="Z100" s="32">
        <f t="shared" si="32"/>
        <v>0</v>
      </c>
      <c r="AA100">
        <f>step3_validation[[#This Row],[AI_FAC1]]</f>
        <v>8</v>
      </c>
      <c r="AB100" t="str">
        <f t="shared" si="33"/>
        <v>Support</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5</v>
      </c>
      <c r="AF100">
        <f>step3_validation[[#This Row],[AI_FAC2]]</f>
        <v>7</v>
      </c>
      <c r="AG100" t="str">
        <f t="shared" si="36"/>
        <v>Neutral</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1</v>
      </c>
      <c r="AK100">
        <f>step3_validation[[#This Row],[AI_TRU1]]</f>
        <v>8</v>
      </c>
      <c r="AL100" t="str">
        <f t="shared" si="39"/>
        <v>Support</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3</v>
      </c>
      <c r="AP100">
        <f>step3_validation[[#This Row],[AI_TRU2]]</f>
        <v>7</v>
      </c>
      <c r="AQ100" t="str">
        <f t="shared" si="42"/>
        <v>Neutral</v>
      </c>
      <c r="AR100">
        <f>survey_responses[[#This Row],[Tôi thấy mức thuế tôi phải đóng theo phương án mới là công bằng (người thu nhập như tôi đóng mức này là hợp lý). - HUMAN-TRU2]]</f>
        <v>6</v>
      </c>
      <c r="AS100" t="str">
        <f t="shared" si="43"/>
        <v>Neutral</v>
      </c>
      <c r="AT100" s="32">
        <f t="shared" si="44"/>
        <v>1</v>
      </c>
      <c r="AU100">
        <f>step3_validation[[#This Row],[AI_TRU3]]</f>
        <v>6</v>
      </c>
      <c r="AV100" t="str">
        <f t="shared" si="45"/>
        <v>Neutral</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1</v>
      </c>
      <c r="AZ100">
        <f>step3_validation[[#This Row],[AI_TRU4]]</f>
        <v>5</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1</v>
      </c>
      <c r="BE100">
        <f>step3_validation[[#This Row],[AI_OUT1]]</f>
        <v>7</v>
      </c>
      <c r="BF100" t="str">
        <f t="shared" si="51"/>
        <v>Neutral</v>
      </c>
      <c r="BG100">
        <f>survey_responses[[#This Row],[Sau khi xem xét các quyền lợi và nghĩa vụ, bạn có ủng hộ và tuân thủ chính sách mới hiện nay? - HUMAN-OUT1]]</f>
        <v>6</v>
      </c>
      <c r="BH100" t="str">
        <f t="shared" si="52"/>
        <v>Neutral</v>
      </c>
      <c r="BI100" s="32">
        <f t="shared" si="53"/>
        <v>1</v>
      </c>
    </row>
    <row r="101" spans="1:61" x14ac:dyDescent="0.45">
      <c r="A101" s="30">
        <f>step3_validation[[#This Row],[Persona_ID]]</f>
        <v>100</v>
      </c>
      <c r="B101" s="31">
        <f>step3_validation[[#This Row],[Used_Seed]]</f>
        <v>12444</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12.02439855645668</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7</v>
      </c>
      <c r="R101" t="str">
        <f t="shared" si="27"/>
        <v>Neutral</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1</v>
      </c>
      <c r="V101">
        <f>step3_validation[[#This Row],[AI_ENF2]]</f>
        <v>8</v>
      </c>
      <c r="W101" t="str">
        <f t="shared" si="30"/>
        <v>Support</v>
      </c>
      <c r="X101">
        <f>survey_responses[[#This Row],[Tôi tin rằng Nhà nước, cơ quan thuế có đủ khả năng và công nghệ để phát hiện, xử lý nghiêm các hành vi trốn thuế. - HUMAN-ENF2]]</f>
        <v>8</v>
      </c>
      <c r="Y101" t="str">
        <f t="shared" si="31"/>
        <v>Support</v>
      </c>
      <c r="Z101" s="32">
        <f t="shared" si="32"/>
        <v>0</v>
      </c>
      <c r="AA101">
        <f>step3_validation[[#This Row],[AI_FAC1]]</f>
        <v>6</v>
      </c>
      <c r="AB101" t="str">
        <f t="shared" si="33"/>
        <v>Neutral</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2</v>
      </c>
      <c r="AF101">
        <f>step3_validation[[#This Row],[AI_FAC2]]</f>
        <v>7</v>
      </c>
      <c r="AG101" t="str">
        <f t="shared" si="36"/>
        <v>Neutral</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3</v>
      </c>
      <c r="AK101">
        <f>step3_validation[[#This Row],[AI_TRU1]]</f>
        <v>8</v>
      </c>
      <c r="AL101" t="str">
        <f t="shared" si="39"/>
        <v>Support</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2</v>
      </c>
      <c r="AP101">
        <f>step3_validation[[#This Row],[AI_TRU2]]</f>
        <v>7</v>
      </c>
      <c r="AQ101" t="str">
        <f t="shared" si="42"/>
        <v>Neutral</v>
      </c>
      <c r="AR101">
        <f>survey_responses[[#This Row],[Tôi thấy mức thuế tôi phải đóng theo phương án mới là công bằng (người thu nhập như tôi đóng mức này là hợp lý). - HUMAN-TRU2]]</f>
        <v>10</v>
      </c>
      <c r="AS101" t="str">
        <f t="shared" si="43"/>
        <v>Support</v>
      </c>
      <c r="AT101" s="32">
        <f t="shared" si="44"/>
        <v>3</v>
      </c>
      <c r="AU101">
        <f>step3_validation[[#This Row],[AI_TRU3]]</f>
        <v>6</v>
      </c>
      <c r="AV101" t="str">
        <f t="shared" si="45"/>
        <v>Neutral</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4</v>
      </c>
      <c r="AZ101">
        <f>step3_validation[[#This Row],[AI_TRU4]]</f>
        <v>8</v>
      </c>
      <c r="BA101" t="str">
        <f t="shared" si="48"/>
        <v>Support</v>
      </c>
      <c r="BB101">
        <f>survey_responses[[#This Row],[Tôi thấy Nhà nước đã giải thích rõ ràng, minh bạch về lý do và mục tiêu của việc sửa đổi thuế lần này. - HUMAN-TRU4]]</f>
        <v>10</v>
      </c>
      <c r="BC101" t="str">
        <f t="shared" si="49"/>
        <v>Support</v>
      </c>
      <c r="BD101" s="32">
        <f t="shared" si="50"/>
        <v>2</v>
      </c>
      <c r="BE101">
        <f>step3_validation[[#This Row],[AI_OUT1]]</f>
        <v>7</v>
      </c>
      <c r="BF101" t="str">
        <f t="shared" si="51"/>
        <v>Neutral</v>
      </c>
      <c r="BG101">
        <f>survey_responses[[#This Row],[Sau khi xem xét các quyền lợi và nghĩa vụ, bạn có ủng hộ và tuân thủ chính sách mới hiện nay? - HUMAN-OUT1]]</f>
        <v>10</v>
      </c>
      <c r="BH101" t="str">
        <f t="shared" si="52"/>
        <v>Support</v>
      </c>
      <c r="BI101" s="32">
        <f t="shared" si="53"/>
        <v>3</v>
      </c>
    </row>
    <row r="102" spans="1:61" x14ac:dyDescent="0.45">
      <c r="A102" s="30">
        <f>step3_validation[[#This Row],[Persona_ID]]</f>
        <v>101</v>
      </c>
      <c r="B102" s="31">
        <f>step3_validation[[#This Row],[Used_Seed]]</f>
        <v>12445</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72.010444821870379</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9</v>
      </c>
      <c r="R102" t="str">
        <f t="shared" si="27"/>
        <v>Support</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1</v>
      </c>
      <c r="V102">
        <f>step3_validation[[#This Row],[AI_ENF2]]</f>
        <v>8</v>
      </c>
      <c r="W102" t="str">
        <f t="shared" si="30"/>
        <v>Support</v>
      </c>
      <c r="X102">
        <f>survey_responses[[#This Row],[Tôi tin rằng Nhà nước, cơ quan thuế có đủ khả năng và công nghệ để phát hiện, xử lý nghiêm các hành vi trốn thuế. - HUMAN-ENF2]]</f>
        <v>8</v>
      </c>
      <c r="Y102" t="str">
        <f t="shared" si="31"/>
        <v>Support</v>
      </c>
      <c r="Z102" s="32">
        <f t="shared" si="32"/>
        <v>0</v>
      </c>
      <c r="AA102">
        <f>step3_validation[[#This Row],[AI_FAC1]]</f>
        <v>7</v>
      </c>
      <c r="AB102" t="str">
        <f t="shared" si="33"/>
        <v>Neutral</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0</v>
      </c>
      <c r="AF102">
        <f>step3_validation[[#This Row],[AI_FAC2]]</f>
        <v>8</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0</v>
      </c>
      <c r="AK102">
        <f>step3_validation[[#This Row],[AI_TRU1]]</f>
        <v>8</v>
      </c>
      <c r="AL102" t="str">
        <f t="shared" si="39"/>
        <v>Support</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0</v>
      </c>
      <c r="AP102">
        <f>step3_validation[[#This Row],[AI_TRU2]]</f>
        <v>7</v>
      </c>
      <c r="AQ102" t="str">
        <f t="shared" si="42"/>
        <v>Neutral</v>
      </c>
      <c r="AR102">
        <f>survey_responses[[#This Row],[Tôi thấy mức thuế tôi phải đóng theo phương án mới là công bằng (người thu nhập như tôi đóng mức này là hợp lý). - HUMAN-TRU2]]</f>
        <v>7</v>
      </c>
      <c r="AS102" t="str">
        <f t="shared" si="43"/>
        <v>Neutral</v>
      </c>
      <c r="AT102" s="32">
        <f t="shared" si="44"/>
        <v>0</v>
      </c>
      <c r="AU102">
        <f>step3_validation[[#This Row],[AI_TRU3]]</f>
        <v>8</v>
      </c>
      <c r="AV102" t="str">
        <f t="shared" si="45"/>
        <v>Support</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1</v>
      </c>
      <c r="AZ102">
        <f>step3_validation[[#This Row],[AI_TRU4]]</f>
        <v>6</v>
      </c>
      <c r="BA102" t="str">
        <f t="shared" si="48"/>
        <v>Neutral</v>
      </c>
      <c r="BB102">
        <f>survey_responses[[#This Row],[Tôi thấy Nhà nước đã giải thích rõ ràng, minh bạch về lý do và mục tiêu của việc sửa đổi thuế lần này. - HUMAN-TRU4]]</f>
        <v>7</v>
      </c>
      <c r="BC102" t="str">
        <f t="shared" si="49"/>
        <v>Neutral</v>
      </c>
      <c r="BD102" s="32">
        <f t="shared" si="50"/>
        <v>1</v>
      </c>
      <c r="BE102">
        <f>step3_validation[[#This Row],[AI_OUT1]]</f>
        <v>7</v>
      </c>
      <c r="BF102" t="str">
        <f t="shared" si="51"/>
        <v>Neutral</v>
      </c>
      <c r="BG102">
        <f>survey_responses[[#This Row],[Sau khi xem xét các quyền lợi và nghĩa vụ, bạn có ủng hộ và tuân thủ chính sách mới hiện nay? - HUMAN-OUT1]]</f>
        <v>8</v>
      </c>
      <c r="BH102" t="str">
        <f t="shared" si="52"/>
        <v>Support</v>
      </c>
      <c r="BI102" s="32">
        <f t="shared" si="53"/>
        <v>1</v>
      </c>
    </row>
    <row r="103" spans="1:61" x14ac:dyDescent="0.45">
      <c r="A103" s="30">
        <f>step3_validation[[#This Row],[Persona_ID]]</f>
        <v>102</v>
      </c>
      <c r="B103" s="31">
        <f>step3_validation[[#This Row],[Used_Seed]]</f>
        <v>12446</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15.171310177104186</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5</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0</v>
      </c>
      <c r="V103">
        <f>step3_validation[[#This Row],[AI_ENF2]]</f>
        <v>6</v>
      </c>
      <c r="W103" t="str">
        <f t="shared" si="30"/>
        <v>Neutral</v>
      </c>
      <c r="X103">
        <f>survey_responses[[#This Row],[Tôi tin rằng Nhà nước, cơ quan thuế có đủ khả năng và công nghệ để phát hiện, xử lý nghiêm các hành vi trốn thuế. - HUMAN-ENF2]]</f>
        <v>5</v>
      </c>
      <c r="Y103" t="str">
        <f t="shared" si="31"/>
        <v>Neutral</v>
      </c>
      <c r="Z103" s="32">
        <f t="shared" si="32"/>
        <v>1</v>
      </c>
      <c r="AA103">
        <f>step3_validation[[#This Row],[AI_FAC1]]</f>
        <v>4</v>
      </c>
      <c r="AB103" t="str">
        <f t="shared" si="33"/>
        <v>Oppose</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1</v>
      </c>
      <c r="AF103">
        <f>step3_validation[[#This Row],[AI_FAC2]]</f>
        <v>5</v>
      </c>
      <c r="AG103" t="str">
        <f t="shared" si="36"/>
        <v>Neutral</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0</v>
      </c>
      <c r="AK103">
        <f>step3_validation[[#This Row],[AI_TRU1]]</f>
        <v>7</v>
      </c>
      <c r="AL103" t="str">
        <f t="shared" si="39"/>
        <v>Neutral</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2</v>
      </c>
      <c r="AP103">
        <f>step3_validation[[#This Row],[AI_TRU2]]</f>
        <v>6</v>
      </c>
      <c r="AQ103" t="str">
        <f t="shared" si="42"/>
        <v>Neutral</v>
      </c>
      <c r="AR103">
        <f>survey_responses[[#This Row],[Tôi thấy mức thuế tôi phải đóng theo phương án mới là công bằng (người thu nhập như tôi đóng mức này là hợp lý). - HUMAN-TRU2]]</f>
        <v>5</v>
      </c>
      <c r="AS103" t="str">
        <f t="shared" si="43"/>
        <v>Neutral</v>
      </c>
      <c r="AT103" s="32">
        <f t="shared" si="44"/>
        <v>1</v>
      </c>
      <c r="AU103">
        <f>step3_validation[[#This Row],[AI_TRU3]]</f>
        <v>5</v>
      </c>
      <c r="AV103" t="str">
        <f t="shared" si="45"/>
        <v>Neutral</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0</v>
      </c>
      <c r="AZ103">
        <f>step3_validation[[#This Row],[AI_TRU4]]</f>
        <v>4</v>
      </c>
      <c r="BA103" t="str">
        <f t="shared" si="48"/>
        <v>Oppose</v>
      </c>
      <c r="BB103">
        <f>survey_responses[[#This Row],[Tôi thấy Nhà nước đã giải thích rõ ràng, minh bạch về lý do và mục tiêu của việc sửa đổi thuế lần này. - HUMAN-TRU4]]</f>
        <v>5</v>
      </c>
      <c r="BC103" t="str">
        <f t="shared" si="49"/>
        <v>Neutral</v>
      </c>
      <c r="BD103" s="32">
        <f t="shared" si="50"/>
        <v>1</v>
      </c>
      <c r="BE103">
        <f>step3_validation[[#This Row],[AI_OUT1]]</f>
        <v>5</v>
      </c>
      <c r="BF103" t="str">
        <f t="shared" si="51"/>
        <v>Neutral</v>
      </c>
      <c r="BG103">
        <f>survey_responses[[#This Row],[Sau khi xem xét các quyền lợi và nghĩa vụ, bạn có ủng hộ và tuân thủ chính sách mới hiện nay? - HUMAN-OUT1]]</f>
        <v>5</v>
      </c>
      <c r="BH103" t="str">
        <f t="shared" si="52"/>
        <v>Neutral</v>
      </c>
      <c r="BI103" s="32">
        <f t="shared" si="53"/>
        <v>0</v>
      </c>
    </row>
    <row r="104" spans="1:61" x14ac:dyDescent="0.45">
      <c r="A104" s="30">
        <f>step3_validation[[#This Row],[Persona_ID]]</f>
        <v>103</v>
      </c>
      <c r="B104" s="31">
        <f>step3_validation[[#This Row],[Used_Seed]]</f>
        <v>12447</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42.613387938153792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6</v>
      </c>
      <c r="W104" t="str">
        <f t="shared" si="30"/>
        <v>Neutral</v>
      </c>
      <c r="X104">
        <f>survey_responses[[#This Row],[Tôi tin rằng Nhà nước, cơ quan thuế có đủ khả năng và công nghệ để phát hiện, xử lý nghiêm các hành vi trốn thuế. - HUMAN-ENF2]]</f>
        <v>8</v>
      </c>
      <c r="Y104" t="str">
        <f t="shared" si="31"/>
        <v>Support</v>
      </c>
      <c r="Z104" s="32">
        <f t="shared" si="32"/>
        <v>2</v>
      </c>
      <c r="AA104">
        <f>step3_validation[[#This Row],[AI_FAC1]]</f>
        <v>8</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3</v>
      </c>
      <c r="AF104">
        <f>step3_validation[[#This Row],[AI_FAC2]]</f>
        <v>7</v>
      </c>
      <c r="AG104" t="str">
        <f t="shared" si="36"/>
        <v>Neutral</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1</v>
      </c>
      <c r="AK104">
        <f>step3_validation[[#This Row],[AI_TRU1]]</f>
        <v>8</v>
      </c>
      <c r="AL104" t="str">
        <f t="shared" si="39"/>
        <v>Support</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3</v>
      </c>
      <c r="AP104">
        <f>step3_validation[[#This Row],[AI_TRU2]]</f>
        <v>6</v>
      </c>
      <c r="AQ104" t="str">
        <f t="shared" si="42"/>
        <v>Neutral</v>
      </c>
      <c r="AR104">
        <f>survey_responses[[#This Row],[Tôi thấy mức thuế tôi phải đóng theo phương án mới là công bằng (người thu nhập như tôi đóng mức này là hợp lý). - HUMAN-TRU2]]</f>
        <v>5</v>
      </c>
      <c r="AS104" t="str">
        <f t="shared" si="43"/>
        <v>Neutral</v>
      </c>
      <c r="AT104" s="32">
        <f t="shared" si="44"/>
        <v>1</v>
      </c>
      <c r="AU104">
        <f>step3_validation[[#This Row],[AI_TRU3]]</f>
        <v>7</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1</v>
      </c>
      <c r="AZ104">
        <f>step3_validation[[#This Row],[AI_TRU4]]</f>
        <v>5</v>
      </c>
      <c r="BA104" t="str">
        <f t="shared" si="48"/>
        <v>Neutral</v>
      </c>
      <c r="BB104">
        <f>survey_responses[[#This Row],[Tôi thấy Nhà nước đã giải thích rõ ràng, minh bạch về lý do và mục tiêu của việc sửa đổi thuế lần này. - HUMAN-TRU4]]</f>
        <v>6</v>
      </c>
      <c r="BC104" t="str">
        <f t="shared" si="49"/>
        <v>Neutral</v>
      </c>
      <c r="BD104" s="32">
        <f t="shared" si="50"/>
        <v>1</v>
      </c>
      <c r="BE104">
        <f>step3_validation[[#This Row],[AI_OUT1]]</f>
        <v>7</v>
      </c>
      <c r="BF104" t="str">
        <f t="shared" si="51"/>
        <v>Neutral</v>
      </c>
      <c r="BG104">
        <f>survey_responses[[#This Row],[Sau khi xem xét các quyền lợi và nghĩa vụ, bạn có ủng hộ và tuân thủ chính sách mới hiện nay? - HUMAN-OUT1]]</f>
        <v>5</v>
      </c>
      <c r="BH104" t="str">
        <f t="shared" si="52"/>
        <v>Neutral</v>
      </c>
      <c r="BI104" s="32">
        <f t="shared" si="53"/>
        <v>2</v>
      </c>
    </row>
    <row r="105" spans="1:61" x14ac:dyDescent="0.45">
      <c r="A105" s="30">
        <f>step3_validation[[#This Row],[Persona_ID]]</f>
        <v>104</v>
      </c>
      <c r="B105" s="31">
        <f>step3_validation[[#This Row],[Used_Seed]]</f>
        <v>12448</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20.849608677786225</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7</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1</v>
      </c>
      <c r="V105">
        <f>step3_validation[[#This Row],[AI_ENF2]]</f>
        <v>8</v>
      </c>
      <c r="W105" t="str">
        <f t="shared" si="30"/>
        <v>Support</v>
      </c>
      <c r="X105">
        <f>survey_responses[[#This Row],[Tôi tin rằng Nhà nước, cơ quan thuế có đủ khả năng và công nghệ để phát hiện, xử lý nghiêm các hành vi trốn thuế. - HUMAN-ENF2]]</f>
        <v>7</v>
      </c>
      <c r="Y105" t="str">
        <f t="shared" si="31"/>
        <v>Neutral</v>
      </c>
      <c r="Z105" s="32">
        <f t="shared" si="32"/>
        <v>1</v>
      </c>
      <c r="AA105">
        <f>step3_validation[[#This Row],[AI_FAC1]]</f>
        <v>6</v>
      </c>
      <c r="AB105" t="str">
        <f t="shared" si="33"/>
        <v>Neutral</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0</v>
      </c>
      <c r="AF105">
        <f>step3_validation[[#This Row],[AI_FAC2]]</f>
        <v>8</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0</v>
      </c>
      <c r="AK105">
        <f>step3_validation[[#This Row],[AI_TRU1]]</f>
        <v>6</v>
      </c>
      <c r="AL105" t="str">
        <f t="shared" si="39"/>
        <v>Neutral</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0</v>
      </c>
      <c r="AP105">
        <f>step3_validation[[#This Row],[AI_TRU2]]</f>
        <v>7</v>
      </c>
      <c r="AQ105" t="str">
        <f t="shared" si="42"/>
        <v>Neutral</v>
      </c>
      <c r="AR105">
        <f>survey_responses[[#This Row],[Tôi thấy mức thuế tôi phải đóng theo phương án mới là công bằng (người thu nhập như tôi đóng mức này là hợp lý). - HUMAN-TRU2]]</f>
        <v>7</v>
      </c>
      <c r="AS105" t="str">
        <f t="shared" si="43"/>
        <v>Neutral</v>
      </c>
      <c r="AT105" s="32">
        <f t="shared" si="44"/>
        <v>0</v>
      </c>
      <c r="AU105">
        <f>step3_validation[[#This Row],[AI_TRU3]]</f>
        <v>6</v>
      </c>
      <c r="AV105" t="str">
        <f t="shared" si="45"/>
        <v>Neutral</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0</v>
      </c>
      <c r="AZ105">
        <f>step3_validation[[#This Row],[AI_TRU4]]</f>
        <v>7</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1</v>
      </c>
      <c r="BE105">
        <f>step3_validation[[#This Row],[AI_OUT1]]</f>
        <v>8</v>
      </c>
      <c r="BF105" t="str">
        <f t="shared" si="51"/>
        <v>Support</v>
      </c>
      <c r="BG105">
        <f>survey_responses[[#This Row],[Sau khi xem xét các quyền lợi và nghĩa vụ, bạn có ủng hộ và tuân thủ chính sách mới hiện nay? - HUMAN-OUT1]]</f>
        <v>7</v>
      </c>
      <c r="BH105" t="str">
        <f t="shared" si="52"/>
        <v>Neutral</v>
      </c>
      <c r="BI105" s="32">
        <f t="shared" si="53"/>
        <v>1</v>
      </c>
    </row>
    <row r="106" spans="1:61" x14ac:dyDescent="0.45">
      <c r="A106" s="30">
        <f>step3_validation[[#This Row],[Persona_ID]]</f>
        <v>105</v>
      </c>
      <c r="B106" s="31">
        <f>step3_validation[[#This Row],[Used_Seed]]</f>
        <v>12449</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14.730034307049822</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2</v>
      </c>
      <c r="V106">
        <f>step3_validation[[#This Row],[AI_ENF2]]</f>
        <v>6</v>
      </c>
      <c r="W106" t="str">
        <f t="shared" si="30"/>
        <v>Neutral</v>
      </c>
      <c r="X106">
        <f>survey_responses[[#This Row],[Tôi tin rằng Nhà nước, cơ quan thuế có đủ khả năng và công nghệ để phát hiện, xử lý nghiêm các hành vi trốn thuế. - HUMAN-ENF2]]</f>
        <v>10</v>
      </c>
      <c r="Y106" t="str">
        <f t="shared" si="31"/>
        <v>Support</v>
      </c>
      <c r="Z106" s="32">
        <f t="shared" si="32"/>
        <v>4</v>
      </c>
      <c r="AA106">
        <f>step3_validation[[#This Row],[AI_FAC1]]</f>
        <v>8</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0</v>
      </c>
      <c r="AF106">
        <f>step3_validation[[#This Row],[AI_FAC2]]</f>
        <v>7</v>
      </c>
      <c r="AG106" t="str">
        <f t="shared" si="36"/>
        <v>Neutral</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1</v>
      </c>
      <c r="AK106">
        <f>step3_validation[[#This Row],[AI_TRU1]]</f>
        <v>8</v>
      </c>
      <c r="AL106" t="str">
        <f t="shared" si="39"/>
        <v>Support</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1</v>
      </c>
      <c r="AP106">
        <f>step3_validation[[#This Row],[AI_TRU2]]</f>
        <v>7</v>
      </c>
      <c r="AQ106" t="str">
        <f t="shared" si="42"/>
        <v>Neutral</v>
      </c>
      <c r="AR106">
        <f>survey_responses[[#This Row],[Tôi thấy mức thuế tôi phải đóng theo phương án mới là công bằng (người thu nhập như tôi đóng mức này là hợp lý). - HUMAN-TRU2]]</f>
        <v>9</v>
      </c>
      <c r="AS106" t="str">
        <f t="shared" si="43"/>
        <v>Support</v>
      </c>
      <c r="AT106" s="32">
        <f t="shared" si="44"/>
        <v>2</v>
      </c>
      <c r="AU106">
        <f>step3_validation[[#This Row],[AI_TRU3]]</f>
        <v>6</v>
      </c>
      <c r="AV106" t="str">
        <f t="shared" si="45"/>
        <v>Neutral</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2</v>
      </c>
      <c r="AZ106">
        <f>step3_validation[[#This Row],[AI_TRU4]]</f>
        <v>5</v>
      </c>
      <c r="BA106" t="str">
        <f t="shared" si="48"/>
        <v>Neutral</v>
      </c>
      <c r="BB106">
        <f>survey_responses[[#This Row],[Tôi thấy Nhà nước đã giải thích rõ ràng, minh bạch về lý do và mục tiêu của việc sửa đổi thuế lần này. - HUMAN-TRU4]]</f>
        <v>6</v>
      </c>
      <c r="BC106" t="str">
        <f t="shared" si="49"/>
        <v>Neutral</v>
      </c>
      <c r="BD106" s="32">
        <f t="shared" si="50"/>
        <v>1</v>
      </c>
      <c r="BE106">
        <f>step3_validation[[#This Row],[AI_OUT1]]</f>
        <v>6</v>
      </c>
      <c r="BF106" t="str">
        <f t="shared" si="51"/>
        <v>Neutral</v>
      </c>
      <c r="BG106">
        <f>survey_responses[[#This Row],[Sau khi xem xét các quyền lợi và nghĩa vụ, bạn có ủng hộ và tuân thủ chính sách mới hiện nay? - HUMAN-OUT1]]</f>
        <v>9</v>
      </c>
      <c r="BH106" t="str">
        <f t="shared" si="52"/>
        <v>Support</v>
      </c>
      <c r="BI106" s="32">
        <f t="shared" si="53"/>
        <v>3</v>
      </c>
    </row>
    <row r="107" spans="1:61" x14ac:dyDescent="0.45">
      <c r="A107" s="30">
        <f>step3_validation[[#This Row],[Persona_ID]]</f>
        <v>106</v>
      </c>
      <c r="B107" s="31">
        <f>step3_validation[[#This Row],[Used_Seed]]</f>
        <v>12450</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8</v>
      </c>
      <c r="R107" t="str">
        <f t="shared" si="27"/>
        <v>Support</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2</v>
      </c>
      <c r="V107">
        <f>step3_validation[[#This Row],[AI_ENF2]]</f>
        <v>7</v>
      </c>
      <c r="W107" t="str">
        <f t="shared" si="30"/>
        <v>Neutral</v>
      </c>
      <c r="X107">
        <f>survey_responses[[#This Row],[Tôi tin rằng Nhà nước, cơ quan thuế có đủ khả năng và công nghệ để phát hiện, xử lý nghiêm các hành vi trốn thuế. - HUMAN-ENF2]]</f>
        <v>5</v>
      </c>
      <c r="Y107" t="str">
        <f t="shared" si="31"/>
        <v>Neutral</v>
      </c>
      <c r="Z107" s="32">
        <f t="shared" si="32"/>
        <v>2</v>
      </c>
      <c r="AA107">
        <f>step3_validation[[#This Row],[AI_FAC1]]</f>
        <v>6</v>
      </c>
      <c r="AB107" t="str">
        <f t="shared" si="33"/>
        <v>Neutral</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2</v>
      </c>
      <c r="AF107">
        <f>step3_validation[[#This Row],[AI_FAC2]]</f>
        <v>7</v>
      </c>
      <c r="AG107" t="str">
        <f t="shared" si="36"/>
        <v>Neutral</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1</v>
      </c>
      <c r="AK107">
        <f>step3_validation[[#This Row],[AI_TRU1]]</f>
        <v>6</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4</v>
      </c>
      <c r="AP107">
        <f>step3_validation[[#This Row],[AI_TRU2]]</f>
        <v>7</v>
      </c>
      <c r="AQ107" t="str">
        <f t="shared" si="42"/>
        <v>Neutral</v>
      </c>
      <c r="AR107">
        <f>survey_responses[[#This Row],[Tôi thấy mức thuế tôi phải đóng theo phương án mới là công bằng (người thu nhập như tôi đóng mức này là hợp lý). - HUMAN-TRU2]]</f>
        <v>10</v>
      </c>
      <c r="AS107" t="str">
        <f t="shared" si="43"/>
        <v>Support</v>
      </c>
      <c r="AT107" s="32">
        <f t="shared" si="44"/>
        <v>3</v>
      </c>
      <c r="AU107">
        <f>step3_validation[[#This Row],[AI_TRU3]]</f>
        <v>6</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4</v>
      </c>
      <c r="AZ107">
        <f>step3_validation[[#This Row],[AI_TRU4]]</f>
        <v>7</v>
      </c>
      <c r="BA107" t="str">
        <f t="shared" si="48"/>
        <v>Neutral</v>
      </c>
      <c r="BB107">
        <f>survey_responses[[#This Row],[Tôi thấy Nhà nước đã giải thích rõ ràng, minh bạch về lý do và mục tiêu của việc sửa đổi thuế lần này. - HUMAN-TRU4]]</f>
        <v>10</v>
      </c>
      <c r="BC107" t="str">
        <f t="shared" si="49"/>
        <v>Support</v>
      </c>
      <c r="BD107" s="32">
        <f t="shared" si="50"/>
        <v>3</v>
      </c>
      <c r="BE107">
        <f>step3_validation[[#This Row],[AI_OUT1]]</f>
        <v>8</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2</v>
      </c>
    </row>
    <row r="108" spans="1:61" x14ac:dyDescent="0.45">
      <c r="A108" s="30">
        <f>step3_validation[[#This Row],[Persona_ID]]</f>
        <v>107</v>
      </c>
      <c r="B108" s="31">
        <f>step3_validation[[#This Row],[Used_Seed]]</f>
        <v>12451</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28.517515336086191</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7</v>
      </c>
      <c r="R108" t="str">
        <f t="shared" si="27"/>
        <v>Neutral</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0</v>
      </c>
      <c r="V108">
        <f>step3_validation[[#This Row],[AI_ENF2]]</f>
        <v>8</v>
      </c>
      <c r="W108" t="str">
        <f t="shared" si="30"/>
        <v>Support</v>
      </c>
      <c r="X108">
        <f>survey_responses[[#This Row],[Tôi tin rằng Nhà nước, cơ quan thuế có đủ khả năng và công nghệ để phát hiện, xử lý nghiêm các hành vi trốn thuế. - HUMAN-ENF2]]</f>
        <v>7</v>
      </c>
      <c r="Y108" t="str">
        <f t="shared" si="31"/>
        <v>Neutral</v>
      </c>
      <c r="Z108" s="32">
        <f t="shared" si="32"/>
        <v>1</v>
      </c>
      <c r="AA108">
        <f>step3_validation[[#This Row],[AI_FAC1]]</f>
        <v>6</v>
      </c>
      <c r="AB108" t="str">
        <f t="shared" si="33"/>
        <v>Neutral</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1</v>
      </c>
      <c r="AF108">
        <f>step3_validation[[#This Row],[AI_FAC2]]</f>
        <v>9</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2</v>
      </c>
      <c r="AK108">
        <f>step3_validation[[#This Row],[AI_TRU1]]</f>
        <v>7</v>
      </c>
      <c r="AL108" t="str">
        <f t="shared" si="39"/>
        <v>Neutral</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0</v>
      </c>
      <c r="AP108">
        <f>step3_validation[[#This Row],[AI_TRU2]]</f>
        <v>8</v>
      </c>
      <c r="AQ108" t="str">
        <f t="shared" si="42"/>
        <v>Support</v>
      </c>
      <c r="AR108">
        <f>survey_responses[[#This Row],[Tôi thấy mức thuế tôi phải đóng theo phương án mới là công bằng (người thu nhập như tôi đóng mức này là hợp lý). - HUMAN-TRU2]]</f>
        <v>7</v>
      </c>
      <c r="AS108" t="str">
        <f t="shared" si="43"/>
        <v>Neutral</v>
      </c>
      <c r="AT108" s="32">
        <f t="shared" si="44"/>
        <v>1</v>
      </c>
      <c r="AU108">
        <f>step3_validation[[#This Row],[AI_TRU3]]</f>
        <v>7</v>
      </c>
      <c r="AV108" t="str">
        <f t="shared" si="45"/>
        <v>Neutral</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0</v>
      </c>
      <c r="AZ108">
        <f>step3_validation[[#This Row],[AI_TRU4]]</f>
        <v>6</v>
      </c>
      <c r="BA108" t="str">
        <f t="shared" si="48"/>
        <v>Neutral</v>
      </c>
      <c r="BB108">
        <f>survey_responses[[#This Row],[Tôi thấy Nhà nước đã giải thích rõ ràng, minh bạch về lý do và mục tiêu của việc sửa đổi thuế lần này. - HUMAN-TRU4]]</f>
        <v>7</v>
      </c>
      <c r="BC108" t="str">
        <f t="shared" si="49"/>
        <v>Neutral</v>
      </c>
      <c r="BD108" s="32">
        <f t="shared" si="50"/>
        <v>1</v>
      </c>
      <c r="BE108">
        <f>step3_validation[[#This Row],[AI_OUT1]]</f>
        <v>8</v>
      </c>
      <c r="BF108" t="str">
        <f t="shared" si="51"/>
        <v>Support</v>
      </c>
      <c r="BG108">
        <f>survey_responses[[#This Row],[Sau khi xem xét các quyền lợi và nghĩa vụ, bạn có ủng hộ và tuân thủ chính sách mới hiện nay? - HUMAN-OUT1]]</f>
        <v>8</v>
      </c>
      <c r="BH108" t="str">
        <f t="shared" si="52"/>
        <v>Support</v>
      </c>
      <c r="BI108" s="32">
        <f t="shared" si="53"/>
        <v>0</v>
      </c>
    </row>
    <row r="109" spans="1:61" x14ac:dyDescent="0.45">
      <c r="A109" s="30">
        <f>step3_validation[[#This Row],[Persona_ID]]</f>
        <v>108</v>
      </c>
      <c r="B109" s="31">
        <f>step3_validation[[#This Row],[Used_Seed]]</f>
        <v>12452</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16.635438384955165</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8</v>
      </c>
      <c r="R109" t="str">
        <f t="shared" si="27"/>
        <v>Support</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3</v>
      </c>
      <c r="V109">
        <f>step3_validation[[#This Row],[AI_ENF2]]</f>
        <v>7</v>
      </c>
      <c r="W109" t="str">
        <f t="shared" si="30"/>
        <v>Neutral</v>
      </c>
      <c r="X109">
        <f>survey_responses[[#This Row],[Tôi tin rằng Nhà nước, cơ quan thuế có đủ khả năng và công nghệ để phát hiện, xử lý nghiêm các hành vi trốn thuế. - HUMAN-ENF2]]</f>
        <v>10</v>
      </c>
      <c r="Y109" t="str">
        <f t="shared" si="31"/>
        <v>Support</v>
      </c>
      <c r="Z109" s="32">
        <f t="shared" si="32"/>
        <v>3</v>
      </c>
      <c r="AA109">
        <f>step3_validation[[#This Row],[AI_FAC1]]</f>
        <v>8</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3</v>
      </c>
      <c r="AF109">
        <f>step3_validation[[#This Row],[AI_FAC2]]</f>
        <v>7</v>
      </c>
      <c r="AG109" t="str">
        <f t="shared" si="36"/>
        <v>Neutral</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2</v>
      </c>
      <c r="AK109">
        <f>step3_validation[[#This Row],[AI_TRU1]]</f>
        <v>6</v>
      </c>
      <c r="AL109" t="str">
        <f t="shared" si="39"/>
        <v>Neutral</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1</v>
      </c>
      <c r="AP109">
        <f>step3_validation[[#This Row],[AI_TRU2]]</f>
        <v>7</v>
      </c>
      <c r="AQ109" t="str">
        <f t="shared" si="42"/>
        <v>Neutral</v>
      </c>
      <c r="AR109">
        <f>survey_responses[[#This Row],[Tôi thấy mức thuế tôi phải đóng theo phương án mới là công bằng (người thu nhập như tôi đóng mức này là hợp lý). - HUMAN-TRU2]]</f>
        <v>5</v>
      </c>
      <c r="AS109" t="str">
        <f t="shared" si="43"/>
        <v>Neutral</v>
      </c>
      <c r="AT109" s="32">
        <f t="shared" si="44"/>
        <v>2</v>
      </c>
      <c r="AU109">
        <f>step3_validation[[#This Row],[AI_TRU3]]</f>
        <v>6</v>
      </c>
      <c r="AV109" t="str">
        <f t="shared" si="45"/>
        <v>Neutral</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2</v>
      </c>
      <c r="AZ109">
        <f>step3_validation[[#This Row],[AI_TRU4]]</f>
        <v>5</v>
      </c>
      <c r="BA109" t="str">
        <f t="shared" si="48"/>
        <v>Neutral</v>
      </c>
      <c r="BB109">
        <f>survey_responses[[#This Row],[Tôi thấy Nhà nước đã giải thích rõ ràng, minh bạch về lý do và mục tiêu của việc sửa đổi thuế lần này. - HUMAN-TRU4]]</f>
        <v>5</v>
      </c>
      <c r="BC109" t="str">
        <f t="shared" si="49"/>
        <v>Neutral</v>
      </c>
      <c r="BD109" s="32">
        <f t="shared" si="50"/>
        <v>0</v>
      </c>
      <c r="BE109">
        <f>step3_validation[[#This Row],[AI_OUT1]]</f>
        <v>7</v>
      </c>
      <c r="BF109" t="str">
        <f t="shared" si="51"/>
        <v>Neutral</v>
      </c>
      <c r="BG109">
        <f>survey_responses[[#This Row],[Sau khi xem xét các quyền lợi và nghĩa vụ, bạn có ủng hộ và tuân thủ chính sách mới hiện nay? - HUMAN-OUT1]]</f>
        <v>6</v>
      </c>
      <c r="BH109" t="str">
        <f t="shared" si="52"/>
        <v>Neutral</v>
      </c>
      <c r="BI109" s="32">
        <f t="shared" si="53"/>
        <v>1</v>
      </c>
    </row>
    <row r="110" spans="1:61" x14ac:dyDescent="0.45">
      <c r="A110" s="30">
        <f>step3_validation[[#This Row],[Persona_ID]]</f>
        <v>109</v>
      </c>
      <c r="B110" s="31">
        <f>step3_validation[[#This Row],[Used_Seed]]</f>
        <v>12453</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14.883680992411993</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8</v>
      </c>
      <c r="R110" t="str">
        <f t="shared" si="27"/>
        <v>Support</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2</v>
      </c>
      <c r="V110">
        <f>step3_validation[[#This Row],[AI_ENF2]]</f>
        <v>9</v>
      </c>
      <c r="W110" t="str">
        <f t="shared" si="30"/>
        <v>Support</v>
      </c>
      <c r="X110">
        <f>survey_responses[[#This Row],[Tôi tin rằng Nhà nước, cơ quan thuế có đủ khả năng và công nghệ để phát hiện, xử lý nghiêm các hành vi trốn thuế. - HUMAN-ENF2]]</f>
        <v>10</v>
      </c>
      <c r="Y110" t="str">
        <f t="shared" si="31"/>
        <v>Support</v>
      </c>
      <c r="Z110" s="32">
        <f t="shared" si="32"/>
        <v>1</v>
      </c>
      <c r="AA110">
        <f>step3_validation[[#This Row],[AI_FAC1]]</f>
        <v>7</v>
      </c>
      <c r="AB110" t="str">
        <f t="shared" si="33"/>
        <v>Neutral</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3</v>
      </c>
      <c r="AF110">
        <f>step3_validation[[#This Row],[AI_FAC2]]</f>
        <v>8</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2</v>
      </c>
      <c r="AK110">
        <f>step3_validation[[#This Row],[AI_TRU1]]</f>
        <v>7</v>
      </c>
      <c r="AL110" t="str">
        <f t="shared" si="39"/>
        <v>Neutral</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3</v>
      </c>
      <c r="AP110">
        <f>step3_validation[[#This Row],[AI_TRU2]]</f>
        <v>6</v>
      </c>
      <c r="AQ110" t="str">
        <f t="shared" si="42"/>
        <v>Neutral</v>
      </c>
      <c r="AR110">
        <f>survey_responses[[#This Row],[Tôi thấy mức thuế tôi phải đóng theo phương án mới là công bằng (người thu nhập như tôi đóng mức này là hợp lý). - HUMAN-TRU2]]</f>
        <v>10</v>
      </c>
      <c r="AS110" t="str">
        <f t="shared" si="43"/>
        <v>Support</v>
      </c>
      <c r="AT110" s="32">
        <f t="shared" si="44"/>
        <v>4</v>
      </c>
      <c r="AU110">
        <f>step3_validation[[#This Row],[AI_TRU3]]</f>
        <v>7</v>
      </c>
      <c r="AV110" t="str">
        <f t="shared" si="45"/>
        <v>Neutral</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3</v>
      </c>
      <c r="AZ110">
        <f>step3_validation[[#This Row],[AI_TRU4]]</f>
        <v>5</v>
      </c>
      <c r="BA110" t="str">
        <f t="shared" si="48"/>
        <v>Neutral</v>
      </c>
      <c r="BB110">
        <f>survey_responses[[#This Row],[Tôi thấy Nhà nước đã giải thích rõ ràng, minh bạch về lý do và mục tiêu của việc sửa đổi thuế lần này. - HUMAN-TRU4]]</f>
        <v>10</v>
      </c>
      <c r="BC110" t="str">
        <f t="shared" si="49"/>
        <v>Support</v>
      </c>
      <c r="BD110" s="32">
        <f t="shared" si="50"/>
        <v>5</v>
      </c>
      <c r="BE110">
        <f>step3_validation[[#This Row],[AI_OUT1]]</f>
        <v>7</v>
      </c>
      <c r="BF110" t="str">
        <f t="shared" si="51"/>
        <v>Neutral</v>
      </c>
      <c r="BG110">
        <f>survey_responses[[#This Row],[Sau khi xem xét các quyền lợi và nghĩa vụ, bạn có ủng hộ và tuân thủ chính sách mới hiện nay? - HUMAN-OUT1]]</f>
        <v>10</v>
      </c>
      <c r="BH110" t="str">
        <f t="shared" si="52"/>
        <v>Support</v>
      </c>
      <c r="BI110" s="32">
        <f t="shared" si="53"/>
        <v>3</v>
      </c>
    </row>
    <row r="111" spans="1:61" x14ac:dyDescent="0.45">
      <c r="A111" s="30">
        <f>step3_validation[[#This Row],[Persona_ID]]</f>
        <v>110</v>
      </c>
      <c r="B111" s="31">
        <f>step3_validation[[#This Row],[Used_Seed]]</f>
        <v>12454</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58.525058070727127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7</v>
      </c>
      <c r="R111" t="str">
        <f t="shared" si="27"/>
        <v>Neutral</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0</v>
      </c>
      <c r="V111">
        <f>step3_validation[[#This Row],[AI_ENF2]]</f>
        <v>8</v>
      </c>
      <c r="W111" t="str">
        <f t="shared" si="30"/>
        <v>Support</v>
      </c>
      <c r="X111">
        <f>survey_responses[[#This Row],[Tôi tin rằng Nhà nước, cơ quan thuế có đủ khả năng và công nghệ để phát hiện, xử lý nghiêm các hành vi trốn thuế. - HUMAN-ENF2]]</f>
        <v>6</v>
      </c>
      <c r="Y111" t="str">
        <f t="shared" si="31"/>
        <v>Neutral</v>
      </c>
      <c r="Z111" s="32">
        <f t="shared" si="32"/>
        <v>2</v>
      </c>
      <c r="AA111">
        <f>step3_validation[[#This Row],[AI_FAC1]]</f>
        <v>9</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1</v>
      </c>
      <c r="AF111">
        <f>step3_validation[[#This Row],[AI_FAC2]]</f>
        <v>8</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0</v>
      </c>
      <c r="AK111">
        <f>step3_validation[[#This Row],[AI_TRU1]]</f>
        <v>9</v>
      </c>
      <c r="AL111" t="str">
        <f t="shared" si="39"/>
        <v>Support</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2</v>
      </c>
      <c r="AP111">
        <f>step3_validation[[#This Row],[AI_TRU2]]</f>
        <v>7</v>
      </c>
      <c r="AQ111" t="str">
        <f t="shared" si="42"/>
        <v>Neutral</v>
      </c>
      <c r="AR111">
        <f>survey_responses[[#This Row],[Tôi thấy mức thuế tôi phải đóng theo phương án mới là công bằng (người thu nhập như tôi đóng mức này là hợp lý). - HUMAN-TRU2]]</f>
        <v>6</v>
      </c>
      <c r="AS111" t="str">
        <f t="shared" si="43"/>
        <v>Neutral</v>
      </c>
      <c r="AT111" s="32">
        <f t="shared" si="44"/>
        <v>1</v>
      </c>
      <c r="AU111">
        <f>step3_validation[[#This Row],[AI_TRU3]]</f>
        <v>9</v>
      </c>
      <c r="AV111" t="str">
        <f t="shared" si="45"/>
        <v>Support</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4</v>
      </c>
      <c r="AZ111">
        <f>step3_validation[[#This Row],[AI_TRU4]]</f>
        <v>6</v>
      </c>
      <c r="BA111" t="str">
        <f t="shared" si="48"/>
        <v>Neutral</v>
      </c>
      <c r="BB111">
        <f>survey_responses[[#This Row],[Tôi thấy Nhà nước đã giải thích rõ ràng, minh bạch về lý do và mục tiêu của việc sửa đổi thuế lần này. - HUMAN-TRU4]]</f>
        <v>5</v>
      </c>
      <c r="BC111" t="str">
        <f t="shared" si="49"/>
        <v>Neutral</v>
      </c>
      <c r="BD111" s="32">
        <f t="shared" si="50"/>
        <v>1</v>
      </c>
      <c r="BE111">
        <f>step3_validation[[#This Row],[AI_OUT1]]</f>
        <v>8</v>
      </c>
      <c r="BF111" t="str">
        <f t="shared" si="51"/>
        <v>Support</v>
      </c>
      <c r="BG111">
        <f>survey_responses[[#This Row],[Sau khi xem xét các quyền lợi và nghĩa vụ, bạn có ủng hộ và tuân thủ chính sách mới hiện nay? - HUMAN-OUT1]]</f>
        <v>8</v>
      </c>
      <c r="BH111" t="str">
        <f t="shared" si="52"/>
        <v>Support</v>
      </c>
      <c r="BI111" s="32">
        <f t="shared" si="53"/>
        <v>0</v>
      </c>
    </row>
    <row r="112" spans="1:61" x14ac:dyDescent="0.45">
      <c r="A112" s="30">
        <f>step3_validation[[#This Row],[Persona_ID]]</f>
        <v>111</v>
      </c>
      <c r="B112" s="31">
        <f>step3_validation[[#This Row],[Used_Seed]]</f>
        <v>12455</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25.493820036727968</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6</v>
      </c>
      <c r="R112" t="str">
        <f t="shared" si="27"/>
        <v>Neutral</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2</v>
      </c>
      <c r="V112">
        <f>step3_validation[[#This Row],[AI_ENF2]]</f>
        <v>5</v>
      </c>
      <c r="W112" t="str">
        <f t="shared" si="30"/>
        <v>Neutral</v>
      </c>
      <c r="X112">
        <f>survey_responses[[#This Row],[Tôi tin rằng Nhà nước, cơ quan thuế có đủ khả năng và công nghệ để phát hiện, xử lý nghiêm các hành vi trốn thuế. - HUMAN-ENF2]]</f>
        <v>8</v>
      </c>
      <c r="Y112" t="str">
        <f t="shared" si="31"/>
        <v>Support</v>
      </c>
      <c r="Z112" s="32">
        <f t="shared" si="32"/>
        <v>3</v>
      </c>
      <c r="AA112">
        <f>step3_validation[[#This Row],[AI_FAC1]]</f>
        <v>8</v>
      </c>
      <c r="AB112" t="str">
        <f t="shared" si="33"/>
        <v>Support</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2</v>
      </c>
      <c r="AF112">
        <f>step3_validation[[#This Row],[AI_FAC2]]</f>
        <v>7</v>
      </c>
      <c r="AG112" t="str">
        <f t="shared" si="36"/>
        <v>Neutral</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0</v>
      </c>
      <c r="AK112">
        <f>step3_validation[[#This Row],[AI_TRU1]]</f>
        <v>6</v>
      </c>
      <c r="AL112" t="str">
        <f t="shared" si="39"/>
        <v>Neutral</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0</v>
      </c>
      <c r="AP112">
        <f>step3_validation[[#This Row],[AI_TRU2]]</f>
        <v>7</v>
      </c>
      <c r="AQ112" t="str">
        <f t="shared" si="42"/>
        <v>Neutral</v>
      </c>
      <c r="AR112">
        <f>survey_responses[[#This Row],[Tôi thấy mức thuế tôi phải đóng theo phương án mới là công bằng (người thu nhập như tôi đóng mức này là hợp lý). - HUMAN-TRU2]]</f>
        <v>7</v>
      </c>
      <c r="AS112" t="str">
        <f t="shared" si="43"/>
        <v>Neutral</v>
      </c>
      <c r="AT112" s="32">
        <f t="shared" si="44"/>
        <v>0</v>
      </c>
      <c r="AU112">
        <f>step3_validation[[#This Row],[AI_TRU3]]</f>
        <v>6</v>
      </c>
      <c r="AV112" t="str">
        <f t="shared" si="45"/>
        <v>Neutral</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1</v>
      </c>
      <c r="AZ112">
        <f>step3_validation[[#This Row],[AI_TRU4]]</f>
        <v>5</v>
      </c>
      <c r="BA112" t="str">
        <f t="shared" si="48"/>
        <v>Neutral</v>
      </c>
      <c r="BB112">
        <f>survey_responses[[#This Row],[Tôi thấy Nhà nước đã giải thích rõ ràng, minh bạch về lý do và mục tiêu của việc sửa đổi thuế lần này. - HUMAN-TRU4]]</f>
        <v>5</v>
      </c>
      <c r="BC112" t="str">
        <f t="shared" si="49"/>
        <v>Neutral</v>
      </c>
      <c r="BD112" s="32">
        <f t="shared" si="50"/>
        <v>0</v>
      </c>
      <c r="BE112">
        <f>step3_validation[[#This Row],[AI_OUT1]]</f>
        <v>6</v>
      </c>
      <c r="BF112" t="str">
        <f t="shared" si="51"/>
        <v>Neutral</v>
      </c>
      <c r="BG112">
        <f>survey_responses[[#This Row],[Sau khi xem xét các quyền lợi và nghĩa vụ, bạn có ủng hộ và tuân thủ chính sách mới hiện nay? - HUMAN-OUT1]]</f>
        <v>5</v>
      </c>
      <c r="BH112" t="str">
        <f t="shared" si="52"/>
        <v>Neutral</v>
      </c>
      <c r="BI112" s="32">
        <f t="shared" si="53"/>
        <v>1</v>
      </c>
    </row>
    <row r="113" spans="1:61" x14ac:dyDescent="0.45">
      <c r="A113" s="30">
        <f>step3_validation[[#This Row],[Persona_ID]]</f>
        <v>112</v>
      </c>
      <c r="B113" s="31">
        <f>step3_validation[[#This Row],[Used_Seed]]</f>
        <v>12456</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20.609619001907113</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6</v>
      </c>
      <c r="R113" t="str">
        <f t="shared" si="27"/>
        <v>Neutral</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1</v>
      </c>
      <c r="V113">
        <f>step3_validation[[#This Row],[AI_ENF2]]</f>
        <v>7</v>
      </c>
      <c r="W113" t="str">
        <f t="shared" si="30"/>
        <v>Neutral</v>
      </c>
      <c r="X113">
        <f>survey_responses[[#This Row],[Tôi tin rằng Nhà nước, cơ quan thuế có đủ khả năng và công nghệ để phát hiện, xử lý nghiêm các hành vi trốn thuế. - HUMAN-ENF2]]</f>
        <v>8</v>
      </c>
      <c r="Y113" t="str">
        <f t="shared" si="31"/>
        <v>Support</v>
      </c>
      <c r="Z113" s="32">
        <f t="shared" si="32"/>
        <v>1</v>
      </c>
      <c r="AA113">
        <f>step3_validation[[#This Row],[AI_FAC1]]</f>
        <v>6</v>
      </c>
      <c r="AB113" t="str">
        <f t="shared" si="33"/>
        <v>Neutral</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2</v>
      </c>
      <c r="AF113">
        <f>step3_validation[[#This Row],[AI_FAC2]]</f>
        <v>8</v>
      </c>
      <c r="AG113" t="str">
        <f t="shared" si="36"/>
        <v>Support</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0</v>
      </c>
      <c r="AK113">
        <f>step3_validation[[#This Row],[AI_TRU1]]</f>
        <v>7</v>
      </c>
      <c r="AL113" t="str">
        <f t="shared" si="39"/>
        <v>Neutral</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1</v>
      </c>
      <c r="AP113">
        <f>step3_validation[[#This Row],[AI_TRU2]]</f>
        <v>6</v>
      </c>
      <c r="AQ113" t="str">
        <f t="shared" si="42"/>
        <v>Neutral</v>
      </c>
      <c r="AR113">
        <f>survey_responses[[#This Row],[Tôi thấy mức thuế tôi phải đóng theo phương án mới là công bằng (người thu nhập như tôi đóng mức này là hợp lý). - HUMAN-TRU2]]</f>
        <v>8</v>
      </c>
      <c r="AS113" t="str">
        <f t="shared" si="43"/>
        <v>Support</v>
      </c>
      <c r="AT113" s="32">
        <f t="shared" si="44"/>
        <v>2</v>
      </c>
      <c r="AU113">
        <f>step3_validation[[#This Row],[AI_TRU3]]</f>
        <v>7</v>
      </c>
      <c r="AV113" t="str">
        <f t="shared" si="45"/>
        <v>Neutral</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1</v>
      </c>
      <c r="AZ113">
        <f>step3_validation[[#This Row],[AI_TRU4]]</f>
        <v>6</v>
      </c>
      <c r="BA113" t="str">
        <f t="shared" si="48"/>
        <v>Neutral</v>
      </c>
      <c r="BB113">
        <f>survey_responses[[#This Row],[Tôi thấy Nhà nước đã giải thích rõ ràng, minh bạch về lý do và mục tiêu của việc sửa đổi thuế lần này. - HUMAN-TRU4]]</f>
        <v>8</v>
      </c>
      <c r="BC113" t="str">
        <f t="shared" si="49"/>
        <v>Support</v>
      </c>
      <c r="BD113" s="32">
        <f t="shared" si="50"/>
        <v>2</v>
      </c>
      <c r="BE113">
        <f>step3_validation[[#This Row],[AI_OUT1]]</f>
        <v>5</v>
      </c>
      <c r="BF113" t="str">
        <f t="shared" si="51"/>
        <v>Neutral</v>
      </c>
      <c r="BG113">
        <f>survey_responses[[#This Row],[Sau khi xem xét các quyền lợi và nghĩa vụ, bạn có ủng hộ và tuân thủ chính sách mới hiện nay? - HUMAN-OUT1]]</f>
        <v>8</v>
      </c>
      <c r="BH113" t="str">
        <f t="shared" si="52"/>
        <v>Support</v>
      </c>
      <c r="BI113" s="32">
        <f t="shared" si="53"/>
        <v>3</v>
      </c>
    </row>
    <row r="114" spans="1:61" x14ac:dyDescent="0.45">
      <c r="A114" s="30">
        <f>step3_validation[[#This Row],[Persona_ID]]</f>
        <v>113</v>
      </c>
      <c r="B114" s="31">
        <f>step3_validation[[#This Row],[Used_Seed]]</f>
        <v>12457</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7</v>
      </c>
      <c r="R114" t="str">
        <f t="shared" si="27"/>
        <v>Neutral</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6</v>
      </c>
      <c r="V114">
        <f>step3_validation[[#This Row],[AI_ENF2]]</f>
        <v>8</v>
      </c>
      <c r="W114" t="str">
        <f t="shared" si="30"/>
        <v>Support</v>
      </c>
      <c r="X114">
        <f>survey_responses[[#This Row],[Tôi tin rằng Nhà nước, cơ quan thuế có đủ khả năng và công nghệ để phát hiện, xử lý nghiêm các hành vi trốn thuế. - HUMAN-ENF2]]</f>
        <v>1</v>
      </c>
      <c r="Y114" t="str">
        <f t="shared" si="31"/>
        <v>Oppose</v>
      </c>
      <c r="Z114" s="32">
        <f t="shared" si="32"/>
        <v>7</v>
      </c>
      <c r="AA114">
        <f>step3_validation[[#This Row],[AI_FAC1]]</f>
        <v>6</v>
      </c>
      <c r="AB114" t="str">
        <f t="shared" si="33"/>
        <v>Neutral</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5</v>
      </c>
      <c r="AF114">
        <f>step3_validation[[#This Row],[AI_FAC2]]</f>
        <v>8</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7</v>
      </c>
      <c r="AK114">
        <f>step3_validation[[#This Row],[AI_TRU1]]</f>
        <v>7</v>
      </c>
      <c r="AL114" t="str">
        <f t="shared" si="39"/>
        <v>Neutral</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6</v>
      </c>
      <c r="AP114">
        <f>step3_validation[[#This Row],[AI_TRU2]]</f>
        <v>7</v>
      </c>
      <c r="AQ114" t="str">
        <f t="shared" si="42"/>
        <v>Neutral</v>
      </c>
      <c r="AR114">
        <f>survey_responses[[#This Row],[Tôi thấy mức thuế tôi phải đóng theo phương án mới là công bằng (người thu nhập như tôi đóng mức này là hợp lý). - HUMAN-TRU2]]</f>
        <v>1</v>
      </c>
      <c r="AS114" t="str">
        <f t="shared" si="43"/>
        <v>Oppose</v>
      </c>
      <c r="AT114" s="32">
        <f t="shared" si="44"/>
        <v>6</v>
      </c>
      <c r="AU114">
        <f>step3_validation[[#This Row],[AI_TRU3]]</f>
        <v>6</v>
      </c>
      <c r="AV114" t="str">
        <f t="shared" si="45"/>
        <v>Neutral</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5</v>
      </c>
      <c r="AZ114">
        <f>step3_validation[[#This Row],[AI_TRU4]]</f>
        <v>7</v>
      </c>
      <c r="BA114" t="str">
        <f t="shared" si="48"/>
        <v>Neutral</v>
      </c>
      <c r="BB114">
        <f>survey_responses[[#This Row],[Tôi thấy Nhà nước đã giải thích rõ ràng, minh bạch về lý do và mục tiêu của việc sửa đổi thuế lần này. - HUMAN-TRU4]]</f>
        <v>1</v>
      </c>
      <c r="BC114" t="str">
        <f t="shared" si="49"/>
        <v>Oppose</v>
      </c>
      <c r="BD114" s="32">
        <f t="shared" si="50"/>
        <v>6</v>
      </c>
      <c r="BE114">
        <f>step3_validation[[#This Row],[AI_OUT1]]</f>
        <v>8</v>
      </c>
      <c r="BF114" t="str">
        <f t="shared" si="51"/>
        <v>Support</v>
      </c>
      <c r="BG114">
        <f>survey_responses[[#This Row],[Sau khi xem xét các quyền lợi và nghĩa vụ, bạn có ủng hộ và tuân thủ chính sách mới hiện nay? - HUMAN-OUT1]]</f>
        <v>1</v>
      </c>
      <c r="BH114" t="str">
        <f t="shared" si="52"/>
        <v>Oppose</v>
      </c>
      <c r="BI114" s="32">
        <f t="shared" si="53"/>
        <v>7</v>
      </c>
    </row>
    <row r="115" spans="1:61" x14ac:dyDescent="0.45">
      <c r="A115" s="30">
        <f>step3_validation[[#This Row],[Persona_ID]]</f>
        <v>114</v>
      </c>
      <c r="B115" s="31">
        <f>step3_validation[[#This Row],[Used_Seed]]</f>
        <v>12458</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18.479963422825136</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7</v>
      </c>
      <c r="R115" t="str">
        <f t="shared" si="27"/>
        <v>Neutral</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3</v>
      </c>
      <c r="V115">
        <f>step3_validation[[#This Row],[AI_ENF2]]</f>
        <v>8</v>
      </c>
      <c r="W115" t="str">
        <f t="shared" si="30"/>
        <v>Support</v>
      </c>
      <c r="X115">
        <f>survey_responses[[#This Row],[Tôi tin rằng Nhà nước, cơ quan thuế có đủ khả năng và công nghệ để phát hiện, xử lý nghiêm các hành vi trốn thuế. - HUMAN-ENF2]]</f>
        <v>10</v>
      </c>
      <c r="Y115" t="str">
        <f t="shared" si="31"/>
        <v>Support</v>
      </c>
      <c r="Z115" s="32">
        <f t="shared" si="32"/>
        <v>2</v>
      </c>
      <c r="AA115">
        <f>step3_validation[[#This Row],[AI_FAC1]]</f>
        <v>9</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1</v>
      </c>
      <c r="AF115">
        <f>step3_validation[[#This Row],[AI_FAC2]]</f>
        <v>8</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2</v>
      </c>
      <c r="AK115">
        <f>step3_validation[[#This Row],[AI_TRU1]]</f>
        <v>6</v>
      </c>
      <c r="AL115" t="str">
        <f t="shared" si="39"/>
        <v>Neutral</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4</v>
      </c>
      <c r="AP115">
        <f>step3_validation[[#This Row],[AI_TRU2]]</f>
        <v>7</v>
      </c>
      <c r="AQ115" t="str">
        <f t="shared" si="42"/>
        <v>Neutral</v>
      </c>
      <c r="AR115">
        <f>survey_responses[[#This Row],[Tôi thấy mức thuế tôi phải đóng theo phương án mới là công bằng (người thu nhập như tôi đóng mức này là hợp lý). - HUMAN-TRU2]]</f>
        <v>10</v>
      </c>
      <c r="AS115" t="str">
        <f t="shared" si="43"/>
        <v>Support</v>
      </c>
      <c r="AT115" s="32">
        <f t="shared" si="44"/>
        <v>3</v>
      </c>
      <c r="AU115">
        <f>step3_validation[[#This Row],[AI_TRU3]]</f>
        <v>5</v>
      </c>
      <c r="AV115" t="str">
        <f t="shared" si="45"/>
        <v>Neutral</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5</v>
      </c>
      <c r="AZ115">
        <f>step3_validation[[#This Row],[AI_TRU4]]</f>
        <v>6</v>
      </c>
      <c r="BA115" t="str">
        <f t="shared" si="48"/>
        <v>Neutral</v>
      </c>
      <c r="BB115">
        <f>survey_responses[[#This Row],[Tôi thấy Nhà nước đã giải thích rõ ràng, minh bạch về lý do và mục tiêu của việc sửa đổi thuế lần này. - HUMAN-TRU4]]</f>
        <v>10</v>
      </c>
      <c r="BC115" t="str">
        <f t="shared" si="49"/>
        <v>Support</v>
      </c>
      <c r="BD115" s="32">
        <f t="shared" si="50"/>
        <v>4</v>
      </c>
      <c r="BE115">
        <f>step3_validation[[#This Row],[AI_OUT1]]</f>
        <v>7</v>
      </c>
      <c r="BF115" t="str">
        <f t="shared" si="51"/>
        <v>Neutral</v>
      </c>
      <c r="BG115">
        <f>survey_responses[[#This Row],[Sau khi xem xét các quyền lợi và nghĩa vụ, bạn có ủng hộ và tuân thủ chính sách mới hiện nay? - HUMAN-OUT1]]</f>
        <v>10</v>
      </c>
      <c r="BH115" t="str">
        <f t="shared" si="52"/>
        <v>Support</v>
      </c>
      <c r="BI115" s="32">
        <f t="shared" si="53"/>
        <v>3</v>
      </c>
    </row>
    <row r="116" spans="1:61" x14ac:dyDescent="0.45">
      <c r="A116" s="30">
        <f>step3_validation[[#This Row],[Persona_ID]]</f>
        <v>115</v>
      </c>
      <c r="B116" s="31">
        <f>step3_validation[[#This Row],[Used_Seed]]</f>
        <v>12459</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13.627736245856385</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7</v>
      </c>
      <c r="R116" t="str">
        <f t="shared" si="27"/>
        <v>Neutral</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6</v>
      </c>
      <c r="V116">
        <f>step3_validation[[#This Row],[AI_ENF2]]</f>
        <v>6</v>
      </c>
      <c r="W116" t="str">
        <f t="shared" si="30"/>
        <v>Neutral</v>
      </c>
      <c r="X116">
        <f>survey_responses[[#This Row],[Tôi tin rằng Nhà nước, cơ quan thuế có đủ khả năng và công nghệ để phát hiện, xử lý nghiêm các hành vi trốn thuế. - HUMAN-ENF2]]</f>
        <v>1</v>
      </c>
      <c r="Y116" t="str">
        <f t="shared" si="31"/>
        <v>Oppose</v>
      </c>
      <c r="Z116" s="32">
        <f t="shared" si="32"/>
        <v>5</v>
      </c>
      <c r="AA116">
        <f>step3_validation[[#This Row],[AI_FAC1]]</f>
        <v>8</v>
      </c>
      <c r="AB116" t="str">
        <f t="shared" si="33"/>
        <v>Support</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7</v>
      </c>
      <c r="AF116">
        <f>step3_validation[[#This Row],[AI_FAC2]]</f>
        <v>9</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8</v>
      </c>
      <c r="AK116">
        <f>step3_validation[[#This Row],[AI_TRU1]]</f>
        <v>8</v>
      </c>
      <c r="AL116" t="str">
        <f t="shared" si="39"/>
        <v>Support</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7</v>
      </c>
      <c r="AP116">
        <f>step3_validation[[#This Row],[AI_TRU2]]</f>
        <v>7</v>
      </c>
      <c r="AQ116" t="str">
        <f t="shared" si="42"/>
        <v>Neutral</v>
      </c>
      <c r="AR116">
        <f>survey_responses[[#This Row],[Tôi thấy mức thuế tôi phải đóng theo phương án mới là công bằng (người thu nhập như tôi đóng mức này là hợp lý). - HUMAN-TRU2]]</f>
        <v>1</v>
      </c>
      <c r="AS116" t="str">
        <f t="shared" si="43"/>
        <v>Oppose</v>
      </c>
      <c r="AT116" s="32">
        <f t="shared" si="44"/>
        <v>6</v>
      </c>
      <c r="AU116">
        <f>step3_validation[[#This Row],[AI_TRU3]]</f>
        <v>6</v>
      </c>
      <c r="AV116" t="str">
        <f t="shared" si="45"/>
        <v>Neutral</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5</v>
      </c>
      <c r="AZ116">
        <f>step3_validation[[#This Row],[AI_TRU4]]</f>
        <v>5</v>
      </c>
      <c r="BA116" t="str">
        <f t="shared" si="48"/>
        <v>Neutral</v>
      </c>
      <c r="BB116">
        <f>survey_responses[[#This Row],[Tôi thấy Nhà nước đã giải thích rõ ràng, minh bạch về lý do và mục tiêu của việc sửa đổi thuế lần này. - HUMAN-TRU4]]</f>
        <v>1</v>
      </c>
      <c r="BC116" t="str">
        <f t="shared" si="49"/>
        <v>Oppose</v>
      </c>
      <c r="BD116" s="32">
        <f t="shared" si="50"/>
        <v>4</v>
      </c>
      <c r="BE116">
        <f>step3_validation[[#This Row],[AI_OUT1]]</f>
        <v>7</v>
      </c>
      <c r="BF116" t="str">
        <f t="shared" si="51"/>
        <v>Neutral</v>
      </c>
      <c r="BG116">
        <f>survey_responses[[#This Row],[Sau khi xem xét các quyền lợi và nghĩa vụ, bạn có ủng hộ và tuân thủ chính sách mới hiện nay? - HUMAN-OUT1]]</f>
        <v>1</v>
      </c>
      <c r="BH116" t="str">
        <f t="shared" si="52"/>
        <v>Oppose</v>
      </c>
      <c r="BI116" s="32">
        <f t="shared" si="53"/>
        <v>6</v>
      </c>
    </row>
    <row r="117" spans="1:61" x14ac:dyDescent="0.45">
      <c r="A117" s="30">
        <f>step3_validation[[#This Row],[Persona_ID]]</f>
        <v>116</v>
      </c>
      <c r="B117" s="31">
        <f>step3_validation[[#This Row],[Used_Seed]]</f>
        <v>12460</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15.764306891880848</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8</v>
      </c>
      <c r="R117" t="str">
        <f t="shared" si="27"/>
        <v>Support</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1</v>
      </c>
      <c r="V117">
        <f>step3_validation[[#This Row],[AI_ENF2]]</f>
        <v>7</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2">
        <f t="shared" si="32"/>
        <v>2</v>
      </c>
      <c r="AA117">
        <f>step3_validation[[#This Row],[AI_FAC1]]</f>
        <v>6</v>
      </c>
      <c r="AB117" t="str">
        <f t="shared" si="33"/>
        <v>Neutral</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3</v>
      </c>
      <c r="AF117">
        <f>step3_validation[[#This Row],[AI_FAC2]]</f>
        <v>7</v>
      </c>
      <c r="AG117" t="str">
        <f t="shared" si="36"/>
        <v>Neutral</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2</v>
      </c>
      <c r="AK117">
        <f>step3_validation[[#This Row],[AI_TRU1]]</f>
        <v>7</v>
      </c>
      <c r="AL117" t="str">
        <f t="shared" si="39"/>
        <v>Neutral</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2</v>
      </c>
      <c r="AP117">
        <f>step3_validation[[#This Row],[AI_TRU2]]</f>
        <v>8</v>
      </c>
      <c r="AQ117" t="str">
        <f t="shared" si="42"/>
        <v>Support</v>
      </c>
      <c r="AR117">
        <f>survey_responses[[#This Row],[Tôi thấy mức thuế tôi phải đóng theo phương án mới là công bằng (người thu nhập như tôi đóng mức này là hợp lý). - HUMAN-TRU2]]</f>
        <v>9</v>
      </c>
      <c r="AS117" t="str">
        <f t="shared" si="43"/>
        <v>Support</v>
      </c>
      <c r="AT117" s="32">
        <f t="shared" si="44"/>
        <v>1</v>
      </c>
      <c r="AU117">
        <f>step3_validation[[#This Row],[AI_TRU3]]</f>
        <v>6</v>
      </c>
      <c r="AV117" t="str">
        <f t="shared" si="45"/>
        <v>Neutral</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3</v>
      </c>
      <c r="AZ117">
        <f>step3_validation[[#This Row],[AI_TRU4]]</f>
        <v>7</v>
      </c>
      <c r="BA117" t="str">
        <f t="shared" si="48"/>
        <v>Neutral</v>
      </c>
      <c r="BB117">
        <f>survey_responses[[#This Row],[Tôi thấy Nhà nước đã giải thích rõ ràng, minh bạch về lý do và mục tiêu của việc sửa đổi thuế lần này. - HUMAN-TRU4]]</f>
        <v>8</v>
      </c>
      <c r="BC117" t="str">
        <f t="shared" si="49"/>
        <v>Support</v>
      </c>
      <c r="BD117" s="32">
        <f t="shared" si="50"/>
        <v>1</v>
      </c>
      <c r="BE117">
        <f>step3_validation[[#This Row],[AI_OUT1]]</f>
        <v>8</v>
      </c>
      <c r="BF117" t="str">
        <f t="shared" si="51"/>
        <v>Support</v>
      </c>
      <c r="BG117">
        <f>survey_responses[[#This Row],[Sau khi xem xét các quyền lợi và nghĩa vụ, bạn có ủng hộ và tuân thủ chính sách mới hiện nay? - HUMAN-OUT1]]</f>
        <v>9</v>
      </c>
      <c r="BH117" t="str">
        <f t="shared" si="52"/>
        <v>Support</v>
      </c>
      <c r="BI117" s="32">
        <f t="shared" si="53"/>
        <v>1</v>
      </c>
    </row>
    <row r="118" spans="1:61" x14ac:dyDescent="0.45">
      <c r="A118" s="30">
        <f>step3_validation[[#This Row],[Persona_ID]]</f>
        <v>117</v>
      </c>
      <c r="B118" s="31">
        <f>step3_validation[[#This Row],[Used_Seed]]</f>
        <v>12461</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55.109305365447113</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7</v>
      </c>
      <c r="R118" t="str">
        <f t="shared" si="27"/>
        <v>Neutral</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1</v>
      </c>
      <c r="V118">
        <f>step3_validation[[#This Row],[AI_ENF2]]</f>
        <v>8</v>
      </c>
      <c r="W118" t="str">
        <f t="shared" si="30"/>
        <v>Support</v>
      </c>
      <c r="X118">
        <f>survey_responses[[#This Row],[Tôi tin rằng Nhà nước, cơ quan thuế có đủ khả năng và công nghệ để phát hiện, xử lý nghiêm các hành vi trốn thuế. - HUMAN-ENF2]]</f>
        <v>9</v>
      </c>
      <c r="Y118" t="str">
        <f t="shared" si="31"/>
        <v>Support</v>
      </c>
      <c r="Z118" s="32">
        <f t="shared" si="32"/>
        <v>1</v>
      </c>
      <c r="AA118">
        <f>step3_validation[[#This Row],[AI_FAC1]]</f>
        <v>9</v>
      </c>
      <c r="AB118" t="str">
        <f t="shared" si="33"/>
        <v>Support</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1</v>
      </c>
      <c r="AF118">
        <f>step3_validation[[#This Row],[AI_FAC2]]</f>
        <v>7</v>
      </c>
      <c r="AG118" t="str">
        <f t="shared" si="36"/>
        <v>Neutral</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1</v>
      </c>
      <c r="AK118">
        <f>step3_validation[[#This Row],[AI_TRU1]]</f>
        <v>6</v>
      </c>
      <c r="AL118" t="str">
        <f t="shared" si="39"/>
        <v>Neutral</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2</v>
      </c>
      <c r="AP118">
        <f>step3_validation[[#This Row],[AI_TRU2]]</f>
        <v>5</v>
      </c>
      <c r="AQ118" t="str">
        <f t="shared" si="42"/>
        <v>Neutral</v>
      </c>
      <c r="AR118">
        <f>survey_responses[[#This Row],[Tôi thấy mức thuế tôi phải đóng theo phương án mới là công bằng (người thu nhập như tôi đóng mức này là hợp lý). - HUMAN-TRU2]]</f>
        <v>8</v>
      </c>
      <c r="AS118" t="str">
        <f t="shared" si="43"/>
        <v>Support</v>
      </c>
      <c r="AT118" s="32">
        <f t="shared" si="44"/>
        <v>3</v>
      </c>
      <c r="AU118">
        <f>step3_validation[[#This Row],[AI_TRU3]]</f>
        <v>7</v>
      </c>
      <c r="AV118" t="str">
        <f t="shared" si="45"/>
        <v>Neutral</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1</v>
      </c>
      <c r="AZ118">
        <f>step3_validation[[#This Row],[AI_TRU4]]</f>
        <v>5</v>
      </c>
      <c r="BA118" t="str">
        <f t="shared" si="48"/>
        <v>Neutral</v>
      </c>
      <c r="BB118">
        <f>survey_responses[[#This Row],[Tôi thấy Nhà nước đã giải thích rõ ràng, minh bạch về lý do và mục tiêu của việc sửa đổi thuế lần này. - HUMAN-TRU4]]</f>
        <v>8</v>
      </c>
      <c r="BC118" t="str">
        <f t="shared" si="49"/>
        <v>Support</v>
      </c>
      <c r="BD118" s="32">
        <f t="shared" si="50"/>
        <v>3</v>
      </c>
      <c r="BE118">
        <f>step3_validation[[#This Row],[AI_OUT1]]</f>
        <v>6</v>
      </c>
      <c r="BF118" t="str">
        <f t="shared" si="51"/>
        <v>Neutral</v>
      </c>
      <c r="BG118">
        <f>survey_responses[[#This Row],[Sau khi xem xét các quyền lợi và nghĩa vụ, bạn có ủng hộ và tuân thủ chính sách mới hiện nay? - HUMAN-OUT1]]</f>
        <v>6</v>
      </c>
      <c r="BH118" t="str">
        <f t="shared" si="52"/>
        <v>Neutral</v>
      </c>
      <c r="BI118" s="32">
        <f t="shared" si="53"/>
        <v>0</v>
      </c>
    </row>
    <row r="119" spans="1:61" x14ac:dyDescent="0.45">
      <c r="A119" s="30">
        <f>step3_validation[[#This Row],[Persona_ID]]</f>
        <v>118</v>
      </c>
      <c r="B119" s="31">
        <f>step3_validation[[#This Row],[Used_Seed]]</f>
        <v>12462</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32.303049665570924</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3</v>
      </c>
      <c r="V119">
        <f>step3_validation[[#This Row],[AI_ENF2]]</f>
        <v>8</v>
      </c>
      <c r="W119" t="str">
        <f t="shared" si="30"/>
        <v>Support</v>
      </c>
      <c r="X119">
        <f>survey_responses[[#This Row],[Tôi tin rằng Nhà nước, cơ quan thuế có đủ khả năng và công nghệ để phát hiện, xử lý nghiêm các hành vi trốn thuế. - HUMAN-ENF2]]</f>
        <v>1</v>
      </c>
      <c r="Y119" t="str">
        <f t="shared" si="31"/>
        <v>Oppose</v>
      </c>
      <c r="Z119" s="32">
        <f t="shared" si="32"/>
        <v>7</v>
      </c>
      <c r="AA119">
        <f>step3_validation[[#This Row],[AI_FAC1]]</f>
        <v>6</v>
      </c>
      <c r="AB119" t="str">
        <f t="shared" si="33"/>
        <v>Neutral</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5</v>
      </c>
      <c r="AF119">
        <f>step3_validation[[#This Row],[AI_FAC2]]</f>
        <v>8</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3</v>
      </c>
      <c r="AK119">
        <f>step3_validation[[#This Row],[AI_TRU1]]</f>
        <v>7</v>
      </c>
      <c r="AL119" t="str">
        <f t="shared" si="39"/>
        <v>Neutral</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6</v>
      </c>
      <c r="AP119">
        <f>step3_validation[[#This Row],[AI_TRU2]]</f>
        <v>6</v>
      </c>
      <c r="AQ119" t="str">
        <f t="shared" si="42"/>
        <v>Neutral</v>
      </c>
      <c r="AR119">
        <f>survey_responses[[#This Row],[Tôi thấy mức thuế tôi phải đóng theo phương án mới là công bằng (người thu nhập như tôi đóng mức này là hợp lý). - HUMAN-TRU2]]</f>
        <v>3</v>
      </c>
      <c r="AS119" t="str">
        <f t="shared" si="43"/>
        <v>Oppose</v>
      </c>
      <c r="AT119" s="32">
        <f t="shared" si="44"/>
        <v>3</v>
      </c>
      <c r="AU119">
        <f>step3_validation[[#This Row],[AI_TRU3]]</f>
        <v>5</v>
      </c>
      <c r="AV119" t="str">
        <f t="shared" si="45"/>
        <v>Neutral</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4</v>
      </c>
      <c r="AZ119">
        <f>step3_validation[[#This Row],[AI_TRU4]]</f>
        <v>6</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2">
        <f t="shared" si="50"/>
        <v>5</v>
      </c>
      <c r="BE119">
        <f>step3_validation[[#This Row],[AI_OUT1]]</f>
        <v>7</v>
      </c>
      <c r="BF119" t="str">
        <f t="shared" si="51"/>
        <v>Neutral</v>
      </c>
      <c r="BG119">
        <f>survey_responses[[#This Row],[Sau khi xem xét các quyền lợi và nghĩa vụ, bạn có ủng hộ và tuân thủ chính sách mới hiện nay? - HUMAN-OUT1]]</f>
        <v>5</v>
      </c>
      <c r="BH119" t="str">
        <f t="shared" si="52"/>
        <v>Neutral</v>
      </c>
      <c r="BI119" s="32">
        <f t="shared" si="53"/>
        <v>2</v>
      </c>
    </row>
    <row r="120" spans="1:61" x14ac:dyDescent="0.45">
      <c r="A120" s="30">
        <f>step3_validation[[#This Row],[Persona_ID]]</f>
        <v>119</v>
      </c>
      <c r="B120" s="31">
        <f>step3_validation[[#This Row],[Used_Seed]]</f>
        <v>12463</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54.417220266336805</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6</v>
      </c>
      <c r="R120" t="str">
        <f t="shared" si="27"/>
        <v>Neutral</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2</v>
      </c>
      <c r="V120">
        <f>step3_validation[[#This Row],[AI_ENF2]]</f>
        <v>7</v>
      </c>
      <c r="W120" t="str">
        <f t="shared" si="30"/>
        <v>Neutral</v>
      </c>
      <c r="X120">
        <f>survey_responses[[#This Row],[Tôi tin rằng Nhà nước, cơ quan thuế có đủ khả năng và công nghệ để phát hiện, xử lý nghiêm các hành vi trốn thuế. - HUMAN-ENF2]]</f>
        <v>8</v>
      </c>
      <c r="Y120" t="str">
        <f t="shared" si="31"/>
        <v>Support</v>
      </c>
      <c r="Z120" s="32">
        <f t="shared" si="32"/>
        <v>1</v>
      </c>
      <c r="AA120">
        <f>step3_validation[[#This Row],[AI_FAC1]]</f>
        <v>6</v>
      </c>
      <c r="AB120" t="str">
        <f t="shared" si="33"/>
        <v>Neutral</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0</v>
      </c>
      <c r="AF120">
        <f>step3_validation[[#This Row],[AI_FAC2]]</f>
        <v>5</v>
      </c>
      <c r="AG120" t="str">
        <f t="shared" si="36"/>
        <v>Neutral</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4</v>
      </c>
      <c r="AK120">
        <f>step3_validation[[#This Row],[AI_TRU1]]</f>
        <v>7</v>
      </c>
      <c r="AL120" t="str">
        <f t="shared" si="39"/>
        <v>Neutral</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1</v>
      </c>
      <c r="AP120">
        <f>step3_validation[[#This Row],[AI_TRU2]]</f>
        <v>8</v>
      </c>
      <c r="AQ120" t="str">
        <f t="shared" si="42"/>
        <v>Support</v>
      </c>
      <c r="AR120">
        <f>survey_responses[[#This Row],[Tôi thấy mức thuế tôi phải đóng theo phương án mới là công bằng (người thu nhập như tôi đóng mức này là hợp lý). - HUMAN-TRU2]]</f>
        <v>7</v>
      </c>
      <c r="AS120" t="str">
        <f t="shared" si="43"/>
        <v>Neutral</v>
      </c>
      <c r="AT120" s="32">
        <f t="shared" si="44"/>
        <v>1</v>
      </c>
      <c r="AU120">
        <f>step3_validation[[#This Row],[AI_TRU3]]</f>
        <v>6</v>
      </c>
      <c r="AV120" t="str">
        <f t="shared" si="45"/>
        <v>Neutral</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1</v>
      </c>
      <c r="AZ120">
        <f>step3_validation[[#This Row],[AI_TRU4]]</f>
        <v>7</v>
      </c>
      <c r="BA120" t="str">
        <f t="shared" si="48"/>
        <v>Neutral</v>
      </c>
      <c r="BB120">
        <f>survey_responses[[#This Row],[Tôi thấy Nhà nước đã giải thích rõ ràng, minh bạch về lý do và mục tiêu của việc sửa đổi thuế lần này. - HUMAN-TRU4]]</f>
        <v>7</v>
      </c>
      <c r="BC120" t="str">
        <f t="shared" si="49"/>
        <v>Neutral</v>
      </c>
      <c r="BD120" s="32">
        <f t="shared" si="50"/>
        <v>0</v>
      </c>
      <c r="BE120">
        <f>step3_validation[[#This Row],[AI_OUT1]]</f>
        <v>8</v>
      </c>
      <c r="BF120" t="str">
        <f t="shared" si="51"/>
        <v>Support</v>
      </c>
      <c r="BG120">
        <f>survey_responses[[#This Row],[Sau khi xem xét các quyền lợi và nghĩa vụ, bạn có ủng hộ và tuân thủ chính sách mới hiện nay? - HUMAN-OUT1]]</f>
        <v>7</v>
      </c>
      <c r="BH120" t="str">
        <f t="shared" si="52"/>
        <v>Neutral</v>
      </c>
      <c r="BI120" s="32">
        <f t="shared" si="53"/>
        <v>1</v>
      </c>
    </row>
    <row r="121" spans="1:61" x14ac:dyDescent="0.45">
      <c r="A121" s="30">
        <f>step3_validation[[#This Row],[Persona_ID]]</f>
        <v>120</v>
      </c>
      <c r="B121" s="31">
        <f>step3_validation[[#This Row],[Used_Seed]]</f>
        <v>12464</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24.420304051526717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8</v>
      </c>
      <c r="R121" t="str">
        <f t="shared" si="27"/>
        <v>Support</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2</v>
      </c>
      <c r="V121">
        <f>step3_validation[[#This Row],[AI_ENF2]]</f>
        <v>7</v>
      </c>
      <c r="W121" t="str">
        <f t="shared" si="30"/>
        <v>Neutral</v>
      </c>
      <c r="X121">
        <f>survey_responses[[#This Row],[Tôi tin rằng Nhà nước, cơ quan thuế có đủ khả năng và công nghệ để phát hiện, xử lý nghiêm các hành vi trốn thuế. - HUMAN-ENF2]]</f>
        <v>6</v>
      </c>
      <c r="Y121" t="str">
        <f t="shared" si="31"/>
        <v>Neutral</v>
      </c>
      <c r="Z121" s="32">
        <f t="shared" si="32"/>
        <v>1</v>
      </c>
      <c r="AA121">
        <f>step3_validation[[#This Row],[AI_FAC1]]</f>
        <v>6</v>
      </c>
      <c r="AB121" t="str">
        <f t="shared" si="33"/>
        <v>Neutral</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0</v>
      </c>
      <c r="AF121">
        <f>step3_validation[[#This Row],[AI_FAC2]]</f>
        <v>6</v>
      </c>
      <c r="AG121" t="str">
        <f t="shared" si="36"/>
        <v>Neutral</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0</v>
      </c>
      <c r="AK121">
        <f>step3_validation[[#This Row],[AI_TRU1]]</f>
        <v>8</v>
      </c>
      <c r="AL121" t="str">
        <f t="shared" si="39"/>
        <v>Support</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2</v>
      </c>
      <c r="AP121">
        <f>step3_validation[[#This Row],[AI_TRU2]]</f>
        <v>7</v>
      </c>
      <c r="AQ121" t="str">
        <f t="shared" si="42"/>
        <v>Neutral</v>
      </c>
      <c r="AR121">
        <f>survey_responses[[#This Row],[Tôi thấy mức thuế tôi phải đóng theo phương án mới là công bằng (người thu nhập như tôi đóng mức này là hợp lý). - HUMAN-TRU2]]</f>
        <v>6</v>
      </c>
      <c r="AS121" t="str">
        <f t="shared" si="43"/>
        <v>Neutral</v>
      </c>
      <c r="AT121" s="32">
        <f t="shared" si="44"/>
        <v>1</v>
      </c>
      <c r="AU121">
        <f>step3_validation[[#This Row],[AI_TRU3]]</f>
        <v>8</v>
      </c>
      <c r="AV121" t="str">
        <f t="shared" si="45"/>
        <v>Support</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2</v>
      </c>
      <c r="AZ121">
        <f>step3_validation[[#This Row],[AI_TRU4]]</f>
        <v>6</v>
      </c>
      <c r="BA121" t="str">
        <f t="shared" si="48"/>
        <v>Neutral</v>
      </c>
      <c r="BB121">
        <f>survey_responses[[#This Row],[Tôi thấy Nhà nước đã giải thích rõ ràng, minh bạch về lý do và mục tiêu của việc sửa đổi thuế lần này. - HUMAN-TRU4]]</f>
        <v>6</v>
      </c>
      <c r="BC121" t="str">
        <f t="shared" si="49"/>
        <v>Neutral</v>
      </c>
      <c r="BD121" s="32">
        <f t="shared" si="50"/>
        <v>0</v>
      </c>
      <c r="BE121">
        <f>step3_validation[[#This Row],[AI_OUT1]]</f>
        <v>0</v>
      </c>
      <c r="BF121" t="str">
        <f t="shared" si="51"/>
        <v/>
      </c>
      <c r="BG121">
        <f>survey_responses[[#This Row],[Sau khi xem xét các quyền lợi và nghĩa vụ, bạn có ủng hộ và tuân thủ chính sách mới hiện nay? - HUMAN-OUT1]]</f>
        <v>6</v>
      </c>
      <c r="BH121" t="str">
        <f t="shared" si="52"/>
        <v>Neutral</v>
      </c>
      <c r="BI121" s="32">
        <f t="shared" si="53"/>
        <v>6</v>
      </c>
    </row>
    <row r="122" spans="1:61" x14ac:dyDescent="0.45">
      <c r="A122" s="30">
        <f>step3_validation[[#This Row],[Persona_ID]]</f>
        <v>121</v>
      </c>
      <c r="B122" s="31">
        <f>step3_validation[[#This Row],[Used_Seed]]</f>
        <v>12465</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190.93869660954104</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6</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5</v>
      </c>
      <c r="V122">
        <f>step3_validation[[#This Row],[AI_ENF2]]</f>
        <v>5</v>
      </c>
      <c r="W122" t="str">
        <f t="shared" si="30"/>
        <v>Neutral</v>
      </c>
      <c r="X122">
        <f>survey_responses[[#This Row],[Tôi tin rằng Nhà nước, cơ quan thuế có đủ khả năng và công nghệ để phát hiện, xử lý nghiêm các hành vi trốn thuế. - HUMAN-ENF2]]</f>
        <v>1</v>
      </c>
      <c r="Y122" t="str">
        <f t="shared" si="31"/>
        <v>Oppose</v>
      </c>
      <c r="Z122" s="32">
        <f t="shared" si="32"/>
        <v>4</v>
      </c>
      <c r="AA122">
        <f>step3_validation[[#This Row],[AI_FAC1]]</f>
        <v>8</v>
      </c>
      <c r="AB122" t="str">
        <f t="shared" si="33"/>
        <v>Support</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7</v>
      </c>
      <c r="AF122">
        <f>step3_validation[[#This Row],[AI_FAC2]]</f>
        <v>7</v>
      </c>
      <c r="AG122" t="str">
        <f t="shared" si="36"/>
        <v>Neutral</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2</v>
      </c>
      <c r="AK122">
        <f>step3_validation[[#This Row],[AI_TRU1]]</f>
        <v>8</v>
      </c>
      <c r="AL122" t="str">
        <f t="shared" si="39"/>
        <v>Support</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7</v>
      </c>
      <c r="AP122">
        <f>step3_validation[[#This Row],[AI_TRU2]]</f>
        <v>6</v>
      </c>
      <c r="AQ122" t="str">
        <f t="shared" si="42"/>
        <v>Neutral</v>
      </c>
      <c r="AR122">
        <f>survey_responses[[#This Row],[Tôi thấy mức thuế tôi phải đóng theo phương án mới là công bằng (người thu nhập như tôi đóng mức này là hợp lý). - HUMAN-TRU2]]</f>
        <v>1</v>
      </c>
      <c r="AS122" t="str">
        <f t="shared" si="43"/>
        <v>Oppose</v>
      </c>
      <c r="AT122" s="32">
        <f t="shared" si="44"/>
        <v>5</v>
      </c>
      <c r="AU122">
        <f>step3_validation[[#This Row],[AI_TRU3]]</f>
        <v>7</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6</v>
      </c>
      <c r="AZ122">
        <f>step3_validation[[#This Row],[AI_TRU4]]</f>
        <v>5</v>
      </c>
      <c r="BA122" t="str">
        <f t="shared" si="48"/>
        <v>Neutral</v>
      </c>
      <c r="BB122">
        <f>survey_responses[[#This Row],[Tôi thấy Nhà nước đã giải thích rõ ràng, minh bạch về lý do và mục tiêu của việc sửa đổi thuế lần này. - HUMAN-TRU4]]</f>
        <v>1</v>
      </c>
      <c r="BC122" t="str">
        <f t="shared" si="49"/>
        <v>Oppose</v>
      </c>
      <c r="BD122" s="32">
        <f t="shared" si="50"/>
        <v>4</v>
      </c>
      <c r="BE122">
        <f>step3_validation[[#This Row],[AI_OUT1]]</f>
        <v>7</v>
      </c>
      <c r="BF122" t="str">
        <f t="shared" si="51"/>
        <v>Neutral</v>
      </c>
      <c r="BG122">
        <f>survey_responses[[#This Row],[Sau khi xem xét các quyền lợi và nghĩa vụ, bạn có ủng hộ và tuân thủ chính sách mới hiện nay? - HUMAN-OUT1]]</f>
        <v>5</v>
      </c>
      <c r="BH122" t="str">
        <f t="shared" si="52"/>
        <v>Neutral</v>
      </c>
      <c r="BI122" s="32">
        <f t="shared" si="53"/>
        <v>2</v>
      </c>
    </row>
    <row r="123" spans="1:61" x14ac:dyDescent="0.45">
      <c r="A123" s="30">
        <f>step3_validation[[#This Row],[Persona_ID]]</f>
        <v>122</v>
      </c>
      <c r="B123" s="31">
        <f>step3_validation[[#This Row],[Used_Seed]]</f>
        <v>12466</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216.9380314138582</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6</v>
      </c>
      <c r="R123" t="str">
        <f t="shared" si="27"/>
        <v>Neutral</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2</v>
      </c>
      <c r="V123">
        <f>step3_validation[[#This Row],[AI_ENF2]]</f>
        <v>7</v>
      </c>
      <c r="W123" t="str">
        <f t="shared" si="30"/>
        <v>Neutral</v>
      </c>
      <c r="X123">
        <f>survey_responses[[#This Row],[Tôi tin rằng Nhà nước, cơ quan thuế có đủ khả năng và công nghệ để phát hiện, xử lý nghiêm các hành vi trốn thuế. - HUMAN-ENF2]]</f>
        <v>4</v>
      </c>
      <c r="Y123" t="str">
        <f t="shared" si="31"/>
        <v>Oppose</v>
      </c>
      <c r="Z123" s="32">
        <f t="shared" si="32"/>
        <v>3</v>
      </c>
      <c r="AA123">
        <f>step3_validation[[#This Row],[AI_FAC1]]</f>
        <v>5</v>
      </c>
      <c r="AB123" t="str">
        <f t="shared" si="33"/>
        <v>Neutral</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3</v>
      </c>
      <c r="AF123">
        <f>step3_validation[[#This Row],[AI_FAC2]]</f>
        <v>8</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3</v>
      </c>
      <c r="AK123">
        <f>step3_validation[[#This Row],[AI_TRU1]]</f>
        <v>7</v>
      </c>
      <c r="AL123" t="str">
        <f t="shared" si="39"/>
        <v>Neutral</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6</v>
      </c>
      <c r="AP123">
        <f>step3_validation[[#This Row],[AI_TRU2]]</f>
        <v>8</v>
      </c>
      <c r="AQ123" t="str">
        <f t="shared" si="42"/>
        <v>Support</v>
      </c>
      <c r="AR123">
        <f>survey_responses[[#This Row],[Tôi thấy mức thuế tôi phải đóng theo phương án mới là công bằng (người thu nhập như tôi đóng mức này là hợp lý). - HUMAN-TRU2]]</f>
        <v>1</v>
      </c>
      <c r="AS123" t="str">
        <f t="shared" si="43"/>
        <v>Oppose</v>
      </c>
      <c r="AT123" s="32">
        <f t="shared" si="44"/>
        <v>7</v>
      </c>
      <c r="AU123">
        <f>step3_validation[[#This Row],[AI_TRU3]]</f>
        <v>6</v>
      </c>
      <c r="AV123" t="str">
        <f t="shared" si="45"/>
        <v>Neutral</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5</v>
      </c>
      <c r="AZ123">
        <f>step3_validation[[#This Row],[AI_TRU4]]</f>
        <v>7</v>
      </c>
      <c r="BA123" t="str">
        <f t="shared" si="48"/>
        <v>Neutral</v>
      </c>
      <c r="BB123">
        <f>survey_responses[[#This Row],[Tôi thấy Nhà nước đã giải thích rõ ràng, minh bạch về lý do và mục tiêu của việc sửa đổi thuế lần này. - HUMAN-TRU4]]</f>
        <v>4</v>
      </c>
      <c r="BC123" t="str">
        <f t="shared" si="49"/>
        <v>Oppose</v>
      </c>
      <c r="BD123" s="32">
        <f t="shared" si="50"/>
        <v>3</v>
      </c>
      <c r="BE123">
        <f>step3_validation[[#This Row],[AI_OUT1]]</f>
        <v>7</v>
      </c>
      <c r="BF123" t="str">
        <f t="shared" si="51"/>
        <v>Neutral</v>
      </c>
      <c r="BG123">
        <f>survey_responses[[#This Row],[Sau khi xem xét các quyền lợi và nghĩa vụ, bạn có ủng hộ và tuân thủ chính sách mới hiện nay? - HUMAN-OUT1]]</f>
        <v>4</v>
      </c>
      <c r="BH123" t="str">
        <f t="shared" si="52"/>
        <v>Oppose</v>
      </c>
      <c r="BI123" s="32">
        <f t="shared" si="53"/>
        <v>3</v>
      </c>
    </row>
    <row r="124" spans="1:61" x14ac:dyDescent="0.45">
      <c r="A124" s="30">
        <f>step3_validation[[#This Row],[Persona_ID]]</f>
        <v>123</v>
      </c>
      <c r="B124" s="31">
        <f>step3_validation[[#This Row],[Used_Seed]]</f>
        <v>12467</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6</v>
      </c>
      <c r="R124" t="str">
        <f t="shared" si="27"/>
        <v>Neutral</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1</v>
      </c>
      <c r="V124">
        <f>step3_validation[[#This Row],[AI_ENF2]]</f>
        <v>7</v>
      </c>
      <c r="W124" t="str">
        <f t="shared" si="30"/>
        <v>Neutral</v>
      </c>
      <c r="X124">
        <f>survey_responses[[#This Row],[Tôi tin rằng Nhà nước, cơ quan thuế có đủ khả năng và công nghệ để phát hiện, xử lý nghiêm các hành vi trốn thuế. - HUMAN-ENF2]]</f>
        <v>7</v>
      </c>
      <c r="Y124" t="str">
        <f t="shared" si="31"/>
        <v>Neutral</v>
      </c>
      <c r="Z124" s="32">
        <f t="shared" si="32"/>
        <v>0</v>
      </c>
      <c r="AA124">
        <f>step3_validation[[#This Row],[AI_FAC1]]</f>
        <v>8</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1</v>
      </c>
      <c r="AF124">
        <f>step3_validation[[#This Row],[AI_FAC2]]</f>
        <v>7</v>
      </c>
      <c r="AG124" t="str">
        <f t="shared" si="36"/>
        <v>Neutral</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0</v>
      </c>
      <c r="AK124">
        <f>step3_validation[[#This Row],[AI_TRU1]]</f>
        <v>8</v>
      </c>
      <c r="AL124" t="str">
        <f t="shared" si="39"/>
        <v>Support</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1</v>
      </c>
      <c r="AP124">
        <f>step3_validation[[#This Row],[AI_TRU2]]</f>
        <v>6</v>
      </c>
      <c r="AQ124" t="str">
        <f t="shared" si="42"/>
        <v>Neutral</v>
      </c>
      <c r="AR124">
        <f>survey_responses[[#This Row],[Tôi thấy mức thuế tôi phải đóng theo phương án mới là công bằng (người thu nhập như tôi đóng mức này là hợp lý). - HUMAN-TRU2]]</f>
        <v>7</v>
      </c>
      <c r="AS124" t="str">
        <f t="shared" si="43"/>
        <v>Neutral</v>
      </c>
      <c r="AT124" s="32">
        <f t="shared" si="44"/>
        <v>1</v>
      </c>
      <c r="AU124">
        <f>step3_validation[[#This Row],[AI_TRU3]]</f>
        <v>7</v>
      </c>
      <c r="AV124" t="str">
        <f t="shared" si="45"/>
        <v>Neutral</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0</v>
      </c>
      <c r="AZ124">
        <f>step3_validation[[#This Row],[AI_TRU4]]</f>
        <v>8</v>
      </c>
      <c r="BA124" t="str">
        <f t="shared" si="48"/>
        <v>Support</v>
      </c>
      <c r="BB124">
        <f>survey_responses[[#This Row],[Tôi thấy Nhà nước đã giải thích rõ ràng, minh bạch về lý do và mục tiêu của việc sửa đổi thuế lần này. - HUMAN-TRU4]]</f>
        <v>7</v>
      </c>
      <c r="BC124" t="str">
        <f t="shared" si="49"/>
        <v>Neutral</v>
      </c>
      <c r="BD124" s="32">
        <f t="shared" si="50"/>
        <v>1</v>
      </c>
      <c r="BE124">
        <f>step3_validation[[#This Row],[AI_OUT1]]</f>
        <v>7</v>
      </c>
      <c r="BF124" t="str">
        <f t="shared" si="51"/>
        <v>Neutral</v>
      </c>
      <c r="BG124">
        <f>survey_responses[[#This Row],[Sau khi xem xét các quyền lợi và nghĩa vụ, bạn có ủng hộ và tuân thủ chính sách mới hiện nay? - HUMAN-OUT1]]</f>
        <v>8</v>
      </c>
      <c r="BH124" t="str">
        <f t="shared" si="52"/>
        <v>Support</v>
      </c>
      <c r="BI124" s="32">
        <f t="shared" si="53"/>
        <v>1</v>
      </c>
    </row>
    <row r="125" spans="1:61" x14ac:dyDescent="0.45">
      <c r="A125" s="30">
        <f>step3_validation[[#This Row],[Persona_ID]]</f>
        <v>124</v>
      </c>
      <c r="B125" s="31">
        <f>step3_validation[[#This Row],[Used_Seed]]</f>
        <v>12468</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41.480798696452553</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6</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4</v>
      </c>
      <c r="V125">
        <f>step3_validation[[#This Row],[AI_ENF2]]</f>
        <v>6</v>
      </c>
      <c r="W125" t="str">
        <f t="shared" si="30"/>
        <v>Neutral</v>
      </c>
      <c r="X125">
        <f>survey_responses[[#This Row],[Tôi tin rằng Nhà nước, cơ quan thuế có đủ khả năng và công nghệ để phát hiện, xử lý nghiêm các hành vi trốn thuế. - HUMAN-ENF2]]</f>
        <v>9</v>
      </c>
      <c r="Y125" t="str">
        <f t="shared" si="31"/>
        <v>Support</v>
      </c>
      <c r="Z125" s="32">
        <f t="shared" si="32"/>
        <v>3</v>
      </c>
      <c r="AA125">
        <f>step3_validation[[#This Row],[AI_FAC1]]</f>
        <v>8</v>
      </c>
      <c r="AB125" t="str">
        <f t="shared" si="33"/>
        <v>Support</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2</v>
      </c>
      <c r="AF125">
        <f>step3_validation[[#This Row],[AI_FAC2]]</f>
        <v>8</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2</v>
      </c>
      <c r="AK125">
        <f>step3_validation[[#This Row],[AI_TRU1]]</f>
        <v>7</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3</v>
      </c>
      <c r="AP125">
        <f>step3_validation[[#This Row],[AI_TRU2]]</f>
        <v>8</v>
      </c>
      <c r="AQ125" t="str">
        <f t="shared" si="42"/>
        <v>Support</v>
      </c>
      <c r="AR125">
        <f>survey_responses[[#This Row],[Tôi thấy mức thuế tôi phải đóng theo phương án mới là công bằng (người thu nhập như tôi đóng mức này là hợp lý). - HUMAN-TRU2]]</f>
        <v>8</v>
      </c>
      <c r="AS125" t="str">
        <f t="shared" si="43"/>
        <v>Support</v>
      </c>
      <c r="AT125" s="32">
        <f t="shared" si="44"/>
        <v>0</v>
      </c>
      <c r="AU125">
        <f>step3_validation[[#This Row],[AI_TRU3]]</f>
        <v>6</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3</v>
      </c>
      <c r="AZ125">
        <f>step3_validation[[#This Row],[AI_TRU4]]</f>
        <v>7</v>
      </c>
      <c r="BA125" t="str">
        <f t="shared" si="48"/>
        <v>Neutral</v>
      </c>
      <c r="BB125">
        <f>survey_responses[[#This Row],[Tôi thấy Nhà nước đã giải thích rõ ràng, minh bạch về lý do và mục tiêu của việc sửa đổi thuế lần này. - HUMAN-TRU4]]</f>
        <v>9</v>
      </c>
      <c r="BC125" t="str">
        <f t="shared" si="49"/>
        <v>Support</v>
      </c>
      <c r="BD125" s="32">
        <f t="shared" si="50"/>
        <v>2</v>
      </c>
      <c r="BE125">
        <f>step3_validation[[#This Row],[AI_OUT1]]</f>
        <v>7</v>
      </c>
      <c r="BF125" t="str">
        <f t="shared" si="51"/>
        <v>Neutral</v>
      </c>
      <c r="BG125">
        <f>survey_responses[[#This Row],[Sau khi xem xét các quyền lợi và nghĩa vụ, bạn có ủng hộ và tuân thủ chính sách mới hiện nay? - HUMAN-OUT1]]</f>
        <v>9</v>
      </c>
      <c r="BH125" t="str">
        <f t="shared" si="52"/>
        <v>Support</v>
      </c>
      <c r="BI125" s="32">
        <f t="shared" si="53"/>
        <v>2</v>
      </c>
    </row>
    <row r="126" spans="1:61" x14ac:dyDescent="0.45">
      <c r="A126" s="30">
        <f>step3_validation[[#This Row],[Persona_ID]]</f>
        <v>125</v>
      </c>
      <c r="B126" s="31">
        <f>step3_validation[[#This Row],[Used_Seed]]</f>
        <v>12469</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12.055014978250577</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5</v>
      </c>
      <c r="R126" t="str">
        <f t="shared" si="27"/>
        <v>Neutral</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5</v>
      </c>
      <c r="V126">
        <f>step3_validation[[#This Row],[AI_ENF2]]</f>
        <v>6</v>
      </c>
      <c r="W126" t="str">
        <f t="shared" si="30"/>
        <v>Neutral</v>
      </c>
      <c r="X126">
        <f>survey_responses[[#This Row],[Tôi tin rằng Nhà nước, cơ quan thuế có đủ khả năng và công nghệ để phát hiện, xử lý nghiêm các hành vi trốn thuế. - HUMAN-ENF2]]</f>
        <v>10</v>
      </c>
      <c r="Y126" t="str">
        <f t="shared" si="31"/>
        <v>Support</v>
      </c>
      <c r="Z126" s="32">
        <f t="shared" si="32"/>
        <v>4</v>
      </c>
      <c r="AA126">
        <f>step3_validation[[#This Row],[AI_FAC1]]</f>
        <v>8</v>
      </c>
      <c r="AB126" t="str">
        <f t="shared" si="33"/>
        <v>Support</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2</v>
      </c>
      <c r="AF126">
        <f>step3_validation[[#This Row],[AI_FAC2]]</f>
        <v>7</v>
      </c>
      <c r="AG126" t="str">
        <f t="shared" si="36"/>
        <v>Neutral</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3</v>
      </c>
      <c r="AK126">
        <f>step3_validation[[#This Row],[AI_TRU1]]</f>
        <v>6</v>
      </c>
      <c r="AL126" t="str">
        <f t="shared" si="39"/>
        <v>Neutral</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4</v>
      </c>
      <c r="AP126">
        <f>step3_validation[[#This Row],[AI_TRU2]]</f>
        <v>5</v>
      </c>
      <c r="AQ126" t="str">
        <f t="shared" si="42"/>
        <v>Neutral</v>
      </c>
      <c r="AR126">
        <f>survey_responses[[#This Row],[Tôi thấy mức thuế tôi phải đóng theo phương án mới là công bằng (người thu nhập như tôi đóng mức này là hợp lý). - HUMAN-TRU2]]</f>
        <v>10</v>
      </c>
      <c r="AS126" t="str">
        <f t="shared" si="43"/>
        <v>Support</v>
      </c>
      <c r="AT126" s="32">
        <f t="shared" si="44"/>
        <v>5</v>
      </c>
      <c r="AU126">
        <f>step3_validation[[#This Row],[AI_TRU3]]</f>
        <v>4</v>
      </c>
      <c r="AV126" t="str">
        <f t="shared" si="45"/>
        <v>Oppose</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6</v>
      </c>
      <c r="AZ126">
        <f>step3_validation[[#This Row],[AI_TRU4]]</f>
        <v>5</v>
      </c>
      <c r="BA126" t="str">
        <f t="shared" si="48"/>
        <v>Neutral</v>
      </c>
      <c r="BB126">
        <f>survey_responses[[#This Row],[Tôi thấy Nhà nước đã giải thích rõ ràng, minh bạch về lý do và mục tiêu của việc sửa đổi thuế lần này. - HUMAN-TRU4]]</f>
        <v>10</v>
      </c>
      <c r="BC126" t="str">
        <f t="shared" si="49"/>
        <v>Support</v>
      </c>
      <c r="BD126" s="32">
        <f t="shared" si="50"/>
        <v>5</v>
      </c>
      <c r="BE126">
        <f>step3_validation[[#This Row],[AI_OUT1]]</f>
        <v>7</v>
      </c>
      <c r="BF126" t="str">
        <f t="shared" si="51"/>
        <v>Neutral</v>
      </c>
      <c r="BG126">
        <f>survey_responses[[#This Row],[Sau khi xem xét các quyền lợi và nghĩa vụ, bạn có ủng hộ và tuân thủ chính sách mới hiện nay? - HUMAN-OUT1]]</f>
        <v>10</v>
      </c>
      <c r="BH126" t="str">
        <f t="shared" si="52"/>
        <v>Support</v>
      </c>
      <c r="BI126" s="32">
        <f t="shared" si="53"/>
        <v>3</v>
      </c>
    </row>
    <row r="127" spans="1:61" x14ac:dyDescent="0.45">
      <c r="A127" s="30">
        <f>step3_validation[[#This Row],[Persona_ID]]</f>
        <v>126</v>
      </c>
      <c r="B127" s="31">
        <f>step3_validation[[#This Row],[Used_Seed]]</f>
        <v>12470</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28.406554438717116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7</v>
      </c>
      <c r="R127" t="str">
        <f t="shared" si="27"/>
        <v>Neutral</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1</v>
      </c>
      <c r="V127">
        <f>step3_validation[[#This Row],[AI_ENF2]]</f>
        <v>8</v>
      </c>
      <c r="W127" t="str">
        <f t="shared" si="30"/>
        <v>Support</v>
      </c>
      <c r="X127">
        <f>survey_responses[[#This Row],[Tôi tin rằng Nhà nước, cơ quan thuế có đủ khả năng và công nghệ để phát hiện, xử lý nghiêm các hành vi trốn thuế. - HUMAN-ENF2]]</f>
        <v>8</v>
      </c>
      <c r="Y127" t="str">
        <f t="shared" si="31"/>
        <v>Support</v>
      </c>
      <c r="Z127" s="32">
        <f t="shared" si="32"/>
        <v>0</v>
      </c>
      <c r="AA127">
        <f>step3_validation[[#This Row],[AI_FAC1]]</f>
        <v>9</v>
      </c>
      <c r="AB127" t="str">
        <f t="shared" si="33"/>
        <v>Support</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4</v>
      </c>
      <c r="AF127">
        <f>step3_validation[[#This Row],[AI_FAC2]]</f>
        <v>8</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0</v>
      </c>
      <c r="AK127">
        <f>step3_validation[[#This Row],[AI_TRU1]]</f>
        <v>9</v>
      </c>
      <c r="AL127" t="str">
        <f t="shared" si="39"/>
        <v>Support</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1</v>
      </c>
      <c r="AP127">
        <f>step3_validation[[#This Row],[AI_TRU2]]</f>
        <v>7</v>
      </c>
      <c r="AQ127" t="str">
        <f t="shared" si="42"/>
        <v>Neutral</v>
      </c>
      <c r="AR127">
        <f>survey_responses[[#This Row],[Tôi thấy mức thuế tôi phải đóng theo phương án mới là công bằng (người thu nhập như tôi đóng mức này là hợp lý). - HUMAN-TRU2]]</f>
        <v>8</v>
      </c>
      <c r="AS127" t="str">
        <f t="shared" si="43"/>
        <v>Support</v>
      </c>
      <c r="AT127" s="32">
        <f t="shared" si="44"/>
        <v>1</v>
      </c>
      <c r="AU127">
        <f>step3_validation[[#This Row],[AI_TRU3]]</f>
        <v>8</v>
      </c>
      <c r="AV127" t="str">
        <f t="shared" si="45"/>
        <v>Support</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1</v>
      </c>
      <c r="AZ127">
        <f>step3_validation[[#This Row],[AI_TRU4]]</f>
        <v>6</v>
      </c>
      <c r="BA127" t="str">
        <f t="shared" si="48"/>
        <v>Neutral</v>
      </c>
      <c r="BB127">
        <f>survey_responses[[#This Row],[Tôi thấy Nhà nước đã giải thích rõ ràng, minh bạch về lý do và mục tiêu của việc sửa đổi thuế lần này. - HUMAN-TRU4]]</f>
        <v>7</v>
      </c>
      <c r="BC127" t="str">
        <f t="shared" si="49"/>
        <v>Neutral</v>
      </c>
      <c r="BD127" s="32">
        <f t="shared" si="50"/>
        <v>1</v>
      </c>
      <c r="BE127">
        <f>step3_validation[[#This Row],[AI_OUT1]]</f>
        <v>0</v>
      </c>
      <c r="BF127" t="str">
        <f t="shared" si="51"/>
        <v/>
      </c>
      <c r="BG127">
        <f>survey_responses[[#This Row],[Sau khi xem xét các quyền lợi và nghĩa vụ, bạn có ủng hộ và tuân thủ chính sách mới hiện nay? - HUMAN-OUT1]]</f>
        <v>8</v>
      </c>
      <c r="BH127" t="str">
        <f t="shared" si="52"/>
        <v>Support</v>
      </c>
      <c r="BI127" s="32">
        <f t="shared" si="53"/>
        <v>8</v>
      </c>
    </row>
    <row r="128" spans="1:61" x14ac:dyDescent="0.45">
      <c r="A128" s="30">
        <f>step3_validation[[#This Row],[Persona_ID]]</f>
        <v>127</v>
      </c>
      <c r="B128" s="31">
        <f>step3_validation[[#This Row],[Used_Seed]]</f>
        <v>12471</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198.64462478714378</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7</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6</v>
      </c>
      <c r="V128">
        <f>step3_validation[[#This Row],[AI_ENF2]]</f>
        <v>8</v>
      </c>
      <c r="W128" t="str">
        <f t="shared" si="30"/>
        <v>Support</v>
      </c>
      <c r="X128">
        <f>survey_responses[[#This Row],[Tôi tin rằng Nhà nước, cơ quan thuế có đủ khả năng và công nghệ để phát hiện, xử lý nghiêm các hành vi trốn thuế. - HUMAN-ENF2]]</f>
        <v>1</v>
      </c>
      <c r="Y128" t="str">
        <f t="shared" si="31"/>
        <v>Oppose</v>
      </c>
      <c r="Z128" s="32">
        <f t="shared" si="32"/>
        <v>7</v>
      </c>
      <c r="AA128">
        <f>step3_validation[[#This Row],[AI_FAC1]]</f>
        <v>9</v>
      </c>
      <c r="AB128" t="str">
        <f t="shared" si="33"/>
        <v>Support</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8</v>
      </c>
      <c r="AF128">
        <f>step3_validation[[#This Row],[AI_FAC2]]</f>
        <v>8</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3</v>
      </c>
      <c r="AK128">
        <f>step3_validation[[#This Row],[AI_TRU1]]</f>
        <v>9</v>
      </c>
      <c r="AL128" t="str">
        <f t="shared" si="39"/>
        <v>Support</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8</v>
      </c>
      <c r="AP128">
        <f>step3_validation[[#This Row],[AI_TRU2]]</f>
        <v>7</v>
      </c>
      <c r="AQ128" t="str">
        <f t="shared" si="42"/>
        <v>Neutral</v>
      </c>
      <c r="AR128">
        <f>survey_responses[[#This Row],[Tôi thấy mức thuế tôi phải đóng theo phương án mới là công bằng (người thu nhập như tôi đóng mức này là hợp lý). - HUMAN-TRU2]]</f>
        <v>1</v>
      </c>
      <c r="AS128" t="str">
        <f t="shared" si="43"/>
        <v>Oppose</v>
      </c>
      <c r="AT128" s="32">
        <f t="shared" si="44"/>
        <v>6</v>
      </c>
      <c r="AU128">
        <f>step3_validation[[#This Row],[AI_TRU3]]</f>
        <v>8</v>
      </c>
      <c r="AV128" t="str">
        <f t="shared" si="45"/>
        <v>Support</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7</v>
      </c>
      <c r="AZ128">
        <f>step3_validation[[#This Row],[AI_TRU4]]</f>
        <v>6</v>
      </c>
      <c r="BA128" t="str">
        <f t="shared" si="48"/>
        <v>Neutral</v>
      </c>
      <c r="BB128">
        <f>survey_responses[[#This Row],[Tôi thấy Nhà nước đã giải thích rõ ràng, minh bạch về lý do và mục tiêu của việc sửa đổi thuế lần này. - HUMAN-TRU4]]</f>
        <v>5</v>
      </c>
      <c r="BC128" t="str">
        <f t="shared" si="49"/>
        <v>Neutral</v>
      </c>
      <c r="BD128" s="32">
        <f t="shared" si="50"/>
        <v>1</v>
      </c>
      <c r="BE128">
        <f>step3_validation[[#This Row],[AI_OUT1]]</f>
        <v>5</v>
      </c>
      <c r="BF128" t="str">
        <f t="shared" si="51"/>
        <v>Neutral</v>
      </c>
      <c r="BG128">
        <f>survey_responses[[#This Row],[Sau khi xem xét các quyền lợi và nghĩa vụ, bạn có ủng hộ và tuân thủ chính sách mới hiện nay? - HUMAN-OUT1]]</f>
        <v>5</v>
      </c>
      <c r="BH128" t="str">
        <f t="shared" si="52"/>
        <v>Neutral</v>
      </c>
      <c r="BI128" s="32">
        <f t="shared" si="53"/>
        <v>0</v>
      </c>
    </row>
    <row r="129" spans="1:61" x14ac:dyDescent="0.45">
      <c r="A129" s="30">
        <f>step3_validation[[#This Row],[Persona_ID]]</f>
        <v>128</v>
      </c>
      <c r="B129" s="31">
        <f>step3_validation[[#This Row],[Used_Seed]]</f>
        <v>12472</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117.90727278959787</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6</v>
      </c>
      <c r="R129" t="str">
        <f t="shared" si="27"/>
        <v>Neutral</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0</v>
      </c>
      <c r="V129">
        <f>step3_validation[[#This Row],[AI_ENF2]]</f>
        <v>7</v>
      </c>
      <c r="W129" t="str">
        <f t="shared" si="30"/>
        <v>Neutral</v>
      </c>
      <c r="X129">
        <f>survey_responses[[#This Row],[Tôi tin rằng Nhà nước, cơ quan thuế có đủ khả năng và công nghệ để phát hiện, xử lý nghiêm các hành vi trốn thuế. - HUMAN-ENF2]]</f>
        <v>6</v>
      </c>
      <c r="Y129" t="str">
        <f t="shared" si="31"/>
        <v>Neutral</v>
      </c>
      <c r="Z129" s="32">
        <f t="shared" si="32"/>
        <v>1</v>
      </c>
      <c r="AA129">
        <f>step3_validation[[#This Row],[AI_FAC1]]</f>
        <v>8</v>
      </c>
      <c r="AB129" t="str">
        <f t="shared" si="33"/>
        <v>Support</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2</v>
      </c>
      <c r="AF129">
        <f>step3_validation[[#This Row],[AI_FAC2]]</f>
        <v>9</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1</v>
      </c>
      <c r="AK129">
        <f>step3_validation[[#This Row],[AI_TRU1]]</f>
        <v>7</v>
      </c>
      <c r="AL129" t="str">
        <f t="shared" si="39"/>
        <v>Neutral</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1</v>
      </c>
      <c r="AP129">
        <f>step3_validation[[#This Row],[AI_TRU2]]</f>
        <v>8</v>
      </c>
      <c r="AQ129" t="str">
        <f t="shared" si="42"/>
        <v>Support</v>
      </c>
      <c r="AR129">
        <f>survey_responses[[#This Row],[Tôi thấy mức thuế tôi phải đóng theo phương án mới là công bằng (người thu nhập như tôi đóng mức này là hợp lý). - HUMAN-TRU2]]</f>
        <v>3</v>
      </c>
      <c r="AS129" t="str">
        <f t="shared" si="43"/>
        <v>Oppose</v>
      </c>
      <c r="AT129" s="32">
        <f t="shared" si="44"/>
        <v>5</v>
      </c>
      <c r="AU129">
        <f>step3_validation[[#This Row],[AI_TRU3]]</f>
        <v>6</v>
      </c>
      <c r="AV129" t="str">
        <f t="shared" si="45"/>
        <v>Neutral</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1</v>
      </c>
      <c r="AZ129">
        <f>step3_validation[[#This Row],[AI_TRU4]]</f>
        <v>5</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2">
        <f t="shared" si="50"/>
        <v>0</v>
      </c>
      <c r="BE129">
        <f>step3_validation[[#This Row],[AI_OUT1]]</f>
        <v>7</v>
      </c>
      <c r="BF129" t="str">
        <f t="shared" si="51"/>
        <v>Neutral</v>
      </c>
      <c r="BG129">
        <f>survey_responses[[#This Row],[Sau khi xem xét các quyền lợi và nghĩa vụ, bạn có ủng hộ và tuân thủ chính sách mới hiện nay? - HUMAN-OUT1]]</f>
        <v>4</v>
      </c>
      <c r="BH129" t="str">
        <f t="shared" si="52"/>
        <v>Oppose</v>
      </c>
      <c r="BI129" s="32">
        <f t="shared" si="53"/>
        <v>3</v>
      </c>
    </row>
    <row r="130" spans="1:61" x14ac:dyDescent="0.45">
      <c r="A130" s="30">
        <f>step3_validation[[#This Row],[Persona_ID]]</f>
        <v>129</v>
      </c>
      <c r="B130" s="31">
        <f>step3_validation[[#This Row],[Used_Seed]]</f>
        <v>12473</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123.77938844694197</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6</v>
      </c>
      <c r="R130" t="str">
        <f t="shared" si="27"/>
        <v>Neutral</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0</v>
      </c>
      <c r="V130">
        <f>step3_validation[[#This Row],[AI_ENF2]]</f>
        <v>7</v>
      </c>
      <c r="W130" t="str">
        <f t="shared" si="30"/>
        <v>Neutral</v>
      </c>
      <c r="X130">
        <f>survey_responses[[#This Row],[Tôi tin rằng Nhà nước, cơ quan thuế có đủ khả năng và công nghệ để phát hiện, xử lý nghiêm các hành vi trốn thuế. - HUMAN-ENF2]]</f>
        <v>6</v>
      </c>
      <c r="Y130" t="str">
        <f t="shared" si="31"/>
        <v>Neutral</v>
      </c>
      <c r="Z130" s="32">
        <f t="shared" si="32"/>
        <v>1</v>
      </c>
      <c r="AA130">
        <f>step3_validation[[#This Row],[AI_FAC1]]</f>
        <v>5</v>
      </c>
      <c r="AB130" t="str">
        <f t="shared" si="33"/>
        <v>Neutral</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1</v>
      </c>
      <c r="AF130">
        <f>step3_validation[[#This Row],[AI_FAC2]]</f>
        <v>4</v>
      </c>
      <c r="AG130" t="str">
        <f t="shared" si="36"/>
        <v>Oppose</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1</v>
      </c>
      <c r="AK130">
        <f>step3_validation[[#This Row],[AI_TRU1]]</f>
        <v>8</v>
      </c>
      <c r="AL130" t="str">
        <f t="shared" si="39"/>
        <v>Support</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3</v>
      </c>
      <c r="AP130">
        <f>step3_validation[[#This Row],[AI_TRU2]]</f>
        <v>6</v>
      </c>
      <c r="AQ130" t="str">
        <f t="shared" si="42"/>
        <v>Neutral</v>
      </c>
      <c r="AR130">
        <f>survey_responses[[#This Row],[Tôi thấy mức thuế tôi phải đóng theo phương án mới là công bằng (người thu nhập như tôi đóng mức này là hợp lý). - HUMAN-TRU2]]</f>
        <v>1</v>
      </c>
      <c r="AS130" t="str">
        <f t="shared" si="43"/>
        <v>Oppose</v>
      </c>
      <c r="AT130" s="32">
        <f t="shared" si="44"/>
        <v>5</v>
      </c>
      <c r="AU130">
        <f>step3_validation[[#This Row],[AI_TRU3]]</f>
        <v>5</v>
      </c>
      <c r="AV130" t="str">
        <f t="shared" si="45"/>
        <v>Neutral</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0</v>
      </c>
      <c r="AZ130">
        <f>step3_validation[[#This Row],[AI_TRU4]]</f>
        <v>6</v>
      </c>
      <c r="BA130" t="str">
        <f t="shared" si="48"/>
        <v>Neutral</v>
      </c>
      <c r="BB130">
        <f>survey_responses[[#This Row],[Tôi thấy Nhà nước đã giải thích rõ ràng, minh bạch về lý do và mục tiêu của việc sửa đổi thuế lần này. - HUMAN-TRU4]]</f>
        <v>4</v>
      </c>
      <c r="BC130" t="str">
        <f t="shared" si="49"/>
        <v>Oppose</v>
      </c>
      <c r="BD130" s="32">
        <f t="shared" si="50"/>
        <v>2</v>
      </c>
      <c r="BE130">
        <f>step3_validation[[#This Row],[AI_OUT1]]</f>
        <v>7</v>
      </c>
      <c r="BF130" t="str">
        <f t="shared" si="51"/>
        <v>Neutral</v>
      </c>
      <c r="BG130">
        <f>survey_responses[[#This Row],[Sau khi xem xét các quyền lợi và nghĩa vụ, bạn có ủng hộ và tuân thủ chính sách mới hiện nay? - HUMAN-OUT1]]</f>
        <v>5</v>
      </c>
      <c r="BH130" t="str">
        <f t="shared" si="52"/>
        <v>Neutral</v>
      </c>
      <c r="BI130" s="32">
        <f t="shared" si="53"/>
        <v>2</v>
      </c>
    </row>
    <row r="131" spans="1:61" x14ac:dyDescent="0.45">
      <c r="A131" s="30">
        <f>step3_validation[[#This Row],[Persona_ID]]</f>
        <v>130</v>
      </c>
      <c r="B131" s="31">
        <f>step3_validation[[#This Row],[Used_Seed]]</f>
        <v>12474</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76.963883500430342</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8</v>
      </c>
      <c r="R131" t="str">
        <f t="shared" ref="R131:R194" si="54">IF(AND(Q131&gt;=1,Q131&lt;5),"Oppose",IF(AND(Q131&gt;=5,Q131&lt;8),"Neutral",IF(AND(Q131&gt;=8,Q131&lt;=10),"Support","")))</f>
        <v>Support</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3</v>
      </c>
      <c r="V131">
        <f>step3_validation[[#This Row],[AI_ENF2]]</f>
        <v>7</v>
      </c>
      <c r="W131" t="str">
        <f t="shared" ref="W131:W194" si="57">IF(AND(V131&gt;=1,V131&lt;5),"Oppose",IF(AND(V131&gt;=5,V131&lt;8),"Neutral",IF(AND(V131&gt;=8,V131&lt;=10),"Support","")))</f>
        <v>Neutral</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2</v>
      </c>
      <c r="AA131">
        <f>step3_validation[[#This Row],[AI_FAC1]]</f>
        <v>9</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8</v>
      </c>
      <c r="AF131">
        <f>step3_validation[[#This Row],[AI_FAC2]]</f>
        <v>8</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4</v>
      </c>
      <c r="AK131">
        <f>step3_validation[[#This Row],[AI_TRU1]]</f>
        <v>6</v>
      </c>
      <c r="AL131" t="str">
        <f t="shared" ref="AL131:AL194" si="66">IF(AND(AK131&gt;=1,AK131&lt;5),"Oppose",IF(AND(AK131&gt;=5,AK131&lt;8),"Neutral",IF(AND(AK131&gt;=8,AK131&lt;=10),"Support","")))</f>
        <v>Neutral</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4</v>
      </c>
      <c r="AP131">
        <f>step3_validation[[#This Row],[AI_TRU2]]</f>
        <v>7</v>
      </c>
      <c r="AQ131" t="str">
        <f t="shared" ref="AQ131:AQ194" si="69">IF(AND(AP131&gt;=1,AP131&lt;5),"Oppose",IF(AND(AP131&gt;=5,AP131&lt;8),"Neutral",IF(AND(AP131&gt;=8,AP131&lt;=10),"Support","")))</f>
        <v>Neutral</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6</v>
      </c>
      <c r="AU131">
        <f>step3_validation[[#This Row],[AI_TRU3]]</f>
        <v>6</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5</v>
      </c>
      <c r="AZ131">
        <f>step3_validation[[#This Row],[AI_TRU4]]</f>
        <v>5</v>
      </c>
      <c r="BA131" t="str">
        <f t="shared" ref="BA131:BA194" si="75">IF(AND(AZ131&gt;=1,AZ131&lt;5),"Oppose",IF(AND(AZ131&gt;=5,AZ131&lt;8),"Neutral",IF(AND(AZ131&gt;=8,AZ131&lt;=10),"Support","")))</f>
        <v>Neutral</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4</v>
      </c>
      <c r="BE131">
        <f>step3_validation[[#This Row],[AI_OUT1]]</f>
        <v>7</v>
      </c>
      <c r="BF131" t="str">
        <f t="shared" ref="BF131:BF194" si="78">IF(AND(BE131&gt;=1,BE131&lt;5),"Oppose",IF(AND(BE131&gt;=5,BE131&lt;8),"Neutral",IF(AND(BE131&gt;=8,BE131&lt;=10),"Support","")))</f>
        <v>Neutral</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2</v>
      </c>
    </row>
    <row r="132" spans="1:61" x14ac:dyDescent="0.45">
      <c r="A132" s="30">
        <f>step3_validation[[#This Row],[Persona_ID]]</f>
        <v>131</v>
      </c>
      <c r="B132" s="31">
        <f>step3_validation[[#This Row],[Used_Seed]]</f>
        <v>12475</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83.111831894022401</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7</v>
      </c>
      <c r="R132" t="str">
        <f t="shared" si="54"/>
        <v>Neutral</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1</v>
      </c>
      <c r="V132">
        <f>step3_validation[[#This Row],[AI_ENF2]]</f>
        <v>8</v>
      </c>
      <c r="W132" t="str">
        <f t="shared" si="57"/>
        <v>Support</v>
      </c>
      <c r="X132">
        <f>survey_responses[[#This Row],[Tôi tin rằng Nhà nước, cơ quan thuế có đủ khả năng và công nghệ để phát hiện, xử lý nghiêm các hành vi trốn thuế. - HUMAN-ENF2]]</f>
        <v>9</v>
      </c>
      <c r="Y132" t="str">
        <f t="shared" si="58"/>
        <v>Support</v>
      </c>
      <c r="Z132" s="32">
        <f t="shared" si="59"/>
        <v>1</v>
      </c>
      <c r="AA132">
        <f>step3_validation[[#This Row],[AI_FAC1]]</f>
        <v>6</v>
      </c>
      <c r="AB132" t="str">
        <f t="shared" si="60"/>
        <v>Neutral</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1</v>
      </c>
      <c r="AF132">
        <f>step3_validation[[#This Row],[AI_FAC2]]</f>
        <v>8</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3</v>
      </c>
      <c r="AK132">
        <f>step3_validation[[#This Row],[AI_TRU1]]</f>
        <v>6</v>
      </c>
      <c r="AL132" t="str">
        <f t="shared" si="66"/>
        <v>Neutral</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1</v>
      </c>
      <c r="AP132">
        <f>step3_validation[[#This Row],[AI_TRU2]]</f>
        <v>7</v>
      </c>
      <c r="AQ132" t="str">
        <f t="shared" si="69"/>
        <v>Neutral</v>
      </c>
      <c r="AR132">
        <f>survey_responses[[#This Row],[Tôi thấy mức thuế tôi phải đóng theo phương án mới là công bằng (người thu nhập như tôi đóng mức này là hợp lý). - HUMAN-TRU2]]</f>
        <v>4</v>
      </c>
      <c r="AS132" t="str">
        <f t="shared" si="70"/>
        <v>Oppose</v>
      </c>
      <c r="AT132" s="32">
        <f t="shared" si="71"/>
        <v>3</v>
      </c>
      <c r="AU132">
        <f>step3_validation[[#This Row],[AI_TRU3]]</f>
        <v>6</v>
      </c>
      <c r="AV132" t="str">
        <f t="shared" si="72"/>
        <v>Neutral</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1</v>
      </c>
      <c r="AZ132">
        <f>step3_validation[[#This Row],[AI_TRU4]]</f>
        <v>7</v>
      </c>
      <c r="BA132" t="str">
        <f t="shared" si="75"/>
        <v>Neutral</v>
      </c>
      <c r="BB132">
        <f>survey_responses[[#This Row],[Tôi thấy Nhà nước đã giải thích rõ ràng, minh bạch về lý do và mục tiêu của việc sửa đổi thuế lần này. - HUMAN-TRU4]]</f>
        <v>5</v>
      </c>
      <c r="BC132" t="str">
        <f t="shared" si="76"/>
        <v>Neutral</v>
      </c>
      <c r="BD132" s="32">
        <f t="shared" si="77"/>
        <v>2</v>
      </c>
      <c r="BE132">
        <f>step3_validation[[#This Row],[AI_OUT1]]</f>
        <v>7</v>
      </c>
      <c r="BF132" t="str">
        <f t="shared" si="78"/>
        <v>Neutral</v>
      </c>
      <c r="BG132">
        <f>survey_responses[[#This Row],[Sau khi xem xét các quyền lợi và nghĩa vụ, bạn có ủng hộ và tuân thủ chính sách mới hiện nay? - HUMAN-OUT1]]</f>
        <v>5</v>
      </c>
      <c r="BH132" t="str">
        <f t="shared" si="79"/>
        <v>Neutral</v>
      </c>
      <c r="BI132" s="32">
        <f t="shared" si="80"/>
        <v>2</v>
      </c>
    </row>
    <row r="133" spans="1:61" x14ac:dyDescent="0.45">
      <c r="A133" s="30">
        <f>step3_validation[[#This Row],[Persona_ID]]</f>
        <v>132</v>
      </c>
      <c r="B133" s="31">
        <f>step3_validation[[#This Row],[Used_Seed]]</f>
        <v>12476</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12.677340809925916</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8</v>
      </c>
      <c r="R133" t="str">
        <f t="shared" si="54"/>
        <v>Support</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1</v>
      </c>
      <c r="V133">
        <f>step3_validation[[#This Row],[AI_ENF2]]</f>
        <v>9</v>
      </c>
      <c r="W133" t="str">
        <f t="shared" si="57"/>
        <v>Support</v>
      </c>
      <c r="X133">
        <f>survey_responses[[#This Row],[Tôi tin rằng Nhà nước, cơ quan thuế có đủ khả năng và công nghệ để phát hiện, xử lý nghiêm các hành vi trốn thuế. - HUMAN-ENF2]]</f>
        <v>9</v>
      </c>
      <c r="Y133" t="str">
        <f t="shared" si="58"/>
        <v>Support</v>
      </c>
      <c r="Z133" s="32">
        <f t="shared" si="59"/>
        <v>0</v>
      </c>
      <c r="AA133">
        <f>step3_validation[[#This Row],[AI_FAC1]]</f>
        <v>7</v>
      </c>
      <c r="AB133" t="str">
        <f t="shared" si="60"/>
        <v>Neutral</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2</v>
      </c>
      <c r="AF133">
        <f>step3_validation[[#This Row],[AI_FAC2]]</f>
        <v>8</v>
      </c>
      <c r="AG133" t="str">
        <f t="shared" si="63"/>
        <v>Support</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1</v>
      </c>
      <c r="AK133">
        <f>step3_validation[[#This Row],[AI_TRU1]]</f>
        <v>7</v>
      </c>
      <c r="AL133" t="str">
        <f t="shared" si="66"/>
        <v>Neutral</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0</v>
      </c>
      <c r="AP133">
        <f>step3_validation[[#This Row],[AI_TRU2]]</f>
        <v>8</v>
      </c>
      <c r="AQ133" t="str">
        <f t="shared" si="69"/>
        <v>Support</v>
      </c>
      <c r="AR133">
        <f>survey_responses[[#This Row],[Tôi thấy mức thuế tôi phải đóng theo phương án mới là công bằng (người thu nhập như tôi đóng mức này là hợp lý). - HUMAN-TRU2]]</f>
        <v>10</v>
      </c>
      <c r="AS133" t="str">
        <f t="shared" si="70"/>
        <v>Support</v>
      </c>
      <c r="AT133" s="32">
        <f t="shared" si="71"/>
        <v>2</v>
      </c>
      <c r="AU133">
        <f>step3_validation[[#This Row],[AI_TRU3]]</f>
        <v>7</v>
      </c>
      <c r="AV133" t="str">
        <f t="shared" si="72"/>
        <v>Neutral</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2</v>
      </c>
      <c r="AZ133">
        <f>step3_validation[[#This Row],[AI_TRU4]]</f>
        <v>6</v>
      </c>
      <c r="BA133" t="str">
        <f t="shared" si="75"/>
        <v>Neutral</v>
      </c>
      <c r="BB133">
        <f>survey_responses[[#This Row],[Tôi thấy Nhà nước đã giải thích rõ ràng, minh bạch về lý do và mục tiêu của việc sửa đổi thuế lần này. - HUMAN-TRU4]]</f>
        <v>5</v>
      </c>
      <c r="BC133" t="str">
        <f t="shared" si="76"/>
        <v>Neutral</v>
      </c>
      <c r="BD133" s="32">
        <f t="shared" si="77"/>
        <v>1</v>
      </c>
      <c r="BE133">
        <f>step3_validation[[#This Row],[AI_OUT1]]</f>
        <v>8</v>
      </c>
      <c r="BF133" t="str">
        <f t="shared" si="78"/>
        <v>Support</v>
      </c>
      <c r="BG133">
        <f>survey_responses[[#This Row],[Sau khi xem xét các quyền lợi và nghĩa vụ, bạn có ủng hộ và tuân thủ chính sách mới hiện nay? - HUMAN-OUT1]]</f>
        <v>9</v>
      </c>
      <c r="BH133" t="str">
        <f t="shared" si="79"/>
        <v>Support</v>
      </c>
      <c r="BI133" s="32">
        <f t="shared" si="80"/>
        <v>1</v>
      </c>
    </row>
    <row r="134" spans="1:61" x14ac:dyDescent="0.45">
      <c r="A134" s="30">
        <f>step3_validation[[#This Row],[Persona_ID]]</f>
        <v>133</v>
      </c>
      <c r="B134" s="31">
        <f>step3_validation[[#This Row],[Used_Seed]]</f>
        <v>12477</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42.030908308466138</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7</v>
      </c>
      <c r="R134" t="str">
        <f t="shared" si="54"/>
        <v>Neutral</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2</v>
      </c>
      <c r="V134">
        <f>step3_validation[[#This Row],[AI_ENF2]]</f>
        <v>8</v>
      </c>
      <c r="W134" t="str">
        <f t="shared" si="57"/>
        <v>Support</v>
      </c>
      <c r="X134">
        <f>survey_responses[[#This Row],[Tôi tin rằng Nhà nước, cơ quan thuế có đủ khả năng và công nghệ để phát hiện, xử lý nghiêm các hành vi trốn thuế. - HUMAN-ENF2]]</f>
        <v>5</v>
      </c>
      <c r="Y134" t="str">
        <f t="shared" si="58"/>
        <v>Neutral</v>
      </c>
      <c r="Z134" s="32">
        <f t="shared" si="59"/>
        <v>3</v>
      </c>
      <c r="AA134">
        <f>step3_validation[[#This Row],[AI_FAC1]]</f>
        <v>6</v>
      </c>
      <c r="AB134" t="str">
        <f t="shared" si="60"/>
        <v>Neutral</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1</v>
      </c>
      <c r="AF134">
        <f>step3_validation[[#This Row],[AI_FAC2]]</f>
        <v>8</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3</v>
      </c>
      <c r="AK134">
        <f>step3_validation[[#This Row],[AI_TRU1]]</f>
        <v>6</v>
      </c>
      <c r="AL134" t="str">
        <f t="shared" si="66"/>
        <v>Neutral</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1</v>
      </c>
      <c r="AP134">
        <f>step3_validation[[#This Row],[AI_TRU2]]</f>
        <v>9</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2">
        <f t="shared" si="71"/>
        <v>4</v>
      </c>
      <c r="AU134">
        <f>step3_validation[[#This Row],[AI_TRU3]]</f>
        <v>7</v>
      </c>
      <c r="AV134" t="str">
        <f t="shared" si="72"/>
        <v>Neutral</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2</v>
      </c>
      <c r="AZ134">
        <f>step3_validation[[#This Row],[AI_TRU4]]</f>
        <v>6</v>
      </c>
      <c r="BA134" t="str">
        <f t="shared" si="75"/>
        <v>Neutral</v>
      </c>
      <c r="BB134">
        <f>survey_responses[[#This Row],[Tôi thấy Nhà nước đã giải thích rõ ràng, minh bạch về lý do và mục tiêu của việc sửa đổi thuế lần này. - HUMAN-TRU4]]</f>
        <v>5</v>
      </c>
      <c r="BC134" t="str">
        <f t="shared" si="76"/>
        <v>Neutral</v>
      </c>
      <c r="BD134" s="32">
        <f t="shared" si="77"/>
        <v>1</v>
      </c>
      <c r="BE134">
        <f>step3_validation[[#This Row],[AI_OUT1]]</f>
        <v>8</v>
      </c>
      <c r="BF134" t="str">
        <f t="shared" si="78"/>
        <v>Support</v>
      </c>
      <c r="BG134">
        <f>survey_responses[[#This Row],[Sau khi xem xét các quyền lợi và nghĩa vụ, bạn có ủng hộ và tuân thủ chính sách mới hiện nay? - HUMAN-OUT1]]</f>
        <v>5</v>
      </c>
      <c r="BH134" t="str">
        <f t="shared" si="79"/>
        <v>Neutral</v>
      </c>
      <c r="BI134" s="32">
        <f t="shared" si="80"/>
        <v>3</v>
      </c>
    </row>
    <row r="135" spans="1:61" x14ac:dyDescent="0.45">
      <c r="A135" s="30">
        <f>step3_validation[[#This Row],[Persona_ID]]</f>
        <v>134</v>
      </c>
      <c r="B135" s="31">
        <f>step3_validation[[#This Row],[Used_Seed]]</f>
        <v>12478</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19.566114812780143</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7</v>
      </c>
      <c r="R135" t="str">
        <f t="shared" si="54"/>
        <v>Neutral</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2</v>
      </c>
      <c r="V135">
        <f>step3_validation[[#This Row],[AI_ENF2]]</f>
        <v>8</v>
      </c>
      <c r="W135" t="str">
        <f t="shared" si="57"/>
        <v>Support</v>
      </c>
      <c r="X135">
        <f>survey_responses[[#This Row],[Tôi tin rằng Nhà nước, cơ quan thuế có đủ khả năng và công nghệ để phát hiện, xử lý nghiêm các hành vi trốn thuế. - HUMAN-ENF2]]</f>
        <v>9</v>
      </c>
      <c r="Y135" t="str">
        <f t="shared" si="58"/>
        <v>Support</v>
      </c>
      <c r="Z135" s="32">
        <f t="shared" si="59"/>
        <v>1</v>
      </c>
      <c r="AA135">
        <f>step3_validation[[#This Row],[AI_FAC1]]</f>
        <v>6</v>
      </c>
      <c r="AB135" t="str">
        <f t="shared" si="60"/>
        <v>Neutral</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1</v>
      </c>
      <c r="AF135">
        <f>step3_validation[[#This Row],[AI_FAC2]]</f>
        <v>7</v>
      </c>
      <c r="AG135" t="str">
        <f t="shared" si="63"/>
        <v>Neutral</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2</v>
      </c>
      <c r="AK135">
        <f>step3_validation[[#This Row],[AI_TRU1]]</f>
        <v>6</v>
      </c>
      <c r="AL135" t="str">
        <f t="shared" si="66"/>
        <v>Neutral</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2</v>
      </c>
      <c r="AP135">
        <f>step3_validation[[#This Row],[AI_TRU2]]</f>
        <v>8</v>
      </c>
      <c r="AQ135" t="str">
        <f t="shared" si="69"/>
        <v>Support</v>
      </c>
      <c r="AR135">
        <f>survey_responses[[#This Row],[Tôi thấy mức thuế tôi phải đóng theo phương án mới là công bằng (người thu nhập như tôi đóng mức này là hợp lý). - HUMAN-TRU2]]</f>
        <v>10</v>
      </c>
      <c r="AS135" t="str">
        <f t="shared" si="70"/>
        <v>Support</v>
      </c>
      <c r="AT135" s="32">
        <f t="shared" si="71"/>
        <v>2</v>
      </c>
      <c r="AU135">
        <f>step3_validation[[#This Row],[AI_TRU3]]</f>
        <v>7</v>
      </c>
      <c r="AV135" t="str">
        <f t="shared" si="72"/>
        <v>Neutral</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2</v>
      </c>
      <c r="AZ135">
        <f>step3_validation[[#This Row],[AI_TRU4]]</f>
        <v>6</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2">
        <f t="shared" si="77"/>
        <v>1</v>
      </c>
      <c r="BE135">
        <f>step3_validation[[#This Row],[AI_OUT1]]</f>
        <v>5</v>
      </c>
      <c r="BF135" t="str">
        <f t="shared" si="78"/>
        <v>Neutral</v>
      </c>
      <c r="BG135">
        <f>survey_responses[[#This Row],[Sau khi xem xét các quyền lợi và nghĩa vụ, bạn có ủng hộ và tuân thủ chính sách mới hiện nay? - HUMAN-OUT1]]</f>
        <v>7</v>
      </c>
      <c r="BH135" t="str">
        <f t="shared" si="79"/>
        <v>Neutral</v>
      </c>
      <c r="BI135" s="32">
        <f t="shared" si="80"/>
        <v>2</v>
      </c>
    </row>
    <row r="136" spans="1:61" x14ac:dyDescent="0.45">
      <c r="A136" s="30">
        <f>step3_validation[[#This Row],[Persona_ID]]</f>
        <v>135</v>
      </c>
      <c r="B136" s="31">
        <f>step3_validation[[#This Row],[Used_Seed]]</f>
        <v>12479</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14.048329736593841</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7</v>
      </c>
      <c r="R136" t="str">
        <f t="shared" si="54"/>
        <v>Neutral</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2</v>
      </c>
      <c r="V136">
        <f>step3_validation[[#This Row],[AI_ENF2]]</f>
        <v>8</v>
      </c>
      <c r="W136" t="str">
        <f t="shared" si="57"/>
        <v>Support</v>
      </c>
      <c r="X136">
        <f>survey_responses[[#This Row],[Tôi tin rằng Nhà nước, cơ quan thuế có đủ khả năng và công nghệ để phát hiện, xử lý nghiêm các hành vi trốn thuế. - HUMAN-ENF2]]</f>
        <v>5</v>
      </c>
      <c r="Y136" t="str">
        <f t="shared" si="58"/>
        <v>Neutral</v>
      </c>
      <c r="Z136" s="32">
        <f t="shared" si="59"/>
        <v>3</v>
      </c>
      <c r="AA136">
        <f>step3_validation[[#This Row],[AI_FAC1]]</f>
        <v>6</v>
      </c>
      <c r="AB136" t="str">
        <f t="shared" si="60"/>
        <v>Neutral</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1</v>
      </c>
      <c r="AF136">
        <f>step3_validation[[#This Row],[AI_FAC2]]</f>
        <v>9</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3</v>
      </c>
      <c r="AK136">
        <f>step3_validation[[#This Row],[AI_TRU1]]</f>
        <v>8</v>
      </c>
      <c r="AL136" t="str">
        <f t="shared" si="66"/>
        <v>Support</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2</v>
      </c>
      <c r="AP136">
        <f>step3_validation[[#This Row],[AI_TRU2]]</f>
        <v>7</v>
      </c>
      <c r="AQ136" t="str">
        <f t="shared" si="69"/>
        <v>Neutral</v>
      </c>
      <c r="AR136">
        <f>survey_responses[[#This Row],[Tôi thấy mức thuế tôi phải đóng theo phương án mới là công bằng (người thu nhập như tôi đóng mức này là hợp lý). - HUMAN-TRU2]]</f>
        <v>6</v>
      </c>
      <c r="AS136" t="str">
        <f t="shared" si="70"/>
        <v>Neutral</v>
      </c>
      <c r="AT136" s="32">
        <f t="shared" si="71"/>
        <v>1</v>
      </c>
      <c r="AU136">
        <f>step3_validation[[#This Row],[AI_TRU3]]</f>
        <v>8</v>
      </c>
      <c r="AV136" t="str">
        <f t="shared" si="72"/>
        <v>Support</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2</v>
      </c>
      <c r="AZ136">
        <f>step3_validation[[#This Row],[AI_TRU4]]</f>
        <v>6</v>
      </c>
      <c r="BA136" t="str">
        <f t="shared" si="75"/>
        <v>Neutral</v>
      </c>
      <c r="BB136">
        <f>survey_responses[[#This Row],[Tôi thấy Nhà nước đã giải thích rõ ràng, minh bạch về lý do và mục tiêu của việc sửa đổi thuế lần này. - HUMAN-TRU4]]</f>
        <v>6</v>
      </c>
      <c r="BC136" t="str">
        <f t="shared" si="76"/>
        <v>Neutral</v>
      </c>
      <c r="BD136" s="32">
        <f t="shared" si="77"/>
        <v>0</v>
      </c>
      <c r="BE136">
        <f>step3_validation[[#This Row],[AI_OUT1]]</f>
        <v>7</v>
      </c>
      <c r="BF136" t="str">
        <f t="shared" si="78"/>
        <v>Neutral</v>
      </c>
      <c r="BG136">
        <f>survey_responses[[#This Row],[Sau khi xem xét các quyền lợi và nghĩa vụ, bạn có ủng hộ và tuân thủ chính sách mới hiện nay? - HUMAN-OUT1]]</f>
        <v>6</v>
      </c>
      <c r="BH136" t="str">
        <f t="shared" si="79"/>
        <v>Neutral</v>
      </c>
      <c r="BI136" s="32">
        <f t="shared" si="80"/>
        <v>1</v>
      </c>
    </row>
    <row r="137" spans="1:61" x14ac:dyDescent="0.45">
      <c r="A137" s="30">
        <f>step3_validation[[#This Row],[Persona_ID]]</f>
        <v>136</v>
      </c>
      <c r="B137" s="31">
        <f>step3_validation[[#This Row],[Used_Seed]]</f>
        <v>12480</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8</v>
      </c>
      <c r="R137" t="str">
        <f t="shared" si="54"/>
        <v>Support</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0</v>
      </c>
      <c r="V137">
        <f>step3_validation[[#This Row],[AI_ENF2]]</f>
        <v>7</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1</v>
      </c>
      <c r="AA137">
        <f>step3_validation[[#This Row],[AI_FAC1]]</f>
        <v>9</v>
      </c>
      <c r="AB137" t="str">
        <f t="shared" si="60"/>
        <v>Support</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1</v>
      </c>
      <c r="AF137">
        <f>step3_validation[[#This Row],[AI_FAC2]]</f>
        <v>8</v>
      </c>
      <c r="AG137" t="str">
        <f t="shared" si="63"/>
        <v>Support</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0</v>
      </c>
      <c r="AK137">
        <f>step3_validation[[#This Row],[AI_TRU1]]</f>
        <v>7</v>
      </c>
      <c r="AL137" t="str">
        <f t="shared" si="66"/>
        <v>Neutral</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3</v>
      </c>
      <c r="AP137">
        <f>step3_validation[[#This Row],[AI_TRU2]]</f>
        <v>8</v>
      </c>
      <c r="AQ137" t="str">
        <f t="shared" si="69"/>
        <v>Support</v>
      </c>
      <c r="AR137">
        <f>survey_responses[[#This Row],[Tôi thấy mức thuế tôi phải đóng theo phương án mới là công bằng (người thu nhập như tôi đóng mức này là hợp lý). - HUMAN-TRU2]]</f>
        <v>10</v>
      </c>
      <c r="AS137" t="str">
        <f t="shared" si="70"/>
        <v>Support</v>
      </c>
      <c r="AT137" s="32">
        <f t="shared" si="71"/>
        <v>2</v>
      </c>
      <c r="AU137">
        <f>step3_validation[[#This Row],[AI_TRU3]]</f>
        <v>7</v>
      </c>
      <c r="AV137" t="str">
        <f t="shared" si="72"/>
        <v>Neutral</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3</v>
      </c>
      <c r="AZ137">
        <f>step3_validation[[#This Row],[AI_TRU4]]</f>
        <v>6</v>
      </c>
      <c r="BA137" t="str">
        <f t="shared" si="75"/>
        <v>Neutral</v>
      </c>
      <c r="BB137">
        <f>survey_responses[[#This Row],[Tôi thấy Nhà nước đã giải thích rõ ràng, minh bạch về lý do và mục tiêu của việc sửa đổi thuế lần này. - HUMAN-TRU4]]</f>
        <v>10</v>
      </c>
      <c r="BC137" t="str">
        <f t="shared" si="76"/>
        <v>Support</v>
      </c>
      <c r="BD137" s="32">
        <f t="shared" si="77"/>
        <v>4</v>
      </c>
      <c r="BE137">
        <f>step3_validation[[#This Row],[AI_OUT1]]</f>
        <v>8</v>
      </c>
      <c r="BF137" t="str">
        <f t="shared" si="78"/>
        <v>Support</v>
      </c>
      <c r="BG137">
        <f>survey_responses[[#This Row],[Sau khi xem xét các quyền lợi và nghĩa vụ, bạn có ủng hộ và tuân thủ chính sách mới hiện nay? - HUMAN-OUT1]]</f>
        <v>10</v>
      </c>
      <c r="BH137" t="str">
        <f t="shared" si="79"/>
        <v>Support</v>
      </c>
      <c r="BI137" s="32">
        <f t="shared" si="80"/>
        <v>2</v>
      </c>
    </row>
    <row r="138" spans="1:61" x14ac:dyDescent="0.45">
      <c r="A138" s="30">
        <f>step3_validation[[#This Row],[Persona_ID]]</f>
        <v>137</v>
      </c>
      <c r="B138" s="31">
        <f>step3_validation[[#This Row],[Used_Seed]]</f>
        <v>12481</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135.68484840159198</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6</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2</v>
      </c>
      <c r="V138">
        <f>step3_validation[[#This Row],[AI_ENF2]]</f>
        <v>5</v>
      </c>
      <c r="W138" t="str">
        <f t="shared" si="57"/>
        <v>Neutral</v>
      </c>
      <c r="X138">
        <f>survey_responses[[#This Row],[Tôi tin rằng Nhà nước, cơ quan thuế có đủ khả năng và công nghệ để phát hiện, xử lý nghiêm các hành vi trốn thuế. - HUMAN-ENF2]]</f>
        <v>8</v>
      </c>
      <c r="Y138" t="str">
        <f t="shared" si="58"/>
        <v>Support</v>
      </c>
      <c r="Z138" s="32">
        <f t="shared" si="59"/>
        <v>3</v>
      </c>
      <c r="AA138">
        <f>step3_validation[[#This Row],[AI_FAC1]]</f>
        <v>4</v>
      </c>
      <c r="AB138" t="str">
        <f t="shared" si="60"/>
        <v>Oppose</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4</v>
      </c>
      <c r="AF138">
        <f>step3_validation[[#This Row],[AI_FAC2]]</f>
        <v>7</v>
      </c>
      <c r="AG138" t="str">
        <f t="shared" si="63"/>
        <v>Neutral</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1</v>
      </c>
      <c r="AK138">
        <f>step3_validation[[#This Row],[AI_TRU1]]</f>
        <v>5</v>
      </c>
      <c r="AL138" t="str">
        <f t="shared" si="66"/>
        <v>Neutral</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3</v>
      </c>
      <c r="AP138">
        <f>step3_validation[[#This Row],[AI_TRU2]]</f>
        <v>8</v>
      </c>
      <c r="AQ138" t="str">
        <f t="shared" si="69"/>
        <v>Support</v>
      </c>
      <c r="AR138">
        <f>survey_responses[[#This Row],[Tôi thấy mức thuế tôi phải đóng theo phương án mới là công bằng (người thu nhập như tôi đóng mức này là hợp lý). - HUMAN-TRU2]]</f>
        <v>8</v>
      </c>
      <c r="AS138" t="str">
        <f t="shared" si="70"/>
        <v>Support</v>
      </c>
      <c r="AT138" s="32">
        <f t="shared" si="71"/>
        <v>0</v>
      </c>
      <c r="AU138">
        <f>step3_validation[[#This Row],[AI_TRU3]]</f>
        <v>5</v>
      </c>
      <c r="AV138" t="str">
        <f t="shared" si="72"/>
        <v>Neutral</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0</v>
      </c>
      <c r="AZ138">
        <f>step3_validation[[#This Row],[AI_TRU4]]</f>
        <v>4</v>
      </c>
      <c r="BA138" t="str">
        <f t="shared" si="75"/>
        <v>Oppose</v>
      </c>
      <c r="BB138">
        <f>survey_responses[[#This Row],[Tôi thấy Nhà nước đã giải thích rõ ràng, minh bạch về lý do và mục tiêu của việc sửa đổi thuế lần này. - HUMAN-TRU4]]</f>
        <v>7</v>
      </c>
      <c r="BC138" t="str">
        <f t="shared" si="76"/>
        <v>Neutral</v>
      </c>
      <c r="BD138" s="32">
        <f t="shared" si="77"/>
        <v>3</v>
      </c>
      <c r="BE138">
        <f>step3_validation[[#This Row],[AI_OUT1]]</f>
        <v>6</v>
      </c>
      <c r="BF138" t="str">
        <f t="shared" si="78"/>
        <v>Neutral</v>
      </c>
      <c r="BG138">
        <f>survey_responses[[#This Row],[Sau khi xem xét các quyền lợi và nghĩa vụ, bạn có ủng hộ và tuân thủ chính sách mới hiện nay? - HUMAN-OUT1]]</f>
        <v>8</v>
      </c>
      <c r="BH138" t="str">
        <f t="shared" si="79"/>
        <v>Support</v>
      </c>
      <c r="BI138" s="32">
        <f t="shared" si="80"/>
        <v>2</v>
      </c>
    </row>
    <row r="139" spans="1:61" x14ac:dyDescent="0.45">
      <c r="A139" s="30">
        <f>step3_validation[[#This Row],[Persona_ID]]</f>
        <v>138</v>
      </c>
      <c r="B139" s="31">
        <f>step3_validation[[#This Row],[Used_Seed]]</f>
        <v>12482</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14.139724413877779</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t="str">
        <f t="shared" si="54"/>
        <v>Neutral</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1</v>
      </c>
      <c r="V139">
        <f>step3_validation[[#This Row],[AI_ENF2]]</f>
        <v>6</v>
      </c>
      <c r="W139" t="str">
        <f t="shared" si="57"/>
        <v>Neutral</v>
      </c>
      <c r="X139">
        <f>survey_responses[[#This Row],[Tôi tin rằng Nhà nước, cơ quan thuế có đủ khả năng và công nghệ để phát hiện, xử lý nghiêm các hành vi trốn thuế. - HUMAN-ENF2]]</f>
        <v>9</v>
      </c>
      <c r="Y139" t="str">
        <f t="shared" si="58"/>
        <v>Support</v>
      </c>
      <c r="Z139" s="32">
        <f t="shared" si="59"/>
        <v>3</v>
      </c>
      <c r="AA139">
        <f>step3_validation[[#This Row],[AI_FAC1]]</f>
        <v>8</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1</v>
      </c>
      <c r="AF139">
        <f>step3_validation[[#This Row],[AI_FAC2]]</f>
        <v>9</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2</v>
      </c>
      <c r="AK139">
        <f>step3_validation[[#This Row],[AI_TRU1]]</f>
        <v>6</v>
      </c>
      <c r="AL139" t="str">
        <f t="shared" si="66"/>
        <v>Neutral</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0</v>
      </c>
      <c r="AP139">
        <f>step3_validation[[#This Row],[AI_TRU2]]</f>
        <v>8</v>
      </c>
      <c r="AQ139" t="str">
        <f t="shared" si="69"/>
        <v>Support</v>
      </c>
      <c r="AR139">
        <f>survey_responses[[#This Row],[Tôi thấy mức thuế tôi phải đóng theo phương án mới là công bằng (người thu nhập như tôi đóng mức này là hợp lý). - HUMAN-TRU2]]</f>
        <v>6</v>
      </c>
      <c r="AS139" t="str">
        <f t="shared" si="70"/>
        <v>Neutral</v>
      </c>
      <c r="AT139" s="32">
        <f t="shared" si="71"/>
        <v>2</v>
      </c>
      <c r="AU139">
        <f>step3_validation[[#This Row],[AI_TRU3]]</f>
        <v>7</v>
      </c>
      <c r="AV139" t="str">
        <f t="shared" si="72"/>
        <v>Neutral</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5</v>
      </c>
      <c r="AZ139">
        <f>step3_validation[[#This Row],[AI_TRU4]]</f>
        <v>6</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1</v>
      </c>
      <c r="BE139">
        <f>step3_validation[[#This Row],[AI_OUT1]]</f>
        <v>7</v>
      </c>
      <c r="BF139" t="str">
        <f t="shared" si="78"/>
        <v>Neutral</v>
      </c>
      <c r="BG139">
        <f>survey_responses[[#This Row],[Sau khi xem xét các quyền lợi và nghĩa vụ, bạn có ủng hộ và tuân thủ chính sách mới hiện nay? - HUMAN-OUT1]]</f>
        <v>6</v>
      </c>
      <c r="BH139" t="str">
        <f t="shared" si="79"/>
        <v>Neutral</v>
      </c>
      <c r="BI139" s="32">
        <f t="shared" si="80"/>
        <v>1</v>
      </c>
    </row>
    <row r="140" spans="1:61" x14ac:dyDescent="0.45">
      <c r="A140" s="30">
        <f>step3_validation[[#This Row],[Persona_ID]]</f>
        <v>139</v>
      </c>
      <c r="B140" s="31">
        <f>step3_validation[[#This Row],[Used_Seed]]</f>
        <v>12483</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158.4554792969042</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8</v>
      </c>
      <c r="R140" t="str">
        <f t="shared" si="54"/>
        <v>Support</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3</v>
      </c>
      <c r="V140">
        <f>step3_validation[[#This Row],[AI_ENF2]]</f>
        <v>9</v>
      </c>
      <c r="W140" t="str">
        <f t="shared" si="57"/>
        <v>Support</v>
      </c>
      <c r="X140">
        <f>survey_responses[[#This Row],[Tôi tin rằng Nhà nước, cơ quan thuế có đủ khả năng và công nghệ để phát hiện, xử lý nghiêm các hành vi trốn thuế. - HUMAN-ENF2]]</f>
        <v>4</v>
      </c>
      <c r="Y140" t="str">
        <f t="shared" si="58"/>
        <v>Oppose</v>
      </c>
      <c r="Z140" s="32">
        <f t="shared" si="59"/>
        <v>5</v>
      </c>
      <c r="AA140">
        <f>step3_validation[[#This Row],[AI_FAC1]]</f>
        <v>7</v>
      </c>
      <c r="AB140" t="str">
        <f t="shared" si="60"/>
        <v>Neutral</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0</v>
      </c>
      <c r="AF140">
        <f>step3_validation[[#This Row],[AI_FAC2]]</f>
        <v>8</v>
      </c>
      <c r="AG140" t="str">
        <f t="shared" si="63"/>
        <v>Support</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2</v>
      </c>
      <c r="AK140">
        <f>step3_validation[[#This Row],[AI_TRU1]]</f>
        <v>7</v>
      </c>
      <c r="AL140" t="str">
        <f t="shared" si="66"/>
        <v>Neutral</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4</v>
      </c>
      <c r="AP140">
        <f>step3_validation[[#This Row],[AI_TRU2]]</f>
        <v>6</v>
      </c>
      <c r="AQ140" t="str">
        <f t="shared" si="69"/>
        <v>Neutral</v>
      </c>
      <c r="AR140">
        <f>survey_responses[[#This Row],[Tôi thấy mức thuế tôi phải đóng theo phương án mới là công bằng (người thu nhập như tôi đóng mức này là hợp lý). - HUMAN-TRU2]]</f>
        <v>4</v>
      </c>
      <c r="AS140" t="str">
        <f t="shared" si="70"/>
        <v>Oppose</v>
      </c>
      <c r="AT140" s="32">
        <f t="shared" si="71"/>
        <v>2</v>
      </c>
      <c r="AU140">
        <f>step3_validation[[#This Row],[AI_TRU3]]</f>
        <v>7</v>
      </c>
      <c r="AV140" t="str">
        <f t="shared" si="72"/>
        <v>Neutral</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3</v>
      </c>
      <c r="AZ140">
        <f>step3_validation[[#This Row],[AI_TRU4]]</f>
        <v>6</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2">
        <f t="shared" si="77"/>
        <v>1</v>
      </c>
      <c r="BE140">
        <f>step3_validation[[#This Row],[AI_OUT1]]</f>
        <v>7</v>
      </c>
      <c r="BF140" t="str">
        <f t="shared" si="78"/>
        <v>Neutral</v>
      </c>
      <c r="BG140">
        <f>survey_responses[[#This Row],[Sau khi xem xét các quyền lợi và nghĩa vụ, bạn có ủng hộ và tuân thủ chính sách mới hiện nay? - HUMAN-OUT1]]</f>
        <v>5</v>
      </c>
      <c r="BH140" t="str">
        <f t="shared" si="79"/>
        <v>Neutral</v>
      </c>
      <c r="BI140" s="32">
        <f t="shared" si="80"/>
        <v>2</v>
      </c>
    </row>
    <row r="141" spans="1:61" x14ac:dyDescent="0.45">
      <c r="A141" s="30">
        <f>step3_validation[[#This Row],[Persona_ID]]</f>
        <v>140</v>
      </c>
      <c r="B141" s="31">
        <f>step3_validation[[#This Row],[Used_Seed]]</f>
        <v>12484</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26.307433001153747</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8</v>
      </c>
      <c r="R141" t="str">
        <f t="shared" si="54"/>
        <v>Support</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2</v>
      </c>
      <c r="V141">
        <f>step3_validation[[#This Row],[AI_ENF2]]</f>
        <v>7</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2">
        <f t="shared" si="59"/>
        <v>2</v>
      </c>
      <c r="AA141">
        <f>step3_validation[[#This Row],[AI_FAC1]]</f>
        <v>9</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0</v>
      </c>
      <c r="AF141">
        <f>step3_validation[[#This Row],[AI_FAC2]]</f>
        <v>8</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1</v>
      </c>
      <c r="AK141">
        <f>step3_validation[[#This Row],[AI_TRU1]]</f>
        <v>7</v>
      </c>
      <c r="AL141" t="str">
        <f t="shared" si="66"/>
        <v>Neutral</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1</v>
      </c>
      <c r="AP141">
        <f>step3_validation[[#This Row],[AI_TRU2]]</f>
        <v>8</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2">
        <f t="shared" si="71"/>
        <v>0</v>
      </c>
      <c r="AU141">
        <f>step3_validation[[#This Row],[AI_TRU3]]</f>
        <v>7</v>
      </c>
      <c r="AV141" t="str">
        <f t="shared" si="72"/>
        <v>Neutral</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1</v>
      </c>
      <c r="AZ141">
        <f>step3_validation[[#This Row],[AI_TRU4]]</f>
        <v>8</v>
      </c>
      <c r="BA141" t="str">
        <f t="shared" si="75"/>
        <v>Support</v>
      </c>
      <c r="BB141">
        <f>survey_responses[[#This Row],[Tôi thấy Nhà nước đã giải thích rõ ràng, minh bạch về lý do và mục tiêu của việc sửa đổi thuế lần này. - HUMAN-TRU4]]</f>
        <v>8</v>
      </c>
      <c r="BC141" t="str">
        <f t="shared" si="76"/>
        <v>Support</v>
      </c>
      <c r="BD141" s="32">
        <f t="shared" si="77"/>
        <v>0</v>
      </c>
      <c r="BE141">
        <f>step3_validation[[#This Row],[AI_OUT1]]</f>
        <v>7</v>
      </c>
      <c r="BF141" t="str">
        <f t="shared" si="78"/>
        <v>Neutral</v>
      </c>
      <c r="BG141">
        <f>survey_responses[[#This Row],[Sau khi xem xét các quyền lợi và nghĩa vụ, bạn có ủng hộ và tuân thủ chính sách mới hiện nay? - HUMAN-OUT1]]</f>
        <v>10</v>
      </c>
      <c r="BH141" t="str">
        <f t="shared" si="79"/>
        <v>Support</v>
      </c>
      <c r="BI141" s="32">
        <f t="shared" si="80"/>
        <v>3</v>
      </c>
    </row>
    <row r="142" spans="1:61" x14ac:dyDescent="0.45">
      <c r="A142" s="30">
        <f>step3_validation[[#This Row],[Persona_ID]]</f>
        <v>141</v>
      </c>
      <c r="B142" s="31">
        <f>step3_validation[[#This Row],[Used_Seed]]</f>
        <v>12485</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24.022720572137843</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8</v>
      </c>
      <c r="R142" t="str">
        <f t="shared" si="54"/>
        <v>Support</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0</v>
      </c>
      <c r="V142">
        <f>step3_validation[[#This Row],[AI_ENF2]]</f>
        <v>7</v>
      </c>
      <c r="W142" t="str">
        <f t="shared" si="57"/>
        <v>Neutral</v>
      </c>
      <c r="X142">
        <f>survey_responses[[#This Row],[Tôi tin rằng Nhà nước, cơ quan thuế có đủ khả năng và công nghệ để phát hiện, xử lý nghiêm các hành vi trốn thuế. - HUMAN-ENF2]]</f>
        <v>7</v>
      </c>
      <c r="Y142" t="str">
        <f t="shared" si="58"/>
        <v>Neutral</v>
      </c>
      <c r="Z142" s="32">
        <f t="shared" si="59"/>
        <v>0</v>
      </c>
      <c r="AA142">
        <f>step3_validation[[#This Row],[AI_FAC1]]</f>
        <v>9</v>
      </c>
      <c r="AB142" t="str">
        <f t="shared" si="60"/>
        <v>Support</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3</v>
      </c>
      <c r="AF142">
        <f>step3_validation[[#This Row],[AI_FAC2]]</f>
        <v>8</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2</v>
      </c>
      <c r="AK142">
        <f>step3_validation[[#This Row],[AI_TRU1]]</f>
        <v>7</v>
      </c>
      <c r="AL142" t="str">
        <f t="shared" si="66"/>
        <v>Neutral</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2</v>
      </c>
      <c r="AP142">
        <f>step3_validation[[#This Row],[AI_TRU2]]</f>
        <v>6</v>
      </c>
      <c r="AQ142" t="str">
        <f t="shared" si="69"/>
        <v>Neutral</v>
      </c>
      <c r="AR142">
        <f>survey_responses[[#This Row],[Tôi thấy mức thuế tôi phải đóng theo phương án mới là công bằng (người thu nhập như tôi đóng mức này là hợp lý). - HUMAN-TRU2]]</f>
        <v>5</v>
      </c>
      <c r="AS142" t="str">
        <f t="shared" si="70"/>
        <v>Neutral</v>
      </c>
      <c r="AT142" s="32">
        <f t="shared" si="71"/>
        <v>1</v>
      </c>
      <c r="AU142">
        <f>step3_validation[[#This Row],[AI_TRU3]]</f>
        <v>6</v>
      </c>
      <c r="AV142" t="str">
        <f t="shared" si="72"/>
        <v>Neutral</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3</v>
      </c>
      <c r="AZ142">
        <f>step3_validation[[#This Row],[AI_TRU4]]</f>
        <v>7</v>
      </c>
      <c r="BA142" t="str">
        <f t="shared" si="75"/>
        <v>Neutral</v>
      </c>
      <c r="BB142">
        <f>survey_responses[[#This Row],[Tôi thấy Nhà nước đã giải thích rõ ràng, minh bạch về lý do và mục tiêu của việc sửa đổi thuế lần này. - HUMAN-TRU4]]</f>
        <v>3</v>
      </c>
      <c r="BC142" t="str">
        <f t="shared" si="76"/>
        <v>Oppose</v>
      </c>
      <c r="BD142" s="32">
        <f t="shared" si="77"/>
        <v>4</v>
      </c>
      <c r="BE142">
        <f>step3_validation[[#This Row],[AI_OUT1]]</f>
        <v>8</v>
      </c>
      <c r="BF142" t="str">
        <f t="shared" si="78"/>
        <v>Support</v>
      </c>
      <c r="BG142">
        <f>survey_responses[[#This Row],[Sau khi xem xét các quyền lợi và nghĩa vụ, bạn có ủng hộ và tuân thủ chính sách mới hiện nay? - HUMAN-OUT1]]</f>
        <v>5</v>
      </c>
      <c r="BH142" t="str">
        <f t="shared" si="79"/>
        <v>Neutral</v>
      </c>
      <c r="BI142" s="32">
        <f t="shared" si="80"/>
        <v>3</v>
      </c>
    </row>
    <row r="143" spans="1:61" x14ac:dyDescent="0.45">
      <c r="A143" s="30">
        <f>step3_validation[[#This Row],[Persona_ID]]</f>
        <v>142</v>
      </c>
      <c r="B143" s="31">
        <f>step3_validation[[#This Row],[Used_Seed]]</f>
        <v>12486</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7</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2</v>
      </c>
      <c r="V143">
        <f>step3_validation[[#This Row],[AI_ENF2]]</f>
        <v>8</v>
      </c>
      <c r="W143" t="str">
        <f t="shared" si="57"/>
        <v>Support</v>
      </c>
      <c r="X143">
        <f>survey_responses[[#This Row],[Tôi tin rằng Nhà nước, cơ quan thuế có đủ khả năng và công nghệ để phát hiện, xử lý nghiêm các hành vi trốn thuế. - HUMAN-ENF2]]</f>
        <v>6</v>
      </c>
      <c r="Y143" t="str">
        <f t="shared" si="58"/>
        <v>Neutral</v>
      </c>
      <c r="Z143" s="32">
        <f t="shared" si="59"/>
        <v>2</v>
      </c>
      <c r="AA143">
        <f>step3_validation[[#This Row],[AI_FAC1]]</f>
        <v>9</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4</v>
      </c>
      <c r="AF143">
        <f>step3_validation[[#This Row],[AI_FAC2]]</f>
        <v>8</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1</v>
      </c>
      <c r="AK143">
        <f>step3_validation[[#This Row],[AI_TRU1]]</f>
        <v>6</v>
      </c>
      <c r="AL143" t="str">
        <f t="shared" si="66"/>
        <v>Neutral</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0</v>
      </c>
      <c r="AP143">
        <f>step3_validation[[#This Row],[AI_TRU2]]</f>
        <v>8</v>
      </c>
      <c r="AQ143" t="str">
        <f t="shared" si="69"/>
        <v>Support</v>
      </c>
      <c r="AR143">
        <f>survey_responses[[#This Row],[Tôi thấy mức thuế tôi phải đóng theo phương án mới là công bằng (người thu nhập như tôi đóng mức này là hợp lý). - HUMAN-TRU2]]</f>
        <v>6</v>
      </c>
      <c r="AS143" t="str">
        <f t="shared" si="70"/>
        <v>Neutral</v>
      </c>
      <c r="AT143" s="32">
        <f t="shared" si="71"/>
        <v>2</v>
      </c>
      <c r="AU143">
        <f>step3_validation[[#This Row],[AI_TRU3]]</f>
        <v>6</v>
      </c>
      <c r="AV143" t="str">
        <f t="shared" si="72"/>
        <v>Neutral</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0</v>
      </c>
      <c r="AZ143">
        <f>step3_validation[[#This Row],[AI_TRU4]]</f>
        <v>7</v>
      </c>
      <c r="BA143" t="str">
        <f t="shared" si="75"/>
        <v>Neutral</v>
      </c>
      <c r="BB143">
        <f>survey_responses[[#This Row],[Tôi thấy Nhà nước đã giải thích rõ ràng, minh bạch về lý do và mục tiêu của việc sửa đổi thuế lần này. - HUMAN-TRU4]]</f>
        <v>7</v>
      </c>
      <c r="BC143" t="str">
        <f t="shared" si="76"/>
        <v>Neutral</v>
      </c>
      <c r="BD143" s="32">
        <f t="shared" si="77"/>
        <v>0</v>
      </c>
      <c r="BE143">
        <f>step3_validation[[#This Row],[AI_OUT1]]</f>
        <v>8</v>
      </c>
      <c r="BF143" t="str">
        <f t="shared" si="78"/>
        <v>Support</v>
      </c>
      <c r="BG143">
        <f>survey_responses[[#This Row],[Sau khi xem xét các quyền lợi và nghĩa vụ, bạn có ủng hộ và tuân thủ chính sách mới hiện nay? - HUMAN-OUT1]]</f>
        <v>7</v>
      </c>
      <c r="BH143" t="str">
        <f t="shared" si="79"/>
        <v>Neutral</v>
      </c>
      <c r="BI143" s="32">
        <f t="shared" si="80"/>
        <v>1</v>
      </c>
    </row>
    <row r="144" spans="1:61" x14ac:dyDescent="0.45">
      <c r="A144" s="30">
        <f>step3_validation[[#This Row],[Persona_ID]]</f>
        <v>143</v>
      </c>
      <c r="B144" s="31">
        <f>step3_validation[[#This Row],[Used_Seed]]</f>
        <v>12487</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134.0319560403963</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8</v>
      </c>
      <c r="R144" t="str">
        <f t="shared" si="54"/>
        <v>Support</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7</v>
      </c>
      <c r="V144">
        <f>step3_validation[[#This Row],[AI_ENF2]]</f>
        <v>9</v>
      </c>
      <c r="W144" t="str">
        <f t="shared" si="57"/>
        <v>Support</v>
      </c>
      <c r="X144">
        <f>survey_responses[[#This Row],[Tôi tin rằng Nhà nước, cơ quan thuế có đủ khả năng và công nghệ để phát hiện, xử lý nghiêm các hành vi trốn thuế. - HUMAN-ENF2]]</f>
        <v>1</v>
      </c>
      <c r="Y144" t="str">
        <f t="shared" si="58"/>
        <v>Oppose</v>
      </c>
      <c r="Z144" s="32">
        <f t="shared" si="59"/>
        <v>8</v>
      </c>
      <c r="AA144">
        <f>step3_validation[[#This Row],[AI_FAC1]]</f>
        <v>7</v>
      </c>
      <c r="AB144" t="str">
        <f t="shared" si="60"/>
        <v>Neutral</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1</v>
      </c>
      <c r="AF144">
        <f>step3_validation[[#This Row],[AI_FAC2]]</f>
        <v>8</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0</v>
      </c>
      <c r="AK144">
        <f>step3_validation[[#This Row],[AI_TRU1]]</f>
        <v>7</v>
      </c>
      <c r="AL144" t="str">
        <f t="shared" si="66"/>
        <v>Neutral</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1</v>
      </c>
      <c r="AP144">
        <f>step3_validation[[#This Row],[AI_TRU2]]</f>
        <v>8</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2">
        <f t="shared" si="71"/>
        <v>0</v>
      </c>
      <c r="AU144">
        <f>step3_validation[[#This Row],[AI_TRU3]]</f>
        <v>7</v>
      </c>
      <c r="AV144" t="str">
        <f t="shared" si="72"/>
        <v>Neutral</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1</v>
      </c>
      <c r="AZ144">
        <f>step3_validation[[#This Row],[AI_TRU4]]</f>
        <v>8</v>
      </c>
      <c r="BA144" t="str">
        <f t="shared" si="75"/>
        <v>Support</v>
      </c>
      <c r="BB144">
        <f>survey_responses[[#This Row],[Tôi thấy Nhà nước đã giải thích rõ ràng, minh bạch về lý do và mục tiêu của việc sửa đổi thuế lần này. - HUMAN-TRU4]]</f>
        <v>8</v>
      </c>
      <c r="BC144" t="str">
        <f t="shared" si="76"/>
        <v>Support</v>
      </c>
      <c r="BD144" s="32">
        <f t="shared" si="77"/>
        <v>0</v>
      </c>
      <c r="BE144">
        <f>step3_validation[[#This Row],[AI_OUT1]]</f>
        <v>7</v>
      </c>
      <c r="BF144" t="str">
        <f t="shared" si="78"/>
        <v>Neutral</v>
      </c>
      <c r="BG144">
        <f>survey_responses[[#This Row],[Sau khi xem xét các quyền lợi và nghĩa vụ, bạn có ủng hộ và tuân thủ chính sách mới hiện nay? - HUMAN-OUT1]]</f>
        <v>8</v>
      </c>
      <c r="BH144" t="str">
        <f t="shared" si="79"/>
        <v>Support</v>
      </c>
      <c r="BI144" s="32">
        <f t="shared" si="80"/>
        <v>1</v>
      </c>
    </row>
    <row r="145" spans="1:61" x14ac:dyDescent="0.45">
      <c r="A145" s="30">
        <f>step3_validation[[#This Row],[Persona_ID]]</f>
        <v>144</v>
      </c>
      <c r="B145" s="31">
        <f>step3_validation[[#This Row],[Used_Seed]]</f>
        <v>12488</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56.781792561316756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t="str">
        <f t="shared" si="54"/>
        <v>Neutral</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2</v>
      </c>
      <c r="V145">
        <f>step3_validation[[#This Row],[AI_ENF2]]</f>
        <v>8</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2">
        <f t="shared" si="59"/>
        <v>1</v>
      </c>
      <c r="AA145">
        <f>step3_validation[[#This Row],[AI_FAC1]]</f>
        <v>6</v>
      </c>
      <c r="AB145" t="str">
        <f t="shared" si="60"/>
        <v>Neutral</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3</v>
      </c>
      <c r="AF145">
        <f>step3_validation[[#This Row],[AI_FAC2]]</f>
        <v>8</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1</v>
      </c>
      <c r="AK145">
        <f>step3_validation[[#This Row],[AI_TRU1]]</f>
        <v>7</v>
      </c>
      <c r="AL145" t="str">
        <f t="shared" si="66"/>
        <v>Neutral</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3</v>
      </c>
      <c r="AP145">
        <f>step3_validation[[#This Row],[AI_TRU2]]</f>
        <v>8</v>
      </c>
      <c r="AQ145" t="str">
        <f t="shared" si="69"/>
        <v>Support</v>
      </c>
      <c r="AR145">
        <f>survey_responses[[#This Row],[Tôi thấy mức thuế tôi phải đóng theo phương án mới là công bằng (người thu nhập như tôi đóng mức này là hợp lý). - HUMAN-TRU2]]</f>
        <v>5</v>
      </c>
      <c r="AS145" t="str">
        <f t="shared" si="70"/>
        <v>Neutral</v>
      </c>
      <c r="AT145" s="32">
        <f t="shared" si="71"/>
        <v>3</v>
      </c>
      <c r="AU145">
        <f>step3_validation[[#This Row],[AI_TRU3]]</f>
        <v>6</v>
      </c>
      <c r="AV145" t="str">
        <f t="shared" si="72"/>
        <v>Neutral</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3</v>
      </c>
      <c r="AZ145">
        <f>step3_validation[[#This Row],[AI_TRU4]]</f>
        <v>7</v>
      </c>
      <c r="BA145" t="str">
        <f t="shared" si="75"/>
        <v>Neutral</v>
      </c>
      <c r="BB145">
        <f>survey_responses[[#This Row],[Tôi thấy Nhà nước đã giải thích rõ ràng, minh bạch về lý do và mục tiêu của việc sửa đổi thuế lần này. - HUMAN-TRU4]]</f>
        <v>9</v>
      </c>
      <c r="BC145" t="str">
        <f t="shared" si="76"/>
        <v>Support</v>
      </c>
      <c r="BD145" s="32">
        <f t="shared" si="77"/>
        <v>2</v>
      </c>
      <c r="BE145">
        <f>step3_validation[[#This Row],[AI_OUT1]]</f>
        <v>7</v>
      </c>
      <c r="BF145" t="str">
        <f t="shared" si="78"/>
        <v>Neutral</v>
      </c>
      <c r="BG145">
        <f>survey_responses[[#This Row],[Sau khi xem xét các quyền lợi và nghĩa vụ, bạn có ủng hộ và tuân thủ chính sách mới hiện nay? - HUMAN-OUT1]]</f>
        <v>10</v>
      </c>
      <c r="BH145" t="str">
        <f t="shared" si="79"/>
        <v>Support</v>
      </c>
      <c r="BI145" s="32">
        <f t="shared" si="80"/>
        <v>3</v>
      </c>
    </row>
    <row r="146" spans="1:61" x14ac:dyDescent="0.45">
      <c r="A146" s="30">
        <f>step3_validation[[#This Row],[Persona_ID]]</f>
        <v>145</v>
      </c>
      <c r="B146" s="31">
        <f>step3_validation[[#This Row],[Used_Seed]]</f>
        <v>12489</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61.32628134005131</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5</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5</v>
      </c>
      <c r="V146">
        <f>step3_validation[[#This Row],[AI_ENF2]]</f>
        <v>6</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2">
        <f t="shared" si="59"/>
        <v>4</v>
      </c>
      <c r="AA146">
        <f>step3_validation[[#This Row],[AI_FAC1]]</f>
        <v>7</v>
      </c>
      <c r="AB146" t="str">
        <f t="shared" si="60"/>
        <v>Neutral</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2</v>
      </c>
      <c r="AF146">
        <f>step3_validation[[#This Row],[AI_FAC2]]</f>
        <v>8</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2</v>
      </c>
      <c r="AK146">
        <f>step3_validation[[#This Row],[AI_TRU1]]</f>
        <v>7</v>
      </c>
      <c r="AL146" t="str">
        <f t="shared" si="66"/>
        <v>Neutral</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1</v>
      </c>
      <c r="AP146">
        <f>step3_validation[[#This Row],[AI_TRU2]]</f>
        <v>8</v>
      </c>
      <c r="AQ146" t="str">
        <f t="shared" si="69"/>
        <v>Support</v>
      </c>
      <c r="AR146">
        <f>survey_responses[[#This Row],[Tôi thấy mức thuế tôi phải đóng theo phương án mới là công bằng (người thu nhập như tôi đóng mức này là hợp lý). - HUMAN-TRU2]]</f>
        <v>3</v>
      </c>
      <c r="AS146" t="str">
        <f t="shared" si="70"/>
        <v>Oppose</v>
      </c>
      <c r="AT146" s="32">
        <f t="shared" si="71"/>
        <v>5</v>
      </c>
      <c r="AU146">
        <f>step3_validation[[#This Row],[AI_TRU3]]</f>
        <v>6</v>
      </c>
      <c r="AV146" t="str">
        <f t="shared" si="72"/>
        <v>Neutral</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1</v>
      </c>
      <c r="AZ146">
        <f>step3_validation[[#This Row],[AI_TRU4]]</f>
        <v>5</v>
      </c>
      <c r="BA146" t="str">
        <f t="shared" si="75"/>
        <v>Neutral</v>
      </c>
      <c r="BB146">
        <f>survey_responses[[#This Row],[Tôi thấy Nhà nước đã giải thích rõ ràng, minh bạch về lý do và mục tiêu của việc sửa đổi thuế lần này. - HUMAN-TRU4]]</f>
        <v>5</v>
      </c>
      <c r="BC146" t="str">
        <f t="shared" si="76"/>
        <v>Neutral</v>
      </c>
      <c r="BD146" s="32">
        <f t="shared" si="77"/>
        <v>0</v>
      </c>
      <c r="BE146">
        <f>step3_validation[[#This Row],[AI_OUT1]]</f>
        <v>6</v>
      </c>
      <c r="BF146" t="str">
        <f t="shared" si="78"/>
        <v>Neutral</v>
      </c>
      <c r="BG146">
        <f>survey_responses[[#This Row],[Sau khi xem xét các quyền lợi và nghĩa vụ, bạn có ủng hộ và tuân thủ chính sách mới hiện nay? - HUMAN-OUT1]]</f>
        <v>1</v>
      </c>
      <c r="BH146" t="str">
        <f t="shared" si="79"/>
        <v>Oppose</v>
      </c>
      <c r="BI146" s="32">
        <f t="shared" si="80"/>
        <v>5</v>
      </c>
    </row>
    <row r="147" spans="1:61" x14ac:dyDescent="0.45">
      <c r="A147" s="30">
        <f>step3_validation[[#This Row],[Persona_ID]]</f>
        <v>146</v>
      </c>
      <c r="B147" s="31">
        <f>step3_validation[[#This Row],[Used_Seed]]</f>
        <v>12490</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99.835798257129966</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t="str">
        <f t="shared" si="54"/>
        <v>Neutral</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1</v>
      </c>
      <c r="V147">
        <f>step3_validation[[#This Row],[AI_ENF2]]</f>
        <v>6</v>
      </c>
      <c r="W147" t="str">
        <f t="shared" si="57"/>
        <v>Neutral</v>
      </c>
      <c r="X147">
        <f>survey_responses[[#This Row],[Tôi tin rằng Nhà nước, cơ quan thuế có đủ khả năng và công nghệ để phát hiện, xử lý nghiêm các hành vi trốn thuế. - HUMAN-ENF2]]</f>
        <v>8</v>
      </c>
      <c r="Y147" t="str">
        <f t="shared" si="58"/>
        <v>Support</v>
      </c>
      <c r="Z147" s="32">
        <f t="shared" si="59"/>
        <v>2</v>
      </c>
      <c r="AA147">
        <f>step3_validation[[#This Row],[AI_FAC1]]</f>
        <v>8</v>
      </c>
      <c r="AB147" t="str">
        <f t="shared" si="60"/>
        <v>Support</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3</v>
      </c>
      <c r="AF147">
        <f>step3_validation[[#This Row],[AI_FAC2]]</f>
        <v>9</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4</v>
      </c>
      <c r="AK147">
        <f>step3_validation[[#This Row],[AI_TRU1]]</f>
        <v>7</v>
      </c>
      <c r="AL147" t="str">
        <f t="shared" si="66"/>
        <v>Neutral</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2</v>
      </c>
      <c r="AP147">
        <f>step3_validation[[#This Row],[AI_TRU2]]</f>
        <v>8</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2">
        <f t="shared" si="71"/>
        <v>5</v>
      </c>
      <c r="AU147">
        <f>step3_validation[[#This Row],[AI_TRU3]]</f>
        <v>6</v>
      </c>
      <c r="AV147" t="str">
        <f t="shared" si="72"/>
        <v>Neutral</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1</v>
      </c>
      <c r="AZ147">
        <f>step3_validation[[#This Row],[AI_TRU4]]</f>
        <v>7</v>
      </c>
      <c r="BA147" t="str">
        <f t="shared" si="75"/>
        <v>Neutral</v>
      </c>
      <c r="BB147">
        <f>survey_responses[[#This Row],[Tôi thấy Nhà nước đã giải thích rõ ràng, minh bạch về lý do và mục tiêu của việc sửa đổi thuế lần này. - HUMAN-TRU4]]</f>
        <v>5</v>
      </c>
      <c r="BC147" t="str">
        <f t="shared" si="76"/>
        <v>Neutral</v>
      </c>
      <c r="BD147" s="32">
        <f t="shared" si="77"/>
        <v>2</v>
      </c>
      <c r="BE147">
        <f>step3_validation[[#This Row],[AI_OUT1]]</f>
        <v>8</v>
      </c>
      <c r="BF147" t="str">
        <f t="shared" si="78"/>
        <v>Support</v>
      </c>
      <c r="BG147">
        <f>survey_responses[[#This Row],[Sau khi xem xét các quyền lợi và nghĩa vụ, bạn có ủng hộ và tuân thủ chính sách mới hiện nay? - HUMAN-OUT1]]</f>
        <v>5</v>
      </c>
      <c r="BH147" t="str">
        <f t="shared" si="79"/>
        <v>Neutral</v>
      </c>
      <c r="BI147" s="32">
        <f t="shared" si="80"/>
        <v>3</v>
      </c>
    </row>
    <row r="148" spans="1:61" x14ac:dyDescent="0.45">
      <c r="A148" s="30">
        <f>step3_validation[[#This Row],[Persona_ID]]</f>
        <v>147</v>
      </c>
      <c r="B148" s="31">
        <f>step3_validation[[#This Row],[Used_Seed]]</f>
        <v>12491</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226.77125660149903</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7</v>
      </c>
      <c r="R148" t="str">
        <f t="shared" si="54"/>
        <v>Neutral</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0</v>
      </c>
      <c r="V148">
        <f>step3_validation[[#This Row],[AI_ENF2]]</f>
        <v>8</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2">
        <f t="shared" si="59"/>
        <v>1</v>
      </c>
      <c r="AA148">
        <f>step3_validation[[#This Row],[AI_FAC1]]</f>
        <v>6</v>
      </c>
      <c r="AB148" t="str">
        <f t="shared" si="60"/>
        <v>Neutral</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5</v>
      </c>
      <c r="AF148">
        <f>step3_validation[[#This Row],[AI_FAC2]]</f>
        <v>7</v>
      </c>
      <c r="AG148" t="str">
        <f t="shared" si="63"/>
        <v>Neutral</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1</v>
      </c>
      <c r="AK148">
        <f>step3_validation[[#This Row],[AI_TRU1]]</f>
        <v>8</v>
      </c>
      <c r="AL148" t="str">
        <f t="shared" si="66"/>
        <v>Support</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5</v>
      </c>
      <c r="AP148">
        <f>step3_validation[[#This Row],[AI_TRU2]]</f>
        <v>9</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2">
        <f t="shared" si="71"/>
        <v>4</v>
      </c>
      <c r="AU148">
        <f>step3_validation[[#This Row],[AI_TRU3]]</f>
        <v>7</v>
      </c>
      <c r="AV148" t="str">
        <f t="shared" si="72"/>
        <v>Neutral</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6</v>
      </c>
      <c r="AZ148">
        <f>step3_validation[[#This Row],[AI_TRU4]]</f>
        <v>6</v>
      </c>
      <c r="BA148" t="str">
        <f t="shared" si="75"/>
        <v>Neutral</v>
      </c>
      <c r="BB148">
        <f>survey_responses[[#This Row],[Tôi thấy Nhà nước đã giải thích rõ ràng, minh bạch về lý do và mục tiêu của việc sửa đổi thuế lần này. - HUMAN-TRU4]]</f>
        <v>4</v>
      </c>
      <c r="BC148" t="str">
        <f t="shared" si="76"/>
        <v>Oppose</v>
      </c>
      <c r="BD148" s="32">
        <f t="shared" si="77"/>
        <v>2</v>
      </c>
      <c r="BE148">
        <f>step3_validation[[#This Row],[AI_OUT1]]</f>
        <v>7</v>
      </c>
      <c r="BF148" t="str">
        <f t="shared" si="78"/>
        <v>Neutral</v>
      </c>
      <c r="BG148">
        <f>survey_responses[[#This Row],[Sau khi xem xét các quyền lợi và nghĩa vụ, bạn có ủng hộ và tuân thủ chính sách mới hiện nay? - HUMAN-OUT1]]</f>
        <v>5</v>
      </c>
      <c r="BH148" t="str">
        <f t="shared" si="79"/>
        <v>Neutral</v>
      </c>
      <c r="BI148" s="32">
        <f t="shared" si="80"/>
        <v>2</v>
      </c>
    </row>
    <row r="149" spans="1:61" x14ac:dyDescent="0.45">
      <c r="A149" s="30">
        <f>step3_validation[[#This Row],[Persona_ID]]</f>
        <v>148</v>
      </c>
      <c r="B149" s="31">
        <f>step3_validation[[#This Row],[Used_Seed]]</f>
        <v>12492</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20.524355056803518</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8</v>
      </c>
      <c r="R149" t="str">
        <f t="shared" si="54"/>
        <v>Support</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2</v>
      </c>
      <c r="V149">
        <f>step3_validation[[#This Row],[AI_ENF2]]</f>
        <v>7</v>
      </c>
      <c r="W149" t="str">
        <f t="shared" si="57"/>
        <v>Neutral</v>
      </c>
      <c r="X149">
        <f>survey_responses[[#This Row],[Tôi tin rằng Nhà nước, cơ quan thuế có đủ khả năng và công nghệ để phát hiện, xử lý nghiêm các hành vi trốn thuế. - HUMAN-ENF2]]</f>
        <v>6</v>
      </c>
      <c r="Y149" t="str">
        <f t="shared" si="58"/>
        <v>Neutral</v>
      </c>
      <c r="Z149" s="32">
        <f t="shared" si="59"/>
        <v>1</v>
      </c>
      <c r="AA149">
        <f>step3_validation[[#This Row],[AI_FAC1]]</f>
        <v>9</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4</v>
      </c>
      <c r="AF149">
        <f>step3_validation[[#This Row],[AI_FAC2]]</f>
        <v>8</v>
      </c>
      <c r="AG149" t="str">
        <f t="shared" si="63"/>
        <v>Support</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1</v>
      </c>
      <c r="AK149">
        <f>step3_validation[[#This Row],[AI_TRU1]]</f>
        <v>7</v>
      </c>
      <c r="AL149" t="str">
        <f t="shared" si="66"/>
        <v>Neutral</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2</v>
      </c>
      <c r="AP149">
        <f>step3_validation[[#This Row],[AI_TRU2]]</f>
        <v>6</v>
      </c>
      <c r="AQ149" t="str">
        <f t="shared" si="69"/>
        <v>Neutral</v>
      </c>
      <c r="AR149">
        <f>survey_responses[[#This Row],[Tôi thấy mức thuế tôi phải đóng theo phương án mới là công bằng (người thu nhập như tôi đóng mức này là hợp lý). - HUMAN-TRU2]]</f>
        <v>7</v>
      </c>
      <c r="AS149" t="str">
        <f t="shared" si="70"/>
        <v>Neutral</v>
      </c>
      <c r="AT149" s="32">
        <f t="shared" si="71"/>
        <v>1</v>
      </c>
      <c r="AU149">
        <f>step3_validation[[#This Row],[AI_TRU3]]</f>
        <v>5</v>
      </c>
      <c r="AV149" t="str">
        <f t="shared" si="72"/>
        <v>Neutral</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0</v>
      </c>
      <c r="AZ149">
        <f>step3_validation[[#This Row],[AI_TRU4]]</f>
        <v>7</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2">
        <f t="shared" si="77"/>
        <v>1</v>
      </c>
      <c r="BE149">
        <f>step3_validation[[#This Row],[AI_OUT1]]</f>
        <v>6</v>
      </c>
      <c r="BF149" t="str">
        <f t="shared" si="78"/>
        <v>Neutral</v>
      </c>
      <c r="BG149">
        <f>survey_responses[[#This Row],[Sau khi xem xét các quyền lợi và nghĩa vụ, bạn có ủng hộ và tuân thủ chính sách mới hiện nay? - HUMAN-OUT1]]</f>
        <v>7</v>
      </c>
      <c r="BH149" t="str">
        <f t="shared" si="79"/>
        <v>Neutral</v>
      </c>
      <c r="BI149" s="32">
        <f t="shared" si="80"/>
        <v>1</v>
      </c>
    </row>
    <row r="150" spans="1:61" x14ac:dyDescent="0.45">
      <c r="A150" s="30">
        <f>step3_validation[[#This Row],[Persona_ID]]</f>
        <v>149</v>
      </c>
      <c r="B150" s="31">
        <f>step3_validation[[#This Row],[Used_Seed]]</f>
        <v>12493</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102.0682683494535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7</v>
      </c>
      <c r="R150" t="str">
        <f t="shared" si="54"/>
        <v>Neutral</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3</v>
      </c>
      <c r="V150">
        <f>step3_validation[[#This Row],[AI_ENF2]]</f>
        <v>8</v>
      </c>
      <c r="W150" t="str">
        <f t="shared" si="57"/>
        <v>Support</v>
      </c>
      <c r="X150">
        <f>survey_responses[[#This Row],[Tôi tin rằng Nhà nước, cơ quan thuế có đủ khả năng và công nghệ để phát hiện, xử lý nghiêm các hành vi trốn thuế. - HUMAN-ENF2]]</f>
        <v>10</v>
      </c>
      <c r="Y150" t="str">
        <f t="shared" si="58"/>
        <v>Support</v>
      </c>
      <c r="Z150" s="32">
        <f t="shared" si="59"/>
        <v>2</v>
      </c>
      <c r="AA150">
        <f>step3_validation[[#This Row],[AI_FAC1]]</f>
        <v>6</v>
      </c>
      <c r="AB150" t="str">
        <f t="shared" si="60"/>
        <v>Neutral</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1</v>
      </c>
      <c r="AF150">
        <f>step3_validation[[#This Row],[AI_FAC2]]</f>
        <v>9</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1</v>
      </c>
      <c r="AK150">
        <f>step3_validation[[#This Row],[AI_TRU1]]</f>
        <v>5</v>
      </c>
      <c r="AL150" t="str">
        <f t="shared" si="66"/>
        <v>Neutral</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3</v>
      </c>
      <c r="AP150">
        <f>step3_validation[[#This Row],[AI_TRU2]]</f>
        <v>7</v>
      </c>
      <c r="AQ150" t="str">
        <f t="shared" si="69"/>
        <v>Neutral</v>
      </c>
      <c r="AR150">
        <f>survey_responses[[#This Row],[Tôi thấy mức thuế tôi phải đóng theo phương án mới là công bằng (người thu nhập như tôi đóng mức này là hợp lý). - HUMAN-TRU2]]</f>
        <v>4</v>
      </c>
      <c r="AS150" t="str">
        <f t="shared" si="70"/>
        <v>Oppose</v>
      </c>
      <c r="AT150" s="32">
        <f t="shared" si="71"/>
        <v>3</v>
      </c>
      <c r="AU150">
        <f>step3_validation[[#This Row],[AI_TRU3]]</f>
        <v>5</v>
      </c>
      <c r="AV150" t="str">
        <f t="shared" si="72"/>
        <v>Neutral</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4</v>
      </c>
      <c r="AZ150">
        <f>step3_validation[[#This Row],[AI_TRU4]]</f>
        <v>6</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3</v>
      </c>
      <c r="BE150">
        <f>step3_validation[[#This Row],[AI_OUT1]]</f>
        <v>6</v>
      </c>
      <c r="BF150" t="str">
        <f t="shared" si="78"/>
        <v>Neutral</v>
      </c>
      <c r="BG150">
        <f>survey_responses[[#This Row],[Sau khi xem xét các quyền lợi và nghĩa vụ, bạn có ủng hộ và tuân thủ chính sách mới hiện nay? - HUMAN-OUT1]]</f>
        <v>6</v>
      </c>
      <c r="BH150" t="str">
        <f t="shared" si="79"/>
        <v>Neutral</v>
      </c>
      <c r="BI150" s="32">
        <f t="shared" si="80"/>
        <v>0</v>
      </c>
    </row>
    <row r="151" spans="1:61" x14ac:dyDescent="0.45">
      <c r="A151" s="30">
        <f>step3_validation[[#This Row],[Persona_ID]]</f>
        <v>150</v>
      </c>
      <c r="B151" s="31">
        <f>step3_validation[[#This Row],[Used_Seed]]</f>
        <v>12494</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50.068690773472348</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7</v>
      </c>
      <c r="R151" t="str">
        <f t="shared" si="54"/>
        <v>Neutral</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0</v>
      </c>
      <c r="V151">
        <f>step3_validation[[#This Row],[AI_ENF2]]</f>
        <v>6</v>
      </c>
      <c r="W151" t="str">
        <f t="shared" si="57"/>
        <v>Neutral</v>
      </c>
      <c r="X151">
        <f>survey_responses[[#This Row],[Tôi tin rằng Nhà nước, cơ quan thuế có đủ khả năng và công nghệ để phát hiện, xử lý nghiêm các hành vi trốn thuế. - HUMAN-ENF2]]</f>
        <v>10</v>
      </c>
      <c r="Y151" t="str">
        <f t="shared" si="58"/>
        <v>Support</v>
      </c>
      <c r="Z151" s="32">
        <f t="shared" si="59"/>
        <v>4</v>
      </c>
      <c r="AA151">
        <f>step3_validation[[#This Row],[AI_FAC1]]</f>
        <v>9</v>
      </c>
      <c r="AB151" t="str">
        <f t="shared" si="60"/>
        <v>Support</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4</v>
      </c>
      <c r="AF151">
        <f>step3_validation[[#This Row],[AI_FAC2]]</f>
        <v>8</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1</v>
      </c>
      <c r="AK151">
        <f>step3_validation[[#This Row],[AI_TRU1]]</f>
        <v>5</v>
      </c>
      <c r="AL151" t="str">
        <f t="shared" si="66"/>
        <v>Neutral</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2</v>
      </c>
      <c r="AP151">
        <f>step3_validation[[#This Row],[AI_TRU2]]</f>
        <v>6</v>
      </c>
      <c r="AQ151" t="str">
        <f t="shared" si="69"/>
        <v>Neutral</v>
      </c>
      <c r="AR151">
        <f>survey_responses[[#This Row],[Tôi thấy mức thuế tôi phải đóng theo phương án mới là công bằng (người thu nhập như tôi đóng mức này là hợp lý). - HUMAN-TRU2]]</f>
        <v>7</v>
      </c>
      <c r="AS151" t="str">
        <f t="shared" si="70"/>
        <v>Neutral</v>
      </c>
      <c r="AT151" s="32">
        <f t="shared" si="71"/>
        <v>1</v>
      </c>
      <c r="AU151">
        <f>step3_validation[[#This Row],[AI_TRU3]]</f>
        <v>4</v>
      </c>
      <c r="AV151" t="str">
        <f t="shared" si="72"/>
        <v>Oppose</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3</v>
      </c>
      <c r="AZ151">
        <f>step3_validation[[#This Row],[AI_TRU4]]</f>
        <v>5</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2">
        <f t="shared" si="77"/>
        <v>2</v>
      </c>
      <c r="BE151">
        <f>step3_validation[[#This Row],[AI_OUT1]]</f>
        <v>8</v>
      </c>
      <c r="BF151" t="str">
        <f t="shared" si="78"/>
        <v>Support</v>
      </c>
      <c r="BG151">
        <f>survey_responses[[#This Row],[Sau khi xem xét các quyền lợi và nghĩa vụ, bạn có ủng hộ và tuân thủ chính sách mới hiện nay? - HUMAN-OUT1]]</f>
        <v>10</v>
      </c>
      <c r="BH151" t="str">
        <f t="shared" si="79"/>
        <v>Support</v>
      </c>
      <c r="BI151" s="32">
        <f t="shared" si="80"/>
        <v>2</v>
      </c>
    </row>
    <row r="152" spans="1:61" x14ac:dyDescent="0.45">
      <c r="A152" s="30">
        <f>step3_validation[[#This Row],[Persona_ID]]</f>
        <v>151</v>
      </c>
      <c r="B152" s="31">
        <f>step3_validation[[#This Row],[Used_Seed]]</f>
        <v>12495</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88.487498038856671</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7</v>
      </c>
      <c r="R152" t="str">
        <f t="shared" si="54"/>
        <v>Neutral</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1</v>
      </c>
      <c r="V152">
        <f>step3_validation[[#This Row],[AI_ENF2]]</f>
        <v>6</v>
      </c>
      <c r="W152" t="str">
        <f t="shared" si="57"/>
        <v>Neutral</v>
      </c>
      <c r="X152">
        <f>survey_responses[[#This Row],[Tôi tin rằng Nhà nước, cơ quan thuế có đủ khả năng và công nghệ để phát hiện, xử lý nghiêm các hành vi trốn thuế. - HUMAN-ENF2]]</f>
        <v>8</v>
      </c>
      <c r="Y152" t="str">
        <f t="shared" si="58"/>
        <v>Support</v>
      </c>
      <c r="Z152" s="32">
        <f t="shared" si="59"/>
        <v>2</v>
      </c>
      <c r="AA152">
        <f>step3_validation[[#This Row],[AI_FAC1]]</f>
        <v>8</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0</v>
      </c>
      <c r="AF152">
        <f>step3_validation[[#This Row],[AI_FAC2]]</f>
        <v>9</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1</v>
      </c>
      <c r="AK152">
        <f>step3_validation[[#This Row],[AI_TRU1]]</f>
        <v>7</v>
      </c>
      <c r="AL152" t="str">
        <f t="shared" si="66"/>
        <v>Neutral</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1</v>
      </c>
      <c r="AP152">
        <f>step3_validation[[#This Row],[AI_TRU2]]</f>
        <v>8</v>
      </c>
      <c r="AQ152" t="str">
        <f t="shared" si="69"/>
        <v>Support</v>
      </c>
      <c r="AR152">
        <f>survey_responses[[#This Row],[Tôi thấy mức thuế tôi phải đóng theo phương án mới là công bằng (người thu nhập như tôi đóng mức này là hợp lý). - HUMAN-TRU2]]</f>
        <v>8</v>
      </c>
      <c r="AS152" t="str">
        <f t="shared" si="70"/>
        <v>Support</v>
      </c>
      <c r="AT152" s="32">
        <f t="shared" si="71"/>
        <v>0</v>
      </c>
      <c r="AU152">
        <f>step3_validation[[#This Row],[AI_TRU3]]</f>
        <v>7</v>
      </c>
      <c r="AV152" t="str">
        <f t="shared" si="72"/>
        <v>Neutral</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1</v>
      </c>
      <c r="AZ152">
        <f>step3_validation[[#This Row],[AI_TRU4]]</f>
        <v>6</v>
      </c>
      <c r="BA152" t="str">
        <f t="shared" si="75"/>
        <v>Neutral</v>
      </c>
      <c r="BB152">
        <f>survey_responses[[#This Row],[Tôi thấy Nhà nước đã giải thích rõ ràng, minh bạch về lý do và mục tiêu của việc sửa đổi thuế lần này. - HUMAN-TRU4]]</f>
        <v>8</v>
      </c>
      <c r="BC152" t="str">
        <f t="shared" si="76"/>
        <v>Support</v>
      </c>
      <c r="BD152" s="32">
        <f t="shared" si="77"/>
        <v>2</v>
      </c>
      <c r="BE152">
        <f>step3_validation[[#This Row],[AI_OUT1]]</f>
        <v>7</v>
      </c>
      <c r="BF152" t="str">
        <f t="shared" si="78"/>
        <v>Neutral</v>
      </c>
      <c r="BG152">
        <f>survey_responses[[#This Row],[Sau khi xem xét các quyền lợi và nghĩa vụ, bạn có ủng hộ và tuân thủ chính sách mới hiện nay? - HUMAN-OUT1]]</f>
        <v>8</v>
      </c>
      <c r="BH152" t="str">
        <f t="shared" si="79"/>
        <v>Support</v>
      </c>
      <c r="BI152" s="32">
        <f t="shared" si="80"/>
        <v>1</v>
      </c>
    </row>
    <row r="153" spans="1:61" x14ac:dyDescent="0.45">
      <c r="A153" s="30">
        <f>step3_validation[[#This Row],[Persona_ID]]</f>
        <v>152</v>
      </c>
      <c r="B153" s="31">
        <f>step3_validation[[#This Row],[Used_Seed]]</f>
        <v>12496</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74.109147590656349</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9</v>
      </c>
      <c r="R153" t="str">
        <f t="shared" si="54"/>
        <v>Support</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1</v>
      </c>
      <c r="V153">
        <f>step3_validation[[#This Row],[AI_ENF2]]</f>
        <v>8</v>
      </c>
      <c r="W153" t="str">
        <f t="shared" si="57"/>
        <v>Support</v>
      </c>
      <c r="X153">
        <f>survey_responses[[#This Row],[Tôi tin rằng Nhà nước, cơ quan thuế có đủ khả năng và công nghệ để phát hiện, xử lý nghiêm các hành vi trốn thuế. - HUMAN-ENF2]]</f>
        <v>10</v>
      </c>
      <c r="Y153" t="str">
        <f t="shared" si="58"/>
        <v>Support</v>
      </c>
      <c r="Z153" s="32">
        <f t="shared" si="59"/>
        <v>2</v>
      </c>
      <c r="AA153">
        <f>step3_validation[[#This Row],[AI_FAC1]]</f>
        <v>8</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2</v>
      </c>
      <c r="AF153">
        <f>step3_validation[[#This Row],[AI_FAC2]]</f>
        <v>7</v>
      </c>
      <c r="AG153" t="str">
        <f t="shared" si="63"/>
        <v>Neutral</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3</v>
      </c>
      <c r="AK153">
        <f>step3_validation[[#This Row],[AI_TRU1]]</f>
        <v>8</v>
      </c>
      <c r="AL153" t="str">
        <f t="shared" si="66"/>
        <v>Support</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2</v>
      </c>
      <c r="AP153">
        <f>step3_validation[[#This Row],[AI_TRU2]]</f>
        <v>7</v>
      </c>
      <c r="AQ153" t="str">
        <f t="shared" si="69"/>
        <v>Neutral</v>
      </c>
      <c r="AR153">
        <f>survey_responses[[#This Row],[Tôi thấy mức thuế tôi phải đóng theo phương án mới là công bằng (người thu nhập như tôi đóng mức này là hợp lý). - HUMAN-TRU2]]</f>
        <v>10</v>
      </c>
      <c r="AS153" t="str">
        <f t="shared" si="70"/>
        <v>Support</v>
      </c>
      <c r="AT153" s="32">
        <f t="shared" si="71"/>
        <v>3</v>
      </c>
      <c r="AU153">
        <f>step3_validation[[#This Row],[AI_TRU3]]</f>
        <v>8</v>
      </c>
      <c r="AV153" t="str">
        <f t="shared" si="72"/>
        <v>Support</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2</v>
      </c>
      <c r="AZ153">
        <f>step3_validation[[#This Row],[AI_TRU4]]</f>
        <v>6</v>
      </c>
      <c r="BA153" t="str">
        <f t="shared" si="75"/>
        <v>Neutral</v>
      </c>
      <c r="BB153">
        <f>survey_responses[[#This Row],[Tôi thấy Nhà nước đã giải thích rõ ràng, minh bạch về lý do và mục tiêu của việc sửa đổi thuế lần này. - HUMAN-TRU4]]</f>
        <v>10</v>
      </c>
      <c r="BC153" t="str">
        <f t="shared" si="76"/>
        <v>Support</v>
      </c>
      <c r="BD153" s="32">
        <f t="shared" si="77"/>
        <v>4</v>
      </c>
      <c r="BE153">
        <f>step3_validation[[#This Row],[AI_OUT1]]</f>
        <v>8</v>
      </c>
      <c r="BF153" t="str">
        <f t="shared" si="78"/>
        <v>Support</v>
      </c>
      <c r="BG153">
        <f>survey_responses[[#This Row],[Sau khi xem xét các quyền lợi và nghĩa vụ, bạn có ủng hộ và tuân thủ chính sách mới hiện nay? - HUMAN-OUT1]]</f>
        <v>10</v>
      </c>
      <c r="BH153" t="str">
        <f t="shared" si="79"/>
        <v>Support</v>
      </c>
      <c r="BI153" s="32">
        <f t="shared" si="80"/>
        <v>2</v>
      </c>
    </row>
    <row r="154" spans="1:61" x14ac:dyDescent="0.45">
      <c r="A154" s="30">
        <f>step3_validation[[#This Row],[Persona_ID]]</f>
        <v>153</v>
      </c>
      <c r="B154" s="31">
        <f>step3_validation[[#This Row],[Used_Seed]]</f>
        <v>12497</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7</v>
      </c>
      <c r="R154" t="str">
        <f t="shared" si="54"/>
        <v>Neutral</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0</v>
      </c>
      <c r="V154">
        <f>step3_validation[[#This Row],[AI_ENF2]]</f>
        <v>8</v>
      </c>
      <c r="W154" t="str">
        <f t="shared" si="57"/>
        <v>Support</v>
      </c>
      <c r="X154">
        <f>survey_responses[[#This Row],[Tôi tin rằng Nhà nước, cơ quan thuế có đủ khả năng và công nghệ để phát hiện, xử lý nghiêm các hành vi trốn thuế. - HUMAN-ENF2]]</f>
        <v>7</v>
      </c>
      <c r="Y154" t="str">
        <f t="shared" si="58"/>
        <v>Neutral</v>
      </c>
      <c r="Z154" s="32">
        <f t="shared" si="59"/>
        <v>1</v>
      </c>
      <c r="AA154">
        <f>step3_validation[[#This Row],[AI_FAC1]]</f>
        <v>7</v>
      </c>
      <c r="AB154" t="str">
        <f t="shared" si="60"/>
        <v>Neutral</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2</v>
      </c>
      <c r="AF154">
        <f>step3_validation[[#This Row],[AI_FAC2]]</f>
        <v>8</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1</v>
      </c>
      <c r="AK154">
        <f>step3_validation[[#This Row],[AI_TRU1]]</f>
        <v>7</v>
      </c>
      <c r="AL154" t="str">
        <f t="shared" si="66"/>
        <v>Neutral</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0</v>
      </c>
      <c r="AP154">
        <f>step3_validation[[#This Row],[AI_TRU2]]</f>
        <v>6</v>
      </c>
      <c r="AQ154" t="str">
        <f t="shared" si="69"/>
        <v>Neutral</v>
      </c>
      <c r="AR154">
        <f>survey_responses[[#This Row],[Tôi thấy mức thuế tôi phải đóng theo phương án mới là công bằng (người thu nhập như tôi đóng mức này là hợp lý). - HUMAN-TRU2]]</f>
        <v>7</v>
      </c>
      <c r="AS154" t="str">
        <f t="shared" si="70"/>
        <v>Neutral</v>
      </c>
      <c r="AT154" s="32">
        <f t="shared" si="71"/>
        <v>1</v>
      </c>
      <c r="AU154">
        <f>step3_validation[[#This Row],[AI_TRU3]]</f>
        <v>7</v>
      </c>
      <c r="AV154" t="str">
        <f t="shared" si="72"/>
        <v>Neutral</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0</v>
      </c>
      <c r="AZ154">
        <f>step3_validation[[#This Row],[AI_TRU4]]</f>
        <v>6</v>
      </c>
      <c r="BA154" t="str">
        <f t="shared" si="75"/>
        <v>Neutral</v>
      </c>
      <c r="BB154">
        <f>survey_responses[[#This Row],[Tôi thấy Nhà nước đã giải thích rõ ràng, minh bạch về lý do và mục tiêu của việc sửa đổi thuế lần này. - HUMAN-TRU4]]</f>
        <v>7</v>
      </c>
      <c r="BC154" t="str">
        <f t="shared" si="76"/>
        <v>Neutral</v>
      </c>
      <c r="BD154" s="32">
        <f t="shared" si="77"/>
        <v>1</v>
      </c>
      <c r="BE154">
        <f>step3_validation[[#This Row],[AI_OUT1]]</f>
        <v>7</v>
      </c>
      <c r="BF154" t="str">
        <f t="shared" si="78"/>
        <v>Neutral</v>
      </c>
      <c r="BG154">
        <f>survey_responses[[#This Row],[Sau khi xem xét các quyền lợi và nghĩa vụ, bạn có ủng hộ và tuân thủ chính sách mới hiện nay? - HUMAN-OUT1]]</f>
        <v>7</v>
      </c>
      <c r="BH154" t="str">
        <f t="shared" si="79"/>
        <v>Neutral</v>
      </c>
      <c r="BI154" s="32">
        <f t="shared" si="80"/>
        <v>0</v>
      </c>
    </row>
    <row r="155" spans="1:61" x14ac:dyDescent="0.45">
      <c r="A155" s="30">
        <f>step3_validation[[#This Row],[Persona_ID]]</f>
        <v>154</v>
      </c>
      <c r="B155" s="31">
        <f>step3_validation[[#This Row],[Used_Seed]]</f>
        <v>12498</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6</v>
      </c>
      <c r="R155" t="str">
        <f t="shared" si="54"/>
        <v>Neutral</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1</v>
      </c>
      <c r="V155">
        <f>step3_validation[[#This Row],[AI_ENF2]]</f>
        <v>7</v>
      </c>
      <c r="W155" t="str">
        <f t="shared" si="57"/>
        <v>Neutral</v>
      </c>
      <c r="X155">
        <f>survey_responses[[#This Row],[Tôi tin rằng Nhà nước, cơ quan thuế có đủ khả năng và công nghệ để phát hiện, xử lý nghiêm các hành vi trốn thuế. - HUMAN-ENF2]]</f>
        <v>8</v>
      </c>
      <c r="Y155" t="str">
        <f t="shared" si="58"/>
        <v>Support</v>
      </c>
      <c r="Z155" s="32">
        <f t="shared" si="59"/>
        <v>1</v>
      </c>
      <c r="AA155">
        <f>step3_validation[[#This Row],[AI_FAC1]]</f>
        <v>9</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1</v>
      </c>
      <c r="AF155">
        <f>step3_validation[[#This Row],[AI_FAC2]]</f>
        <v>8</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0</v>
      </c>
      <c r="AK155">
        <f>step3_validation[[#This Row],[AI_TRU1]]</f>
        <v>6</v>
      </c>
      <c r="AL155" t="str">
        <f t="shared" si="66"/>
        <v>Neutral</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0</v>
      </c>
      <c r="AP155">
        <f>step3_validation[[#This Row],[AI_TRU2]]</f>
        <v>7</v>
      </c>
      <c r="AQ155" t="str">
        <f t="shared" si="69"/>
        <v>Neutral</v>
      </c>
      <c r="AR155">
        <f>survey_responses[[#This Row],[Tôi thấy mức thuế tôi phải đóng theo phương án mới là công bằng (người thu nhập như tôi đóng mức này là hợp lý). - HUMAN-TRU2]]</f>
        <v>8</v>
      </c>
      <c r="AS155" t="str">
        <f t="shared" si="70"/>
        <v>Support</v>
      </c>
      <c r="AT155" s="32">
        <f t="shared" si="71"/>
        <v>1</v>
      </c>
      <c r="AU155">
        <f>step3_validation[[#This Row],[AI_TRU3]]</f>
        <v>6</v>
      </c>
      <c r="AV155" t="str">
        <f t="shared" si="72"/>
        <v>Neutral</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1</v>
      </c>
      <c r="AZ155">
        <f>step3_validation[[#This Row],[AI_TRU4]]</f>
        <v>5</v>
      </c>
      <c r="BA155" t="str">
        <f t="shared" si="75"/>
        <v>Neutral</v>
      </c>
      <c r="BB155">
        <f>survey_responses[[#This Row],[Tôi thấy Nhà nước đã giải thích rõ ràng, minh bạch về lý do và mục tiêu của việc sửa đổi thuế lần này. - HUMAN-TRU4]]</f>
        <v>8</v>
      </c>
      <c r="BC155" t="str">
        <f t="shared" si="76"/>
        <v>Support</v>
      </c>
      <c r="BD155" s="32">
        <f t="shared" si="77"/>
        <v>3</v>
      </c>
      <c r="BE155">
        <f>step3_validation[[#This Row],[AI_OUT1]]</f>
        <v>7</v>
      </c>
      <c r="BF155" t="str">
        <f t="shared" si="78"/>
        <v>Neutral</v>
      </c>
      <c r="BG155">
        <f>survey_responses[[#This Row],[Sau khi xem xét các quyền lợi và nghĩa vụ, bạn có ủng hộ và tuân thủ chính sách mới hiện nay? - HUMAN-OUT1]]</f>
        <v>8</v>
      </c>
      <c r="BH155" t="str">
        <f t="shared" si="79"/>
        <v>Support</v>
      </c>
      <c r="BI155" s="32">
        <f t="shared" si="80"/>
        <v>1</v>
      </c>
    </row>
    <row r="156" spans="1:61" x14ac:dyDescent="0.45">
      <c r="A156" s="30">
        <f>step3_validation[[#This Row],[Persona_ID]]</f>
        <v>155</v>
      </c>
      <c r="B156" s="31">
        <f>step3_validation[[#This Row],[Used_Seed]]</f>
        <v>12499</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65.672371692143244</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3</v>
      </c>
      <c r="V156">
        <f>step3_validation[[#This Row],[AI_ENF2]]</f>
        <v>8</v>
      </c>
      <c r="W156" t="str">
        <f t="shared" si="57"/>
        <v>Support</v>
      </c>
      <c r="X156">
        <f>survey_responses[[#This Row],[Tôi tin rằng Nhà nước, cơ quan thuế có đủ khả năng và công nghệ để phát hiện, xử lý nghiêm các hành vi trốn thuế. - HUMAN-ENF2]]</f>
        <v>10</v>
      </c>
      <c r="Y156" t="str">
        <f t="shared" si="58"/>
        <v>Support</v>
      </c>
      <c r="Z156" s="32">
        <f t="shared" si="59"/>
        <v>2</v>
      </c>
      <c r="AA156">
        <f>step3_validation[[#This Row],[AI_FAC1]]</f>
        <v>9</v>
      </c>
      <c r="AB156" t="str">
        <f t="shared" si="60"/>
        <v>Support</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1</v>
      </c>
      <c r="AF156">
        <f>step3_validation[[#This Row],[AI_FAC2]]</f>
        <v>8</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2</v>
      </c>
      <c r="AK156">
        <f>step3_validation[[#This Row],[AI_TRU1]]</f>
        <v>9</v>
      </c>
      <c r="AL156" t="str">
        <f t="shared" si="66"/>
        <v>Support</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1</v>
      </c>
      <c r="AP156">
        <f>step3_validation[[#This Row],[AI_TRU2]]</f>
        <v>7</v>
      </c>
      <c r="AQ156" t="str">
        <f t="shared" si="69"/>
        <v>Neutral</v>
      </c>
      <c r="AR156">
        <f>survey_responses[[#This Row],[Tôi thấy mức thuế tôi phải đóng theo phương án mới là công bằng (người thu nhập như tôi đóng mức này là hợp lý). - HUMAN-TRU2]]</f>
        <v>10</v>
      </c>
      <c r="AS156" t="str">
        <f t="shared" si="70"/>
        <v>Support</v>
      </c>
      <c r="AT156" s="32">
        <f t="shared" si="71"/>
        <v>3</v>
      </c>
      <c r="AU156">
        <f>step3_validation[[#This Row],[AI_TRU3]]</f>
        <v>8</v>
      </c>
      <c r="AV156" t="str">
        <f t="shared" si="72"/>
        <v>Support</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2</v>
      </c>
      <c r="AZ156">
        <f>step3_validation[[#This Row],[AI_TRU4]]</f>
        <v>7</v>
      </c>
      <c r="BA156" t="str">
        <f t="shared" si="75"/>
        <v>Neutral</v>
      </c>
      <c r="BB156">
        <f>survey_responses[[#This Row],[Tôi thấy Nhà nước đã giải thích rõ ràng, minh bạch về lý do và mục tiêu của việc sửa đổi thuế lần này. - HUMAN-TRU4]]</f>
        <v>10</v>
      </c>
      <c r="BC156" t="str">
        <f t="shared" si="76"/>
        <v>Support</v>
      </c>
      <c r="BD156" s="32">
        <f t="shared" si="77"/>
        <v>3</v>
      </c>
      <c r="BE156">
        <f>step3_validation[[#This Row],[AI_OUT1]]</f>
        <v>8</v>
      </c>
      <c r="BF156" t="str">
        <f t="shared" si="78"/>
        <v>Support</v>
      </c>
      <c r="BG156">
        <f>survey_responses[[#This Row],[Sau khi xem xét các quyền lợi và nghĩa vụ, bạn có ủng hộ và tuân thủ chính sách mới hiện nay? - HUMAN-OUT1]]</f>
        <v>10</v>
      </c>
      <c r="BH156" t="str">
        <f t="shared" si="79"/>
        <v>Support</v>
      </c>
      <c r="BI156" s="32">
        <f t="shared" si="80"/>
        <v>2</v>
      </c>
    </row>
    <row r="157" spans="1:61" x14ac:dyDescent="0.45">
      <c r="A157" s="30">
        <f>step3_validation[[#This Row],[Persona_ID]]</f>
        <v>156</v>
      </c>
      <c r="B157" s="31">
        <f>step3_validation[[#This Row],[Used_Seed]]</f>
        <v>12500</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27.278329198460064</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8</v>
      </c>
      <c r="R157" t="str">
        <f t="shared" si="54"/>
        <v>Support</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2</v>
      </c>
      <c r="V157">
        <f>step3_validation[[#This Row],[AI_ENF2]]</f>
        <v>9</v>
      </c>
      <c r="W157" t="str">
        <f t="shared" si="57"/>
        <v>Support</v>
      </c>
      <c r="X157">
        <f>survey_responses[[#This Row],[Tôi tin rằng Nhà nước, cơ quan thuế có đủ khả năng và công nghệ để phát hiện, xử lý nghiêm các hành vi trốn thuế. - HUMAN-ENF2]]</f>
        <v>10</v>
      </c>
      <c r="Y157" t="str">
        <f t="shared" si="58"/>
        <v>Support</v>
      </c>
      <c r="Z157" s="32">
        <f t="shared" si="59"/>
        <v>1</v>
      </c>
      <c r="AA157">
        <f>step3_validation[[#This Row],[AI_FAC1]]</f>
        <v>7</v>
      </c>
      <c r="AB157" t="str">
        <f t="shared" si="60"/>
        <v>Neutral</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3</v>
      </c>
      <c r="AF157">
        <f>step3_validation[[#This Row],[AI_FAC2]]</f>
        <v>8</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2</v>
      </c>
      <c r="AK157">
        <f>step3_validation[[#This Row],[AI_TRU1]]</f>
        <v>7</v>
      </c>
      <c r="AL157" t="str">
        <f t="shared" si="66"/>
        <v>Neutral</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3</v>
      </c>
      <c r="AP157">
        <f>step3_validation[[#This Row],[AI_TRU2]]</f>
        <v>8</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2">
        <f t="shared" si="71"/>
        <v>2</v>
      </c>
      <c r="AU157">
        <f>step3_validation[[#This Row],[AI_TRU3]]</f>
        <v>7</v>
      </c>
      <c r="AV157" t="str">
        <f t="shared" si="72"/>
        <v>Neutral</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3</v>
      </c>
      <c r="AZ157">
        <f>step3_validation[[#This Row],[AI_TRU4]]</f>
        <v>6</v>
      </c>
      <c r="BA157" t="str">
        <f t="shared" si="75"/>
        <v>Neutral</v>
      </c>
      <c r="BB157">
        <f>survey_responses[[#This Row],[Tôi thấy Nhà nước đã giải thích rõ ràng, minh bạch về lý do và mục tiêu của việc sửa đổi thuế lần này. - HUMAN-TRU4]]</f>
        <v>10</v>
      </c>
      <c r="BC157" t="str">
        <f t="shared" si="76"/>
        <v>Support</v>
      </c>
      <c r="BD157" s="32">
        <f t="shared" si="77"/>
        <v>4</v>
      </c>
      <c r="BE157">
        <f>step3_validation[[#This Row],[AI_OUT1]]</f>
        <v>8</v>
      </c>
      <c r="BF157" t="str">
        <f t="shared" si="78"/>
        <v>Support</v>
      </c>
      <c r="BG157">
        <f>survey_responses[[#This Row],[Sau khi xem xét các quyền lợi và nghĩa vụ, bạn có ủng hộ và tuân thủ chính sách mới hiện nay? - HUMAN-OUT1]]</f>
        <v>10</v>
      </c>
      <c r="BH157" t="str">
        <f t="shared" si="79"/>
        <v>Support</v>
      </c>
      <c r="BI157" s="32">
        <f t="shared" si="80"/>
        <v>2</v>
      </c>
    </row>
    <row r="158" spans="1:61" x14ac:dyDescent="0.45">
      <c r="A158" s="30">
        <f>step3_validation[[#This Row],[Persona_ID]]</f>
        <v>157</v>
      </c>
      <c r="B158" s="31">
        <f>step3_validation[[#This Row],[Used_Seed]]</f>
        <v>12501</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89.873030369199199</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6</v>
      </c>
      <c r="R158" t="str">
        <f t="shared" si="54"/>
        <v>Neutral</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4</v>
      </c>
      <c r="V158">
        <f>step3_validation[[#This Row],[AI_ENF2]]</f>
        <v>7</v>
      </c>
      <c r="W158" t="str">
        <f t="shared" si="57"/>
        <v>Neutral</v>
      </c>
      <c r="X158">
        <f>survey_responses[[#This Row],[Tôi tin rằng Nhà nước, cơ quan thuế có đủ khả năng và công nghệ để phát hiện, xử lý nghiêm các hành vi trốn thuế. - HUMAN-ENF2]]</f>
        <v>10</v>
      </c>
      <c r="Y158" t="str">
        <f t="shared" si="58"/>
        <v>Support</v>
      </c>
      <c r="Z158" s="32">
        <f t="shared" si="59"/>
        <v>3</v>
      </c>
      <c r="AA158">
        <f>step3_validation[[#This Row],[AI_FAC1]]</f>
        <v>8</v>
      </c>
      <c r="AB158" t="str">
        <f t="shared" si="60"/>
        <v>Support</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7</v>
      </c>
      <c r="AF158">
        <f>step3_validation[[#This Row],[AI_FAC2]]</f>
        <v>9</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1</v>
      </c>
      <c r="AK158">
        <f>step3_validation[[#This Row],[AI_TRU1]]</f>
        <v>7</v>
      </c>
      <c r="AL158" t="str">
        <f t="shared" si="66"/>
        <v>Neutral</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6</v>
      </c>
      <c r="AP158">
        <f>step3_validation[[#This Row],[AI_TRU2]]</f>
        <v>8</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2">
        <f t="shared" si="71"/>
        <v>7</v>
      </c>
      <c r="AU158">
        <f>step3_validation[[#This Row],[AI_TRU3]]</f>
        <v>6</v>
      </c>
      <c r="AV158" t="str">
        <f t="shared" si="72"/>
        <v>Neutral</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5</v>
      </c>
      <c r="AZ158">
        <f>step3_validation[[#This Row],[AI_TRU4]]</f>
        <v>7</v>
      </c>
      <c r="BA158" t="str">
        <f t="shared" si="75"/>
        <v>Neutral</v>
      </c>
      <c r="BB158">
        <f>survey_responses[[#This Row],[Tôi thấy Nhà nước đã giải thích rõ ràng, minh bạch về lý do và mục tiêu của việc sửa đổi thuế lần này. - HUMAN-TRU4]]</f>
        <v>1</v>
      </c>
      <c r="BC158" t="str">
        <f t="shared" si="76"/>
        <v>Oppose</v>
      </c>
      <c r="BD158" s="32">
        <f t="shared" si="77"/>
        <v>6</v>
      </c>
      <c r="BE158">
        <f>step3_validation[[#This Row],[AI_OUT1]]</f>
        <v>7</v>
      </c>
      <c r="BF158" t="str">
        <f t="shared" si="78"/>
        <v>Neutral</v>
      </c>
      <c r="BG158">
        <f>survey_responses[[#This Row],[Sau khi xem xét các quyền lợi và nghĩa vụ, bạn có ủng hộ và tuân thủ chính sách mới hiện nay? - HUMAN-OUT1]]</f>
        <v>6</v>
      </c>
      <c r="BH158" t="str">
        <f t="shared" si="79"/>
        <v>Neutral</v>
      </c>
      <c r="BI158" s="32">
        <f t="shared" si="80"/>
        <v>1</v>
      </c>
    </row>
    <row r="159" spans="1:61" x14ac:dyDescent="0.45">
      <c r="A159" s="30">
        <f>step3_validation[[#This Row],[Persona_ID]]</f>
        <v>158</v>
      </c>
      <c r="B159" s="31">
        <f>step3_validation[[#This Row],[Used_Seed]]</f>
        <v>12502</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92.191062669768414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8</v>
      </c>
      <c r="R159" t="str">
        <f t="shared" si="54"/>
        <v>Support</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1</v>
      </c>
      <c r="V159">
        <f>step3_validation[[#This Row],[AI_ENF2]]</f>
        <v>9</v>
      </c>
      <c r="W159" t="str">
        <f t="shared" si="57"/>
        <v>Support</v>
      </c>
      <c r="X159">
        <f>survey_responses[[#This Row],[Tôi tin rằng Nhà nước, cơ quan thuế có đủ khả năng và công nghệ để phát hiện, xử lý nghiêm các hành vi trốn thuế. - HUMAN-ENF2]]</f>
        <v>8</v>
      </c>
      <c r="Y159" t="str">
        <f t="shared" si="58"/>
        <v>Support</v>
      </c>
      <c r="Z159" s="32">
        <f t="shared" si="59"/>
        <v>1</v>
      </c>
      <c r="AA159">
        <f>step3_validation[[#This Row],[AI_FAC1]]</f>
        <v>7</v>
      </c>
      <c r="AB159" t="str">
        <f t="shared" si="60"/>
        <v>Neutral</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1</v>
      </c>
      <c r="AF159">
        <f>step3_validation[[#This Row],[AI_FAC2]]</f>
        <v>8</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2</v>
      </c>
      <c r="AK159">
        <f>step3_validation[[#This Row],[AI_TRU1]]</f>
        <v>9</v>
      </c>
      <c r="AL159" t="str">
        <f t="shared" si="66"/>
        <v>Support</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2</v>
      </c>
      <c r="AP159">
        <f>step3_validation[[#This Row],[AI_TRU2]]</f>
        <v>8</v>
      </c>
      <c r="AQ159" t="str">
        <f t="shared" si="69"/>
        <v>Support</v>
      </c>
      <c r="AR159">
        <f>survey_responses[[#This Row],[Tôi thấy mức thuế tôi phải đóng theo phương án mới là công bằng (người thu nhập như tôi đóng mức này là hợp lý). - HUMAN-TRU2]]</f>
        <v>5</v>
      </c>
      <c r="AS159" t="str">
        <f t="shared" si="70"/>
        <v>Neutral</v>
      </c>
      <c r="AT159" s="32">
        <f t="shared" si="71"/>
        <v>3</v>
      </c>
      <c r="AU159">
        <f>step3_validation[[#This Row],[AI_TRU3]]</f>
        <v>7</v>
      </c>
      <c r="AV159" t="str">
        <f t="shared" si="72"/>
        <v>Neutral</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1</v>
      </c>
      <c r="AZ159">
        <f>step3_validation[[#This Row],[AI_TRU4]]</f>
        <v>8</v>
      </c>
      <c r="BA159" t="str">
        <f t="shared" si="75"/>
        <v>Support</v>
      </c>
      <c r="BB159">
        <f>survey_responses[[#This Row],[Tôi thấy Nhà nước đã giải thích rõ ràng, minh bạch về lý do và mục tiêu của việc sửa đổi thuế lần này. - HUMAN-TRU4]]</f>
        <v>7</v>
      </c>
      <c r="BC159" t="str">
        <f t="shared" si="76"/>
        <v>Neutral</v>
      </c>
      <c r="BD159" s="32">
        <f t="shared" si="77"/>
        <v>1</v>
      </c>
      <c r="BE159">
        <f>step3_validation[[#This Row],[AI_OUT1]]</f>
        <v>7</v>
      </c>
      <c r="BF159" t="str">
        <f t="shared" si="78"/>
        <v>Neutral</v>
      </c>
      <c r="BG159">
        <f>survey_responses[[#This Row],[Sau khi xem xét các quyền lợi và nghĩa vụ, bạn có ủng hộ và tuân thủ chính sách mới hiện nay? - HUMAN-OUT1]]</f>
        <v>7</v>
      </c>
      <c r="BH159" t="str">
        <f t="shared" si="79"/>
        <v>Neutral</v>
      </c>
      <c r="BI159" s="32">
        <f t="shared" si="80"/>
        <v>0</v>
      </c>
    </row>
    <row r="160" spans="1:61" x14ac:dyDescent="0.45">
      <c r="A160" s="30">
        <f>step3_validation[[#This Row],[Persona_ID]]</f>
        <v>159</v>
      </c>
      <c r="B160" s="31">
        <f>step3_validation[[#This Row],[Used_Seed]]</f>
        <v>12503</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34.087865766761901</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8</v>
      </c>
      <c r="R160" t="str">
        <f t="shared" si="54"/>
        <v>Support</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6</v>
      </c>
      <c r="V160">
        <f>step3_validation[[#This Row],[AI_ENF2]]</f>
        <v>8</v>
      </c>
      <c r="W160" t="str">
        <f t="shared" si="57"/>
        <v>Support</v>
      </c>
      <c r="X160">
        <f>survey_responses[[#This Row],[Tôi tin rằng Nhà nước, cơ quan thuế có đủ khả năng và công nghệ để phát hiện, xử lý nghiêm các hành vi trốn thuế. - HUMAN-ENF2]]</f>
        <v>7</v>
      </c>
      <c r="Y160" t="str">
        <f t="shared" si="58"/>
        <v>Neutral</v>
      </c>
      <c r="Z160" s="32">
        <f t="shared" si="59"/>
        <v>1</v>
      </c>
      <c r="AA160">
        <f>step3_validation[[#This Row],[AI_FAC1]]</f>
        <v>7</v>
      </c>
      <c r="AB160" t="str">
        <f t="shared" si="60"/>
        <v>Neutral</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3</v>
      </c>
      <c r="AF160">
        <f>step3_validation[[#This Row],[AI_FAC2]]</f>
        <v>6</v>
      </c>
      <c r="AG160" t="str">
        <f t="shared" si="63"/>
        <v>Neutral</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4</v>
      </c>
      <c r="AK160">
        <f>step3_validation[[#This Row],[AI_TRU1]]</f>
        <v>8</v>
      </c>
      <c r="AL160" t="str">
        <f t="shared" si="66"/>
        <v>Support</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2</v>
      </c>
      <c r="AP160">
        <f>step3_validation[[#This Row],[AI_TRU2]]</f>
        <v>7</v>
      </c>
      <c r="AQ160" t="str">
        <f t="shared" si="69"/>
        <v>Neutral</v>
      </c>
      <c r="AR160">
        <f>survey_responses[[#This Row],[Tôi thấy mức thuế tôi phải đóng theo phương án mới là công bằng (người thu nhập như tôi đóng mức này là hợp lý). - HUMAN-TRU2]]</f>
        <v>5</v>
      </c>
      <c r="AS160" t="str">
        <f t="shared" si="70"/>
        <v>Neutral</v>
      </c>
      <c r="AT160" s="32">
        <f t="shared" si="71"/>
        <v>2</v>
      </c>
      <c r="AU160">
        <f>step3_validation[[#This Row],[AI_TRU3]]</f>
        <v>7</v>
      </c>
      <c r="AV160" t="str">
        <f t="shared" si="72"/>
        <v>Neutral</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3</v>
      </c>
      <c r="AZ160">
        <f>step3_validation[[#This Row],[AI_TRU4]]</f>
        <v>8</v>
      </c>
      <c r="BA160" t="str">
        <f t="shared" si="75"/>
        <v>Support</v>
      </c>
      <c r="BB160">
        <f>survey_responses[[#This Row],[Tôi thấy Nhà nước đã giải thích rõ ràng, minh bạch về lý do và mục tiêu của việc sửa đổi thuế lần này. - HUMAN-TRU4]]</f>
        <v>3</v>
      </c>
      <c r="BC160" t="str">
        <f t="shared" si="76"/>
        <v>Oppose</v>
      </c>
      <c r="BD160" s="32">
        <f t="shared" si="77"/>
        <v>5</v>
      </c>
      <c r="BE160">
        <f>step3_validation[[#This Row],[AI_OUT1]]</f>
        <v>8</v>
      </c>
      <c r="BF160" t="str">
        <f t="shared" si="78"/>
        <v>Support</v>
      </c>
      <c r="BG160">
        <f>survey_responses[[#This Row],[Sau khi xem xét các quyền lợi và nghĩa vụ, bạn có ủng hộ và tuân thủ chính sách mới hiện nay? - HUMAN-OUT1]]</f>
        <v>3</v>
      </c>
      <c r="BH160" t="str">
        <f t="shared" si="79"/>
        <v>Oppose</v>
      </c>
      <c r="BI160" s="32">
        <f t="shared" si="80"/>
        <v>5</v>
      </c>
    </row>
    <row r="161" spans="1:61" x14ac:dyDescent="0.45">
      <c r="A161" s="30">
        <f>step3_validation[[#This Row],[Persona_ID]]</f>
        <v>160</v>
      </c>
      <c r="B161" s="31">
        <f>step3_validation[[#This Row],[Used_Seed]]</f>
        <v>12504</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37.707999113122803</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8</v>
      </c>
      <c r="R161" t="str">
        <f t="shared" si="54"/>
        <v>Support</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1</v>
      </c>
      <c r="V161">
        <f>step3_validation[[#This Row],[AI_ENF2]]</f>
        <v>7</v>
      </c>
      <c r="W161" t="str">
        <f t="shared" si="57"/>
        <v>Neutral</v>
      </c>
      <c r="X161">
        <f>survey_responses[[#This Row],[Tôi tin rằng Nhà nước, cơ quan thuế có đủ khả năng và công nghệ để phát hiện, xử lý nghiêm các hành vi trốn thuế. - HUMAN-ENF2]]</f>
        <v>9</v>
      </c>
      <c r="Y161" t="str">
        <f t="shared" si="58"/>
        <v>Support</v>
      </c>
      <c r="Z161" s="32">
        <f t="shared" si="59"/>
        <v>2</v>
      </c>
      <c r="AA161">
        <f>step3_validation[[#This Row],[AI_FAC1]]</f>
        <v>6</v>
      </c>
      <c r="AB161" t="str">
        <f t="shared" si="60"/>
        <v>Neutral</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4</v>
      </c>
      <c r="AF161">
        <f>step3_validation[[#This Row],[AI_FAC2]]</f>
        <v>7</v>
      </c>
      <c r="AG161" t="str">
        <f t="shared" si="63"/>
        <v>Neutral</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5</v>
      </c>
      <c r="AK161">
        <f>step3_validation[[#This Row],[AI_TRU1]]</f>
        <v>6</v>
      </c>
      <c r="AL161" t="str">
        <f t="shared" si="66"/>
        <v>Neutral</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3</v>
      </c>
      <c r="AP161">
        <f>step3_validation[[#This Row],[AI_TRU2]]</f>
        <v>7</v>
      </c>
      <c r="AQ161" t="str">
        <f t="shared" si="69"/>
        <v>Neutral</v>
      </c>
      <c r="AR161">
        <f>survey_responses[[#This Row],[Tôi thấy mức thuế tôi phải đóng theo phương án mới là công bằng (người thu nhập như tôi đóng mức này là hợp lý). - HUMAN-TRU2]]</f>
        <v>9</v>
      </c>
      <c r="AS161" t="str">
        <f t="shared" si="70"/>
        <v>Support</v>
      </c>
      <c r="AT161" s="32">
        <f t="shared" si="71"/>
        <v>2</v>
      </c>
      <c r="AU161">
        <f>step3_validation[[#This Row],[AI_TRU3]]</f>
        <v>6</v>
      </c>
      <c r="AV161" t="str">
        <f t="shared" si="72"/>
        <v>Neutral</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0</v>
      </c>
      <c r="AZ161">
        <f>step3_validation[[#This Row],[AI_TRU4]]</f>
        <v>7</v>
      </c>
      <c r="BA161" t="str">
        <f t="shared" si="75"/>
        <v>Neutral</v>
      </c>
      <c r="BB161">
        <f>survey_responses[[#This Row],[Tôi thấy Nhà nước đã giải thích rõ ràng, minh bạch về lý do và mục tiêu của việc sửa đổi thuế lần này. - HUMAN-TRU4]]</f>
        <v>8</v>
      </c>
      <c r="BC161" t="str">
        <f t="shared" si="76"/>
        <v>Support</v>
      </c>
      <c r="BD161" s="32">
        <f t="shared" si="77"/>
        <v>1</v>
      </c>
      <c r="BE161">
        <f>step3_validation[[#This Row],[AI_OUT1]]</f>
        <v>8</v>
      </c>
      <c r="BF161" t="str">
        <f t="shared" si="78"/>
        <v>Support</v>
      </c>
      <c r="BG161">
        <f>survey_responses[[#This Row],[Sau khi xem xét các quyền lợi và nghĩa vụ, bạn có ủng hộ và tuân thủ chính sách mới hiện nay? - HUMAN-OUT1]]</f>
        <v>10</v>
      </c>
      <c r="BH161" t="str">
        <f t="shared" si="79"/>
        <v>Support</v>
      </c>
      <c r="BI161" s="32">
        <f t="shared" si="80"/>
        <v>2</v>
      </c>
    </row>
    <row r="162" spans="1:61" x14ac:dyDescent="0.45">
      <c r="A162" s="30">
        <f>step3_validation[[#This Row],[Persona_ID]]</f>
        <v>161</v>
      </c>
      <c r="B162" s="31">
        <f>step3_validation[[#This Row],[Used_Seed]]</f>
        <v>12505</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13.963854423907176</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0</v>
      </c>
      <c r="V162">
        <f>step3_validation[[#This Row],[AI_ENF2]]</f>
        <v>6</v>
      </c>
      <c r="W162" t="str">
        <f t="shared" si="57"/>
        <v>Neutral</v>
      </c>
      <c r="X162">
        <f>survey_responses[[#This Row],[Tôi tin rằng Nhà nước, cơ quan thuế có đủ khả năng và công nghệ để phát hiện, xử lý nghiêm các hành vi trốn thuế. - HUMAN-ENF2]]</f>
        <v>5</v>
      </c>
      <c r="Y162" t="str">
        <f t="shared" si="58"/>
        <v>Neutral</v>
      </c>
      <c r="Z162" s="32">
        <f t="shared" si="59"/>
        <v>1</v>
      </c>
      <c r="AA162">
        <f>step3_validation[[#This Row],[AI_FAC1]]</f>
        <v>5</v>
      </c>
      <c r="AB162" t="str">
        <f t="shared" si="60"/>
        <v>Neutral</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2</v>
      </c>
      <c r="AF162">
        <f>step3_validation[[#This Row],[AI_FAC2]]</f>
        <v>7</v>
      </c>
      <c r="AG162" t="str">
        <f t="shared" si="63"/>
        <v>Neutral</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2</v>
      </c>
      <c r="AK162">
        <f>step3_validation[[#This Row],[AI_TRU1]]</f>
        <v>8</v>
      </c>
      <c r="AL162" t="str">
        <f t="shared" si="66"/>
        <v>Support</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5</v>
      </c>
      <c r="AP162">
        <f>step3_validation[[#This Row],[AI_TRU2]]</f>
        <v>9</v>
      </c>
      <c r="AQ162" t="str">
        <f t="shared" si="69"/>
        <v>Support</v>
      </c>
      <c r="AR162">
        <f>survey_responses[[#This Row],[Tôi thấy mức thuế tôi phải đóng theo phương án mới là công bằng (người thu nhập như tôi đóng mức này là hợp lý). - HUMAN-TRU2]]</f>
        <v>4</v>
      </c>
      <c r="AS162" t="str">
        <f t="shared" si="70"/>
        <v>Oppose</v>
      </c>
      <c r="AT162" s="32">
        <f t="shared" si="71"/>
        <v>5</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6</v>
      </c>
      <c r="AZ162">
        <f>step3_validation[[#This Row],[AI_TRU4]]</f>
        <v>6</v>
      </c>
      <c r="BA162" t="str">
        <f t="shared" si="75"/>
        <v>Neutral</v>
      </c>
      <c r="BB162">
        <f>survey_responses[[#This Row],[Tôi thấy Nhà nước đã giải thích rõ ràng, minh bạch về lý do và mục tiêu của việc sửa đổi thuế lần này. - HUMAN-TRU4]]</f>
        <v>5</v>
      </c>
      <c r="BC162" t="str">
        <f t="shared" si="76"/>
        <v>Neutral</v>
      </c>
      <c r="BD162" s="32">
        <f t="shared" si="77"/>
        <v>1</v>
      </c>
      <c r="BE162">
        <f>step3_validation[[#This Row],[AI_OUT1]]</f>
        <v>8</v>
      </c>
      <c r="BF162" t="str">
        <f t="shared" si="78"/>
        <v>Support</v>
      </c>
      <c r="BG162">
        <f>survey_responses[[#This Row],[Sau khi xem xét các quyền lợi và nghĩa vụ, bạn có ủng hộ và tuân thủ chính sách mới hiện nay? - HUMAN-OUT1]]</f>
        <v>5</v>
      </c>
      <c r="BH162" t="str">
        <f t="shared" si="79"/>
        <v>Neutral</v>
      </c>
      <c r="BI162" s="32">
        <f t="shared" si="80"/>
        <v>3</v>
      </c>
    </row>
    <row r="163" spans="1:61" x14ac:dyDescent="0.45">
      <c r="A163" s="30">
        <f>step3_validation[[#This Row],[Persona_ID]]</f>
        <v>162</v>
      </c>
      <c r="B163" s="31">
        <f>step3_validation[[#This Row],[Used_Seed]]</f>
        <v>12506</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8</v>
      </c>
      <c r="R163" t="str">
        <f t="shared" si="54"/>
        <v>Support</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5</v>
      </c>
      <c r="V163">
        <f>step3_validation[[#This Row],[AI_ENF2]]</f>
        <v>7</v>
      </c>
      <c r="W163" t="str">
        <f t="shared" si="57"/>
        <v>Neutral</v>
      </c>
      <c r="X163">
        <f>survey_responses[[#This Row],[Tôi tin rằng Nhà nước, cơ quan thuế có đủ khả năng và công nghệ để phát hiện, xử lý nghiêm các hành vi trốn thuế. - HUMAN-ENF2]]</f>
        <v>8</v>
      </c>
      <c r="Y163" t="str">
        <f t="shared" si="58"/>
        <v>Support</v>
      </c>
      <c r="Z163" s="32">
        <f t="shared" si="59"/>
        <v>1</v>
      </c>
      <c r="AA163">
        <f>step3_validation[[#This Row],[AI_FAC1]]</f>
        <v>9</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5</v>
      </c>
      <c r="AF163">
        <f>step3_validation[[#This Row],[AI_FAC2]]</f>
        <v>8</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3</v>
      </c>
      <c r="AK163">
        <f>step3_validation[[#This Row],[AI_TRU1]]</f>
        <v>7</v>
      </c>
      <c r="AL163" t="str">
        <f t="shared" si="66"/>
        <v>Neutral</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2</v>
      </c>
      <c r="AP163">
        <f>step3_validation[[#This Row],[AI_TRU2]]</f>
        <v>8</v>
      </c>
      <c r="AQ163" t="str">
        <f t="shared" si="69"/>
        <v>Support</v>
      </c>
      <c r="AR163">
        <f>survey_responses[[#This Row],[Tôi thấy mức thuế tôi phải đóng theo phương án mới là công bằng (người thu nhập như tôi đóng mức này là hợp lý). - HUMAN-TRU2]]</f>
        <v>5</v>
      </c>
      <c r="AS163" t="str">
        <f t="shared" si="70"/>
        <v>Neutral</v>
      </c>
      <c r="AT163" s="32">
        <f t="shared" si="71"/>
        <v>3</v>
      </c>
      <c r="AU163">
        <f>step3_validation[[#This Row],[AI_TRU3]]</f>
        <v>7</v>
      </c>
      <c r="AV163" t="str">
        <f t="shared" si="72"/>
        <v>Neutral</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2</v>
      </c>
      <c r="AZ163">
        <f>step3_validation[[#This Row],[AI_TRU4]]</f>
        <v>6</v>
      </c>
      <c r="BA163" t="str">
        <f t="shared" si="75"/>
        <v>Neutral</v>
      </c>
      <c r="BB163">
        <f>survey_responses[[#This Row],[Tôi thấy Nhà nước đã giải thích rõ ràng, minh bạch về lý do và mục tiêu của việc sửa đổi thuế lần này. - HUMAN-TRU4]]</f>
        <v>5</v>
      </c>
      <c r="BC163" t="str">
        <f t="shared" si="76"/>
        <v>Neutral</v>
      </c>
      <c r="BD163" s="32">
        <f t="shared" si="77"/>
        <v>1</v>
      </c>
      <c r="BE163">
        <f>step3_validation[[#This Row],[AI_OUT1]]</f>
        <v>8</v>
      </c>
      <c r="BF163" t="str">
        <f t="shared" si="78"/>
        <v>Support</v>
      </c>
      <c r="BG163">
        <f>survey_responses[[#This Row],[Sau khi xem xét các quyền lợi và nghĩa vụ, bạn có ủng hộ và tuân thủ chính sách mới hiện nay? - HUMAN-OUT1]]</f>
        <v>5</v>
      </c>
      <c r="BH163" t="str">
        <f t="shared" si="79"/>
        <v>Neutral</v>
      </c>
      <c r="BI163" s="32">
        <f t="shared" si="80"/>
        <v>3</v>
      </c>
    </row>
    <row r="164" spans="1:61" x14ac:dyDescent="0.45">
      <c r="A164" s="30">
        <f>step3_validation[[#This Row],[Persona_ID]]</f>
        <v>163</v>
      </c>
      <c r="B164" s="31">
        <f>step3_validation[[#This Row],[Used_Seed]]</f>
        <v>12507</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14.910616980124107</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7</v>
      </c>
      <c r="R164" t="str">
        <f t="shared" si="54"/>
        <v>Neutral</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3</v>
      </c>
      <c r="V164">
        <f>step3_validation[[#This Row],[AI_ENF2]]</f>
        <v>6</v>
      </c>
      <c r="W164" t="str">
        <f t="shared" si="57"/>
        <v>Neutral</v>
      </c>
      <c r="X164">
        <f>survey_responses[[#This Row],[Tôi tin rằng Nhà nước, cơ quan thuế có đủ khả năng và công nghệ để phát hiện, xử lý nghiêm các hành vi trốn thuế. - HUMAN-ENF2]]</f>
        <v>10</v>
      </c>
      <c r="Y164" t="str">
        <f t="shared" si="58"/>
        <v>Support</v>
      </c>
      <c r="Z164" s="32">
        <f t="shared" si="59"/>
        <v>4</v>
      </c>
      <c r="AA164">
        <f>step3_validation[[#This Row],[AI_FAC1]]</f>
        <v>8</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2</v>
      </c>
      <c r="AF164">
        <f>step3_validation[[#This Row],[AI_FAC2]]</f>
        <v>9</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1</v>
      </c>
      <c r="AK164">
        <f>step3_validation[[#This Row],[AI_TRU1]]</f>
        <v>8</v>
      </c>
      <c r="AL164" t="str">
        <f t="shared" si="66"/>
        <v>Support</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2</v>
      </c>
      <c r="AP164">
        <f>step3_validation[[#This Row],[AI_TRU2]]</f>
        <v>9</v>
      </c>
      <c r="AQ164" t="str">
        <f t="shared" si="69"/>
        <v>Support</v>
      </c>
      <c r="AR164">
        <f>survey_responses[[#This Row],[Tôi thấy mức thuế tôi phải đóng theo phương án mới là công bằng (người thu nhập như tôi đóng mức này là hợp lý). - HUMAN-TRU2]]</f>
        <v>10</v>
      </c>
      <c r="AS164" t="str">
        <f t="shared" si="70"/>
        <v>Support</v>
      </c>
      <c r="AT164" s="32">
        <f t="shared" si="71"/>
        <v>1</v>
      </c>
      <c r="AU164">
        <f>step3_validation[[#This Row],[AI_TRU3]]</f>
        <v>7</v>
      </c>
      <c r="AV164" t="str">
        <f t="shared" si="72"/>
        <v>Neutral</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3</v>
      </c>
      <c r="AZ164">
        <f>step3_validation[[#This Row],[AI_TRU4]]</f>
        <v>8</v>
      </c>
      <c r="BA164" t="str">
        <f t="shared" si="75"/>
        <v>Support</v>
      </c>
      <c r="BB164">
        <f>survey_responses[[#This Row],[Tôi thấy Nhà nước đã giải thích rõ ràng, minh bạch về lý do và mục tiêu của việc sửa đổi thuế lần này. - HUMAN-TRU4]]</f>
        <v>10</v>
      </c>
      <c r="BC164" t="str">
        <f t="shared" si="76"/>
        <v>Support</v>
      </c>
      <c r="BD164" s="32">
        <f t="shared" si="77"/>
        <v>2</v>
      </c>
      <c r="BE164">
        <f>step3_validation[[#This Row],[AI_OUT1]]</f>
        <v>9</v>
      </c>
      <c r="BF164" t="str">
        <f t="shared" si="78"/>
        <v>Support</v>
      </c>
      <c r="BG164">
        <f>survey_responses[[#This Row],[Sau khi xem xét các quyền lợi và nghĩa vụ, bạn có ủng hộ và tuân thủ chính sách mới hiện nay? - HUMAN-OUT1]]</f>
        <v>10</v>
      </c>
      <c r="BH164" t="str">
        <f t="shared" si="79"/>
        <v>Support</v>
      </c>
      <c r="BI164" s="32">
        <f t="shared" si="80"/>
        <v>1</v>
      </c>
    </row>
    <row r="165" spans="1:61" x14ac:dyDescent="0.45">
      <c r="A165" s="30">
        <f>step3_validation[[#This Row],[Persona_ID]]</f>
        <v>164</v>
      </c>
      <c r="B165" s="31">
        <f>step3_validation[[#This Row],[Used_Seed]]</f>
        <v>12508</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40.584474757600745</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7</v>
      </c>
      <c r="R165" t="str">
        <f t="shared" si="54"/>
        <v>Neutral</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1</v>
      </c>
      <c r="V165">
        <f>step3_validation[[#This Row],[AI_ENF2]]</f>
        <v>6</v>
      </c>
      <c r="W165" t="str">
        <f t="shared" si="57"/>
        <v>Neutral</v>
      </c>
      <c r="X165">
        <f>survey_responses[[#This Row],[Tôi tin rằng Nhà nước, cơ quan thuế có đủ khả năng và công nghệ để phát hiện, xử lý nghiêm các hành vi trốn thuế. - HUMAN-ENF2]]</f>
        <v>9</v>
      </c>
      <c r="Y165" t="str">
        <f t="shared" si="58"/>
        <v>Support</v>
      </c>
      <c r="Z165" s="32">
        <f t="shared" si="59"/>
        <v>3</v>
      </c>
      <c r="AA165">
        <f>step3_validation[[#This Row],[AI_FAC1]]</f>
        <v>8</v>
      </c>
      <c r="AB165" t="str">
        <f t="shared" si="60"/>
        <v>Support</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1</v>
      </c>
      <c r="AF165">
        <f>step3_validation[[#This Row],[AI_FAC2]]</f>
        <v>7</v>
      </c>
      <c r="AG165" t="str">
        <f t="shared" si="63"/>
        <v>Neutral</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2</v>
      </c>
      <c r="AK165">
        <f>step3_validation[[#This Row],[AI_TRU1]]</f>
        <v>8</v>
      </c>
      <c r="AL165" t="str">
        <f t="shared" si="66"/>
        <v>Support</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3</v>
      </c>
      <c r="AP165">
        <f>step3_validation[[#This Row],[AI_TRU2]]</f>
        <v>7</v>
      </c>
      <c r="AQ165" t="str">
        <f t="shared" si="69"/>
        <v>Neutral</v>
      </c>
      <c r="AR165">
        <f>survey_responses[[#This Row],[Tôi thấy mức thuế tôi phải đóng theo phương án mới là công bằng (người thu nhập như tôi đóng mức này là hợp lý). - HUMAN-TRU2]]</f>
        <v>7</v>
      </c>
      <c r="AS165" t="str">
        <f t="shared" si="70"/>
        <v>Neutral</v>
      </c>
      <c r="AT165" s="32">
        <f t="shared" si="71"/>
        <v>0</v>
      </c>
      <c r="AU165">
        <f>step3_validation[[#This Row],[AI_TRU3]]</f>
        <v>8</v>
      </c>
      <c r="AV165" t="str">
        <f t="shared" si="72"/>
        <v>Support</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3</v>
      </c>
      <c r="AZ165">
        <f>step3_validation[[#This Row],[AI_TRU4]]</f>
        <v>6</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1</v>
      </c>
      <c r="BE165">
        <f>step3_validation[[#This Row],[AI_OUT1]]</f>
        <v>7</v>
      </c>
      <c r="BF165" t="str">
        <f t="shared" si="78"/>
        <v>Neutral</v>
      </c>
      <c r="BG165">
        <f>survey_responses[[#This Row],[Sau khi xem xét các quyền lợi và nghĩa vụ, bạn có ủng hộ và tuân thủ chính sách mới hiện nay? - HUMAN-OUT1]]</f>
        <v>7</v>
      </c>
      <c r="BH165" t="str">
        <f t="shared" si="79"/>
        <v>Neutral</v>
      </c>
      <c r="BI165" s="32">
        <f t="shared" si="80"/>
        <v>0</v>
      </c>
    </row>
    <row r="166" spans="1:61" x14ac:dyDescent="0.45">
      <c r="A166" s="30">
        <f>step3_validation[[#This Row],[Persona_ID]]</f>
        <v>165</v>
      </c>
      <c r="B166" s="31">
        <f>step3_validation[[#This Row],[Used_Seed]]</f>
        <v>12509</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34.97978712203917</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7</v>
      </c>
      <c r="R166" t="str">
        <f t="shared" si="54"/>
        <v>Neutral</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2</v>
      </c>
      <c r="V166">
        <f>step3_validation[[#This Row],[AI_ENF2]]</f>
        <v>8</v>
      </c>
      <c r="W166" t="str">
        <f t="shared" si="57"/>
        <v>Support</v>
      </c>
      <c r="X166">
        <f>survey_responses[[#This Row],[Tôi tin rằng Nhà nước, cơ quan thuế có đủ khả năng và công nghệ để phát hiện, xử lý nghiêm các hành vi trốn thuế. - HUMAN-ENF2]]</f>
        <v>5</v>
      </c>
      <c r="Y166" t="str">
        <f t="shared" si="58"/>
        <v>Neutral</v>
      </c>
      <c r="Z166" s="32">
        <f t="shared" si="59"/>
        <v>3</v>
      </c>
      <c r="AA166">
        <f>step3_validation[[#This Row],[AI_FAC1]]</f>
        <v>9</v>
      </c>
      <c r="AB166" t="str">
        <f t="shared" si="60"/>
        <v>Support</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3</v>
      </c>
      <c r="AF166">
        <f>step3_validation[[#This Row],[AI_FAC2]]</f>
        <v>8</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2</v>
      </c>
      <c r="AK166">
        <f>step3_validation[[#This Row],[AI_TRU1]]</f>
        <v>6</v>
      </c>
      <c r="AL166" t="str">
        <f t="shared" si="66"/>
        <v>Neutral</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0</v>
      </c>
      <c r="AP166">
        <f>step3_validation[[#This Row],[AI_TRU2]]</f>
        <v>7</v>
      </c>
      <c r="AQ166" t="str">
        <f t="shared" si="69"/>
        <v>Neutral</v>
      </c>
      <c r="AR166">
        <f>survey_responses[[#This Row],[Tôi thấy mức thuế tôi phải đóng theo phương án mới là công bằng (người thu nhập như tôi đóng mức này là hợp lý). - HUMAN-TRU2]]</f>
        <v>6</v>
      </c>
      <c r="AS166" t="str">
        <f t="shared" si="70"/>
        <v>Neutral</v>
      </c>
      <c r="AT166" s="32">
        <f t="shared" si="71"/>
        <v>1</v>
      </c>
      <c r="AU166">
        <f>step3_validation[[#This Row],[AI_TRU3]]</f>
        <v>5</v>
      </c>
      <c r="AV166" t="str">
        <f t="shared" si="72"/>
        <v>Neutral</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0</v>
      </c>
      <c r="AZ166">
        <f>step3_validation[[#This Row],[AI_TRU4]]</f>
        <v>6</v>
      </c>
      <c r="BA166" t="str">
        <f t="shared" si="75"/>
        <v>Neutral</v>
      </c>
      <c r="BB166">
        <f>survey_responses[[#This Row],[Tôi thấy Nhà nước đã giải thích rõ ràng, minh bạch về lý do và mục tiêu của việc sửa đổi thuế lần này. - HUMAN-TRU4]]</f>
        <v>7</v>
      </c>
      <c r="BC166" t="str">
        <f t="shared" si="76"/>
        <v>Neutral</v>
      </c>
      <c r="BD166" s="32">
        <f t="shared" si="77"/>
        <v>1</v>
      </c>
      <c r="BE166">
        <f>step3_validation[[#This Row],[AI_OUT1]]</f>
        <v>7</v>
      </c>
      <c r="BF166" t="str">
        <f t="shared" si="78"/>
        <v>Neutral</v>
      </c>
      <c r="BG166">
        <f>survey_responses[[#This Row],[Sau khi xem xét các quyền lợi và nghĩa vụ, bạn có ủng hộ và tuân thủ chính sách mới hiện nay? - HUMAN-OUT1]]</f>
        <v>8</v>
      </c>
      <c r="BH166" t="str">
        <f t="shared" si="79"/>
        <v>Support</v>
      </c>
      <c r="BI166" s="32">
        <f t="shared" si="80"/>
        <v>1</v>
      </c>
    </row>
    <row r="167" spans="1:61" x14ac:dyDescent="0.45">
      <c r="A167" s="30">
        <f>step3_validation[[#This Row],[Persona_ID]]</f>
        <v>166</v>
      </c>
      <c r="B167" s="31">
        <f>step3_validation[[#This Row],[Used_Seed]]</f>
        <v>12510</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38.465252929521412</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7</v>
      </c>
      <c r="R167" t="str">
        <f t="shared" si="54"/>
        <v>Neutral</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3</v>
      </c>
      <c r="V167">
        <f>step3_validation[[#This Row],[AI_ENF2]]</f>
        <v>7</v>
      </c>
      <c r="W167" t="str">
        <f t="shared" si="57"/>
        <v>Neutral</v>
      </c>
      <c r="X167">
        <f>survey_responses[[#This Row],[Tôi tin rằng Nhà nước, cơ quan thuế có đủ khả năng và công nghệ để phát hiện, xử lý nghiêm các hành vi trốn thuế. - HUMAN-ENF2]]</f>
        <v>8</v>
      </c>
      <c r="Y167" t="str">
        <f t="shared" si="58"/>
        <v>Support</v>
      </c>
      <c r="Z167" s="32">
        <f t="shared" si="59"/>
        <v>1</v>
      </c>
      <c r="AA167">
        <f>step3_validation[[#This Row],[AI_FAC1]]</f>
        <v>8</v>
      </c>
      <c r="AB167" t="str">
        <f t="shared" si="60"/>
        <v>Support</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2</v>
      </c>
      <c r="AF167">
        <f>step3_validation[[#This Row],[AI_FAC2]]</f>
        <v>9</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1</v>
      </c>
      <c r="AK167">
        <f>step3_validation[[#This Row],[AI_TRU1]]</f>
        <v>7</v>
      </c>
      <c r="AL167" t="str">
        <f t="shared" si="66"/>
        <v>Neutral</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3</v>
      </c>
      <c r="AP167">
        <f>step3_validation[[#This Row],[AI_TRU2]]</f>
        <v>8</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2">
        <f t="shared" si="71"/>
        <v>2</v>
      </c>
      <c r="AU167">
        <f>step3_validation[[#This Row],[AI_TRU3]]</f>
        <v>7</v>
      </c>
      <c r="AV167" t="str">
        <f t="shared" si="72"/>
        <v>Neutral</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3</v>
      </c>
      <c r="AZ167">
        <f>step3_validation[[#This Row],[AI_TRU4]]</f>
        <v>7</v>
      </c>
      <c r="BA167" t="str">
        <f t="shared" si="75"/>
        <v>Neutral</v>
      </c>
      <c r="BB167">
        <f>survey_responses[[#This Row],[Tôi thấy Nhà nước đã giải thích rõ ràng, minh bạch về lý do và mục tiêu của việc sửa đổi thuế lần này. - HUMAN-TRU4]]</f>
        <v>10</v>
      </c>
      <c r="BC167" t="str">
        <f t="shared" si="76"/>
        <v>Support</v>
      </c>
      <c r="BD167" s="32">
        <f t="shared" si="77"/>
        <v>3</v>
      </c>
      <c r="BE167">
        <f>step3_validation[[#This Row],[AI_OUT1]]</f>
        <v>8</v>
      </c>
      <c r="BF167" t="str">
        <f t="shared" si="78"/>
        <v>Support</v>
      </c>
      <c r="BG167">
        <f>survey_responses[[#This Row],[Sau khi xem xét các quyền lợi và nghĩa vụ, bạn có ủng hộ và tuân thủ chính sách mới hiện nay? - HUMAN-OUT1]]</f>
        <v>8</v>
      </c>
      <c r="BH167" t="str">
        <f t="shared" si="79"/>
        <v>Support</v>
      </c>
      <c r="BI167" s="32">
        <f t="shared" si="80"/>
        <v>0</v>
      </c>
    </row>
    <row r="168" spans="1:61" x14ac:dyDescent="0.45">
      <c r="A168" s="30">
        <f>step3_validation[[#This Row],[Persona_ID]]</f>
        <v>167</v>
      </c>
      <c r="B168" s="31">
        <f>step3_validation[[#This Row],[Used_Seed]]</f>
        <v>12511</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72.442077362604877</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2</v>
      </c>
      <c r="V168">
        <f>step3_validation[[#This Row],[AI_ENF2]]</f>
        <v>8</v>
      </c>
      <c r="W168" t="str">
        <f t="shared" si="57"/>
        <v>Support</v>
      </c>
      <c r="X168">
        <f>survey_responses[[#This Row],[Tôi tin rằng Nhà nước, cơ quan thuế có đủ khả năng và công nghệ để phát hiện, xử lý nghiêm các hành vi trốn thuế. - HUMAN-ENF2]]</f>
        <v>8</v>
      </c>
      <c r="Y168" t="str">
        <f t="shared" si="58"/>
        <v>Support</v>
      </c>
      <c r="Z168" s="32">
        <f t="shared" si="59"/>
        <v>0</v>
      </c>
      <c r="AA168">
        <f>step3_validation[[#This Row],[AI_FAC1]]</f>
        <v>6</v>
      </c>
      <c r="AB168" t="str">
        <f t="shared" si="60"/>
        <v>Neutral</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1</v>
      </c>
      <c r="AF168">
        <f>step3_validation[[#This Row],[AI_FAC2]]</f>
        <v>7</v>
      </c>
      <c r="AG168" t="str">
        <f t="shared" si="63"/>
        <v>Neutral</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1</v>
      </c>
      <c r="AK168">
        <f>step3_validation[[#This Row],[AI_TRU1]]</f>
        <v>8</v>
      </c>
      <c r="AL168" t="str">
        <f t="shared" si="66"/>
        <v>Support</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4</v>
      </c>
      <c r="AP168">
        <f>step3_validation[[#This Row],[AI_TRU2]]</f>
        <v>7</v>
      </c>
      <c r="AQ168" t="str">
        <f t="shared" si="69"/>
        <v>Neutral</v>
      </c>
      <c r="AR168">
        <f>survey_responses[[#This Row],[Tôi thấy mức thuế tôi phải đóng theo phương án mới là công bằng (người thu nhập như tôi đóng mức này là hợp lý). - HUMAN-TRU2]]</f>
        <v>5</v>
      </c>
      <c r="AS168" t="str">
        <f t="shared" si="70"/>
        <v>Neutral</v>
      </c>
      <c r="AT168" s="32">
        <f t="shared" si="71"/>
        <v>2</v>
      </c>
      <c r="AU168">
        <f>step3_validation[[#This Row],[AI_TRU3]]</f>
        <v>6</v>
      </c>
      <c r="AV168" t="str">
        <f t="shared" si="72"/>
        <v>Neutral</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5</v>
      </c>
      <c r="AZ168">
        <f>step3_validation[[#This Row],[AI_TRU4]]</f>
        <v>5</v>
      </c>
      <c r="BA168" t="str">
        <f t="shared" si="75"/>
        <v>Neutral</v>
      </c>
      <c r="BB168">
        <f>survey_responses[[#This Row],[Tôi thấy Nhà nước đã giải thích rõ ràng, minh bạch về lý do và mục tiêu của việc sửa đổi thuế lần này. - HUMAN-TRU4]]</f>
        <v>5</v>
      </c>
      <c r="BC168" t="str">
        <f t="shared" si="76"/>
        <v>Neutral</v>
      </c>
      <c r="BD168" s="32">
        <f t="shared" si="77"/>
        <v>0</v>
      </c>
      <c r="BE168">
        <f>step3_validation[[#This Row],[AI_OUT1]]</f>
        <v>6</v>
      </c>
      <c r="BF168" t="str">
        <f t="shared" si="78"/>
        <v>Neutral</v>
      </c>
      <c r="BG168">
        <f>survey_responses[[#This Row],[Sau khi xem xét các quyền lợi và nghĩa vụ, bạn có ủng hộ và tuân thủ chính sách mới hiện nay? - HUMAN-OUT1]]</f>
        <v>5</v>
      </c>
      <c r="BH168" t="str">
        <f t="shared" si="79"/>
        <v>Neutral</v>
      </c>
      <c r="BI168" s="32">
        <f t="shared" si="80"/>
        <v>1</v>
      </c>
    </row>
    <row r="169" spans="1:61" x14ac:dyDescent="0.45">
      <c r="A169" s="30">
        <f>step3_validation[[#This Row],[Persona_ID]]</f>
        <v>168</v>
      </c>
      <c r="B169" s="31">
        <f>step3_validation[[#This Row],[Used_Seed]]</f>
        <v>12512</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18.635888982473595</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0</v>
      </c>
      <c r="V169">
        <f>step3_validation[[#This Row],[AI_ENF2]]</f>
        <v>8</v>
      </c>
      <c r="W169" t="str">
        <f t="shared" si="57"/>
        <v>Support</v>
      </c>
      <c r="X169">
        <f>survey_responses[[#This Row],[Tôi tin rằng Nhà nước, cơ quan thuế có đủ khả năng và công nghệ để phát hiện, xử lý nghiêm các hành vi trốn thuế. - HUMAN-ENF2]]</f>
        <v>7</v>
      </c>
      <c r="Y169" t="str">
        <f t="shared" si="58"/>
        <v>Neutral</v>
      </c>
      <c r="Z169" s="32">
        <f t="shared" si="59"/>
        <v>1</v>
      </c>
      <c r="AA169">
        <f>step3_validation[[#This Row],[AI_FAC1]]</f>
        <v>9</v>
      </c>
      <c r="AB169" t="str">
        <f t="shared" si="60"/>
        <v>Support</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1</v>
      </c>
      <c r="AF169">
        <f>step3_validation[[#This Row],[AI_FAC2]]</f>
        <v>8</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0</v>
      </c>
      <c r="AK169">
        <f>step3_validation[[#This Row],[AI_TRU1]]</f>
        <v>9</v>
      </c>
      <c r="AL169" t="str">
        <f t="shared" si="66"/>
        <v>Support</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2</v>
      </c>
      <c r="AP169">
        <f>step3_validation[[#This Row],[AI_TRU2]]</f>
        <v>8</v>
      </c>
      <c r="AQ169" t="str">
        <f t="shared" si="69"/>
        <v>Support</v>
      </c>
      <c r="AR169">
        <f>survey_responses[[#This Row],[Tôi thấy mức thuế tôi phải đóng theo phương án mới là công bằng (người thu nhập như tôi đóng mức này là hợp lý). - HUMAN-TRU2]]</f>
        <v>8</v>
      </c>
      <c r="AS169" t="str">
        <f t="shared" si="70"/>
        <v>Support</v>
      </c>
      <c r="AT169" s="32">
        <f t="shared" si="71"/>
        <v>0</v>
      </c>
      <c r="AU169">
        <f>step3_validation[[#This Row],[AI_TRU3]]</f>
        <v>7</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1</v>
      </c>
      <c r="AZ169">
        <f>step3_validation[[#This Row],[AI_TRU4]]</f>
        <v>8</v>
      </c>
      <c r="BA169" t="str">
        <f t="shared" si="75"/>
        <v>Support</v>
      </c>
      <c r="BB169">
        <f>survey_responses[[#This Row],[Tôi thấy Nhà nước đã giải thích rõ ràng, minh bạch về lý do và mục tiêu của việc sửa đổi thuế lần này. - HUMAN-TRU4]]</f>
        <v>8</v>
      </c>
      <c r="BC169" t="str">
        <f t="shared" si="76"/>
        <v>Support</v>
      </c>
      <c r="BD169" s="32">
        <f t="shared" si="77"/>
        <v>0</v>
      </c>
      <c r="BE169">
        <f>step3_validation[[#This Row],[AI_OUT1]]</f>
        <v>9</v>
      </c>
      <c r="BF169" t="str">
        <f t="shared" si="78"/>
        <v>Support</v>
      </c>
      <c r="BG169">
        <f>survey_responses[[#This Row],[Sau khi xem xét các quyền lợi và nghĩa vụ, bạn có ủng hộ và tuân thủ chính sách mới hiện nay? - HUMAN-OUT1]]</f>
        <v>9</v>
      </c>
      <c r="BH169" t="str">
        <f t="shared" si="79"/>
        <v>Support</v>
      </c>
      <c r="BI169" s="32">
        <f t="shared" si="80"/>
        <v>0</v>
      </c>
    </row>
    <row r="170" spans="1:61" x14ac:dyDescent="0.45">
      <c r="A170" s="30">
        <f>step3_validation[[#This Row],[Persona_ID]]</f>
        <v>169</v>
      </c>
      <c r="B170" s="31">
        <f>step3_validation[[#This Row],[Used_Seed]]</f>
        <v>12513</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33.164972888402048</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7</v>
      </c>
      <c r="R170" t="str">
        <f t="shared" si="54"/>
        <v>Neutral</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1</v>
      </c>
      <c r="V170">
        <f>step3_validation[[#This Row],[AI_ENF2]]</f>
        <v>8</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2">
        <f t="shared" si="59"/>
        <v>0</v>
      </c>
      <c r="AA170">
        <f>step3_validation[[#This Row],[AI_FAC1]]</f>
        <v>9</v>
      </c>
      <c r="AB170" t="str">
        <f t="shared" si="60"/>
        <v>Support</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2</v>
      </c>
      <c r="AF170">
        <f>step3_validation[[#This Row],[AI_FAC2]]</f>
        <v>8</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0</v>
      </c>
      <c r="AK170">
        <f>step3_validation[[#This Row],[AI_TRU1]]</f>
        <v>7</v>
      </c>
      <c r="AL170" t="str">
        <f t="shared" si="66"/>
        <v>Neutral</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0</v>
      </c>
      <c r="AP170">
        <f>step3_validation[[#This Row],[AI_TRU2]]</f>
        <v>6</v>
      </c>
      <c r="AQ170" t="str">
        <f t="shared" si="69"/>
        <v>Neutral</v>
      </c>
      <c r="AR170">
        <f>survey_responses[[#This Row],[Tôi thấy mức thuế tôi phải đóng theo phương án mới là công bằng (người thu nhập như tôi đóng mức này là hợp lý). - HUMAN-TRU2]]</f>
        <v>7</v>
      </c>
      <c r="AS170" t="str">
        <f t="shared" si="70"/>
        <v>Neutral</v>
      </c>
      <c r="AT170" s="32">
        <f t="shared" si="71"/>
        <v>1</v>
      </c>
      <c r="AU170">
        <f>step3_validation[[#This Row],[AI_TRU3]]</f>
        <v>5</v>
      </c>
      <c r="AV170" t="str">
        <f t="shared" si="72"/>
        <v>Neutral</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2</v>
      </c>
      <c r="AZ170">
        <f>step3_validation[[#This Row],[AI_TRU4]]</f>
        <v>6</v>
      </c>
      <c r="BA170" t="str">
        <f t="shared" si="75"/>
        <v>Neutral</v>
      </c>
      <c r="BB170">
        <f>survey_responses[[#This Row],[Tôi thấy Nhà nước đã giải thích rõ ràng, minh bạch về lý do và mục tiêu của việc sửa đổi thuế lần này. - HUMAN-TRU4]]</f>
        <v>8</v>
      </c>
      <c r="BC170" t="str">
        <f t="shared" si="76"/>
        <v>Support</v>
      </c>
      <c r="BD170" s="32">
        <f t="shared" si="77"/>
        <v>2</v>
      </c>
      <c r="BE170">
        <f>step3_validation[[#This Row],[AI_OUT1]]</f>
        <v>8</v>
      </c>
      <c r="BF170" t="str">
        <f t="shared" si="78"/>
        <v>Support</v>
      </c>
      <c r="BG170">
        <f>survey_responses[[#This Row],[Sau khi xem xét các quyền lợi và nghĩa vụ, bạn có ủng hộ và tuân thủ chính sách mới hiện nay? - HUMAN-OUT1]]</f>
        <v>8</v>
      </c>
      <c r="BH170" t="str">
        <f t="shared" si="79"/>
        <v>Support</v>
      </c>
      <c r="BI170" s="32">
        <f t="shared" si="80"/>
        <v>0</v>
      </c>
    </row>
    <row r="171" spans="1:61" x14ac:dyDescent="0.45">
      <c r="A171" s="30">
        <f>step3_validation[[#This Row],[Persona_ID]]</f>
        <v>170</v>
      </c>
      <c r="B171" s="31">
        <f>step3_validation[[#This Row],[Used_Seed]]</f>
        <v>12514</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14.043096204887631</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8</v>
      </c>
      <c r="R171" t="str">
        <f t="shared" si="54"/>
        <v>Support</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3</v>
      </c>
      <c r="V171">
        <f>step3_validation[[#This Row],[AI_ENF2]]</f>
        <v>7</v>
      </c>
      <c r="W171" t="str">
        <f t="shared" si="57"/>
        <v>Neutral</v>
      </c>
      <c r="X171">
        <f>survey_responses[[#This Row],[Tôi tin rằng Nhà nước, cơ quan thuế có đủ khả năng và công nghệ để phát hiện, xử lý nghiêm các hành vi trốn thuế. - HUMAN-ENF2]]</f>
        <v>8</v>
      </c>
      <c r="Y171" t="str">
        <f t="shared" si="58"/>
        <v>Support</v>
      </c>
      <c r="Z171" s="32">
        <f t="shared" si="59"/>
        <v>1</v>
      </c>
      <c r="AA171">
        <f>step3_validation[[#This Row],[AI_FAC1]]</f>
        <v>9</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2</v>
      </c>
      <c r="AF171">
        <f>step3_validation[[#This Row],[AI_FAC2]]</f>
        <v>8</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0</v>
      </c>
      <c r="AK171">
        <f>step3_validation[[#This Row],[AI_TRU1]]</f>
        <v>9</v>
      </c>
      <c r="AL171" t="str">
        <f t="shared" si="66"/>
        <v>Support</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8</v>
      </c>
      <c r="AP171">
        <f>step3_validation[[#This Row],[AI_TRU2]]</f>
        <v>8</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2">
        <f t="shared" si="71"/>
        <v>6</v>
      </c>
      <c r="AU171">
        <f>step3_validation[[#This Row],[AI_TRU3]]</f>
        <v>7</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4</v>
      </c>
      <c r="AZ171">
        <f>step3_validation[[#This Row],[AI_TRU4]]</f>
        <v>6</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2">
        <f t="shared" si="77"/>
        <v>3</v>
      </c>
      <c r="BE171">
        <f>step3_validation[[#This Row],[AI_OUT1]]</f>
        <v>9</v>
      </c>
      <c r="BF171" t="str">
        <f t="shared" si="78"/>
        <v>Support</v>
      </c>
      <c r="BG171">
        <f>survey_responses[[#This Row],[Sau khi xem xét các quyền lợi và nghĩa vụ, bạn có ủng hộ và tuân thủ chính sách mới hiện nay? - HUMAN-OUT1]]</f>
        <v>7</v>
      </c>
      <c r="BH171" t="str">
        <f t="shared" si="79"/>
        <v>Neutral</v>
      </c>
      <c r="BI171" s="32">
        <f t="shared" si="80"/>
        <v>2</v>
      </c>
    </row>
    <row r="172" spans="1:61" x14ac:dyDescent="0.45">
      <c r="A172" s="30">
        <f>step3_validation[[#This Row],[Persona_ID]]</f>
        <v>171</v>
      </c>
      <c r="B172" s="31">
        <f>step3_validation[[#This Row],[Used_Seed]]</f>
        <v>12515</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8</v>
      </c>
      <c r="R172" t="str">
        <f t="shared" si="54"/>
        <v>Support</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2</v>
      </c>
      <c r="V172">
        <f>step3_validation[[#This Row],[AI_ENF2]]</f>
        <v>7</v>
      </c>
      <c r="W172" t="str">
        <f t="shared" si="57"/>
        <v>Neutral</v>
      </c>
      <c r="X172">
        <f>survey_responses[[#This Row],[Tôi tin rằng Nhà nước, cơ quan thuế có đủ khả năng và công nghệ để phát hiện, xử lý nghiêm các hành vi trốn thuế. - HUMAN-ENF2]]</f>
        <v>7</v>
      </c>
      <c r="Y172" t="str">
        <f t="shared" si="58"/>
        <v>Neutral</v>
      </c>
      <c r="Z172" s="32">
        <f t="shared" si="59"/>
        <v>0</v>
      </c>
      <c r="AA172">
        <f>step3_validation[[#This Row],[AI_FAC1]]</f>
        <v>9</v>
      </c>
      <c r="AB172" t="str">
        <f t="shared" si="60"/>
        <v>Support</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4</v>
      </c>
      <c r="AF172">
        <f>step3_validation[[#This Row],[AI_FAC2]]</f>
        <v>8</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1</v>
      </c>
      <c r="AK172">
        <f>step3_validation[[#This Row],[AI_TRU1]]</f>
        <v>7</v>
      </c>
      <c r="AL172" t="str">
        <f t="shared" si="66"/>
        <v>Neutral</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0</v>
      </c>
      <c r="AP172">
        <f>step3_validation[[#This Row],[AI_TRU2]]</f>
        <v>6</v>
      </c>
      <c r="AQ172" t="str">
        <f t="shared" si="69"/>
        <v>Neutral</v>
      </c>
      <c r="AR172">
        <f>survey_responses[[#This Row],[Tôi thấy mức thuế tôi phải đóng theo phương án mới là công bằng (người thu nhập như tôi đóng mức này là hợp lý). - HUMAN-TRU2]]</f>
        <v>7</v>
      </c>
      <c r="AS172" t="str">
        <f t="shared" si="70"/>
        <v>Neutral</v>
      </c>
      <c r="AT172" s="32">
        <f t="shared" si="71"/>
        <v>1</v>
      </c>
      <c r="AU172">
        <f>step3_validation[[#This Row],[AI_TRU3]]</f>
        <v>7</v>
      </c>
      <c r="AV172" t="str">
        <f t="shared" si="72"/>
        <v>Neutral</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2</v>
      </c>
      <c r="AZ172">
        <f>step3_validation[[#This Row],[AI_TRU4]]</f>
        <v>6</v>
      </c>
      <c r="BA172" t="str">
        <f t="shared" si="75"/>
        <v>Neutral</v>
      </c>
      <c r="BB172">
        <f>survey_responses[[#This Row],[Tôi thấy Nhà nước đã giải thích rõ ràng, minh bạch về lý do và mục tiêu của việc sửa đổi thuế lần này. - HUMAN-TRU4]]</f>
        <v>7</v>
      </c>
      <c r="BC172" t="str">
        <f t="shared" si="76"/>
        <v>Neutral</v>
      </c>
      <c r="BD172" s="32">
        <f t="shared" si="77"/>
        <v>1</v>
      </c>
      <c r="BE172">
        <f>step3_validation[[#This Row],[AI_OUT1]]</f>
        <v>8</v>
      </c>
      <c r="BF172" t="str">
        <f t="shared" si="78"/>
        <v>Support</v>
      </c>
      <c r="BG172">
        <f>survey_responses[[#This Row],[Sau khi xem xét các quyền lợi và nghĩa vụ, bạn có ủng hộ và tuân thủ chính sách mới hiện nay? - HUMAN-OUT1]]</f>
        <v>7</v>
      </c>
      <c r="BH172" t="str">
        <f t="shared" si="79"/>
        <v>Neutral</v>
      </c>
      <c r="BI172" s="32">
        <f t="shared" si="80"/>
        <v>1</v>
      </c>
    </row>
    <row r="173" spans="1:61" x14ac:dyDescent="0.45">
      <c r="A173" s="30">
        <f>step3_validation[[#This Row],[Persona_ID]]</f>
        <v>172</v>
      </c>
      <c r="B173" s="31">
        <f>step3_validation[[#This Row],[Used_Seed]]</f>
        <v>12516</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118.85331323830997</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6</v>
      </c>
      <c r="R173" t="str">
        <f t="shared" si="54"/>
        <v>Neutral</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2</v>
      </c>
      <c r="V173">
        <f>step3_validation[[#This Row],[AI_ENF2]]</f>
        <v>7</v>
      </c>
      <c r="W173" t="str">
        <f t="shared" si="57"/>
        <v>Neutral</v>
      </c>
      <c r="X173">
        <f>survey_responses[[#This Row],[Tôi tin rằng Nhà nước, cơ quan thuế có đủ khả năng và công nghệ để phát hiện, xử lý nghiêm các hành vi trốn thuế. - HUMAN-ENF2]]</f>
        <v>8</v>
      </c>
      <c r="Y173" t="str">
        <f t="shared" si="58"/>
        <v>Support</v>
      </c>
      <c r="Z173" s="32">
        <f t="shared" si="59"/>
        <v>1</v>
      </c>
      <c r="AA173">
        <f>step3_validation[[#This Row],[AI_FAC1]]</f>
        <v>5</v>
      </c>
      <c r="AB173" t="str">
        <f t="shared" si="60"/>
        <v>Neutral</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3</v>
      </c>
      <c r="AF173">
        <f>step3_validation[[#This Row],[AI_FAC2]]</f>
        <v>6</v>
      </c>
      <c r="AG173" t="str">
        <f t="shared" si="63"/>
        <v>Neutral</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3</v>
      </c>
      <c r="AK173">
        <f>step3_validation[[#This Row],[AI_TRU1]]</f>
        <v>7</v>
      </c>
      <c r="AL173" t="str">
        <f t="shared" si="66"/>
        <v>Neutral</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2</v>
      </c>
      <c r="AP173">
        <f>step3_validation[[#This Row],[AI_TRU2]]</f>
        <v>8</v>
      </c>
      <c r="AQ173" t="str">
        <f t="shared" si="69"/>
        <v>Support</v>
      </c>
      <c r="AR173">
        <f>survey_responses[[#This Row],[Tôi thấy mức thuế tôi phải đóng theo phương án mới là công bằng (người thu nhập như tôi đóng mức này là hợp lý). - HUMAN-TRU2]]</f>
        <v>5</v>
      </c>
      <c r="AS173" t="str">
        <f t="shared" si="70"/>
        <v>Neutral</v>
      </c>
      <c r="AT173" s="32">
        <f t="shared" si="71"/>
        <v>3</v>
      </c>
      <c r="AU173">
        <f>step3_validation[[#This Row],[AI_TRU3]]</f>
        <v>6</v>
      </c>
      <c r="AV173" t="str">
        <f t="shared" si="72"/>
        <v>Neutral</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1</v>
      </c>
      <c r="AZ173">
        <f>step3_validation[[#This Row],[AI_TRU4]]</f>
        <v>5</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3</v>
      </c>
      <c r="BE173">
        <f>step3_validation[[#This Row],[AI_OUT1]]</f>
        <v>7</v>
      </c>
      <c r="BF173" t="str">
        <f t="shared" si="78"/>
        <v>Neutral</v>
      </c>
      <c r="BG173">
        <f>survey_responses[[#This Row],[Sau khi xem xét các quyền lợi và nghĩa vụ, bạn có ủng hộ và tuân thủ chính sách mới hiện nay? - HUMAN-OUT1]]</f>
        <v>6</v>
      </c>
      <c r="BH173" t="str">
        <f t="shared" si="79"/>
        <v>Neutral</v>
      </c>
      <c r="BI173" s="32">
        <f t="shared" si="80"/>
        <v>1</v>
      </c>
    </row>
    <row r="174" spans="1:61" x14ac:dyDescent="0.45">
      <c r="A174" s="30">
        <f>step3_validation[[#This Row],[Persona_ID]]</f>
        <v>173</v>
      </c>
      <c r="B174" s="31">
        <f>step3_validation[[#This Row],[Used_Seed]]</f>
        <v>12517</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95.852765175263272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8</v>
      </c>
      <c r="R174" t="str">
        <f t="shared" si="54"/>
        <v>Support</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3</v>
      </c>
      <c r="V174">
        <f>step3_validation[[#This Row],[AI_ENF2]]</f>
        <v>7</v>
      </c>
      <c r="W174" t="str">
        <f t="shared" si="57"/>
        <v>Neutral</v>
      </c>
      <c r="X174">
        <f>survey_responses[[#This Row],[Tôi tin rằng Nhà nước, cơ quan thuế có đủ khả năng và công nghệ để phát hiện, xử lý nghiêm các hành vi trốn thuế. - HUMAN-ENF2]]</f>
        <v>5</v>
      </c>
      <c r="Y174" t="str">
        <f t="shared" si="58"/>
        <v>Neutral</v>
      </c>
      <c r="Z174" s="32">
        <f t="shared" si="59"/>
        <v>2</v>
      </c>
      <c r="AA174">
        <f>step3_validation[[#This Row],[AI_FAC1]]</f>
        <v>9</v>
      </c>
      <c r="AB174" t="str">
        <f t="shared" si="60"/>
        <v>Support</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5</v>
      </c>
      <c r="AF174">
        <f>step3_validation[[#This Row],[AI_FAC2]]</f>
        <v>8</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2</v>
      </c>
      <c r="AK174">
        <f>step3_validation[[#This Row],[AI_TRU1]]</f>
        <v>7</v>
      </c>
      <c r="AL174" t="str">
        <f t="shared" si="66"/>
        <v>Neutral</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2</v>
      </c>
      <c r="AP174">
        <f>step3_validation[[#This Row],[AI_TRU2]]</f>
        <v>6</v>
      </c>
      <c r="AQ174" t="str">
        <f t="shared" si="69"/>
        <v>Neutral</v>
      </c>
      <c r="AR174">
        <f>survey_responses[[#This Row],[Tôi thấy mức thuế tôi phải đóng theo phương án mới là công bằng (người thu nhập như tôi đóng mức này là hợp lý). - HUMAN-TRU2]]</f>
        <v>4</v>
      </c>
      <c r="AS174" t="str">
        <f t="shared" si="70"/>
        <v>Oppose</v>
      </c>
      <c r="AT174" s="32">
        <f t="shared" si="71"/>
        <v>2</v>
      </c>
      <c r="AU174">
        <f>step3_validation[[#This Row],[AI_TRU3]]</f>
        <v>7</v>
      </c>
      <c r="AV174" t="str">
        <f t="shared" si="72"/>
        <v>Neutral</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3</v>
      </c>
      <c r="AZ174">
        <f>step3_validation[[#This Row],[AI_TRU4]]</f>
        <v>6</v>
      </c>
      <c r="BA174" t="str">
        <f t="shared" si="75"/>
        <v>Neutral</v>
      </c>
      <c r="BB174">
        <f>survey_responses[[#This Row],[Tôi thấy Nhà nước đã giải thích rõ ràng, minh bạch về lý do và mục tiêu của việc sửa đổi thuế lần này. - HUMAN-TRU4]]</f>
        <v>5</v>
      </c>
      <c r="BC174" t="str">
        <f t="shared" si="76"/>
        <v>Neutral</v>
      </c>
      <c r="BD174" s="32">
        <f t="shared" si="77"/>
        <v>1</v>
      </c>
      <c r="BE174">
        <f>step3_validation[[#This Row],[AI_OUT1]]</f>
        <v>8</v>
      </c>
      <c r="BF174" t="str">
        <f t="shared" si="78"/>
        <v>Support</v>
      </c>
      <c r="BG174">
        <f>survey_responses[[#This Row],[Sau khi xem xét các quyền lợi và nghĩa vụ, bạn có ủng hộ và tuân thủ chính sách mới hiện nay? - HUMAN-OUT1]]</f>
        <v>5</v>
      </c>
      <c r="BH174" t="str">
        <f t="shared" si="79"/>
        <v>Neutral</v>
      </c>
      <c r="BI174" s="32">
        <f t="shared" si="80"/>
        <v>3</v>
      </c>
    </row>
    <row r="175" spans="1:61" x14ac:dyDescent="0.45">
      <c r="A175" s="30">
        <f>step3_validation[[#This Row],[Persona_ID]]</f>
        <v>174</v>
      </c>
      <c r="B175" s="31">
        <f>step3_validation[[#This Row],[Used_Seed]]</f>
        <v>12518</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37.992602690620231</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1</v>
      </c>
      <c r="V175">
        <f>step3_validation[[#This Row],[AI_ENF2]]</f>
        <v>6</v>
      </c>
      <c r="W175" t="str">
        <f t="shared" si="57"/>
        <v>Neutral</v>
      </c>
      <c r="X175">
        <f>survey_responses[[#This Row],[Tôi tin rằng Nhà nước, cơ quan thuế có đủ khả năng và công nghệ để phát hiện, xử lý nghiêm các hành vi trốn thuế. - HUMAN-ENF2]]</f>
        <v>6</v>
      </c>
      <c r="Y175" t="str">
        <f t="shared" si="58"/>
        <v>Neutral</v>
      </c>
      <c r="Z175" s="32">
        <f t="shared" si="59"/>
        <v>0</v>
      </c>
      <c r="AA175">
        <f>step3_validation[[#This Row],[AI_FAC1]]</f>
        <v>8</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2</v>
      </c>
      <c r="AF175">
        <f>step3_validation[[#This Row],[AI_FAC2]]</f>
        <v>7</v>
      </c>
      <c r="AG175" t="str">
        <f t="shared" si="63"/>
        <v>Neutral</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1</v>
      </c>
      <c r="AK175">
        <f>step3_validation[[#This Row],[AI_TRU1]]</f>
        <v>6</v>
      </c>
      <c r="AL175" t="str">
        <f t="shared" si="66"/>
        <v>Neutral</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1</v>
      </c>
      <c r="AP175">
        <f>step3_validation[[#This Row],[AI_TRU2]]</f>
        <v>7</v>
      </c>
      <c r="AQ175" t="str">
        <f t="shared" si="69"/>
        <v>Neutral</v>
      </c>
      <c r="AR175">
        <f>survey_responses[[#This Row],[Tôi thấy mức thuế tôi phải đóng theo phương án mới là công bằng (người thu nhập như tôi đóng mức này là hợp lý). - HUMAN-TRU2]]</f>
        <v>7</v>
      </c>
      <c r="AS175" t="str">
        <f t="shared" si="70"/>
        <v>Neutral</v>
      </c>
      <c r="AT175" s="32">
        <f t="shared" si="71"/>
        <v>0</v>
      </c>
      <c r="AU175">
        <f>step3_validation[[#This Row],[AI_TRU3]]</f>
        <v>8</v>
      </c>
      <c r="AV175" t="str">
        <f t="shared" si="72"/>
        <v>Support</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3</v>
      </c>
      <c r="AZ175">
        <f>step3_validation[[#This Row],[AI_TRU4]]</f>
        <v>6</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2">
        <f t="shared" si="77"/>
        <v>1</v>
      </c>
      <c r="BE175">
        <f>step3_validation[[#This Row],[AI_OUT1]]</f>
        <v>8</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2</v>
      </c>
    </row>
    <row r="176" spans="1:61" x14ac:dyDescent="0.45">
      <c r="A176" s="30">
        <f>step3_validation[[#This Row],[Persona_ID]]</f>
        <v>175</v>
      </c>
      <c r="B176" s="31">
        <f>step3_validation[[#This Row],[Used_Seed]]</f>
        <v>12519</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154.06212676449971</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8</v>
      </c>
      <c r="R176" t="str">
        <f t="shared" si="54"/>
        <v>Support</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4</v>
      </c>
      <c r="V176">
        <f>step3_validation[[#This Row],[AI_ENF2]]</f>
        <v>9</v>
      </c>
      <c r="W176" t="str">
        <f t="shared" si="57"/>
        <v>Support</v>
      </c>
      <c r="X176">
        <f>survey_responses[[#This Row],[Tôi tin rằng Nhà nước, cơ quan thuế có đủ khả năng và công nghệ để phát hiện, xử lý nghiêm các hành vi trốn thuế. - HUMAN-ENF2]]</f>
        <v>5</v>
      </c>
      <c r="Y176" t="str">
        <f t="shared" si="58"/>
        <v>Neutral</v>
      </c>
      <c r="Z176" s="32">
        <f t="shared" si="59"/>
        <v>4</v>
      </c>
      <c r="AA176">
        <f>step3_validation[[#This Row],[AI_FAC1]]</f>
        <v>7</v>
      </c>
      <c r="AB176" t="str">
        <f t="shared" si="60"/>
        <v>Neutral</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3</v>
      </c>
      <c r="AF176">
        <f>step3_validation[[#This Row],[AI_FAC2]]</f>
        <v>8</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2</v>
      </c>
      <c r="AK176">
        <f>step3_validation[[#This Row],[AI_TRU1]]</f>
        <v>7</v>
      </c>
      <c r="AL176" t="str">
        <f t="shared" si="66"/>
        <v>Neutral</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3</v>
      </c>
      <c r="AP176">
        <f>step3_validation[[#This Row],[AI_TRU2]]</f>
        <v>8</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2">
        <f t="shared" si="71"/>
        <v>4</v>
      </c>
      <c r="AU176">
        <f>step3_validation[[#This Row],[AI_TRU3]]</f>
        <v>7</v>
      </c>
      <c r="AV176" t="str">
        <f t="shared" si="72"/>
        <v>Neutral</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3</v>
      </c>
      <c r="AZ176">
        <f>step3_validation[[#This Row],[AI_TRU4]]</f>
        <v>6</v>
      </c>
      <c r="BA176" t="str">
        <f t="shared" si="75"/>
        <v>Neutral</v>
      </c>
      <c r="BB176">
        <f>survey_responses[[#This Row],[Tôi thấy Nhà nước đã giải thích rõ ràng, minh bạch về lý do và mục tiêu của việc sửa đổi thuế lần này. - HUMAN-TRU4]]</f>
        <v>5</v>
      </c>
      <c r="BC176" t="str">
        <f t="shared" si="76"/>
        <v>Neutral</v>
      </c>
      <c r="BD176" s="32">
        <f t="shared" si="77"/>
        <v>1</v>
      </c>
      <c r="BE176">
        <f>step3_validation[[#This Row],[AI_OUT1]]</f>
        <v>8</v>
      </c>
      <c r="BF176" t="str">
        <f t="shared" si="78"/>
        <v>Support</v>
      </c>
      <c r="BG176">
        <f>survey_responses[[#This Row],[Sau khi xem xét các quyền lợi và nghĩa vụ, bạn có ủng hộ và tuân thủ chính sách mới hiện nay? - HUMAN-OUT1]]</f>
        <v>4</v>
      </c>
      <c r="BH176" t="str">
        <f t="shared" si="79"/>
        <v>Oppose</v>
      </c>
      <c r="BI176" s="32">
        <f t="shared" si="80"/>
        <v>4</v>
      </c>
    </row>
    <row r="177" spans="1:61" x14ac:dyDescent="0.45">
      <c r="A177" s="30">
        <f>step3_validation[[#This Row],[Persona_ID]]</f>
        <v>176</v>
      </c>
      <c r="B177" s="31">
        <f>step3_validation[[#This Row],[Used_Seed]]</f>
        <v>12520</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242.78528291659143</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7</v>
      </c>
      <c r="R177" t="str">
        <f t="shared" si="54"/>
        <v>Neutral</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5</v>
      </c>
      <c r="V177">
        <f>step3_validation[[#This Row],[AI_ENF2]]</f>
        <v>8</v>
      </c>
      <c r="W177" t="str">
        <f t="shared" si="57"/>
        <v>Support</v>
      </c>
      <c r="X177">
        <f>survey_responses[[#This Row],[Tôi tin rằng Nhà nước, cơ quan thuế có đủ khả năng và công nghệ để phát hiện, xử lý nghiêm các hành vi trốn thuế. - HUMAN-ENF2]]</f>
        <v>4</v>
      </c>
      <c r="Y177" t="str">
        <f t="shared" si="58"/>
        <v>Oppose</v>
      </c>
      <c r="Z177" s="32">
        <f t="shared" si="59"/>
        <v>4</v>
      </c>
      <c r="AA177">
        <f>step3_validation[[#This Row],[AI_FAC1]]</f>
        <v>9</v>
      </c>
      <c r="AB177" t="str">
        <f t="shared" si="60"/>
        <v>Support</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6</v>
      </c>
      <c r="AF177">
        <f>step3_validation[[#This Row],[AI_FAC2]]</f>
        <v>8</v>
      </c>
      <c r="AG177" t="str">
        <f t="shared" si="63"/>
        <v>Support</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3</v>
      </c>
      <c r="AK177">
        <f>step3_validation[[#This Row],[AI_TRU1]]</f>
        <v>7</v>
      </c>
      <c r="AL177" t="str">
        <f t="shared" si="66"/>
        <v>Neutral</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3</v>
      </c>
      <c r="AP177">
        <f>step3_validation[[#This Row],[AI_TRU2]]</f>
        <v>8</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2">
        <f t="shared" si="71"/>
        <v>7</v>
      </c>
      <c r="AU177">
        <f>step3_validation[[#This Row],[AI_TRU3]]</f>
        <v>6</v>
      </c>
      <c r="AV177" t="str">
        <f t="shared" si="72"/>
        <v>Neutral</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5</v>
      </c>
      <c r="AZ177">
        <f>step3_validation[[#This Row],[AI_TRU4]]</f>
        <v>5</v>
      </c>
      <c r="BA177" t="str">
        <f t="shared" si="75"/>
        <v>Neutral</v>
      </c>
      <c r="BB177">
        <f>survey_responses[[#This Row],[Tôi thấy Nhà nước đã giải thích rõ ràng, minh bạch về lý do và mục tiêu của việc sửa đổi thuế lần này. - HUMAN-TRU4]]</f>
        <v>4</v>
      </c>
      <c r="BC177" t="str">
        <f t="shared" si="76"/>
        <v>Oppose</v>
      </c>
      <c r="BD177" s="32">
        <f t="shared" si="77"/>
        <v>1</v>
      </c>
      <c r="BE177">
        <f>step3_validation[[#This Row],[AI_OUT1]]</f>
        <v>6</v>
      </c>
      <c r="BF177" t="str">
        <f t="shared" si="78"/>
        <v>Neutral</v>
      </c>
      <c r="BG177">
        <f>survey_responses[[#This Row],[Sau khi xem xét các quyền lợi và nghĩa vụ, bạn có ủng hộ và tuân thủ chính sách mới hiện nay? - HUMAN-OUT1]]</f>
        <v>4</v>
      </c>
      <c r="BH177" t="str">
        <f t="shared" si="79"/>
        <v>Oppose</v>
      </c>
      <c r="BI177" s="32">
        <f t="shared" si="80"/>
        <v>2</v>
      </c>
    </row>
    <row r="178" spans="1:61" x14ac:dyDescent="0.45">
      <c r="A178" s="30">
        <f>step3_validation[[#This Row],[Persona_ID]]</f>
        <v>177</v>
      </c>
      <c r="B178" s="31">
        <f>step3_validation[[#This Row],[Used_Seed]]</f>
        <v>12521</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99.641554489013288</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8</v>
      </c>
      <c r="R178" t="str">
        <f t="shared" si="54"/>
        <v>Support</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4</v>
      </c>
      <c r="V178">
        <f>step3_validation[[#This Row],[AI_ENF2]]</f>
        <v>7</v>
      </c>
      <c r="W178" t="str">
        <f t="shared" si="57"/>
        <v>Neutral</v>
      </c>
      <c r="X178">
        <f>survey_responses[[#This Row],[Tôi tin rằng Nhà nước, cơ quan thuế có đủ khả năng và công nghệ để phát hiện, xử lý nghiêm các hành vi trốn thuế. - HUMAN-ENF2]]</f>
        <v>4</v>
      </c>
      <c r="Y178" t="str">
        <f t="shared" si="58"/>
        <v>Oppose</v>
      </c>
      <c r="Z178" s="32">
        <f t="shared" si="59"/>
        <v>3</v>
      </c>
      <c r="AA178">
        <f>step3_validation[[#This Row],[AI_FAC1]]</f>
        <v>9</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6</v>
      </c>
      <c r="AF178">
        <f>step3_validation[[#This Row],[AI_FAC2]]</f>
        <v>8</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3</v>
      </c>
      <c r="AK178">
        <f>step3_validation[[#This Row],[AI_TRU1]]</f>
        <v>7</v>
      </c>
      <c r="AL178" t="str">
        <f t="shared" si="66"/>
        <v>Neutral</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4</v>
      </c>
      <c r="AP178">
        <f>step3_validation[[#This Row],[AI_TRU2]]</f>
        <v>8</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2">
        <f t="shared" si="71"/>
        <v>6</v>
      </c>
      <c r="AU178">
        <f>step3_validation[[#This Row],[AI_TRU3]]</f>
        <v>6</v>
      </c>
      <c r="AV178" t="str">
        <f t="shared" si="72"/>
        <v>Neutral</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5</v>
      </c>
      <c r="AZ178">
        <f>step3_validation[[#This Row],[AI_TRU4]]</f>
        <v>7</v>
      </c>
      <c r="BA178" t="str">
        <f t="shared" si="75"/>
        <v>Neutral</v>
      </c>
      <c r="BB178">
        <f>survey_responses[[#This Row],[Tôi thấy Nhà nước đã giải thích rõ ràng, minh bạch về lý do và mục tiêu của việc sửa đổi thuế lần này. - HUMAN-TRU4]]</f>
        <v>1</v>
      </c>
      <c r="BC178" t="str">
        <f t="shared" si="76"/>
        <v>Oppose</v>
      </c>
      <c r="BD178" s="32">
        <f t="shared" si="77"/>
        <v>6</v>
      </c>
      <c r="BE178">
        <f>step3_validation[[#This Row],[AI_OUT1]]</f>
        <v>8</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7</v>
      </c>
    </row>
    <row r="179" spans="1:61" x14ac:dyDescent="0.45">
      <c r="A179" s="30">
        <f>step3_validation[[#This Row],[Persona_ID]]</f>
        <v>178</v>
      </c>
      <c r="B179" s="31">
        <f>step3_validation[[#This Row],[Used_Seed]]</f>
        <v>12522</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41.975058694830153</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8</v>
      </c>
      <c r="R179" t="str">
        <f t="shared" si="54"/>
        <v>Support</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2</v>
      </c>
      <c r="V179">
        <f>step3_validation[[#This Row],[AI_ENF2]]</f>
        <v>7</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2">
        <f t="shared" si="59"/>
        <v>0</v>
      </c>
      <c r="AA179">
        <f>step3_validation[[#This Row],[AI_FAC1]]</f>
        <v>6</v>
      </c>
      <c r="AB179" t="str">
        <f t="shared" si="60"/>
        <v>Neutral</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0</v>
      </c>
      <c r="AF179">
        <f>step3_validation[[#This Row],[AI_FAC2]]</f>
        <v>8</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2</v>
      </c>
      <c r="AK179">
        <f>step3_validation[[#This Row],[AI_TRU1]]</f>
        <v>9</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3</v>
      </c>
      <c r="AP179">
        <f>step3_validation[[#This Row],[AI_TRU2]]</f>
        <v>7</v>
      </c>
      <c r="AQ179" t="str">
        <f t="shared" si="69"/>
        <v>Neutral</v>
      </c>
      <c r="AR179">
        <f>survey_responses[[#This Row],[Tôi thấy mức thuế tôi phải đóng theo phương án mới là công bằng (người thu nhập như tôi đóng mức này là hợp lý). - HUMAN-TRU2]]</f>
        <v>7</v>
      </c>
      <c r="AS179" t="str">
        <f t="shared" si="70"/>
        <v>Neutral</v>
      </c>
      <c r="AT179" s="32">
        <f t="shared" si="71"/>
        <v>0</v>
      </c>
      <c r="AU179">
        <f>step3_validation[[#This Row],[AI_TRU3]]</f>
        <v>8</v>
      </c>
      <c r="AV179" t="str">
        <f t="shared" si="72"/>
        <v>Support</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3</v>
      </c>
      <c r="AZ179">
        <f>step3_validation[[#This Row],[AI_TRU4]]</f>
        <v>6</v>
      </c>
      <c r="BA179" t="str">
        <f t="shared" si="75"/>
        <v>Neutral</v>
      </c>
      <c r="BB179">
        <f>survey_responses[[#This Row],[Tôi thấy Nhà nước đã giải thích rõ ràng, minh bạch về lý do và mục tiêu của việc sửa đổi thuế lần này. - HUMAN-TRU4]]</f>
        <v>6</v>
      </c>
      <c r="BC179" t="str">
        <f t="shared" si="76"/>
        <v>Neutral</v>
      </c>
      <c r="BD179" s="32">
        <f t="shared" si="77"/>
        <v>0</v>
      </c>
      <c r="BE179">
        <f>step3_validation[[#This Row],[AI_OUT1]]</f>
        <v>7</v>
      </c>
      <c r="BF179" t="str">
        <f t="shared" si="78"/>
        <v>Neutral</v>
      </c>
      <c r="BG179">
        <f>survey_responses[[#This Row],[Sau khi xem xét các quyền lợi và nghĩa vụ, bạn có ủng hộ và tuân thủ chính sách mới hiện nay? - HUMAN-OUT1]]</f>
        <v>7</v>
      </c>
      <c r="BH179" t="str">
        <f t="shared" si="79"/>
        <v>Neutral</v>
      </c>
      <c r="BI179" s="32">
        <f t="shared" si="80"/>
        <v>0</v>
      </c>
    </row>
    <row r="180" spans="1:61" x14ac:dyDescent="0.45">
      <c r="A180" s="30">
        <f>step3_validation[[#This Row],[Persona_ID]]</f>
        <v>179</v>
      </c>
      <c r="B180" s="31">
        <f>step3_validation[[#This Row],[Used_Seed]]</f>
        <v>12523</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29.19172331684997</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0</v>
      </c>
      <c r="V180">
        <f>step3_validation[[#This Row],[AI_ENF2]]</f>
        <v>7</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2">
        <f t="shared" si="59"/>
        <v>0</v>
      </c>
      <c r="AA180">
        <f>step3_validation[[#This Row],[AI_FAC1]]</f>
        <v>6</v>
      </c>
      <c r="AB180" t="str">
        <f t="shared" si="60"/>
        <v>Neutral</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1</v>
      </c>
      <c r="AF180">
        <f>step3_validation[[#This Row],[AI_FAC2]]</f>
        <v>8</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0</v>
      </c>
      <c r="AK180">
        <f>step3_validation[[#This Row],[AI_TRU1]]</f>
        <v>7</v>
      </c>
      <c r="AL180" t="str">
        <f t="shared" si="66"/>
        <v>Neutral</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0</v>
      </c>
      <c r="AP180">
        <f>step3_validation[[#This Row],[AI_TRU2]]</f>
        <v>8</v>
      </c>
      <c r="AQ180" t="str">
        <f t="shared" si="69"/>
        <v>Support</v>
      </c>
      <c r="AR180">
        <f>survey_responses[[#This Row],[Tôi thấy mức thuế tôi phải đóng theo phương án mới là công bằng (người thu nhập như tôi đóng mức này là hợp lý). - HUMAN-TRU2]]</f>
        <v>8</v>
      </c>
      <c r="AS180" t="str">
        <f t="shared" si="70"/>
        <v>Support</v>
      </c>
      <c r="AT180" s="32">
        <f t="shared" si="71"/>
        <v>0</v>
      </c>
      <c r="AU180">
        <f>step3_validation[[#This Row],[AI_TRU3]]</f>
        <v>7</v>
      </c>
      <c r="AV180" t="str">
        <f t="shared" si="72"/>
        <v>Neutral</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0</v>
      </c>
      <c r="AZ180">
        <f>step3_validation[[#This Row],[AI_TRU4]]</f>
        <v>6</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1</v>
      </c>
      <c r="BE180">
        <f>step3_validation[[#This Row],[AI_OUT1]]</f>
        <v>8</v>
      </c>
      <c r="BF180" t="str">
        <f t="shared" si="78"/>
        <v>Support</v>
      </c>
      <c r="BG180">
        <f>survey_responses[[#This Row],[Sau khi xem xét các quyền lợi và nghĩa vụ, bạn có ủng hộ và tuân thủ chính sách mới hiện nay? - HUMAN-OUT1]]</f>
        <v>8</v>
      </c>
      <c r="BH180" t="str">
        <f t="shared" si="79"/>
        <v>Support</v>
      </c>
      <c r="BI180" s="32">
        <f t="shared" si="80"/>
        <v>0</v>
      </c>
    </row>
    <row r="181" spans="1:61" x14ac:dyDescent="0.45">
      <c r="A181" s="30">
        <f>step3_validation[[#This Row],[Persona_ID]]</f>
        <v>180</v>
      </c>
      <c r="B181" s="31">
        <f>step3_validation[[#This Row],[Used_Seed]]</f>
        <v>12524</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67.224779049723395</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7</v>
      </c>
      <c r="R181" t="str">
        <f t="shared" si="54"/>
        <v>Neutral</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2</v>
      </c>
      <c r="V181">
        <f>step3_validation[[#This Row],[AI_ENF2]]</f>
        <v>6</v>
      </c>
      <c r="W181" t="str">
        <f t="shared" si="57"/>
        <v>Neutral</v>
      </c>
      <c r="X181">
        <f>survey_responses[[#This Row],[Tôi tin rằng Nhà nước, cơ quan thuế có đủ khả năng và công nghệ để phát hiện, xử lý nghiêm các hành vi trốn thuế. - HUMAN-ENF2]]</f>
        <v>5</v>
      </c>
      <c r="Y181" t="str">
        <f t="shared" si="58"/>
        <v>Neutral</v>
      </c>
      <c r="Z181" s="32">
        <f t="shared" si="59"/>
        <v>1</v>
      </c>
      <c r="AA181">
        <f>step3_validation[[#This Row],[AI_FAC1]]</f>
        <v>8</v>
      </c>
      <c r="AB181" t="str">
        <f t="shared" si="60"/>
        <v>Support</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3</v>
      </c>
      <c r="AF181">
        <f>step3_validation[[#This Row],[AI_FAC2]]</f>
        <v>9</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2</v>
      </c>
      <c r="AK181">
        <f>step3_validation[[#This Row],[AI_TRU1]]</f>
        <v>8</v>
      </c>
      <c r="AL181" t="str">
        <f t="shared" si="66"/>
        <v>Support</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3</v>
      </c>
      <c r="AP181">
        <f>step3_validation[[#This Row],[AI_TRU2]]</f>
        <v>7</v>
      </c>
      <c r="AQ181" t="str">
        <f t="shared" si="69"/>
        <v>Neutral</v>
      </c>
      <c r="AR181">
        <f>survey_responses[[#This Row],[Tôi thấy mức thuế tôi phải đóng theo phương án mới là công bằng (người thu nhập như tôi đóng mức này là hợp lý). - HUMAN-TRU2]]</f>
        <v>6</v>
      </c>
      <c r="AS181" t="str">
        <f t="shared" si="70"/>
        <v>Neutral</v>
      </c>
      <c r="AT181" s="32">
        <f t="shared" si="71"/>
        <v>1</v>
      </c>
      <c r="AU181">
        <f>step3_validation[[#This Row],[AI_TRU3]]</f>
        <v>6</v>
      </c>
      <c r="AV181" t="str">
        <f t="shared" si="72"/>
        <v>Neutral</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1</v>
      </c>
      <c r="AZ181">
        <f>step3_validation[[#This Row],[AI_TRU4]]</f>
        <v>5</v>
      </c>
      <c r="BA181" t="str">
        <f t="shared" si="75"/>
        <v>Neutral</v>
      </c>
      <c r="BB181">
        <f>survey_responses[[#This Row],[Tôi thấy Nhà nước đã giải thích rõ ràng, minh bạch về lý do và mục tiêu của việc sửa đổi thuế lần này. - HUMAN-TRU4]]</f>
        <v>7</v>
      </c>
      <c r="BC181" t="str">
        <f t="shared" si="76"/>
        <v>Neutral</v>
      </c>
      <c r="BD181" s="32">
        <f t="shared" si="77"/>
        <v>2</v>
      </c>
      <c r="BE181">
        <f>step3_validation[[#This Row],[AI_OUT1]]</f>
        <v>7</v>
      </c>
      <c r="BF181" t="str">
        <f t="shared" si="78"/>
        <v>Neutral</v>
      </c>
      <c r="BG181">
        <f>survey_responses[[#This Row],[Sau khi xem xét các quyền lợi và nghĩa vụ, bạn có ủng hộ và tuân thủ chính sách mới hiện nay? - HUMAN-OUT1]]</f>
        <v>7</v>
      </c>
      <c r="BH181" t="str">
        <f t="shared" si="79"/>
        <v>Neutral</v>
      </c>
      <c r="BI181" s="32">
        <f t="shared" si="80"/>
        <v>0</v>
      </c>
    </row>
    <row r="182" spans="1:61" x14ac:dyDescent="0.45">
      <c r="A182" s="30">
        <f>step3_validation[[#This Row],[Persona_ID]]</f>
        <v>181</v>
      </c>
      <c r="B182" s="31">
        <f>step3_validation[[#This Row],[Used_Seed]]</f>
        <v>12525</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55.869776463680211</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7</v>
      </c>
      <c r="R182" t="str">
        <f t="shared" si="54"/>
        <v>Neutral</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1</v>
      </c>
      <c r="V182">
        <f>step3_validation[[#This Row],[AI_ENF2]]</f>
        <v>6</v>
      </c>
      <c r="W182" t="str">
        <f t="shared" si="57"/>
        <v>Neutral</v>
      </c>
      <c r="X182">
        <f>survey_responses[[#This Row],[Tôi tin rằng Nhà nước, cơ quan thuế có đủ khả năng và công nghệ để phát hiện, xử lý nghiêm các hành vi trốn thuế. - HUMAN-ENF2]]</f>
        <v>7</v>
      </c>
      <c r="Y182" t="str">
        <f t="shared" si="58"/>
        <v>Neutral</v>
      </c>
      <c r="Z182" s="32">
        <f t="shared" si="59"/>
        <v>1</v>
      </c>
      <c r="AA182">
        <f>step3_validation[[#This Row],[AI_FAC1]]</f>
        <v>8</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1</v>
      </c>
      <c r="AF182">
        <f>step3_validation[[#This Row],[AI_FAC2]]</f>
        <v>7</v>
      </c>
      <c r="AG182" t="str">
        <f t="shared" si="63"/>
        <v>Neutral</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1</v>
      </c>
      <c r="AK182">
        <f>step3_validation[[#This Row],[AI_TRU1]]</f>
        <v>8</v>
      </c>
      <c r="AL182" t="str">
        <f t="shared" si="66"/>
        <v>Support</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0</v>
      </c>
      <c r="AP182">
        <f>step3_validation[[#This Row],[AI_TRU2]]</f>
        <v>6</v>
      </c>
      <c r="AQ182" t="str">
        <f t="shared" si="69"/>
        <v>Neutral</v>
      </c>
      <c r="AR182">
        <f>survey_responses[[#This Row],[Tôi thấy mức thuế tôi phải đóng theo phương án mới là công bằng (người thu nhập như tôi đóng mức này là hợp lý). - HUMAN-TRU2]]</f>
        <v>7</v>
      </c>
      <c r="AS182" t="str">
        <f t="shared" si="70"/>
        <v>Neutral</v>
      </c>
      <c r="AT182" s="32">
        <f t="shared" si="71"/>
        <v>1</v>
      </c>
      <c r="AU182">
        <f>step3_validation[[#This Row],[AI_TRU3]]</f>
        <v>7</v>
      </c>
      <c r="AV182" t="str">
        <f t="shared" si="72"/>
        <v>Neutral</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2</v>
      </c>
      <c r="AZ182">
        <f>step3_validation[[#This Row],[AI_TRU4]]</f>
        <v>5</v>
      </c>
      <c r="BA182" t="str">
        <f t="shared" si="75"/>
        <v>Neutral</v>
      </c>
      <c r="BB182">
        <f>survey_responses[[#This Row],[Tôi thấy Nhà nước đã giải thích rõ ràng, minh bạch về lý do và mục tiêu của việc sửa đổi thuế lần này. - HUMAN-TRU4]]</f>
        <v>7</v>
      </c>
      <c r="BC182" t="str">
        <f t="shared" si="76"/>
        <v>Neutral</v>
      </c>
      <c r="BD182" s="32">
        <f t="shared" si="77"/>
        <v>2</v>
      </c>
      <c r="BE182">
        <f>step3_validation[[#This Row],[AI_OUT1]]</f>
        <v>6</v>
      </c>
      <c r="BF182" t="str">
        <f t="shared" si="78"/>
        <v>Neutral</v>
      </c>
      <c r="BG182">
        <f>survey_responses[[#This Row],[Sau khi xem xét các quyền lợi và nghĩa vụ, bạn có ủng hộ và tuân thủ chính sách mới hiện nay? - HUMAN-OUT1]]</f>
        <v>7</v>
      </c>
      <c r="BH182" t="str">
        <f t="shared" si="79"/>
        <v>Neutral</v>
      </c>
      <c r="BI182" s="32">
        <f t="shared" si="80"/>
        <v>1</v>
      </c>
    </row>
    <row r="183" spans="1:61" x14ac:dyDescent="0.45">
      <c r="A183" s="30">
        <f>step3_validation[[#This Row],[Persona_ID]]</f>
        <v>182</v>
      </c>
      <c r="B183" s="31">
        <f>step3_validation[[#This Row],[Used_Seed]]</f>
        <v>12526</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26.36529032007855</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6</v>
      </c>
      <c r="R183" t="str">
        <f t="shared" si="54"/>
        <v>Neutral</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2</v>
      </c>
      <c r="V183">
        <f>step3_validation[[#This Row],[AI_ENF2]]</f>
        <v>7</v>
      </c>
      <c r="W183" t="str">
        <f t="shared" si="57"/>
        <v>Neutral</v>
      </c>
      <c r="X183">
        <f>survey_responses[[#This Row],[Tôi tin rằng Nhà nước, cơ quan thuế có đủ khả năng và công nghệ để phát hiện, xử lý nghiêm các hành vi trốn thuế. - HUMAN-ENF2]]</f>
        <v>8</v>
      </c>
      <c r="Y183" t="str">
        <f t="shared" si="58"/>
        <v>Support</v>
      </c>
      <c r="Z183" s="32">
        <f t="shared" si="59"/>
        <v>1</v>
      </c>
      <c r="AA183">
        <f>step3_validation[[#This Row],[AI_FAC1]]</f>
        <v>8</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3</v>
      </c>
      <c r="AF183">
        <f>step3_validation[[#This Row],[AI_FAC2]]</f>
        <v>7</v>
      </c>
      <c r="AG183" t="str">
        <f t="shared" si="63"/>
        <v>Neutral</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1</v>
      </c>
      <c r="AK183">
        <f>step3_validation[[#This Row],[AI_TRU1]]</f>
        <v>6</v>
      </c>
      <c r="AL183" t="str">
        <f t="shared" si="66"/>
        <v>Neutral</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0</v>
      </c>
      <c r="AP183">
        <f>step3_validation[[#This Row],[AI_TRU2]]</f>
        <v>7</v>
      </c>
      <c r="AQ183" t="str">
        <f t="shared" si="69"/>
        <v>Neutral</v>
      </c>
      <c r="AR183">
        <f>survey_responses[[#This Row],[Tôi thấy mức thuế tôi phải đóng theo phương án mới là công bằng (người thu nhập như tôi đóng mức này là hợp lý). - HUMAN-TRU2]]</f>
        <v>8</v>
      </c>
      <c r="AS183" t="str">
        <f t="shared" si="70"/>
        <v>Support</v>
      </c>
      <c r="AT183" s="32">
        <f t="shared" si="71"/>
        <v>1</v>
      </c>
      <c r="AU183">
        <f>step3_validation[[#This Row],[AI_TRU3]]</f>
        <v>6</v>
      </c>
      <c r="AV183" t="str">
        <f t="shared" si="72"/>
        <v>Neutral</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0</v>
      </c>
      <c r="AZ183">
        <f>step3_validation[[#This Row],[AI_TRU4]]</f>
        <v>5</v>
      </c>
      <c r="BA183" t="str">
        <f t="shared" si="75"/>
        <v>Neutral</v>
      </c>
      <c r="BB183">
        <f>survey_responses[[#This Row],[Tôi thấy Nhà nước đã giải thích rõ ràng, minh bạch về lý do và mục tiêu của việc sửa đổi thuế lần này. - HUMAN-TRU4]]</f>
        <v>7</v>
      </c>
      <c r="BC183" t="str">
        <f t="shared" si="76"/>
        <v>Neutral</v>
      </c>
      <c r="BD183" s="32">
        <f t="shared" si="77"/>
        <v>2</v>
      </c>
      <c r="BE183">
        <f>step3_validation[[#This Row],[AI_OUT1]]</f>
        <v>6</v>
      </c>
      <c r="BF183" t="str">
        <f t="shared" si="78"/>
        <v>Neutral</v>
      </c>
      <c r="BG183">
        <f>survey_responses[[#This Row],[Sau khi xem xét các quyền lợi và nghĩa vụ, bạn có ủng hộ và tuân thủ chính sách mới hiện nay? - HUMAN-OUT1]]</f>
        <v>7</v>
      </c>
      <c r="BH183" t="str">
        <f t="shared" si="79"/>
        <v>Neutral</v>
      </c>
      <c r="BI183" s="32">
        <f t="shared" si="80"/>
        <v>1</v>
      </c>
    </row>
    <row r="184" spans="1:61" x14ac:dyDescent="0.45">
      <c r="A184" s="30">
        <f>step3_validation[[#This Row],[Persona_ID]]</f>
        <v>183</v>
      </c>
      <c r="B184" s="31">
        <f>step3_validation[[#This Row],[Used_Seed]]</f>
        <v>12527</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242.87940079209727</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7</v>
      </c>
      <c r="R184" t="str">
        <f t="shared" si="54"/>
        <v>Neutral</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5</v>
      </c>
      <c r="V184">
        <f>step3_validation[[#This Row],[AI_ENF2]]</f>
        <v>6</v>
      </c>
      <c r="W184" t="str">
        <f t="shared" si="57"/>
        <v>Neutral</v>
      </c>
      <c r="X184">
        <f>survey_responses[[#This Row],[Tôi tin rằng Nhà nước, cơ quan thuế có đủ khả năng và công nghệ để phát hiện, xử lý nghiêm các hành vi trốn thuế. - HUMAN-ENF2]]</f>
        <v>5</v>
      </c>
      <c r="Y184" t="str">
        <f t="shared" si="58"/>
        <v>Neutral</v>
      </c>
      <c r="Z184" s="32">
        <f t="shared" si="59"/>
        <v>1</v>
      </c>
      <c r="AA184">
        <f>step3_validation[[#This Row],[AI_FAC1]]</f>
        <v>5</v>
      </c>
      <c r="AB184" t="str">
        <f t="shared" si="60"/>
        <v>Neutral</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2</v>
      </c>
      <c r="AF184">
        <f>step3_validation[[#This Row],[AI_FAC2]]</f>
        <v>8</v>
      </c>
      <c r="AG184" t="str">
        <f t="shared" si="63"/>
        <v>Support</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3</v>
      </c>
      <c r="AK184">
        <f>step3_validation[[#This Row],[AI_TRU1]]</f>
        <v>7</v>
      </c>
      <c r="AL184" t="str">
        <f t="shared" si="66"/>
        <v>Neutral</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4</v>
      </c>
      <c r="AP184">
        <f>step3_validation[[#This Row],[AI_TRU2]]</f>
        <v>6</v>
      </c>
      <c r="AQ184" t="str">
        <f t="shared" si="69"/>
        <v>Neutral</v>
      </c>
      <c r="AR184">
        <f>survey_responses[[#This Row],[Tôi thấy mức thuế tôi phải đóng theo phương án mới là công bằng (người thu nhập như tôi đóng mức này là hợp lý). - HUMAN-TRU2]]</f>
        <v>2</v>
      </c>
      <c r="AS184" t="str">
        <f t="shared" si="70"/>
        <v>Oppose</v>
      </c>
      <c r="AT184" s="32">
        <f t="shared" si="71"/>
        <v>4</v>
      </c>
      <c r="AU184">
        <f>step3_validation[[#This Row],[AI_TRU3]]</f>
        <v>7</v>
      </c>
      <c r="AV184" t="str">
        <f t="shared" si="72"/>
        <v>Neutral</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6</v>
      </c>
      <c r="AZ184">
        <f>step3_validation[[#This Row],[AI_TRU4]]</f>
        <v>6</v>
      </c>
      <c r="BA184" t="str">
        <f t="shared" si="75"/>
        <v>Neutral</v>
      </c>
      <c r="BB184">
        <f>survey_responses[[#This Row],[Tôi thấy Nhà nước đã giải thích rõ ràng, minh bạch về lý do và mục tiêu của việc sửa đổi thuế lần này. - HUMAN-TRU4]]</f>
        <v>5</v>
      </c>
      <c r="BC184" t="str">
        <f t="shared" si="76"/>
        <v>Neutral</v>
      </c>
      <c r="BD184" s="32">
        <f t="shared" si="77"/>
        <v>1</v>
      </c>
      <c r="BE184">
        <f>step3_validation[[#This Row],[AI_OUT1]]</f>
        <v>8</v>
      </c>
      <c r="BF184" t="str">
        <f t="shared" si="78"/>
        <v>Support</v>
      </c>
      <c r="BG184">
        <f>survey_responses[[#This Row],[Sau khi xem xét các quyền lợi và nghĩa vụ, bạn có ủng hộ và tuân thủ chính sách mới hiện nay? - HUMAN-OUT1]]</f>
        <v>5</v>
      </c>
      <c r="BH184" t="str">
        <f t="shared" si="79"/>
        <v>Neutral</v>
      </c>
      <c r="BI184" s="32">
        <f t="shared" si="80"/>
        <v>3</v>
      </c>
    </row>
    <row r="185" spans="1:61" x14ac:dyDescent="0.45">
      <c r="A185" s="30">
        <f>step3_validation[[#This Row],[Persona_ID]]</f>
        <v>184</v>
      </c>
      <c r="B185" s="31">
        <f>step3_validation[[#This Row],[Used_Seed]]</f>
        <v>12528</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13.994494786815956</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8</v>
      </c>
      <c r="R185" t="str">
        <f t="shared" si="54"/>
        <v>Support</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2</v>
      </c>
      <c r="V185">
        <f>step3_validation[[#This Row],[AI_ENF2]]</f>
        <v>8</v>
      </c>
      <c r="W185" t="str">
        <f t="shared" si="57"/>
        <v>Support</v>
      </c>
      <c r="X185">
        <f>survey_responses[[#This Row],[Tôi tin rằng Nhà nước, cơ quan thuế có đủ khả năng và công nghệ để phát hiện, xử lý nghiêm các hành vi trốn thuế. - HUMAN-ENF2]]</f>
        <v>6</v>
      </c>
      <c r="Y185" t="str">
        <f t="shared" si="58"/>
        <v>Neutral</v>
      </c>
      <c r="Z185" s="32">
        <f t="shared" si="59"/>
        <v>2</v>
      </c>
      <c r="AA185">
        <f>step3_validation[[#This Row],[AI_FAC1]]</f>
        <v>8</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3</v>
      </c>
      <c r="AF185">
        <f>step3_validation[[#This Row],[AI_FAC2]]</f>
        <v>9</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0</v>
      </c>
      <c r="AK185">
        <f>step3_validation[[#This Row],[AI_TRU1]]</f>
        <v>6</v>
      </c>
      <c r="AL185" t="str">
        <f t="shared" si="66"/>
        <v>Neutral</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1</v>
      </c>
      <c r="AP185">
        <f>step3_validation[[#This Row],[AI_TRU2]]</f>
        <v>7</v>
      </c>
      <c r="AQ185" t="str">
        <f t="shared" si="69"/>
        <v>Neutral</v>
      </c>
      <c r="AR185">
        <f>survey_responses[[#This Row],[Tôi thấy mức thuế tôi phải đóng theo phương án mới là công bằng (người thu nhập như tôi đóng mức này là hợp lý). - HUMAN-TRU2]]</f>
        <v>8</v>
      </c>
      <c r="AS185" t="str">
        <f t="shared" si="70"/>
        <v>Support</v>
      </c>
      <c r="AT185" s="32">
        <f t="shared" si="71"/>
        <v>1</v>
      </c>
      <c r="AU185">
        <f>step3_validation[[#This Row],[AI_TRU3]]</f>
        <v>5</v>
      </c>
      <c r="AV185" t="str">
        <f t="shared" si="72"/>
        <v>Neutral</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0</v>
      </c>
      <c r="AZ185">
        <f>step3_validation[[#This Row],[AI_TRU4]]</f>
        <v>5</v>
      </c>
      <c r="BA185" t="str">
        <f t="shared" si="75"/>
        <v>Neutral</v>
      </c>
      <c r="BB185">
        <f>survey_responses[[#This Row],[Tôi thấy Nhà nước đã giải thích rõ ràng, minh bạch về lý do và mục tiêu của việc sửa đổi thuế lần này. - HUMAN-TRU4]]</f>
        <v>7</v>
      </c>
      <c r="BC185" t="str">
        <f t="shared" si="76"/>
        <v>Neutral</v>
      </c>
      <c r="BD185" s="32">
        <f t="shared" si="77"/>
        <v>2</v>
      </c>
      <c r="BE185">
        <f>step3_validation[[#This Row],[AI_OUT1]]</f>
        <v>7</v>
      </c>
      <c r="BF185" t="str">
        <f t="shared" si="78"/>
        <v>Neutral</v>
      </c>
      <c r="BG185">
        <f>survey_responses[[#This Row],[Sau khi xem xét các quyền lợi và nghĩa vụ, bạn có ủng hộ và tuân thủ chính sách mới hiện nay? - HUMAN-OUT1]]</f>
        <v>7</v>
      </c>
      <c r="BH185" t="str">
        <f t="shared" si="79"/>
        <v>Neutral</v>
      </c>
      <c r="BI185" s="32">
        <f t="shared" si="80"/>
        <v>0</v>
      </c>
    </row>
    <row r="186" spans="1:61" x14ac:dyDescent="0.45">
      <c r="A186" s="30">
        <f>step3_validation[[#This Row],[Persona_ID]]</f>
        <v>185</v>
      </c>
      <c r="B186" s="31">
        <f>step3_validation[[#This Row],[Used_Seed]]</f>
        <v>12529</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43.39396714593326</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8</v>
      </c>
      <c r="R186" t="str">
        <f t="shared" si="54"/>
        <v>Support</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1</v>
      </c>
      <c r="V186">
        <f>step3_validation[[#This Row],[AI_ENF2]]</f>
        <v>7</v>
      </c>
      <c r="W186" t="str">
        <f t="shared" si="57"/>
        <v>Neutral</v>
      </c>
      <c r="X186">
        <f>survey_responses[[#This Row],[Tôi tin rằng Nhà nước, cơ quan thuế có đủ khả năng và công nghệ để phát hiện, xử lý nghiêm các hành vi trốn thuế. - HUMAN-ENF2]]</f>
        <v>7</v>
      </c>
      <c r="Y186" t="str">
        <f t="shared" si="58"/>
        <v>Neutral</v>
      </c>
      <c r="Z186" s="32">
        <f t="shared" si="59"/>
        <v>0</v>
      </c>
      <c r="AA186">
        <f>step3_validation[[#This Row],[AI_FAC1]]</f>
        <v>7</v>
      </c>
      <c r="AB186" t="str">
        <f t="shared" si="60"/>
        <v>Neutral</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1</v>
      </c>
      <c r="AF186">
        <f>step3_validation[[#This Row],[AI_FAC2]]</f>
        <v>8</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0</v>
      </c>
      <c r="AK186">
        <f>step3_validation[[#This Row],[AI_TRU1]]</f>
        <v>8</v>
      </c>
      <c r="AL186" t="str">
        <f t="shared" si="66"/>
        <v>Support</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3</v>
      </c>
      <c r="AP186">
        <f>step3_validation[[#This Row],[AI_TRU2]]</f>
        <v>7</v>
      </c>
      <c r="AQ186" t="str">
        <f t="shared" si="69"/>
        <v>Neutral</v>
      </c>
      <c r="AR186">
        <f>survey_responses[[#This Row],[Tôi thấy mức thuế tôi phải đóng theo phương án mới là công bằng (người thu nhập như tôi đóng mức này là hợp lý). - HUMAN-TRU2]]</f>
        <v>5</v>
      </c>
      <c r="AS186" t="str">
        <f t="shared" si="70"/>
        <v>Neutral</v>
      </c>
      <c r="AT186" s="32">
        <f t="shared" si="71"/>
        <v>2</v>
      </c>
      <c r="AU186">
        <f>step3_validation[[#This Row],[AI_TRU3]]</f>
        <v>8</v>
      </c>
      <c r="AV186" t="str">
        <f t="shared" si="72"/>
        <v>Support</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3</v>
      </c>
      <c r="AZ186">
        <f>step3_validation[[#This Row],[AI_TRU4]]</f>
        <v>7</v>
      </c>
      <c r="BA186" t="str">
        <f t="shared" si="75"/>
        <v>Neutral</v>
      </c>
      <c r="BB186">
        <f>survey_responses[[#This Row],[Tôi thấy Nhà nước đã giải thích rõ ràng, minh bạch về lý do và mục tiêu của việc sửa đổi thuế lần này. - HUMAN-TRU4]]</f>
        <v>6</v>
      </c>
      <c r="BC186" t="str">
        <f t="shared" si="76"/>
        <v>Neutral</v>
      </c>
      <c r="BD186" s="32">
        <f t="shared" si="77"/>
        <v>1</v>
      </c>
      <c r="BE186">
        <f>step3_validation[[#This Row],[AI_OUT1]]</f>
        <v>7</v>
      </c>
      <c r="BF186" t="str">
        <f t="shared" si="78"/>
        <v>Neutral</v>
      </c>
      <c r="BG186">
        <f>survey_responses[[#This Row],[Sau khi xem xét các quyền lợi và nghĩa vụ, bạn có ủng hộ và tuân thủ chính sách mới hiện nay? - HUMAN-OUT1]]</f>
        <v>5</v>
      </c>
      <c r="BH186" t="str">
        <f t="shared" si="79"/>
        <v>Neutral</v>
      </c>
      <c r="BI186" s="32">
        <f t="shared" si="80"/>
        <v>2</v>
      </c>
    </row>
    <row r="187" spans="1:61" x14ac:dyDescent="0.45">
      <c r="A187" s="30">
        <f>step3_validation[[#This Row],[Persona_ID]]</f>
        <v>186</v>
      </c>
      <c r="B187" s="31">
        <f>step3_validation[[#This Row],[Used_Seed]]</f>
        <v>12530</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16.82927701635651</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9</v>
      </c>
      <c r="R187" t="str">
        <f t="shared" si="54"/>
        <v>Support</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2</v>
      </c>
      <c r="V187">
        <f>step3_validation[[#This Row],[AI_ENF2]]</f>
        <v>8</v>
      </c>
      <c r="W187" t="str">
        <f t="shared" si="57"/>
        <v>Support</v>
      </c>
      <c r="X187">
        <f>survey_responses[[#This Row],[Tôi tin rằng Nhà nước, cơ quan thuế có đủ khả năng và công nghệ để phát hiện, xử lý nghiêm các hành vi trốn thuế. - HUMAN-ENF2]]</f>
        <v>7</v>
      </c>
      <c r="Y187" t="str">
        <f t="shared" si="58"/>
        <v>Neutral</v>
      </c>
      <c r="Z187" s="32">
        <f t="shared" si="59"/>
        <v>1</v>
      </c>
      <c r="AA187">
        <f>step3_validation[[#This Row],[AI_FAC1]]</f>
        <v>7</v>
      </c>
      <c r="AB187" t="str">
        <f t="shared" si="60"/>
        <v>Neutral</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2</v>
      </c>
      <c r="AF187">
        <f>step3_validation[[#This Row],[AI_FAC2]]</f>
        <v>8</v>
      </c>
      <c r="AG187" t="str">
        <f t="shared" si="63"/>
        <v>Support</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1</v>
      </c>
      <c r="AK187">
        <f>step3_validation[[#This Row],[AI_TRU1]]</f>
        <v>7</v>
      </c>
      <c r="AL187" t="str">
        <f t="shared" si="66"/>
        <v>Neutral</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2</v>
      </c>
      <c r="AP187">
        <f>step3_validation[[#This Row],[AI_TRU2]]</f>
        <v>8</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2">
        <f t="shared" si="71"/>
        <v>3</v>
      </c>
      <c r="AU187">
        <f>step3_validation[[#This Row],[AI_TRU3]]</f>
        <v>7</v>
      </c>
      <c r="AV187" t="str">
        <f t="shared" si="72"/>
        <v>Neutral</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2</v>
      </c>
      <c r="AZ187">
        <f>step3_validation[[#This Row],[AI_TRU4]]</f>
        <v>8</v>
      </c>
      <c r="BA187" t="str">
        <f t="shared" si="75"/>
        <v>Support</v>
      </c>
      <c r="BB187">
        <f>survey_responses[[#This Row],[Tôi thấy Nhà nước đã giải thích rõ ràng, minh bạch về lý do và mục tiêu của việc sửa đổi thuế lần này. - HUMAN-TRU4]]</f>
        <v>5</v>
      </c>
      <c r="BC187" t="str">
        <f t="shared" si="76"/>
        <v>Neutral</v>
      </c>
      <c r="BD187" s="32">
        <f t="shared" si="77"/>
        <v>3</v>
      </c>
      <c r="BE187">
        <f>step3_validation[[#This Row],[AI_OUT1]]</f>
        <v>9</v>
      </c>
      <c r="BF187" t="str">
        <f t="shared" si="78"/>
        <v>Support</v>
      </c>
      <c r="BG187">
        <f>survey_responses[[#This Row],[Sau khi xem xét các quyền lợi và nghĩa vụ, bạn có ủng hộ và tuân thủ chính sách mới hiện nay? - HUMAN-OUT1]]</f>
        <v>6</v>
      </c>
      <c r="BH187" t="str">
        <f t="shared" si="79"/>
        <v>Neutral</v>
      </c>
      <c r="BI187" s="32">
        <f t="shared" si="80"/>
        <v>3</v>
      </c>
    </row>
    <row r="188" spans="1:61" x14ac:dyDescent="0.45">
      <c r="A188" s="30">
        <f>step3_validation[[#This Row],[Persona_ID]]</f>
        <v>187</v>
      </c>
      <c r="B188" s="31">
        <f>step3_validation[[#This Row],[Used_Seed]]</f>
        <v>12531</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39.764813302683351</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6</v>
      </c>
      <c r="W188" t="str">
        <f t="shared" si="57"/>
        <v>Neutral</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8</v>
      </c>
      <c r="AB188" t="str">
        <f t="shared" si="60"/>
        <v>Support</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2</v>
      </c>
      <c r="AF188">
        <f>step3_validation[[#This Row],[AI_FAC2]]</f>
        <v>9</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2</v>
      </c>
      <c r="AK188">
        <f>step3_validation[[#This Row],[AI_TRU1]]</f>
        <v>7</v>
      </c>
      <c r="AL188" t="str">
        <f t="shared" si="66"/>
        <v>Neutral</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1</v>
      </c>
      <c r="AP188">
        <f>step3_validation[[#This Row],[AI_TRU2]]</f>
        <v>6</v>
      </c>
      <c r="AQ188" t="str">
        <f t="shared" si="69"/>
        <v>Neutral</v>
      </c>
      <c r="AR188">
        <f>survey_responses[[#This Row],[Tôi thấy mức thuế tôi phải đóng theo phương án mới là công bằng (người thu nhập như tôi đóng mức này là hợp lý). - HUMAN-TRU2]]</f>
        <v>6</v>
      </c>
      <c r="AS188" t="str">
        <f t="shared" si="70"/>
        <v>Neutral</v>
      </c>
      <c r="AT188" s="32">
        <f t="shared" si="71"/>
        <v>0</v>
      </c>
      <c r="AU188">
        <f>step3_validation[[#This Row],[AI_TRU3]]</f>
        <v>7</v>
      </c>
      <c r="AV188" t="str">
        <f t="shared" si="72"/>
        <v>Neutral</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2</v>
      </c>
      <c r="AZ188">
        <f>step3_validation[[#This Row],[AI_TRU4]]</f>
        <v>6</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1</v>
      </c>
      <c r="BE188">
        <f>step3_validation[[#This Row],[AI_OUT1]]</f>
        <v>7</v>
      </c>
      <c r="BF188" t="str">
        <f t="shared" si="78"/>
        <v>Neutral</v>
      </c>
      <c r="BG188">
        <f>survey_responses[[#This Row],[Sau khi xem xét các quyền lợi và nghĩa vụ, bạn có ủng hộ và tuân thủ chính sách mới hiện nay? - HUMAN-OUT1]]</f>
        <v>6</v>
      </c>
      <c r="BH188" t="str">
        <f t="shared" si="79"/>
        <v>Neutral</v>
      </c>
      <c r="BI188" s="32">
        <f t="shared" si="80"/>
        <v>1</v>
      </c>
    </row>
    <row r="189" spans="1:61" x14ac:dyDescent="0.45">
      <c r="A189" s="30">
        <f>step3_validation[[#This Row],[Persona_ID]]</f>
        <v>188</v>
      </c>
      <c r="B189" s="31">
        <f>step3_validation[[#This Row],[Used_Seed]]</f>
        <v>12532</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23.899020392281038</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6</v>
      </c>
      <c r="R189" t="str">
        <f t="shared" si="54"/>
        <v>Neutral</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1</v>
      </c>
      <c r="V189">
        <f>step3_validation[[#This Row],[AI_ENF2]]</f>
        <v>6</v>
      </c>
      <c r="W189" t="str">
        <f t="shared" si="57"/>
        <v>Neutral</v>
      </c>
      <c r="X189">
        <f>survey_responses[[#This Row],[Tôi tin rằng Nhà nước, cơ quan thuế có đủ khả năng và công nghệ để phát hiện, xử lý nghiêm các hành vi trốn thuế. - HUMAN-ENF2]]</f>
        <v>5</v>
      </c>
      <c r="Y189" t="str">
        <f t="shared" si="58"/>
        <v>Neutral</v>
      </c>
      <c r="Z189" s="32">
        <f t="shared" si="59"/>
        <v>1</v>
      </c>
      <c r="AA189">
        <f>step3_validation[[#This Row],[AI_FAC1]]</f>
        <v>6</v>
      </c>
      <c r="AB189" t="str">
        <f t="shared" si="60"/>
        <v>Neutral</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2</v>
      </c>
      <c r="AF189">
        <f>step3_validation[[#This Row],[AI_FAC2]]</f>
        <v>6</v>
      </c>
      <c r="AG189" t="str">
        <f t="shared" si="63"/>
        <v>Neutral</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0</v>
      </c>
      <c r="AK189">
        <f>step3_validation[[#This Row],[AI_TRU1]]</f>
        <v>5</v>
      </c>
      <c r="AL189" t="str">
        <f t="shared" si="66"/>
        <v>Neutral</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0</v>
      </c>
      <c r="AP189">
        <f>step3_validation[[#This Row],[AI_TRU2]]</f>
        <v>5</v>
      </c>
      <c r="AQ189" t="str">
        <f t="shared" si="69"/>
        <v>Neutral</v>
      </c>
      <c r="AR189">
        <f>survey_responses[[#This Row],[Tôi thấy mức thuế tôi phải đóng theo phương án mới là công bằng (người thu nhập như tôi đóng mức này là hợp lý). - HUMAN-TRU2]]</f>
        <v>5</v>
      </c>
      <c r="AS189" t="str">
        <f t="shared" si="70"/>
        <v>Neutral</v>
      </c>
      <c r="AT189" s="32">
        <f t="shared" si="71"/>
        <v>0</v>
      </c>
      <c r="AU189">
        <f>step3_validation[[#This Row],[AI_TRU3]]</f>
        <v>5</v>
      </c>
      <c r="AV189" t="str">
        <f t="shared" si="72"/>
        <v>Neutral</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0</v>
      </c>
      <c r="AZ189">
        <f>step3_validation[[#This Row],[AI_TRU4]]</f>
        <v>5</v>
      </c>
      <c r="BA189" t="str">
        <f t="shared" si="75"/>
        <v>Neutral</v>
      </c>
      <c r="BB189">
        <f>survey_responses[[#This Row],[Tôi thấy Nhà nước đã giải thích rõ ràng, minh bạch về lý do và mục tiêu của việc sửa đổi thuế lần này. - HUMAN-TRU4]]</f>
        <v>5</v>
      </c>
      <c r="BC189" t="str">
        <f t="shared" si="76"/>
        <v>Neutral</v>
      </c>
      <c r="BD189" s="32">
        <f t="shared" si="77"/>
        <v>0</v>
      </c>
      <c r="BE189">
        <f>step3_validation[[#This Row],[AI_OUT1]]</f>
        <v>5</v>
      </c>
      <c r="BF189" t="str">
        <f t="shared" si="78"/>
        <v>Neutral</v>
      </c>
      <c r="BG189">
        <f>survey_responses[[#This Row],[Sau khi xem xét các quyền lợi và nghĩa vụ, bạn có ủng hộ và tuân thủ chính sách mới hiện nay? - HUMAN-OUT1]]</f>
        <v>5</v>
      </c>
      <c r="BH189" t="str">
        <f t="shared" si="79"/>
        <v>Neutral</v>
      </c>
      <c r="BI189" s="32">
        <f t="shared" si="80"/>
        <v>0</v>
      </c>
    </row>
    <row r="190" spans="1:61" x14ac:dyDescent="0.45">
      <c r="A190" s="30">
        <f>step3_validation[[#This Row],[Persona_ID]]</f>
        <v>189</v>
      </c>
      <c r="B190" s="31">
        <f>step3_validation[[#This Row],[Used_Seed]]</f>
        <v>12533</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63.016318068555478</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6</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2</v>
      </c>
      <c r="V190">
        <f>step3_validation[[#This Row],[AI_ENF2]]</f>
        <v>6</v>
      </c>
      <c r="W190" t="str">
        <f t="shared" si="57"/>
        <v>Neutral</v>
      </c>
      <c r="X190">
        <f>survey_responses[[#This Row],[Tôi tin rằng Nhà nước, cơ quan thuế có đủ khả năng và công nghệ để phát hiện, xử lý nghiêm các hành vi trốn thuế. - HUMAN-ENF2]]</f>
        <v>8</v>
      </c>
      <c r="Y190" t="str">
        <f t="shared" si="58"/>
        <v>Support</v>
      </c>
      <c r="Z190" s="32">
        <f t="shared" si="59"/>
        <v>2</v>
      </c>
      <c r="AA190">
        <f>step3_validation[[#This Row],[AI_FAC1]]</f>
        <v>8</v>
      </c>
      <c r="AB190" t="str">
        <f t="shared" si="60"/>
        <v>Support</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3</v>
      </c>
      <c r="AF190">
        <f>step3_validation[[#This Row],[AI_FAC2]]</f>
        <v>7</v>
      </c>
      <c r="AG190" t="str">
        <f t="shared" si="63"/>
        <v>Neutral</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0</v>
      </c>
      <c r="AK190">
        <f>step3_validation[[#This Row],[AI_TRU1]]</f>
        <v>8</v>
      </c>
      <c r="AL190" t="str">
        <f t="shared" si="66"/>
        <v>Support</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2</v>
      </c>
      <c r="AP190">
        <f>step3_validation[[#This Row],[AI_TRU2]]</f>
        <v>7</v>
      </c>
      <c r="AQ190" t="str">
        <f t="shared" si="69"/>
        <v>Neutral</v>
      </c>
      <c r="AR190">
        <f>survey_responses[[#This Row],[Tôi thấy mức thuế tôi phải đóng theo phương án mới là công bằng (người thu nhập như tôi đóng mức này là hợp lý). - HUMAN-TRU2]]</f>
        <v>8</v>
      </c>
      <c r="AS190" t="str">
        <f t="shared" si="70"/>
        <v>Support</v>
      </c>
      <c r="AT190" s="32">
        <f t="shared" si="71"/>
        <v>1</v>
      </c>
      <c r="AU190">
        <f>step3_validation[[#This Row],[AI_TRU3]]</f>
        <v>6</v>
      </c>
      <c r="AV190" t="str">
        <f t="shared" si="72"/>
        <v>Neutral</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1</v>
      </c>
      <c r="AZ190">
        <f>step3_validation[[#This Row],[AI_TRU4]]</f>
        <v>7</v>
      </c>
      <c r="BA190" t="str">
        <f t="shared" si="75"/>
        <v>Neutral</v>
      </c>
      <c r="BB190">
        <f>survey_responses[[#This Row],[Tôi thấy Nhà nước đã giải thích rõ ràng, minh bạch về lý do và mục tiêu của việc sửa đổi thuế lần này. - HUMAN-TRU4]]</f>
        <v>7</v>
      </c>
      <c r="BC190" t="str">
        <f t="shared" si="76"/>
        <v>Neutral</v>
      </c>
      <c r="BD190" s="32">
        <f t="shared" si="77"/>
        <v>0</v>
      </c>
      <c r="BE190">
        <f>step3_validation[[#This Row],[AI_OUT1]]</f>
        <v>7</v>
      </c>
      <c r="BF190" t="str">
        <f t="shared" si="78"/>
        <v>Neutral</v>
      </c>
      <c r="BG190">
        <f>survey_responses[[#This Row],[Sau khi xem xét các quyền lợi và nghĩa vụ, bạn có ủng hộ và tuân thủ chính sách mới hiện nay? - HUMAN-OUT1]]</f>
        <v>8</v>
      </c>
      <c r="BH190" t="str">
        <f t="shared" si="79"/>
        <v>Support</v>
      </c>
      <c r="BI190" s="32">
        <f t="shared" si="80"/>
        <v>1</v>
      </c>
    </row>
    <row r="191" spans="1:61" x14ac:dyDescent="0.45">
      <c r="A191" s="30">
        <f>step3_validation[[#This Row],[Persona_ID]]</f>
        <v>190</v>
      </c>
      <c r="B191" s="31">
        <f>step3_validation[[#This Row],[Used_Seed]]</f>
        <v>12534</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30.021595312853684</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7</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0</v>
      </c>
      <c r="V191">
        <f>step3_validation[[#This Row],[AI_ENF2]]</f>
        <v>6</v>
      </c>
      <c r="W191" t="str">
        <f t="shared" si="57"/>
        <v>Neutral</v>
      </c>
      <c r="X191">
        <f>survey_responses[[#This Row],[Tôi tin rằng Nhà nước, cơ quan thuế có đủ khả năng và công nghệ để phát hiện, xử lý nghiêm các hành vi trốn thuế. - HUMAN-ENF2]]</f>
        <v>7</v>
      </c>
      <c r="Y191" t="str">
        <f t="shared" si="58"/>
        <v>Neutral</v>
      </c>
      <c r="Z191" s="32">
        <f t="shared" si="59"/>
        <v>1</v>
      </c>
      <c r="AA191">
        <f>step3_validation[[#This Row],[AI_FAC1]]</f>
        <v>8</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1</v>
      </c>
      <c r="AF191">
        <f>step3_validation[[#This Row],[AI_FAC2]]</f>
        <v>7</v>
      </c>
      <c r="AG191" t="str">
        <f t="shared" si="63"/>
        <v>Neutral</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1</v>
      </c>
      <c r="AK191">
        <f>step3_validation[[#This Row],[AI_TRU1]]</f>
        <v>8</v>
      </c>
      <c r="AL191" t="str">
        <f t="shared" si="66"/>
        <v>Support</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5</v>
      </c>
      <c r="AP191">
        <f>step3_validation[[#This Row],[AI_TRU2]]</f>
        <v>7</v>
      </c>
      <c r="AQ191" t="str">
        <f t="shared" si="69"/>
        <v>Neutral</v>
      </c>
      <c r="AR191">
        <f>survey_responses[[#This Row],[Tôi thấy mức thuế tôi phải đóng theo phương án mới là công bằng (người thu nhập như tôi đóng mức này là hợp lý). - HUMAN-TRU2]]</f>
        <v>3</v>
      </c>
      <c r="AS191" t="str">
        <f t="shared" si="70"/>
        <v>Oppose</v>
      </c>
      <c r="AT191" s="32">
        <f t="shared" si="71"/>
        <v>4</v>
      </c>
      <c r="AU191">
        <f>step3_validation[[#This Row],[AI_TRU3]]</f>
        <v>6</v>
      </c>
      <c r="AV191" t="str">
        <f t="shared" si="72"/>
        <v>Neutral</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4</v>
      </c>
      <c r="AZ191">
        <f>step3_validation[[#This Row],[AI_TRU4]]</f>
        <v>5</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2</v>
      </c>
      <c r="BE191">
        <f>step3_validation[[#This Row],[AI_OUT1]]</f>
        <v>7</v>
      </c>
      <c r="BF191" t="str">
        <f t="shared" si="78"/>
        <v>Neutral</v>
      </c>
      <c r="BG191">
        <f>survey_responses[[#This Row],[Sau khi xem xét các quyền lợi và nghĩa vụ, bạn có ủng hộ và tuân thủ chính sách mới hiện nay? - HUMAN-OUT1]]</f>
        <v>8</v>
      </c>
      <c r="BH191" t="str">
        <f t="shared" si="79"/>
        <v>Support</v>
      </c>
      <c r="BI191" s="32">
        <f t="shared" si="80"/>
        <v>1</v>
      </c>
    </row>
    <row r="192" spans="1:61" x14ac:dyDescent="0.45">
      <c r="A192" s="30">
        <f>step3_validation[[#This Row],[Persona_ID]]</f>
        <v>191</v>
      </c>
      <c r="B192" s="31">
        <f>step3_validation[[#This Row],[Used_Seed]]</f>
        <v>12535</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66.799216260172798</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t="str">
        <f t="shared" si="54"/>
        <v>Neutral</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0</v>
      </c>
      <c r="V192">
        <f>step3_validation[[#This Row],[AI_ENF2]]</f>
        <v>8</v>
      </c>
      <c r="W192" t="str">
        <f t="shared" si="57"/>
        <v>Support</v>
      </c>
      <c r="X192">
        <f>survey_responses[[#This Row],[Tôi tin rằng Nhà nước, cơ quan thuế có đủ khả năng và công nghệ để phát hiện, xử lý nghiêm các hành vi trốn thuế. - HUMAN-ENF2]]</f>
        <v>7</v>
      </c>
      <c r="Y192" t="str">
        <f t="shared" si="58"/>
        <v>Neutral</v>
      </c>
      <c r="Z192" s="32">
        <f t="shared" si="59"/>
        <v>1</v>
      </c>
      <c r="AA192">
        <f>step3_validation[[#This Row],[AI_FAC1]]</f>
        <v>6</v>
      </c>
      <c r="AB192" t="str">
        <f t="shared" si="60"/>
        <v>Neutral</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0</v>
      </c>
      <c r="AF192">
        <f>step3_validation[[#This Row],[AI_FAC2]]</f>
        <v>9</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1</v>
      </c>
      <c r="AK192">
        <f>step3_validation[[#This Row],[AI_TRU1]]</f>
        <v>5</v>
      </c>
      <c r="AL192" t="str">
        <f t="shared" si="66"/>
        <v>Neutral</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2</v>
      </c>
      <c r="AP192">
        <f>step3_validation[[#This Row],[AI_TRU2]]</f>
        <v>6</v>
      </c>
      <c r="AQ192" t="str">
        <f t="shared" si="69"/>
        <v>Neutral</v>
      </c>
      <c r="AR192">
        <f>survey_responses[[#This Row],[Tôi thấy mức thuế tôi phải đóng theo phương án mới là công bằng (người thu nhập như tôi đóng mức này là hợp lý). - HUMAN-TRU2]]</f>
        <v>8</v>
      </c>
      <c r="AS192" t="str">
        <f t="shared" si="70"/>
        <v>Support</v>
      </c>
      <c r="AT192" s="32">
        <f t="shared" si="71"/>
        <v>2</v>
      </c>
      <c r="AU192">
        <f>step3_validation[[#This Row],[AI_TRU3]]</f>
        <v>7</v>
      </c>
      <c r="AV192" t="str">
        <f t="shared" si="72"/>
        <v>Neutral</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0</v>
      </c>
      <c r="AZ192">
        <f>step3_validation[[#This Row],[AI_TRU4]]</f>
        <v>6</v>
      </c>
      <c r="BA192" t="str">
        <f t="shared" si="75"/>
        <v>Neutral</v>
      </c>
      <c r="BB192">
        <f>survey_responses[[#This Row],[Tôi thấy Nhà nước đã giải thích rõ ràng, minh bạch về lý do và mục tiêu của việc sửa đổi thuế lần này. - HUMAN-TRU4]]</f>
        <v>7</v>
      </c>
      <c r="BC192" t="str">
        <f t="shared" si="76"/>
        <v>Neutral</v>
      </c>
      <c r="BD192" s="32">
        <f t="shared" si="77"/>
        <v>1</v>
      </c>
      <c r="BE192">
        <f>step3_validation[[#This Row],[AI_OUT1]]</f>
        <v>5</v>
      </c>
      <c r="BF192" t="str">
        <f t="shared" si="78"/>
        <v>Neutral</v>
      </c>
      <c r="BG192">
        <f>survey_responses[[#This Row],[Sau khi xem xét các quyền lợi và nghĩa vụ, bạn có ủng hộ và tuân thủ chính sách mới hiện nay? - HUMAN-OUT1]]</f>
        <v>7</v>
      </c>
      <c r="BH192" t="str">
        <f t="shared" si="79"/>
        <v>Neutral</v>
      </c>
      <c r="BI192" s="32">
        <f t="shared" si="80"/>
        <v>2</v>
      </c>
    </row>
    <row r="193" spans="1:61" x14ac:dyDescent="0.45">
      <c r="A193" s="30">
        <f>step3_validation[[#This Row],[Persona_ID]]</f>
        <v>192</v>
      </c>
      <c r="B193" s="31">
        <f>step3_validation[[#This Row],[Used_Seed]]</f>
        <v>12536</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21.289438298288918</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8</v>
      </c>
      <c r="R193" t="str">
        <f t="shared" si="54"/>
        <v>Support</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0</v>
      </c>
      <c r="V193">
        <f>step3_validation[[#This Row],[AI_ENF2]]</f>
        <v>9</v>
      </c>
      <c r="W193" t="str">
        <f t="shared" si="57"/>
        <v>Support</v>
      </c>
      <c r="X193">
        <f>survey_responses[[#This Row],[Tôi tin rằng Nhà nước, cơ quan thuế có đủ khả năng và công nghệ để phát hiện, xử lý nghiêm các hành vi trốn thuế. - HUMAN-ENF2]]</f>
        <v>8</v>
      </c>
      <c r="Y193" t="str">
        <f t="shared" si="58"/>
        <v>Support</v>
      </c>
      <c r="Z193" s="32">
        <f t="shared" si="59"/>
        <v>1</v>
      </c>
      <c r="AA193">
        <f>step3_validation[[#This Row],[AI_FAC1]]</f>
        <v>7</v>
      </c>
      <c r="AB193" t="str">
        <f t="shared" si="60"/>
        <v>Neutral</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2</v>
      </c>
      <c r="AF193">
        <f>step3_validation[[#This Row],[AI_FAC2]]</f>
        <v>6</v>
      </c>
      <c r="AG193" t="str">
        <f t="shared" si="63"/>
        <v>Neutral</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3</v>
      </c>
      <c r="AK193">
        <f>step3_validation[[#This Row],[AI_TRU1]]</f>
        <v>9</v>
      </c>
      <c r="AL193" t="str">
        <f t="shared" si="66"/>
        <v>Support</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0</v>
      </c>
      <c r="AP193">
        <f>step3_validation[[#This Row],[AI_TRU2]]</f>
        <v>7</v>
      </c>
      <c r="AQ193" t="str">
        <f t="shared" si="69"/>
        <v>Neutral</v>
      </c>
      <c r="AR193">
        <f>survey_responses[[#This Row],[Tôi thấy mức thuế tôi phải đóng theo phương án mới là công bằng (người thu nhập như tôi đóng mức này là hợp lý). - HUMAN-TRU2]]</f>
        <v>9</v>
      </c>
      <c r="AS193" t="str">
        <f t="shared" si="70"/>
        <v>Support</v>
      </c>
      <c r="AT193" s="32">
        <f t="shared" si="71"/>
        <v>2</v>
      </c>
      <c r="AU193">
        <f>step3_validation[[#This Row],[AI_TRU3]]</f>
        <v>8</v>
      </c>
      <c r="AV193" t="str">
        <f t="shared" si="72"/>
        <v>Support</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0</v>
      </c>
      <c r="AZ193">
        <f>step3_validation[[#This Row],[AI_TRU4]]</f>
        <v>6</v>
      </c>
      <c r="BA193" t="str">
        <f t="shared" si="75"/>
        <v>Neutral</v>
      </c>
      <c r="BB193">
        <f>survey_responses[[#This Row],[Tôi thấy Nhà nước đã giải thích rõ ràng, minh bạch về lý do và mục tiêu của việc sửa đổi thuế lần này. - HUMAN-TRU4]]</f>
        <v>8</v>
      </c>
      <c r="BC193" t="str">
        <f t="shared" si="76"/>
        <v>Support</v>
      </c>
      <c r="BD193" s="32">
        <f t="shared" si="77"/>
        <v>2</v>
      </c>
      <c r="BE193">
        <f>step3_validation[[#This Row],[AI_OUT1]]</f>
        <v>8</v>
      </c>
      <c r="BF193" t="str">
        <f t="shared" si="78"/>
        <v>Support</v>
      </c>
      <c r="BG193">
        <f>survey_responses[[#This Row],[Sau khi xem xét các quyền lợi và nghĩa vụ, bạn có ủng hộ và tuân thủ chính sách mới hiện nay? - HUMAN-OUT1]]</f>
        <v>9</v>
      </c>
      <c r="BH193" t="str">
        <f t="shared" si="79"/>
        <v>Support</v>
      </c>
      <c r="BI193" s="32">
        <f t="shared" si="80"/>
        <v>1</v>
      </c>
    </row>
    <row r="194" spans="1:61" x14ac:dyDescent="0.45">
      <c r="A194" s="30">
        <f>step3_validation[[#This Row],[Persona_ID]]</f>
        <v>193</v>
      </c>
      <c r="B194" s="31">
        <f>step3_validation[[#This Row],[Used_Seed]]</f>
        <v>12537</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27.398381780266153</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7</v>
      </c>
      <c r="R194" t="str">
        <f t="shared" si="54"/>
        <v>Neutral</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6</v>
      </c>
      <c r="V194">
        <f>step3_validation[[#This Row],[AI_ENF2]]</f>
        <v>8</v>
      </c>
      <c r="W194" t="str">
        <f t="shared" si="57"/>
        <v>Support</v>
      </c>
      <c r="X194">
        <f>survey_responses[[#This Row],[Tôi tin rằng Nhà nước, cơ quan thuế có đủ khả năng và công nghệ để phát hiện, xử lý nghiêm các hành vi trốn thuế. - HUMAN-ENF2]]</f>
        <v>1</v>
      </c>
      <c r="Y194" t="str">
        <f t="shared" si="58"/>
        <v>Oppose</v>
      </c>
      <c r="Z194" s="32">
        <f t="shared" si="59"/>
        <v>7</v>
      </c>
      <c r="AA194">
        <f>step3_validation[[#This Row],[AI_FAC1]]</f>
        <v>9</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2</v>
      </c>
      <c r="AF194">
        <f>step3_validation[[#This Row],[AI_FAC2]]</f>
        <v>8</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3</v>
      </c>
      <c r="AK194">
        <f>step3_validation[[#This Row],[AI_TRU1]]</f>
        <v>6</v>
      </c>
      <c r="AL194" t="str">
        <f t="shared" si="66"/>
        <v>Neutral</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1</v>
      </c>
      <c r="AP194">
        <f>step3_validation[[#This Row],[AI_TRU2]]</f>
        <v>7</v>
      </c>
      <c r="AQ194" t="str">
        <f t="shared" si="69"/>
        <v>Neutral</v>
      </c>
      <c r="AR194">
        <f>survey_responses[[#This Row],[Tôi thấy mức thuế tôi phải đóng theo phương án mới là công bằng (người thu nhập như tôi đóng mức này là hợp lý). - HUMAN-TRU2]]</f>
        <v>7</v>
      </c>
      <c r="AS194" t="str">
        <f t="shared" si="70"/>
        <v>Neutral</v>
      </c>
      <c r="AT194" s="32">
        <f t="shared" si="71"/>
        <v>0</v>
      </c>
      <c r="AU194">
        <f>step3_validation[[#This Row],[AI_TRU3]]</f>
        <v>6</v>
      </c>
      <c r="AV194" t="str">
        <f t="shared" si="72"/>
        <v>Neutral</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4</v>
      </c>
      <c r="AZ194">
        <f>step3_validation[[#This Row],[AI_TRU4]]</f>
        <v>5</v>
      </c>
      <c r="BA194" t="str">
        <f t="shared" si="75"/>
        <v>Neutral</v>
      </c>
      <c r="BB194">
        <f>survey_responses[[#This Row],[Tôi thấy Nhà nước đã giải thích rõ ràng, minh bạch về lý do và mục tiêu của việc sửa đổi thuế lần này. - HUMAN-TRU4]]</f>
        <v>5</v>
      </c>
      <c r="BC194" t="str">
        <f t="shared" si="76"/>
        <v>Neutral</v>
      </c>
      <c r="BD194" s="32">
        <f t="shared" si="77"/>
        <v>0</v>
      </c>
      <c r="BE194">
        <f>step3_validation[[#This Row],[AI_OUT1]]</f>
        <v>7</v>
      </c>
      <c r="BF194" t="str">
        <f t="shared" si="78"/>
        <v>Neutral</v>
      </c>
      <c r="BG194">
        <f>survey_responses[[#This Row],[Sau khi xem xét các quyền lợi và nghĩa vụ, bạn có ủng hộ và tuân thủ chính sách mới hiện nay? - HUMAN-OUT1]]</f>
        <v>5</v>
      </c>
      <c r="BH194" t="str">
        <f t="shared" si="79"/>
        <v>Neutral</v>
      </c>
      <c r="BI194" s="32">
        <f t="shared" si="80"/>
        <v>2</v>
      </c>
    </row>
    <row r="195" spans="1:61" x14ac:dyDescent="0.45">
      <c r="A195" s="30">
        <f>step3_validation[[#This Row],[Persona_ID]]</f>
        <v>194</v>
      </c>
      <c r="B195" s="31">
        <f>step3_validation[[#This Row],[Used_Seed]]</f>
        <v>12538</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18.332168616202658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8</v>
      </c>
      <c r="R195" t="str">
        <f t="shared" ref="R195:R258" si="81">IF(AND(Q195&gt;=1,Q195&lt;5),"Oppose",IF(AND(Q195&gt;=5,Q195&lt;8),"Neutral",IF(AND(Q195&gt;=8,Q195&lt;=10),"Support","")))</f>
        <v>Support</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2</v>
      </c>
      <c r="V195">
        <f>step3_validation[[#This Row],[AI_ENF2]]</f>
        <v>9</v>
      </c>
      <c r="W195" t="str">
        <f t="shared" ref="W195:W258" si="84">IF(AND(V195&gt;=1,V195&lt;5),"Oppose",IF(AND(V195&gt;=5,V195&lt;8),"Neutral",IF(AND(V195&gt;=8,V195&lt;=10),"Support","")))</f>
        <v>Support</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1</v>
      </c>
      <c r="AA195">
        <f>step3_validation[[#This Row],[AI_FAC1]]</f>
        <v>8</v>
      </c>
      <c r="AB195" t="str">
        <f t="shared" ref="AB195:AB258" si="87">IF(AND(AA195&gt;=1,AA195&lt;5),"Oppose",IF(AND(AA195&gt;=5,AA195&lt;8),"Neutral",IF(AND(AA195&gt;=8,AA195&lt;=10),"Support","")))</f>
        <v>Support</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2</v>
      </c>
      <c r="AF195">
        <f>step3_validation[[#This Row],[AI_FAC2]]</f>
        <v>7</v>
      </c>
      <c r="AG195" t="str">
        <f t="shared" ref="AG195:AG258" si="90">IF(AND(AF195&gt;=1,AF195&lt;5),"Oppose",IF(AND(AF195&gt;=5,AF195&lt;8),"Neutral",IF(AND(AF195&gt;=8,AF195&lt;=10),"Support","")))</f>
        <v>Neutral</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3</v>
      </c>
      <c r="AK195">
        <f>step3_validation[[#This Row],[AI_TRU1]]</f>
        <v>8</v>
      </c>
      <c r="AL195" t="str">
        <f t="shared" ref="AL195:AL258" si="93">IF(AND(AK195&gt;=1,AK195&lt;5),"Oppose",IF(AND(AK195&gt;=5,AK195&lt;8),"Neutral",IF(AND(AK195&gt;=8,AK195&lt;=10),"Support","")))</f>
        <v>Support</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0</v>
      </c>
      <c r="AP195">
        <f>step3_validation[[#This Row],[AI_TRU2]]</f>
        <v>7</v>
      </c>
      <c r="AQ195" t="str">
        <f t="shared" ref="AQ195:AQ258" si="96">IF(AND(AP195&gt;=1,AP195&lt;5),"Oppose",IF(AND(AP195&gt;=5,AP195&lt;8),"Neutral",IF(AND(AP195&gt;=8,AP195&lt;=10),"Support","")))</f>
        <v>Neutral</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4</v>
      </c>
      <c r="AU195">
        <f>step3_validation[[#This Row],[AI_TRU3]]</f>
        <v>7</v>
      </c>
      <c r="AV195" t="str">
        <f t="shared" ref="AV195:AV258" si="99">IF(AND(AU195&gt;=1,AU195&lt;5),"Oppose",IF(AND(AU195&gt;=5,AU195&lt;8),"Neutral",IF(AND(AU195&gt;=8,AU195&lt;=10),"Support","")))</f>
        <v>Neutral</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3</v>
      </c>
      <c r="AZ195">
        <f>step3_validation[[#This Row],[AI_TRU4]]</f>
        <v>7</v>
      </c>
      <c r="BA195" t="str">
        <f t="shared" ref="BA195:BA258" si="102">IF(AND(AZ195&gt;=1,AZ195&lt;5),"Oppose",IF(AND(AZ195&gt;=5,AZ195&lt;8),"Neutral",IF(AND(AZ195&gt;=8,AZ195&lt;=10),"Support","")))</f>
        <v>Neutral</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3</v>
      </c>
      <c r="BE195">
        <f>step3_validation[[#This Row],[AI_OUT1]]</f>
        <v>8</v>
      </c>
      <c r="BF195" t="str">
        <f t="shared" ref="BF195:BF258" si="105">IF(AND(BE195&gt;=1,BE195&lt;5),"Oppose",IF(AND(BE195&gt;=5,BE195&lt;8),"Neutral",IF(AND(BE195&gt;=8,BE195&lt;=10),"Support","")))</f>
        <v>Support</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2</v>
      </c>
    </row>
    <row r="196" spans="1:61" x14ac:dyDescent="0.45">
      <c r="A196" s="30">
        <f>step3_validation[[#This Row],[Persona_ID]]</f>
        <v>195</v>
      </c>
      <c r="B196" s="31">
        <f>step3_validation[[#This Row],[Used_Seed]]</f>
        <v>12539</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15.358378889667776</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6</v>
      </c>
      <c r="R196" t="str">
        <f t="shared" si="81"/>
        <v>Neutral</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3</v>
      </c>
      <c r="V196">
        <f>step3_validation[[#This Row],[AI_ENF2]]</f>
        <v>8</v>
      </c>
      <c r="W196" t="str">
        <f t="shared" si="84"/>
        <v>Support</v>
      </c>
      <c r="X196">
        <f>survey_responses[[#This Row],[Tôi tin rằng Nhà nước, cơ quan thuế có đủ khả năng và công nghệ để phát hiện, xử lý nghiêm các hành vi trốn thuế. - HUMAN-ENF2]]</f>
        <v>9</v>
      </c>
      <c r="Y196" t="str">
        <f t="shared" si="85"/>
        <v>Support</v>
      </c>
      <c r="Z196" s="32">
        <f t="shared" si="86"/>
        <v>1</v>
      </c>
      <c r="AA196">
        <f>step3_validation[[#This Row],[AI_FAC1]]</f>
        <v>9</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4</v>
      </c>
      <c r="AF196">
        <f>step3_validation[[#This Row],[AI_FAC2]]</f>
        <v>8</v>
      </c>
      <c r="AG196" t="str">
        <f t="shared" si="90"/>
        <v>Support</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3</v>
      </c>
      <c r="AK196">
        <f>step3_validation[[#This Row],[AI_TRU1]]</f>
        <v>7</v>
      </c>
      <c r="AL196" t="str">
        <f t="shared" si="93"/>
        <v>Neutral</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0</v>
      </c>
      <c r="AP196">
        <f>step3_validation[[#This Row],[AI_TRU2]]</f>
        <v>8</v>
      </c>
      <c r="AQ196" t="str">
        <f t="shared" si="96"/>
        <v>Support</v>
      </c>
      <c r="AR196">
        <f>survey_responses[[#This Row],[Tôi thấy mức thuế tôi phải đóng theo phương án mới là công bằng (người thu nhập như tôi đóng mức này là hợp lý). - HUMAN-TRU2]]</f>
        <v>7</v>
      </c>
      <c r="AS196" t="str">
        <f t="shared" si="97"/>
        <v>Neutral</v>
      </c>
      <c r="AT196" s="32">
        <f t="shared" si="98"/>
        <v>1</v>
      </c>
      <c r="AU196">
        <f>step3_validation[[#This Row],[AI_TRU3]]</f>
        <v>6</v>
      </c>
      <c r="AV196" t="str">
        <f t="shared" si="99"/>
        <v>Neutral</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2</v>
      </c>
      <c r="AZ196">
        <f>step3_validation[[#This Row],[AI_TRU4]]</f>
        <v>7</v>
      </c>
      <c r="BA196" t="str">
        <f t="shared" si="102"/>
        <v>Neutral</v>
      </c>
      <c r="BB196">
        <f>survey_responses[[#This Row],[Tôi thấy Nhà nước đã giải thích rõ ràng, minh bạch về lý do và mục tiêu của việc sửa đổi thuế lần này. - HUMAN-TRU4]]</f>
        <v>8</v>
      </c>
      <c r="BC196" t="str">
        <f t="shared" si="103"/>
        <v>Support</v>
      </c>
      <c r="BD196" s="32">
        <f t="shared" si="104"/>
        <v>1</v>
      </c>
      <c r="BE196">
        <f>step3_validation[[#This Row],[AI_OUT1]]</f>
        <v>8</v>
      </c>
      <c r="BF196" t="str">
        <f t="shared" si="105"/>
        <v>Support</v>
      </c>
      <c r="BG196">
        <f>survey_responses[[#This Row],[Sau khi xem xét các quyền lợi và nghĩa vụ, bạn có ủng hộ và tuân thủ chính sách mới hiện nay? - HUMAN-OUT1]]</f>
        <v>8</v>
      </c>
      <c r="BH196" t="str">
        <f t="shared" si="106"/>
        <v>Support</v>
      </c>
      <c r="BI196" s="32">
        <f t="shared" si="107"/>
        <v>0</v>
      </c>
    </row>
    <row r="197" spans="1:61" x14ac:dyDescent="0.45">
      <c r="A197" s="30">
        <f>step3_validation[[#This Row],[Persona_ID]]</f>
        <v>196</v>
      </c>
      <c r="B197" s="31">
        <f>step3_validation[[#This Row],[Used_Seed]]</f>
        <v>12540</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13.580925821871581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5</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4</v>
      </c>
      <c r="V197">
        <f>step3_validation[[#This Row],[AI_ENF2]]</f>
        <v>6</v>
      </c>
      <c r="W197" t="str">
        <f t="shared" si="84"/>
        <v>Neutral</v>
      </c>
      <c r="X197">
        <f>survey_responses[[#This Row],[Tôi tin rằng Nhà nước, cơ quan thuế có đủ khả năng và công nghệ để phát hiện, xử lý nghiêm các hành vi trốn thuế. - HUMAN-ENF2]]</f>
        <v>9</v>
      </c>
      <c r="Y197" t="str">
        <f t="shared" si="85"/>
        <v>Support</v>
      </c>
      <c r="Z197" s="32">
        <f t="shared" si="86"/>
        <v>3</v>
      </c>
      <c r="AA197">
        <f>step3_validation[[#This Row],[AI_FAC1]]</f>
        <v>8</v>
      </c>
      <c r="AB197" t="str">
        <f t="shared" si="87"/>
        <v>Support</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1</v>
      </c>
      <c r="AF197">
        <f>step3_validation[[#This Row],[AI_FAC2]]</f>
        <v>7</v>
      </c>
      <c r="AG197" t="str">
        <f t="shared" si="90"/>
        <v>Neutral</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2</v>
      </c>
      <c r="AK197">
        <f>step3_validation[[#This Row],[AI_TRU1]]</f>
        <v>6</v>
      </c>
      <c r="AL197" t="str">
        <f t="shared" si="93"/>
        <v>Neutral</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3</v>
      </c>
      <c r="AP197">
        <f>step3_validation[[#This Row],[AI_TRU2]]</f>
        <v>5</v>
      </c>
      <c r="AQ197" t="str">
        <f t="shared" si="96"/>
        <v>Neutral</v>
      </c>
      <c r="AR197">
        <f>survey_responses[[#This Row],[Tôi thấy mức thuế tôi phải đóng theo phương án mới là công bằng (người thu nhập như tôi đóng mức này là hợp lý). - HUMAN-TRU2]]</f>
        <v>9</v>
      </c>
      <c r="AS197" t="str">
        <f t="shared" si="97"/>
        <v>Support</v>
      </c>
      <c r="AT197" s="32">
        <f t="shared" si="98"/>
        <v>4</v>
      </c>
      <c r="AU197">
        <f>step3_validation[[#This Row],[AI_TRU3]]</f>
        <v>7</v>
      </c>
      <c r="AV197" t="str">
        <f t="shared" si="99"/>
        <v>Neutral</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2</v>
      </c>
      <c r="AZ197">
        <f>step3_validation[[#This Row],[AI_TRU4]]</f>
        <v>8</v>
      </c>
      <c r="BA197" t="str">
        <f t="shared" si="102"/>
        <v>Support</v>
      </c>
      <c r="BB197">
        <f>survey_responses[[#This Row],[Tôi thấy Nhà nước đã giải thích rõ ràng, minh bạch về lý do và mục tiêu của việc sửa đổi thuế lần này. - HUMAN-TRU4]]</f>
        <v>9</v>
      </c>
      <c r="BC197" t="str">
        <f t="shared" si="103"/>
        <v>Support</v>
      </c>
      <c r="BD197" s="32">
        <f t="shared" si="104"/>
        <v>1</v>
      </c>
      <c r="BE197">
        <f>step3_validation[[#This Row],[AI_OUT1]]</f>
        <v>9</v>
      </c>
      <c r="BF197" t="str">
        <f t="shared" si="105"/>
        <v>Support</v>
      </c>
      <c r="BG197">
        <f>survey_responses[[#This Row],[Sau khi xem xét các quyền lợi và nghĩa vụ, bạn có ủng hộ và tuân thủ chính sách mới hiện nay? - HUMAN-OUT1]]</f>
        <v>9</v>
      </c>
      <c r="BH197" t="str">
        <f t="shared" si="106"/>
        <v>Support</v>
      </c>
      <c r="BI197" s="32">
        <f t="shared" si="107"/>
        <v>0</v>
      </c>
    </row>
    <row r="198" spans="1:61" x14ac:dyDescent="0.45">
      <c r="A198" s="30">
        <f>step3_validation[[#This Row],[Persona_ID]]</f>
        <v>197</v>
      </c>
      <c r="B198" s="31">
        <f>step3_validation[[#This Row],[Used_Seed]]</f>
        <v>12541</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15.159162714908897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8</v>
      </c>
      <c r="R198" t="str">
        <f t="shared" si="81"/>
        <v>Support</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1</v>
      </c>
      <c r="V198">
        <f>step3_validation[[#This Row],[AI_ENF2]]</f>
        <v>7</v>
      </c>
      <c r="W198" t="str">
        <f t="shared" si="84"/>
        <v>Neutral</v>
      </c>
      <c r="X198">
        <f>survey_responses[[#This Row],[Tôi tin rằng Nhà nước, cơ quan thuế có đủ khả năng và công nghệ để phát hiện, xử lý nghiêm các hành vi trốn thuế. - HUMAN-ENF2]]</f>
        <v>10</v>
      </c>
      <c r="Y198" t="str">
        <f t="shared" si="85"/>
        <v>Support</v>
      </c>
      <c r="Z198" s="32">
        <f t="shared" si="86"/>
        <v>3</v>
      </c>
      <c r="AA198">
        <f>step3_validation[[#This Row],[AI_FAC1]]</f>
        <v>6</v>
      </c>
      <c r="AB198" t="str">
        <f t="shared" si="87"/>
        <v>Neutral</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4</v>
      </c>
      <c r="AF198">
        <f>step3_validation[[#This Row],[AI_FAC2]]</f>
        <v>7</v>
      </c>
      <c r="AG198" t="str">
        <f t="shared" si="90"/>
        <v>Neutral</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2</v>
      </c>
      <c r="AK198">
        <f>step3_validation[[#This Row],[AI_TRU1]]</f>
        <v>8</v>
      </c>
      <c r="AL198" t="str">
        <f t="shared" si="93"/>
        <v>Support</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2</v>
      </c>
      <c r="AP198">
        <f>step3_validation[[#This Row],[AI_TRU2]]</f>
        <v>9</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2">
        <f t="shared" si="98"/>
        <v>1</v>
      </c>
      <c r="AU198">
        <f>step3_validation[[#This Row],[AI_TRU3]]</f>
        <v>7</v>
      </c>
      <c r="AV198" t="str">
        <f t="shared" si="99"/>
        <v>Neutral</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3</v>
      </c>
      <c r="AZ198">
        <f>step3_validation[[#This Row],[AI_TRU4]]</f>
        <v>6</v>
      </c>
      <c r="BA198" t="str">
        <f t="shared" si="102"/>
        <v>Neutral</v>
      </c>
      <c r="BB198">
        <f>survey_responses[[#This Row],[Tôi thấy Nhà nước đã giải thích rõ ràng, minh bạch về lý do và mục tiêu của việc sửa đổi thuế lần này. - HUMAN-TRU4]]</f>
        <v>9</v>
      </c>
      <c r="BC198" t="str">
        <f t="shared" si="103"/>
        <v>Support</v>
      </c>
      <c r="BD198" s="32">
        <f t="shared" si="104"/>
        <v>3</v>
      </c>
      <c r="BE198">
        <f>step3_validation[[#This Row],[AI_OUT1]]</f>
        <v>8</v>
      </c>
      <c r="BF198" t="str">
        <f t="shared" si="105"/>
        <v>Support</v>
      </c>
      <c r="BG198">
        <f>survey_responses[[#This Row],[Sau khi xem xét các quyền lợi và nghĩa vụ, bạn có ủng hộ và tuân thủ chính sách mới hiện nay? - HUMAN-OUT1]]</f>
        <v>10</v>
      </c>
      <c r="BH198" t="str">
        <f t="shared" si="106"/>
        <v>Support</v>
      </c>
      <c r="BI198" s="32">
        <f t="shared" si="107"/>
        <v>2</v>
      </c>
    </row>
    <row r="199" spans="1:61" x14ac:dyDescent="0.45">
      <c r="A199" s="30">
        <f>step3_validation[[#This Row],[Persona_ID]]</f>
        <v>198</v>
      </c>
      <c r="B199" s="31">
        <f>step3_validation[[#This Row],[Used_Seed]]</f>
        <v>12542</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16.203072264021031</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7</v>
      </c>
      <c r="R199" t="str">
        <f t="shared" si="81"/>
        <v>Neutral</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2</v>
      </c>
      <c r="V199">
        <f>step3_validation[[#This Row],[AI_ENF2]]</f>
        <v>8</v>
      </c>
      <c r="W199" t="str">
        <f t="shared" si="84"/>
        <v>Support</v>
      </c>
      <c r="X199">
        <f>survey_responses[[#This Row],[Tôi tin rằng Nhà nước, cơ quan thuế có đủ khả năng và công nghệ để phát hiện, xử lý nghiêm các hành vi trốn thuế. - HUMAN-ENF2]]</f>
        <v>5</v>
      </c>
      <c r="Y199" t="str">
        <f t="shared" si="85"/>
        <v>Neutral</v>
      </c>
      <c r="Z199" s="32">
        <f t="shared" si="86"/>
        <v>3</v>
      </c>
      <c r="AA199">
        <f>step3_validation[[#This Row],[AI_FAC1]]</f>
        <v>9</v>
      </c>
      <c r="AB199" t="str">
        <f t="shared" si="87"/>
        <v>Support</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4</v>
      </c>
      <c r="AF199">
        <f>step3_validation[[#This Row],[AI_FAC2]]</f>
        <v>8</v>
      </c>
      <c r="AG199" t="str">
        <f t="shared" si="90"/>
        <v>Support</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3</v>
      </c>
      <c r="AK199">
        <f>step3_validation[[#This Row],[AI_TRU1]]</f>
        <v>7</v>
      </c>
      <c r="AL199" t="str">
        <f t="shared" si="93"/>
        <v>Neutral</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2</v>
      </c>
      <c r="AP199">
        <f>step3_validation[[#This Row],[AI_TRU2]]</f>
        <v>8</v>
      </c>
      <c r="AQ199" t="str">
        <f t="shared" si="96"/>
        <v>Support</v>
      </c>
      <c r="AR199">
        <f>survey_responses[[#This Row],[Tôi thấy mức thuế tôi phải đóng theo phương án mới là công bằng (người thu nhập như tôi đóng mức này là hợp lý). - HUMAN-TRU2]]</f>
        <v>5</v>
      </c>
      <c r="AS199" t="str">
        <f t="shared" si="97"/>
        <v>Neutral</v>
      </c>
      <c r="AT199" s="32">
        <f t="shared" si="98"/>
        <v>3</v>
      </c>
      <c r="AU199">
        <f>step3_validation[[#This Row],[AI_TRU3]]</f>
        <v>7</v>
      </c>
      <c r="AV199" t="str">
        <f t="shared" si="99"/>
        <v>Neutral</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2</v>
      </c>
      <c r="AZ199">
        <f>step3_validation[[#This Row],[AI_TRU4]]</f>
        <v>6</v>
      </c>
      <c r="BA199" t="str">
        <f t="shared" si="102"/>
        <v>Neutral</v>
      </c>
      <c r="BB199">
        <f>survey_responses[[#This Row],[Tôi thấy Nhà nước đã giải thích rõ ràng, minh bạch về lý do và mục tiêu của việc sửa đổi thuế lần này. - HUMAN-TRU4]]</f>
        <v>4</v>
      </c>
      <c r="BC199" t="str">
        <f t="shared" si="103"/>
        <v>Oppose</v>
      </c>
      <c r="BD199" s="32">
        <f t="shared" si="104"/>
        <v>2</v>
      </c>
      <c r="BE199">
        <f>step3_validation[[#This Row],[AI_OUT1]]</f>
        <v>7</v>
      </c>
      <c r="BF199" t="str">
        <f t="shared" si="105"/>
        <v>Neutral</v>
      </c>
      <c r="BG199">
        <f>survey_responses[[#This Row],[Sau khi xem xét các quyền lợi và nghĩa vụ, bạn có ủng hộ và tuân thủ chính sách mới hiện nay? - HUMAN-OUT1]]</f>
        <v>5</v>
      </c>
      <c r="BH199" t="str">
        <f t="shared" si="106"/>
        <v>Neutral</v>
      </c>
      <c r="BI199" s="32">
        <f t="shared" si="107"/>
        <v>2</v>
      </c>
    </row>
    <row r="200" spans="1:61" x14ac:dyDescent="0.45">
      <c r="A200" s="30">
        <f>step3_validation[[#This Row],[Persona_ID]]</f>
        <v>199</v>
      </c>
      <c r="B200" s="31">
        <f>step3_validation[[#This Row],[Used_Seed]]</f>
        <v>12543</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6</v>
      </c>
      <c r="R200" t="str">
        <f t="shared" si="81"/>
        <v>Neutral</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3</v>
      </c>
      <c r="V200">
        <f>step3_validation[[#This Row],[AI_ENF2]]</f>
        <v>5</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2">
        <f t="shared" si="86"/>
        <v>3</v>
      </c>
      <c r="AA200">
        <f>step3_validation[[#This Row],[AI_FAC1]]</f>
        <v>8</v>
      </c>
      <c r="AB200" t="str">
        <f t="shared" si="87"/>
        <v>Support</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1</v>
      </c>
      <c r="AF200">
        <f>step3_validation[[#This Row],[AI_FAC2]]</f>
        <v>9</v>
      </c>
      <c r="AG200" t="str">
        <f t="shared" si="90"/>
        <v>Support</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0</v>
      </c>
      <c r="AK200">
        <f>step3_validation[[#This Row],[AI_TRU1]]</f>
        <v>7</v>
      </c>
      <c r="AL200" t="str">
        <f t="shared" si="93"/>
        <v>Neutral</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1</v>
      </c>
      <c r="AP200">
        <f>step3_validation[[#This Row],[AI_TRU2]]</f>
        <v>8</v>
      </c>
      <c r="AQ200" t="str">
        <f t="shared" si="96"/>
        <v>Support</v>
      </c>
      <c r="AR200">
        <f>survey_responses[[#This Row],[Tôi thấy mức thuế tôi phải đóng theo phương án mới là công bằng (người thu nhập như tôi đóng mức này là hợp lý). - HUMAN-TRU2]]</f>
        <v>9</v>
      </c>
      <c r="AS200" t="str">
        <f t="shared" si="97"/>
        <v>Support</v>
      </c>
      <c r="AT200" s="32">
        <f t="shared" si="98"/>
        <v>1</v>
      </c>
      <c r="AU200">
        <f>step3_validation[[#This Row],[AI_TRU3]]</f>
        <v>7</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3</v>
      </c>
      <c r="AZ200">
        <f>step3_validation[[#This Row],[AI_TRU4]]</f>
        <v>8</v>
      </c>
      <c r="BA200" t="str">
        <f t="shared" si="102"/>
        <v>Support</v>
      </c>
      <c r="BB200">
        <f>survey_responses[[#This Row],[Tôi thấy Nhà nước đã giải thích rõ ràng, minh bạch về lý do và mục tiêu của việc sửa đổi thuế lần này. - HUMAN-TRU4]]</f>
        <v>9</v>
      </c>
      <c r="BC200" t="str">
        <f t="shared" si="103"/>
        <v>Support</v>
      </c>
      <c r="BD200" s="32">
        <f t="shared" si="104"/>
        <v>1</v>
      </c>
      <c r="BE200">
        <f>step3_validation[[#This Row],[AI_OUT1]]</f>
        <v>7</v>
      </c>
      <c r="BF200" t="str">
        <f t="shared" si="105"/>
        <v>Neutral</v>
      </c>
      <c r="BG200">
        <f>survey_responses[[#This Row],[Sau khi xem xét các quyền lợi và nghĩa vụ, bạn có ủng hộ và tuân thủ chính sách mới hiện nay? - HUMAN-OUT1]]</f>
        <v>10</v>
      </c>
      <c r="BH200" t="str">
        <f t="shared" si="106"/>
        <v>Support</v>
      </c>
      <c r="BI200" s="32">
        <f t="shared" si="107"/>
        <v>3</v>
      </c>
    </row>
    <row r="201" spans="1:61" x14ac:dyDescent="0.45">
      <c r="A201" s="30">
        <f>step3_validation[[#This Row],[Persona_ID]]</f>
        <v>200</v>
      </c>
      <c r="B201" s="31">
        <f>step3_validation[[#This Row],[Used_Seed]]</f>
        <v>12544</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85.694533171150226</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8</v>
      </c>
      <c r="R201" t="str">
        <f t="shared" si="81"/>
        <v>Support</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4</v>
      </c>
      <c r="V201">
        <f>step3_validation[[#This Row],[AI_ENF2]]</f>
        <v>8</v>
      </c>
      <c r="W201" t="str">
        <f t="shared" si="84"/>
        <v>Support</v>
      </c>
      <c r="X201">
        <f>survey_responses[[#This Row],[Tôi tin rằng Nhà nước, cơ quan thuế có đủ khả năng và công nghệ để phát hiện, xử lý nghiêm các hành vi trốn thuế. - HUMAN-ENF2]]</f>
        <v>4</v>
      </c>
      <c r="Y201" t="str">
        <f t="shared" si="85"/>
        <v>Oppose</v>
      </c>
      <c r="Z201" s="32">
        <f t="shared" si="86"/>
        <v>4</v>
      </c>
      <c r="AA201">
        <f>step3_validation[[#This Row],[AI_FAC1]]</f>
        <v>7</v>
      </c>
      <c r="AB201" t="str">
        <f t="shared" si="87"/>
        <v>Neutral</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4</v>
      </c>
      <c r="AF201">
        <f>step3_validation[[#This Row],[AI_FAC2]]</f>
        <v>8</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3</v>
      </c>
      <c r="AK201">
        <f>step3_validation[[#This Row],[AI_TRU1]]</f>
        <v>7</v>
      </c>
      <c r="AL201" t="str">
        <f t="shared" si="93"/>
        <v>Neutral</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3</v>
      </c>
      <c r="AP201">
        <f>step3_validation[[#This Row],[AI_TRU2]]</f>
        <v>6</v>
      </c>
      <c r="AQ201" t="str">
        <f t="shared" si="96"/>
        <v>Neutral</v>
      </c>
      <c r="AR201">
        <f>survey_responses[[#This Row],[Tôi thấy mức thuế tôi phải đóng theo phương án mới là công bằng (người thu nhập như tôi đóng mức này là hợp lý). - HUMAN-TRU2]]</f>
        <v>5</v>
      </c>
      <c r="AS201" t="str">
        <f t="shared" si="97"/>
        <v>Neutral</v>
      </c>
      <c r="AT201" s="32">
        <f t="shared" si="98"/>
        <v>1</v>
      </c>
      <c r="AU201">
        <f>step3_validation[[#This Row],[AI_TRU3]]</f>
        <v>5</v>
      </c>
      <c r="AV201" t="str">
        <f t="shared" si="99"/>
        <v>Neutral</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4</v>
      </c>
      <c r="AZ201">
        <f>step3_validation[[#This Row],[AI_TRU4]]</f>
        <v>4</v>
      </c>
      <c r="BA201" t="str">
        <f t="shared" si="102"/>
        <v>Oppose</v>
      </c>
      <c r="BB201">
        <f>survey_responses[[#This Row],[Tôi thấy Nhà nước đã giải thích rõ ràng, minh bạch về lý do và mục tiêu của việc sửa đổi thuế lần này. - HUMAN-TRU4]]</f>
        <v>5</v>
      </c>
      <c r="BC201" t="str">
        <f t="shared" si="103"/>
        <v>Neutral</v>
      </c>
      <c r="BD201" s="32">
        <f t="shared" si="104"/>
        <v>1</v>
      </c>
      <c r="BE201">
        <f>step3_validation[[#This Row],[AI_OUT1]]</f>
        <v>6</v>
      </c>
      <c r="BF201" t="str">
        <f t="shared" si="105"/>
        <v>Neutral</v>
      </c>
      <c r="BG201">
        <f>survey_responses[[#This Row],[Sau khi xem xét các quyền lợi và nghĩa vụ, bạn có ủng hộ và tuân thủ chính sách mới hiện nay? - HUMAN-OUT1]]</f>
        <v>5</v>
      </c>
      <c r="BH201" t="str">
        <f t="shared" si="106"/>
        <v>Neutral</v>
      </c>
      <c r="BI201" s="32">
        <f t="shared" si="107"/>
        <v>1</v>
      </c>
    </row>
    <row r="202" spans="1:61" x14ac:dyDescent="0.45">
      <c r="A202" s="30">
        <f>step3_validation[[#This Row],[Persona_ID]]</f>
        <v>201</v>
      </c>
      <c r="B202" s="31">
        <f>step3_validation[[#This Row],[Used_Seed]]</f>
        <v>12545</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62.389991005686873</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8</v>
      </c>
      <c r="R202" t="str">
        <f t="shared" si="81"/>
        <v>Support</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3</v>
      </c>
      <c r="V202">
        <f>step3_validation[[#This Row],[AI_ENF2]]</f>
        <v>8</v>
      </c>
      <c r="W202" t="str">
        <f t="shared" si="84"/>
        <v>Support</v>
      </c>
      <c r="X202">
        <f>survey_responses[[#This Row],[Tôi tin rằng Nhà nước, cơ quan thuế có đủ khả năng và công nghệ để phát hiện, xử lý nghiêm các hành vi trốn thuế. - HUMAN-ENF2]]</f>
        <v>5</v>
      </c>
      <c r="Y202" t="str">
        <f t="shared" si="85"/>
        <v>Neutral</v>
      </c>
      <c r="Z202" s="32">
        <f t="shared" si="86"/>
        <v>3</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8</v>
      </c>
      <c r="AF202">
        <f>step3_validation[[#This Row],[AI_FAC2]]</f>
        <v>9</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4</v>
      </c>
      <c r="AK202">
        <f>step3_validation[[#This Row],[AI_TRU1]]</f>
        <v>6</v>
      </c>
      <c r="AL202" t="str">
        <f t="shared" si="93"/>
        <v>Neutral</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2</v>
      </c>
      <c r="AP202">
        <f>step3_validation[[#This Row],[AI_TRU2]]</f>
        <v>7</v>
      </c>
      <c r="AQ202" t="str">
        <f t="shared" si="96"/>
        <v>Neutral</v>
      </c>
      <c r="AR202">
        <f>survey_responses[[#This Row],[Tôi thấy mức thuế tôi phải đóng theo phương án mới là công bằng (người thu nhập như tôi đóng mức này là hợp lý). - HUMAN-TRU2]]</f>
        <v>2</v>
      </c>
      <c r="AS202" t="str">
        <f t="shared" si="97"/>
        <v>Oppose</v>
      </c>
      <c r="AT202" s="32">
        <f t="shared" si="98"/>
        <v>5</v>
      </c>
      <c r="AU202">
        <f>step3_validation[[#This Row],[AI_TRU3]]</f>
        <v>6</v>
      </c>
      <c r="AV202" t="str">
        <f t="shared" si="99"/>
        <v>Neutral</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4</v>
      </c>
      <c r="AZ202">
        <f>step3_validation[[#This Row],[AI_TRU4]]</f>
        <v>7</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2">
        <f t="shared" si="104"/>
        <v>2</v>
      </c>
      <c r="BE202">
        <f>step3_validation[[#This Row],[AI_OUT1]]</f>
        <v>7</v>
      </c>
      <c r="BF202" t="str">
        <f t="shared" si="105"/>
        <v>Neutral</v>
      </c>
      <c r="BG202">
        <f>survey_responses[[#This Row],[Sau khi xem xét các quyền lợi và nghĩa vụ, bạn có ủng hộ và tuân thủ chính sách mới hiện nay? - HUMAN-OUT1]]</f>
        <v>4</v>
      </c>
      <c r="BH202" t="str">
        <f t="shared" si="106"/>
        <v>Oppose</v>
      </c>
      <c r="BI202" s="32">
        <f t="shared" si="107"/>
        <v>3</v>
      </c>
    </row>
    <row r="203" spans="1:61" x14ac:dyDescent="0.45">
      <c r="A203" s="30">
        <f>step3_validation[[#This Row],[Persona_ID]]</f>
        <v>202</v>
      </c>
      <c r="B203" s="31">
        <f>step3_validation[[#This Row],[Used_Seed]]</f>
        <v>12546</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90.482808975195582</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1</v>
      </c>
      <c r="V203">
        <f>step3_validation[[#This Row],[AI_ENF2]]</f>
        <v>8</v>
      </c>
      <c r="W203" t="str">
        <f t="shared" si="84"/>
        <v>Support</v>
      </c>
      <c r="X203">
        <f>survey_responses[[#This Row],[Tôi tin rằng Nhà nước, cơ quan thuế có đủ khả năng và công nghệ để phát hiện, xử lý nghiêm các hành vi trốn thuế. - HUMAN-ENF2]]</f>
        <v>8</v>
      </c>
      <c r="Y203" t="str">
        <f t="shared" si="85"/>
        <v>Support</v>
      </c>
      <c r="Z203" s="32">
        <f t="shared" si="86"/>
        <v>0</v>
      </c>
      <c r="AA203">
        <f>step3_validation[[#This Row],[AI_FAC1]]</f>
        <v>6</v>
      </c>
      <c r="AB203" t="str">
        <f t="shared" si="87"/>
        <v>Neutral</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2</v>
      </c>
      <c r="AF203">
        <f>step3_validation[[#This Row],[AI_FAC2]]</f>
        <v>8</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1</v>
      </c>
      <c r="AK203">
        <f>step3_validation[[#This Row],[AI_TRU1]]</f>
        <v>7</v>
      </c>
      <c r="AL203" t="str">
        <f t="shared" si="93"/>
        <v>Neutral</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0</v>
      </c>
      <c r="AP203">
        <f>step3_validation[[#This Row],[AI_TRU2]]</f>
        <v>8</v>
      </c>
      <c r="AQ203" t="str">
        <f t="shared" si="96"/>
        <v>Support</v>
      </c>
      <c r="AR203">
        <f>survey_responses[[#This Row],[Tôi thấy mức thuế tôi phải đóng theo phương án mới là công bằng (người thu nhập như tôi đóng mức này là hợp lý). - HUMAN-TRU2]]</f>
        <v>7</v>
      </c>
      <c r="AS203" t="str">
        <f t="shared" si="97"/>
        <v>Neutral</v>
      </c>
      <c r="AT203" s="32">
        <f t="shared" si="98"/>
        <v>1</v>
      </c>
      <c r="AU203">
        <f>step3_validation[[#This Row],[AI_TRU3]]</f>
        <v>7</v>
      </c>
      <c r="AV203" t="str">
        <f t="shared" si="99"/>
        <v>Neutral</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0</v>
      </c>
      <c r="AZ203">
        <f>step3_validation[[#This Row],[AI_TRU4]]</f>
        <v>8</v>
      </c>
      <c r="BA203" t="str">
        <f t="shared" si="102"/>
        <v>Support</v>
      </c>
      <c r="BB203">
        <f>survey_responses[[#This Row],[Tôi thấy Nhà nước đã giải thích rõ ràng, minh bạch về lý do và mục tiêu của việc sửa đổi thuế lần này. - HUMAN-TRU4]]</f>
        <v>8</v>
      </c>
      <c r="BC203" t="str">
        <f t="shared" si="103"/>
        <v>Support</v>
      </c>
      <c r="BD203" s="32">
        <f t="shared" si="104"/>
        <v>0</v>
      </c>
      <c r="BE203">
        <f>step3_validation[[#This Row],[AI_OUT1]]</f>
        <v>7</v>
      </c>
      <c r="BF203" t="str">
        <f t="shared" si="105"/>
        <v>Neutral</v>
      </c>
      <c r="BG203">
        <f>survey_responses[[#This Row],[Sau khi xem xét các quyền lợi và nghĩa vụ, bạn có ủng hộ và tuân thủ chính sách mới hiện nay? - HUMAN-OUT1]]</f>
        <v>8</v>
      </c>
      <c r="BH203" t="str">
        <f t="shared" si="106"/>
        <v>Support</v>
      </c>
      <c r="BI203" s="32">
        <f t="shared" si="107"/>
        <v>1</v>
      </c>
    </row>
    <row r="204" spans="1:61" x14ac:dyDescent="0.45">
      <c r="A204" s="30">
        <f>step3_validation[[#This Row],[Persona_ID]]</f>
        <v>203</v>
      </c>
      <c r="B204" s="31">
        <f>step3_validation[[#This Row],[Used_Seed]]</f>
        <v>12547</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133.67020035481261</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7</v>
      </c>
      <c r="R204" t="str">
        <f t="shared" si="81"/>
        <v>Neutral</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2</v>
      </c>
      <c r="V204">
        <f>step3_validation[[#This Row],[AI_ENF2]]</f>
        <v>8</v>
      </c>
      <c r="W204" t="str">
        <f t="shared" si="84"/>
        <v>Support</v>
      </c>
      <c r="X204">
        <f>survey_responses[[#This Row],[Tôi tin rằng Nhà nước, cơ quan thuế có đủ khả năng và công nghệ để phát hiện, xử lý nghiêm các hành vi trốn thuế. - HUMAN-ENF2]]</f>
        <v>5</v>
      </c>
      <c r="Y204" t="str">
        <f t="shared" si="85"/>
        <v>Neutral</v>
      </c>
      <c r="Z204" s="32">
        <f t="shared" si="86"/>
        <v>3</v>
      </c>
      <c r="AA204">
        <f>step3_validation[[#This Row],[AI_FAC1]]</f>
        <v>9</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4</v>
      </c>
      <c r="AF204">
        <f>step3_validation[[#This Row],[AI_FAC2]]</f>
        <v>8</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3</v>
      </c>
      <c r="AK204">
        <f>step3_validation[[#This Row],[AI_TRU1]]</f>
        <v>7</v>
      </c>
      <c r="AL204" t="str">
        <f t="shared" si="93"/>
        <v>Neutral</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2</v>
      </c>
      <c r="AP204">
        <f>step3_validation[[#This Row],[AI_TRU2]]</f>
        <v>8</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2">
        <f t="shared" si="98"/>
        <v>3</v>
      </c>
      <c r="AU204">
        <f>step3_validation[[#This Row],[AI_TRU3]]</f>
        <v>6</v>
      </c>
      <c r="AV204" t="str">
        <f t="shared" si="99"/>
        <v>Neutral</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1</v>
      </c>
      <c r="AZ204">
        <f>step3_validation[[#This Row],[AI_TRU4]]</f>
        <v>7</v>
      </c>
      <c r="BA204" t="str">
        <f t="shared" si="102"/>
        <v>Neutral</v>
      </c>
      <c r="BB204">
        <f>survey_responses[[#This Row],[Tôi thấy Nhà nước đã giải thích rõ ràng, minh bạch về lý do và mục tiêu của việc sửa đổi thuế lần này. - HUMAN-TRU4]]</f>
        <v>5</v>
      </c>
      <c r="BC204" t="str">
        <f t="shared" si="103"/>
        <v>Neutral</v>
      </c>
      <c r="BD204" s="32">
        <f t="shared" si="104"/>
        <v>2</v>
      </c>
      <c r="BE204">
        <f>step3_validation[[#This Row],[AI_OUT1]]</f>
        <v>8</v>
      </c>
      <c r="BF204" t="str">
        <f t="shared" si="105"/>
        <v>Support</v>
      </c>
      <c r="BG204">
        <f>survey_responses[[#This Row],[Sau khi xem xét các quyền lợi và nghĩa vụ, bạn có ủng hộ và tuân thủ chính sách mới hiện nay? - HUMAN-OUT1]]</f>
        <v>5</v>
      </c>
      <c r="BH204" t="str">
        <f t="shared" si="106"/>
        <v>Neutral</v>
      </c>
      <c r="BI204" s="32">
        <f t="shared" si="107"/>
        <v>3</v>
      </c>
    </row>
    <row r="205" spans="1:61" x14ac:dyDescent="0.45">
      <c r="A205" s="30">
        <f>step3_validation[[#This Row],[Persona_ID]]</f>
        <v>204</v>
      </c>
      <c r="B205" s="31">
        <f>step3_validation[[#This Row],[Used_Seed]]</f>
        <v>12548</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34.967298569714799</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6</v>
      </c>
      <c r="R205" t="str">
        <f t="shared" si="81"/>
        <v>Neutral</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1</v>
      </c>
      <c r="V205">
        <f>step3_validation[[#This Row],[AI_ENF2]]</f>
        <v>5</v>
      </c>
      <c r="W205" t="str">
        <f t="shared" si="84"/>
        <v>Neutral</v>
      </c>
      <c r="X205">
        <f>survey_responses[[#This Row],[Tôi tin rằng Nhà nước, cơ quan thuế có đủ khả năng và công nghệ để phát hiện, xử lý nghiêm các hành vi trốn thuế. - HUMAN-ENF2]]</f>
        <v>7</v>
      </c>
      <c r="Y205" t="str">
        <f t="shared" si="85"/>
        <v>Neutral</v>
      </c>
      <c r="Z205" s="32">
        <f t="shared" si="86"/>
        <v>2</v>
      </c>
      <c r="AA205">
        <f>step3_validation[[#This Row],[AI_FAC1]]</f>
        <v>8</v>
      </c>
      <c r="AB205" t="str">
        <f t="shared" si="87"/>
        <v>Support</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1</v>
      </c>
      <c r="AF205">
        <f>step3_validation[[#This Row],[AI_FAC2]]</f>
        <v>9</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1</v>
      </c>
      <c r="AK205">
        <f>step3_validation[[#This Row],[AI_TRU1]]</f>
        <v>7</v>
      </c>
      <c r="AL205" t="str">
        <f t="shared" si="93"/>
        <v>Neutral</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0</v>
      </c>
      <c r="AP205">
        <f>step3_validation[[#This Row],[AI_TRU2]]</f>
        <v>5</v>
      </c>
      <c r="AQ205" t="str">
        <f t="shared" si="96"/>
        <v>Neutral</v>
      </c>
      <c r="AR205">
        <f>survey_responses[[#This Row],[Tôi thấy mức thuế tôi phải đóng theo phương án mới là công bằng (người thu nhập như tôi đóng mức này là hợp lý). - HUMAN-TRU2]]</f>
        <v>7</v>
      </c>
      <c r="AS205" t="str">
        <f t="shared" si="97"/>
        <v>Neutral</v>
      </c>
      <c r="AT205" s="32">
        <f t="shared" si="98"/>
        <v>2</v>
      </c>
      <c r="AU205">
        <f>step3_validation[[#This Row],[AI_TRU3]]</f>
        <v>7</v>
      </c>
      <c r="AV205" t="str">
        <f t="shared" si="99"/>
        <v>Neutral</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0</v>
      </c>
      <c r="AZ205">
        <f>step3_validation[[#This Row],[AI_TRU4]]</f>
        <v>5</v>
      </c>
      <c r="BA205" t="str">
        <f t="shared" si="102"/>
        <v>Neutral</v>
      </c>
      <c r="BB205">
        <f>survey_responses[[#This Row],[Tôi thấy Nhà nước đã giải thích rõ ràng, minh bạch về lý do và mục tiêu của việc sửa đổi thuế lần này. - HUMAN-TRU4]]</f>
        <v>7</v>
      </c>
      <c r="BC205" t="str">
        <f t="shared" si="103"/>
        <v>Neutral</v>
      </c>
      <c r="BD205" s="32">
        <f t="shared" si="104"/>
        <v>2</v>
      </c>
      <c r="BE205">
        <f>step3_validation[[#This Row],[AI_OUT1]]</f>
        <v>6</v>
      </c>
      <c r="BF205" t="str">
        <f t="shared" si="105"/>
        <v>Neutral</v>
      </c>
      <c r="BG205">
        <f>survey_responses[[#This Row],[Sau khi xem xét các quyền lợi và nghĩa vụ, bạn có ủng hộ và tuân thủ chính sách mới hiện nay? - HUMAN-OUT1]]</f>
        <v>7</v>
      </c>
      <c r="BH205" t="str">
        <f t="shared" si="106"/>
        <v>Neutral</v>
      </c>
      <c r="BI205" s="32">
        <f t="shared" si="107"/>
        <v>1</v>
      </c>
    </row>
    <row r="206" spans="1:61" x14ac:dyDescent="0.45">
      <c r="A206" s="30">
        <f>step3_validation[[#This Row],[Persona_ID]]</f>
        <v>205</v>
      </c>
      <c r="B206" s="31">
        <f>step3_validation[[#This Row],[Used_Seed]]</f>
        <v>12549</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26.018393885838524</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7</v>
      </c>
      <c r="R206" t="str">
        <f t="shared" si="81"/>
        <v>Neutral</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4</v>
      </c>
      <c r="V206">
        <f>step3_validation[[#This Row],[AI_ENF2]]</f>
        <v>7</v>
      </c>
      <c r="W206" t="str">
        <f t="shared" si="84"/>
        <v>Neutral</v>
      </c>
      <c r="X206">
        <f>survey_responses[[#This Row],[Tôi tin rằng Nhà nước, cơ quan thuế có đủ khả năng và công nghệ để phát hiện, xử lý nghiêm các hành vi trốn thuế. - HUMAN-ENF2]]</f>
        <v>1</v>
      </c>
      <c r="Y206" t="str">
        <f t="shared" si="85"/>
        <v>Oppose</v>
      </c>
      <c r="Z206" s="32">
        <f t="shared" si="86"/>
        <v>6</v>
      </c>
      <c r="AA206">
        <f>step3_validation[[#This Row],[AI_FAC1]]</f>
        <v>6</v>
      </c>
      <c r="AB206" t="str">
        <f t="shared" si="87"/>
        <v>Neutral</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5</v>
      </c>
      <c r="AF206">
        <f>step3_validation[[#This Row],[AI_FAC2]]</f>
        <v>8</v>
      </c>
      <c r="AG206" t="str">
        <f t="shared" si="90"/>
        <v>Support</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3</v>
      </c>
      <c r="AK206">
        <f>step3_validation[[#This Row],[AI_TRU1]]</f>
        <v>7</v>
      </c>
      <c r="AL206" t="str">
        <f t="shared" si="93"/>
        <v>Neutral</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6</v>
      </c>
      <c r="AP206">
        <f>step3_validation[[#This Row],[AI_TRU2]]</f>
        <v>6</v>
      </c>
      <c r="AQ206" t="str">
        <f t="shared" si="96"/>
        <v>Neutral</v>
      </c>
      <c r="AR206">
        <f>survey_responses[[#This Row],[Tôi thấy mức thuế tôi phải đóng theo phương án mới là công bằng (người thu nhập như tôi đóng mức này là hợp lý). - HUMAN-TRU2]]</f>
        <v>1</v>
      </c>
      <c r="AS206" t="str">
        <f t="shared" si="97"/>
        <v>Oppose</v>
      </c>
      <c r="AT206" s="32">
        <f t="shared" si="98"/>
        <v>5</v>
      </c>
      <c r="AU206">
        <f>step3_validation[[#This Row],[AI_TRU3]]</f>
        <v>6</v>
      </c>
      <c r="AV206" t="str">
        <f t="shared" si="99"/>
        <v>Neutral</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5</v>
      </c>
      <c r="AZ206">
        <f>step3_validation[[#This Row],[AI_TRU4]]</f>
        <v>7</v>
      </c>
      <c r="BA206" t="str">
        <f t="shared" si="102"/>
        <v>Neutral</v>
      </c>
      <c r="BB206">
        <f>survey_responses[[#This Row],[Tôi thấy Nhà nước đã giải thích rõ ràng, minh bạch về lý do và mục tiêu của việc sửa đổi thuế lần này. - HUMAN-TRU4]]</f>
        <v>4</v>
      </c>
      <c r="BC206" t="str">
        <f t="shared" si="103"/>
        <v>Oppose</v>
      </c>
      <c r="BD206" s="32">
        <f t="shared" si="104"/>
        <v>3</v>
      </c>
      <c r="BE206">
        <f>step3_validation[[#This Row],[AI_OUT1]]</f>
        <v>6</v>
      </c>
      <c r="BF206" t="str">
        <f t="shared" si="105"/>
        <v>Neutral</v>
      </c>
      <c r="BG206">
        <f>survey_responses[[#This Row],[Sau khi xem xét các quyền lợi và nghĩa vụ, bạn có ủng hộ và tuân thủ chính sách mới hiện nay? - HUMAN-OUT1]]</f>
        <v>5</v>
      </c>
      <c r="BH206" t="str">
        <f t="shared" si="106"/>
        <v>Neutral</v>
      </c>
      <c r="BI206" s="32">
        <f t="shared" si="107"/>
        <v>1</v>
      </c>
    </row>
    <row r="207" spans="1:61" x14ac:dyDescent="0.45">
      <c r="A207" s="30">
        <f>step3_validation[[#This Row],[Persona_ID]]</f>
        <v>206</v>
      </c>
      <c r="B207" s="31">
        <f>step3_validation[[#This Row],[Used_Seed]]</f>
        <v>12550</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64.169426221995863</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7</v>
      </c>
      <c r="R207" t="str">
        <f t="shared" si="81"/>
        <v>Neutral</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1</v>
      </c>
      <c r="V207">
        <f>step3_validation[[#This Row],[AI_ENF2]]</f>
        <v>6</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2">
        <f t="shared" si="86"/>
        <v>2</v>
      </c>
      <c r="AA207">
        <f>step3_validation[[#This Row],[AI_FAC1]]</f>
        <v>8</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3</v>
      </c>
      <c r="AF207">
        <f>step3_validation[[#This Row],[AI_FAC2]]</f>
        <v>9</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2</v>
      </c>
      <c r="AK207">
        <f>step3_validation[[#This Row],[AI_TRU1]]</f>
        <v>7</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0</v>
      </c>
      <c r="AP207">
        <f>step3_validation[[#This Row],[AI_TRU2]]</f>
        <v>8</v>
      </c>
      <c r="AQ207" t="str">
        <f t="shared" si="96"/>
        <v>Support</v>
      </c>
      <c r="AR207">
        <f>survey_responses[[#This Row],[Tôi thấy mức thuế tôi phải đóng theo phương án mới là công bằng (người thu nhập như tôi đóng mức này là hợp lý). - HUMAN-TRU2]]</f>
        <v>6</v>
      </c>
      <c r="AS207" t="str">
        <f t="shared" si="97"/>
        <v>Neutral</v>
      </c>
      <c r="AT207" s="32">
        <f t="shared" si="98"/>
        <v>2</v>
      </c>
      <c r="AU207">
        <f>step3_validation[[#This Row],[AI_TRU3]]</f>
        <v>7</v>
      </c>
      <c r="AV207" t="str">
        <f t="shared" si="99"/>
        <v>Neutral</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1</v>
      </c>
      <c r="AZ207">
        <f>step3_validation[[#This Row],[AI_TRU4]]</f>
        <v>6</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1</v>
      </c>
      <c r="BE207">
        <f>step3_validation[[#This Row],[AI_OUT1]]</f>
        <v>8</v>
      </c>
      <c r="BF207" t="str">
        <f t="shared" si="105"/>
        <v>Support</v>
      </c>
      <c r="BG207">
        <f>survey_responses[[#This Row],[Sau khi xem xét các quyền lợi và nghĩa vụ, bạn có ủng hộ và tuân thủ chính sách mới hiện nay? - HUMAN-OUT1]]</f>
        <v>7</v>
      </c>
      <c r="BH207" t="str">
        <f t="shared" si="106"/>
        <v>Neutral</v>
      </c>
      <c r="BI207" s="32">
        <f t="shared" si="107"/>
        <v>1</v>
      </c>
    </row>
    <row r="208" spans="1:61" x14ac:dyDescent="0.45">
      <c r="A208" s="30">
        <f>step3_validation[[#This Row],[Persona_ID]]</f>
        <v>207</v>
      </c>
      <c r="B208" s="31">
        <f>step3_validation[[#This Row],[Used_Seed]]</f>
        <v>12551</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54.454177062529524</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8</v>
      </c>
      <c r="R208" t="str">
        <f t="shared" si="81"/>
        <v>Support</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4</v>
      </c>
      <c r="V208">
        <f>step3_validation[[#This Row],[AI_ENF2]]</f>
        <v>8</v>
      </c>
      <c r="W208" t="str">
        <f t="shared" si="84"/>
        <v>Support</v>
      </c>
      <c r="X208">
        <f>survey_responses[[#This Row],[Tôi tin rằng Nhà nước, cơ quan thuế có đủ khả năng và công nghệ để phát hiện, xử lý nghiêm các hành vi trốn thuế. - HUMAN-ENF2]]</f>
        <v>3</v>
      </c>
      <c r="Y208" t="str">
        <f t="shared" si="85"/>
        <v>Oppose</v>
      </c>
      <c r="Z208" s="32">
        <f t="shared" si="86"/>
        <v>5</v>
      </c>
      <c r="AA208">
        <f>step3_validation[[#This Row],[AI_FAC1]]</f>
        <v>9</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8</v>
      </c>
      <c r="AF208">
        <f>step3_validation[[#This Row],[AI_FAC2]]</f>
        <v>8</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6</v>
      </c>
      <c r="AK208">
        <f>step3_validation[[#This Row],[AI_TRU1]]</f>
        <v>6</v>
      </c>
      <c r="AL208" t="str">
        <f t="shared" si="93"/>
        <v>Neutral</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5</v>
      </c>
      <c r="AP208">
        <f>step3_validation[[#This Row],[AI_TRU2]]</f>
        <v>7</v>
      </c>
      <c r="AQ208" t="str">
        <f t="shared" si="96"/>
        <v>Neutral</v>
      </c>
      <c r="AR208">
        <f>survey_responses[[#This Row],[Tôi thấy mức thuế tôi phải đóng theo phương án mới là công bằng (người thu nhập như tôi đóng mức này là hợp lý). - HUMAN-TRU2]]</f>
        <v>1</v>
      </c>
      <c r="AS208" t="str">
        <f t="shared" si="97"/>
        <v>Oppose</v>
      </c>
      <c r="AT208" s="32">
        <f t="shared" si="98"/>
        <v>6</v>
      </c>
      <c r="AU208">
        <f>step3_validation[[#This Row],[AI_TRU3]]</f>
        <v>6</v>
      </c>
      <c r="AV208" t="str">
        <f t="shared" si="99"/>
        <v>Neutral</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5</v>
      </c>
      <c r="AZ208">
        <f>step3_validation[[#This Row],[AI_TRU4]]</f>
        <v>5</v>
      </c>
      <c r="BA208" t="str">
        <f t="shared" si="102"/>
        <v>Neutral</v>
      </c>
      <c r="BB208">
        <f>survey_responses[[#This Row],[Tôi thấy Nhà nước đã giải thích rõ ràng, minh bạch về lý do và mục tiêu của việc sửa đổi thuế lần này. - HUMAN-TRU4]]</f>
        <v>4</v>
      </c>
      <c r="BC208" t="str">
        <f t="shared" si="103"/>
        <v>Oppose</v>
      </c>
      <c r="BD208" s="32">
        <f t="shared" si="104"/>
        <v>1</v>
      </c>
      <c r="BE208">
        <f>step3_validation[[#This Row],[AI_OUT1]]</f>
        <v>7</v>
      </c>
      <c r="BF208" t="str">
        <f t="shared" si="105"/>
        <v>Neutral</v>
      </c>
      <c r="BG208">
        <f>survey_responses[[#This Row],[Sau khi xem xét các quyền lợi và nghĩa vụ, bạn có ủng hộ và tuân thủ chính sách mới hiện nay? - HUMAN-OUT1]]</f>
        <v>2</v>
      </c>
      <c r="BH208" t="str">
        <f t="shared" si="106"/>
        <v>Oppose</v>
      </c>
      <c r="BI208" s="32">
        <f t="shared" si="107"/>
        <v>5</v>
      </c>
    </row>
    <row r="209" spans="1:61" x14ac:dyDescent="0.45">
      <c r="A209" s="30">
        <f>step3_validation[[#This Row],[Persona_ID]]</f>
        <v>208</v>
      </c>
      <c r="B209" s="31">
        <f>step3_validation[[#This Row],[Used_Seed]]</f>
        <v>12552</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44.713339834198216</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7</v>
      </c>
      <c r="R209" t="str">
        <f t="shared" si="81"/>
        <v>Neutral</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0</v>
      </c>
      <c r="V209">
        <f>step3_validation[[#This Row],[AI_ENF2]]</f>
        <v>8</v>
      </c>
      <c r="W209" t="str">
        <f t="shared" si="84"/>
        <v>Support</v>
      </c>
      <c r="X209">
        <f>survey_responses[[#This Row],[Tôi tin rằng Nhà nước, cơ quan thuế có đủ khả năng và công nghệ để phát hiện, xử lý nghiêm các hành vi trốn thuế. - HUMAN-ENF2]]</f>
        <v>8</v>
      </c>
      <c r="Y209" t="str">
        <f t="shared" si="85"/>
        <v>Support</v>
      </c>
      <c r="Z209" s="32">
        <f t="shared" si="86"/>
        <v>0</v>
      </c>
      <c r="AA209">
        <f>step3_validation[[#This Row],[AI_FAC1]]</f>
        <v>9</v>
      </c>
      <c r="AB209" t="str">
        <f t="shared" si="87"/>
        <v>Support</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3</v>
      </c>
      <c r="AF209">
        <f>step3_validation[[#This Row],[AI_FAC2]]</f>
        <v>8</v>
      </c>
      <c r="AG209" t="str">
        <f t="shared" si="90"/>
        <v>Support</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1</v>
      </c>
      <c r="AK209">
        <f>step3_validation[[#This Row],[AI_TRU1]]</f>
        <v>9</v>
      </c>
      <c r="AL209" t="str">
        <f t="shared" si="93"/>
        <v>Support</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3</v>
      </c>
      <c r="AP209">
        <f>step3_validation[[#This Row],[AI_TRU2]]</f>
        <v>8</v>
      </c>
      <c r="AQ209" t="str">
        <f t="shared" si="96"/>
        <v>Support</v>
      </c>
      <c r="AR209">
        <f>survey_responses[[#This Row],[Tôi thấy mức thuế tôi phải đóng theo phương án mới là công bằng (người thu nhập như tôi đóng mức này là hợp lý). - HUMAN-TRU2]]</f>
        <v>7</v>
      </c>
      <c r="AS209" t="str">
        <f t="shared" si="97"/>
        <v>Neutral</v>
      </c>
      <c r="AT209" s="32">
        <f t="shared" si="98"/>
        <v>1</v>
      </c>
      <c r="AU209">
        <f>step3_validation[[#This Row],[AI_TRU3]]</f>
        <v>7</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1</v>
      </c>
      <c r="AZ209">
        <f>step3_validation[[#This Row],[AI_TRU4]]</f>
        <v>8</v>
      </c>
      <c r="BA209" t="str">
        <f t="shared" si="102"/>
        <v>Support</v>
      </c>
      <c r="BB209">
        <f>survey_responses[[#This Row],[Tôi thấy Nhà nước đã giải thích rõ ràng, minh bạch về lý do và mục tiêu của việc sửa đổi thuế lần này. - HUMAN-TRU4]]</f>
        <v>6</v>
      </c>
      <c r="BC209" t="str">
        <f t="shared" si="103"/>
        <v>Neutral</v>
      </c>
      <c r="BD209" s="32">
        <f t="shared" si="104"/>
        <v>2</v>
      </c>
      <c r="BE209">
        <f>step3_validation[[#This Row],[AI_OUT1]]</f>
        <v>8</v>
      </c>
      <c r="BF209" t="str">
        <f t="shared" si="105"/>
        <v>Support</v>
      </c>
      <c r="BG209">
        <f>survey_responses[[#This Row],[Sau khi xem xét các quyền lợi và nghĩa vụ, bạn có ủng hộ và tuân thủ chính sách mới hiện nay? - HUMAN-OUT1]]</f>
        <v>6</v>
      </c>
      <c r="BH209" t="str">
        <f t="shared" si="106"/>
        <v>Neutral</v>
      </c>
      <c r="BI209" s="32">
        <f t="shared" si="107"/>
        <v>2</v>
      </c>
    </row>
    <row r="210" spans="1:61" x14ac:dyDescent="0.45">
      <c r="A210" s="30">
        <f>step3_validation[[#This Row],[Persona_ID]]</f>
        <v>209</v>
      </c>
      <c r="B210" s="31">
        <f>step3_validation[[#This Row],[Used_Seed]]</f>
        <v>12553</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32.500400397407304</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t="str">
        <f t="shared" si="81"/>
        <v>Neutral</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1</v>
      </c>
      <c r="V210">
        <f>step3_validation[[#This Row],[AI_ENF2]]</f>
        <v>8</v>
      </c>
      <c r="W210" t="str">
        <f t="shared" si="84"/>
        <v>Support</v>
      </c>
      <c r="X210">
        <f>survey_responses[[#This Row],[Tôi tin rằng Nhà nước, cơ quan thuế có đủ khả năng và công nghệ để phát hiện, xử lý nghiêm các hành vi trốn thuế. - HUMAN-ENF2]]</f>
        <v>6</v>
      </c>
      <c r="Y210" t="str">
        <f t="shared" si="85"/>
        <v>Neutral</v>
      </c>
      <c r="Z210" s="32">
        <f t="shared" si="86"/>
        <v>2</v>
      </c>
      <c r="AA210">
        <f>step3_validation[[#This Row],[AI_FAC1]]</f>
        <v>6</v>
      </c>
      <c r="AB210" t="str">
        <f t="shared" si="87"/>
        <v>Neutral</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0</v>
      </c>
      <c r="AF210">
        <f>step3_validation[[#This Row],[AI_FAC2]]</f>
        <v>8</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2</v>
      </c>
      <c r="AK210">
        <f>step3_validation[[#This Row],[AI_TRU1]]</f>
        <v>7</v>
      </c>
      <c r="AL210" t="str">
        <f t="shared" si="93"/>
        <v>Neutral</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1</v>
      </c>
      <c r="AP210">
        <f>step3_validation[[#This Row],[AI_TRU2]]</f>
        <v>8</v>
      </c>
      <c r="AQ210" t="str">
        <f t="shared" si="96"/>
        <v>Support</v>
      </c>
      <c r="AR210">
        <f>survey_responses[[#This Row],[Tôi thấy mức thuế tôi phải đóng theo phương án mới là công bằng (người thu nhập như tôi đóng mức này là hợp lý). - HUMAN-TRU2]]</f>
        <v>5</v>
      </c>
      <c r="AS210" t="str">
        <f t="shared" si="97"/>
        <v>Neutral</v>
      </c>
      <c r="AT210" s="32">
        <f t="shared" si="98"/>
        <v>3</v>
      </c>
      <c r="AU210">
        <f>step3_validation[[#This Row],[AI_TRU3]]</f>
        <v>6</v>
      </c>
      <c r="AV210" t="str">
        <f t="shared" si="99"/>
        <v>Neutral</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0</v>
      </c>
      <c r="AZ210">
        <f>step3_validation[[#This Row],[AI_TRU4]]</f>
        <v>5</v>
      </c>
      <c r="BA210" t="str">
        <f t="shared" si="102"/>
        <v>Neutral</v>
      </c>
      <c r="BB210">
        <f>survey_responses[[#This Row],[Tôi thấy Nhà nước đã giải thích rõ ràng, minh bạch về lý do và mục tiêu của việc sửa đổi thuế lần này. - HUMAN-TRU4]]</f>
        <v>6</v>
      </c>
      <c r="BC210" t="str">
        <f t="shared" si="103"/>
        <v>Neutral</v>
      </c>
      <c r="BD210" s="32">
        <f t="shared" si="104"/>
        <v>1</v>
      </c>
      <c r="BE210">
        <f>step3_validation[[#This Row],[AI_OUT1]]</f>
        <v>7</v>
      </c>
      <c r="BF210" t="str">
        <f t="shared" si="105"/>
        <v>Neutral</v>
      </c>
      <c r="BG210">
        <f>survey_responses[[#This Row],[Sau khi xem xét các quyền lợi và nghĩa vụ, bạn có ủng hộ và tuân thủ chính sách mới hiện nay? - HUMAN-OUT1]]</f>
        <v>6</v>
      </c>
      <c r="BH210" t="str">
        <f t="shared" si="106"/>
        <v>Neutral</v>
      </c>
      <c r="BI210" s="32">
        <f t="shared" si="107"/>
        <v>1</v>
      </c>
    </row>
    <row r="211" spans="1:61" x14ac:dyDescent="0.45">
      <c r="A211" s="30">
        <f>step3_validation[[#This Row],[Persona_ID]]</f>
        <v>210</v>
      </c>
      <c r="B211" s="31">
        <f>step3_validation[[#This Row],[Used_Seed]]</f>
        <v>12554</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29.375311934331215</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t="str">
        <f t="shared" si="81"/>
        <v>Neutral</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0</v>
      </c>
      <c r="V211">
        <f>step3_validation[[#This Row],[AI_ENF2]]</f>
        <v>8</v>
      </c>
      <c r="W211" t="str">
        <f t="shared" si="84"/>
        <v>Support</v>
      </c>
      <c r="X211">
        <f>survey_responses[[#This Row],[Tôi tin rằng Nhà nước, cơ quan thuế có đủ khả năng và công nghệ để phát hiện, xử lý nghiêm các hành vi trốn thuế. - HUMAN-ENF2]]</f>
        <v>7</v>
      </c>
      <c r="Y211" t="str">
        <f t="shared" si="85"/>
        <v>Neutral</v>
      </c>
      <c r="Z211" s="32">
        <f t="shared" si="86"/>
        <v>1</v>
      </c>
      <c r="AA211">
        <f>step3_validation[[#This Row],[AI_FAC1]]</f>
        <v>6</v>
      </c>
      <c r="AB211" t="str">
        <f t="shared" si="87"/>
        <v>Neutral</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2</v>
      </c>
      <c r="AF211">
        <f>step3_validation[[#This Row],[AI_FAC2]]</f>
        <v>9</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1</v>
      </c>
      <c r="AK211">
        <f>step3_validation[[#This Row],[AI_TRU1]]</f>
        <v>8</v>
      </c>
      <c r="AL211" t="str">
        <f t="shared" si="93"/>
        <v>Support</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0</v>
      </c>
      <c r="AP211">
        <f>step3_validation[[#This Row],[AI_TRU2]]</f>
        <v>6</v>
      </c>
      <c r="AQ211" t="str">
        <f t="shared" si="96"/>
        <v>Neutral</v>
      </c>
      <c r="AR211">
        <f>survey_responses[[#This Row],[Tôi thấy mức thuế tôi phải đóng theo phương án mới là công bằng (người thu nhập như tôi đóng mức này là hợp lý). - HUMAN-TRU2]]</f>
        <v>9</v>
      </c>
      <c r="AS211" t="str">
        <f t="shared" si="97"/>
        <v>Support</v>
      </c>
      <c r="AT211" s="32">
        <f t="shared" si="98"/>
        <v>3</v>
      </c>
      <c r="AU211">
        <f>step3_validation[[#This Row],[AI_TRU3]]</f>
        <v>7</v>
      </c>
      <c r="AV211" t="str">
        <f t="shared" si="99"/>
        <v>Neutral</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1</v>
      </c>
      <c r="AZ211">
        <f>step3_validation[[#This Row],[AI_TRU4]]</f>
        <v>6</v>
      </c>
      <c r="BA211" t="str">
        <f t="shared" si="102"/>
        <v>Neutral</v>
      </c>
      <c r="BB211">
        <f>survey_responses[[#This Row],[Tôi thấy Nhà nước đã giải thích rõ ràng, minh bạch về lý do và mục tiêu của việc sửa đổi thuế lần này. - HUMAN-TRU4]]</f>
        <v>8</v>
      </c>
      <c r="BC211" t="str">
        <f t="shared" si="103"/>
        <v>Support</v>
      </c>
      <c r="BD211" s="32">
        <f t="shared" si="104"/>
        <v>2</v>
      </c>
      <c r="BE211">
        <f>step3_validation[[#This Row],[AI_OUT1]]</f>
        <v>7</v>
      </c>
      <c r="BF211" t="str">
        <f t="shared" si="105"/>
        <v>Neutral</v>
      </c>
      <c r="BG211">
        <f>survey_responses[[#This Row],[Sau khi xem xét các quyền lợi và nghĩa vụ, bạn có ủng hộ và tuân thủ chính sách mới hiện nay? - HUMAN-OUT1]]</f>
        <v>8</v>
      </c>
      <c r="BH211" t="str">
        <f t="shared" si="106"/>
        <v>Support</v>
      </c>
      <c r="BI211" s="32">
        <f t="shared" si="107"/>
        <v>1</v>
      </c>
    </row>
    <row r="212" spans="1:61" x14ac:dyDescent="0.45">
      <c r="A212" s="30">
        <f>step3_validation[[#This Row],[Persona_ID]]</f>
        <v>211</v>
      </c>
      <c r="B212" s="31">
        <f>step3_validation[[#This Row],[Used_Seed]]</f>
        <v>12555</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59.855632286147269</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5</v>
      </c>
      <c r="R212" t="str">
        <f t="shared" si="81"/>
        <v>Neutral</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2</v>
      </c>
      <c r="V212">
        <f>step3_validation[[#This Row],[AI_ENF2]]</f>
        <v>6</v>
      </c>
      <c r="W212" t="str">
        <f t="shared" si="84"/>
        <v>Neutral</v>
      </c>
      <c r="X212">
        <f>survey_responses[[#This Row],[Tôi tin rằng Nhà nước, cơ quan thuế có đủ khả năng và công nghệ để phát hiện, xử lý nghiêm các hành vi trốn thuế. - HUMAN-ENF2]]</f>
        <v>7</v>
      </c>
      <c r="Y212" t="str">
        <f t="shared" si="85"/>
        <v>Neutral</v>
      </c>
      <c r="Z212" s="32">
        <f t="shared" si="86"/>
        <v>1</v>
      </c>
      <c r="AA212">
        <f>step3_validation[[#This Row],[AI_FAC1]]</f>
        <v>4</v>
      </c>
      <c r="AB212" t="str">
        <f t="shared" si="87"/>
        <v>Oppose</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3</v>
      </c>
      <c r="AF212">
        <f>step3_validation[[#This Row],[AI_FAC2]]</f>
        <v>7</v>
      </c>
      <c r="AG212" t="str">
        <f t="shared" si="90"/>
        <v>Neutral</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0</v>
      </c>
      <c r="AK212">
        <f>step3_validation[[#This Row],[AI_TRU1]]</f>
        <v>6</v>
      </c>
      <c r="AL212" t="str">
        <f t="shared" si="93"/>
        <v>Neutral</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1</v>
      </c>
      <c r="AP212">
        <f>step3_validation[[#This Row],[AI_TRU2]]</f>
        <v>8</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2">
        <f t="shared" si="98"/>
        <v>1</v>
      </c>
      <c r="AU212">
        <f>step3_validation[[#This Row],[AI_TRU3]]</f>
        <v>5</v>
      </c>
      <c r="AV212" t="str">
        <f t="shared" si="99"/>
        <v>Neutral</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2</v>
      </c>
      <c r="AZ212">
        <f>step3_validation[[#This Row],[AI_TRU4]]</f>
        <v>4</v>
      </c>
      <c r="BA212" t="str">
        <f t="shared" si="102"/>
        <v>Oppose</v>
      </c>
      <c r="BB212">
        <f>survey_responses[[#This Row],[Tôi thấy Nhà nước đã giải thích rõ ràng, minh bạch về lý do và mục tiêu của việc sửa đổi thuế lần này. - HUMAN-TRU4]]</f>
        <v>7</v>
      </c>
      <c r="BC212" t="str">
        <f t="shared" si="103"/>
        <v>Neutral</v>
      </c>
      <c r="BD212" s="32">
        <f t="shared" si="104"/>
        <v>3</v>
      </c>
      <c r="BE212">
        <f>step3_validation[[#This Row],[AI_OUT1]]</f>
        <v>5</v>
      </c>
      <c r="BF212" t="str">
        <f t="shared" si="105"/>
        <v>Neutral</v>
      </c>
      <c r="BG212">
        <f>survey_responses[[#This Row],[Sau khi xem xét các quyền lợi và nghĩa vụ, bạn có ủng hộ và tuân thủ chính sách mới hiện nay? - HUMAN-OUT1]]</f>
        <v>7</v>
      </c>
      <c r="BH212" t="str">
        <f t="shared" si="106"/>
        <v>Neutral</v>
      </c>
      <c r="BI212" s="32">
        <f t="shared" si="107"/>
        <v>2</v>
      </c>
    </row>
    <row r="213" spans="1:61" x14ac:dyDescent="0.45">
      <c r="A213" s="30">
        <f>step3_validation[[#This Row],[Persona_ID]]</f>
        <v>212</v>
      </c>
      <c r="B213" s="31">
        <f>step3_validation[[#This Row],[Used_Seed]]</f>
        <v>12556</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48.885243987694409</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7</v>
      </c>
      <c r="R213" t="str">
        <f t="shared" si="81"/>
        <v>Neutral</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2</v>
      </c>
      <c r="V213">
        <f>step3_validation[[#This Row],[AI_ENF2]]</f>
        <v>8</v>
      </c>
      <c r="W213" t="str">
        <f t="shared" si="84"/>
        <v>Support</v>
      </c>
      <c r="X213">
        <f>survey_responses[[#This Row],[Tôi tin rằng Nhà nước, cơ quan thuế có đủ khả năng và công nghệ để phát hiện, xử lý nghiêm các hành vi trốn thuế. - HUMAN-ENF2]]</f>
        <v>5</v>
      </c>
      <c r="Y213" t="str">
        <f t="shared" si="85"/>
        <v>Neutral</v>
      </c>
      <c r="Z213" s="32">
        <f t="shared" si="86"/>
        <v>3</v>
      </c>
      <c r="AA213">
        <f>step3_validation[[#This Row],[AI_FAC1]]</f>
        <v>6</v>
      </c>
      <c r="AB213" t="str">
        <f t="shared" si="87"/>
        <v>Neutral</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5</v>
      </c>
      <c r="AF213">
        <f>step3_validation[[#This Row],[AI_FAC2]]</f>
        <v>5</v>
      </c>
      <c r="AG213" t="str">
        <f t="shared" si="90"/>
        <v>Neutral</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0</v>
      </c>
      <c r="AK213">
        <f>step3_validation[[#This Row],[AI_TRU1]]</f>
        <v>8</v>
      </c>
      <c r="AL213" t="str">
        <f t="shared" si="93"/>
        <v>Support</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3</v>
      </c>
      <c r="AP213">
        <f>step3_validation[[#This Row],[AI_TRU2]]</f>
        <v>7</v>
      </c>
      <c r="AQ213" t="str">
        <f t="shared" si="96"/>
        <v>Neutral</v>
      </c>
      <c r="AR213">
        <f>survey_responses[[#This Row],[Tôi thấy mức thuế tôi phải đóng theo phương án mới là công bằng (người thu nhập như tôi đóng mức này là hợp lý). - HUMAN-TRU2]]</f>
        <v>5</v>
      </c>
      <c r="AS213" t="str">
        <f t="shared" si="97"/>
        <v>Neutral</v>
      </c>
      <c r="AT213" s="32">
        <f t="shared" si="98"/>
        <v>2</v>
      </c>
      <c r="AU213">
        <f>step3_validation[[#This Row],[AI_TRU3]]</f>
        <v>6</v>
      </c>
      <c r="AV213" t="str">
        <f t="shared" si="99"/>
        <v>Neutral</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2</v>
      </c>
      <c r="AZ213">
        <f>step3_validation[[#This Row],[AI_TRU4]]</f>
        <v>7</v>
      </c>
      <c r="BA213" t="str">
        <f t="shared" si="102"/>
        <v>Neutral</v>
      </c>
      <c r="BB213">
        <f>survey_responses[[#This Row],[Tôi thấy Nhà nước đã giải thích rõ ràng, minh bạch về lý do và mục tiêu của việc sửa đổi thuế lần này. - HUMAN-TRU4]]</f>
        <v>5</v>
      </c>
      <c r="BC213" t="str">
        <f t="shared" si="103"/>
        <v>Neutral</v>
      </c>
      <c r="BD213" s="32">
        <f t="shared" si="104"/>
        <v>2</v>
      </c>
      <c r="BE213">
        <f>step3_validation[[#This Row],[AI_OUT1]]</f>
        <v>8</v>
      </c>
      <c r="BF213" t="str">
        <f t="shared" si="105"/>
        <v>Support</v>
      </c>
      <c r="BG213">
        <f>survey_responses[[#This Row],[Sau khi xem xét các quyền lợi và nghĩa vụ, bạn có ủng hộ và tuân thủ chính sách mới hiện nay? - HUMAN-OUT1]]</f>
        <v>5</v>
      </c>
      <c r="BH213" t="str">
        <f t="shared" si="106"/>
        <v>Neutral</v>
      </c>
      <c r="BI213" s="32">
        <f t="shared" si="107"/>
        <v>3</v>
      </c>
    </row>
    <row r="214" spans="1:61" x14ac:dyDescent="0.45">
      <c r="A214" s="30">
        <f>step3_validation[[#This Row],[Persona_ID]]</f>
        <v>213</v>
      </c>
      <c r="B214" s="31">
        <f>step3_validation[[#This Row],[Used_Seed]]</f>
        <v>12557</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54.302286309062254</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7</v>
      </c>
      <c r="R214" t="str">
        <f t="shared" si="81"/>
        <v>Neutral</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0</v>
      </c>
      <c r="V214">
        <f>step3_validation[[#This Row],[AI_ENF2]]</f>
        <v>6</v>
      </c>
      <c r="W214" t="str">
        <f t="shared" si="84"/>
        <v>Neutral</v>
      </c>
      <c r="X214">
        <f>survey_responses[[#This Row],[Tôi tin rằng Nhà nước, cơ quan thuế có đủ khả năng và công nghệ để phát hiện, xử lý nghiêm các hành vi trốn thuế. - HUMAN-ENF2]]</f>
        <v>8</v>
      </c>
      <c r="Y214" t="str">
        <f t="shared" si="85"/>
        <v>Support</v>
      </c>
      <c r="Z214" s="32">
        <f t="shared" si="86"/>
        <v>2</v>
      </c>
      <c r="AA214">
        <f>step3_validation[[#This Row],[AI_FAC1]]</f>
        <v>8</v>
      </c>
      <c r="AB214" t="str">
        <f t="shared" si="87"/>
        <v>Support</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0</v>
      </c>
      <c r="AF214">
        <f>step3_validation[[#This Row],[AI_FAC2]]</f>
        <v>9</v>
      </c>
      <c r="AG214" t="str">
        <f t="shared" si="90"/>
        <v>Support</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1</v>
      </c>
      <c r="AK214">
        <f>step3_validation[[#This Row],[AI_TRU1]]</f>
        <v>5</v>
      </c>
      <c r="AL214" t="str">
        <f t="shared" si="93"/>
        <v>Neutral</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3</v>
      </c>
      <c r="AP214">
        <f>step3_validation[[#This Row],[AI_TRU2]]</f>
        <v>4</v>
      </c>
      <c r="AQ214" t="str">
        <f t="shared" si="96"/>
        <v>Oppose</v>
      </c>
      <c r="AR214">
        <f>survey_responses[[#This Row],[Tôi thấy mức thuế tôi phải đóng theo phương án mới là công bằng (người thu nhập như tôi đóng mức này là hợp lý). - HUMAN-TRU2]]</f>
        <v>8</v>
      </c>
      <c r="AS214" t="str">
        <f t="shared" si="97"/>
        <v>Support</v>
      </c>
      <c r="AT214" s="32">
        <f t="shared" si="98"/>
        <v>4</v>
      </c>
      <c r="AU214">
        <f>step3_validation[[#This Row],[AI_TRU3]]</f>
        <v>6</v>
      </c>
      <c r="AV214" t="str">
        <f t="shared" si="99"/>
        <v>Neutral</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2</v>
      </c>
      <c r="AZ214">
        <f>step3_validation[[#This Row],[AI_TRU4]]</f>
        <v>5</v>
      </c>
      <c r="BA214" t="str">
        <f t="shared" si="102"/>
        <v>Neutral</v>
      </c>
      <c r="BB214">
        <f>survey_responses[[#This Row],[Tôi thấy Nhà nước đã giải thích rõ ràng, minh bạch về lý do và mục tiêu của việc sửa đổi thuế lần này. - HUMAN-TRU4]]</f>
        <v>8</v>
      </c>
      <c r="BC214" t="str">
        <f t="shared" si="103"/>
        <v>Support</v>
      </c>
      <c r="BD214" s="32">
        <f t="shared" si="104"/>
        <v>3</v>
      </c>
      <c r="BE214">
        <f>step3_validation[[#This Row],[AI_OUT1]]</f>
        <v>6</v>
      </c>
      <c r="BF214" t="str">
        <f t="shared" si="105"/>
        <v>Neutral</v>
      </c>
      <c r="BG214">
        <f>survey_responses[[#This Row],[Sau khi xem xét các quyền lợi và nghĩa vụ, bạn có ủng hộ và tuân thủ chính sách mới hiện nay? - HUMAN-OUT1]]</f>
        <v>8</v>
      </c>
      <c r="BH214" t="str">
        <f t="shared" si="106"/>
        <v>Support</v>
      </c>
      <c r="BI214" s="32">
        <f t="shared" si="107"/>
        <v>2</v>
      </c>
    </row>
    <row r="215" spans="1:61" x14ac:dyDescent="0.45">
      <c r="A215" s="30">
        <f>step3_validation[[#This Row],[Persona_ID]]</f>
        <v>214</v>
      </c>
      <c r="B215" s="31">
        <f>step3_validation[[#This Row],[Used_Seed]]</f>
        <v>12558</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67.070046295409341</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2</v>
      </c>
      <c r="V215">
        <f>step3_validation[[#This Row],[AI_ENF2]]</f>
        <v>8</v>
      </c>
      <c r="W215" t="str">
        <f t="shared" si="84"/>
        <v>Support</v>
      </c>
      <c r="X215">
        <f>survey_responses[[#This Row],[Tôi tin rằng Nhà nước, cơ quan thuế có đủ khả năng và công nghệ để phát hiện, xử lý nghiêm các hành vi trốn thuế. - HUMAN-ENF2]]</f>
        <v>9</v>
      </c>
      <c r="Y215" t="str">
        <f t="shared" si="85"/>
        <v>Support</v>
      </c>
      <c r="Z215" s="32">
        <f t="shared" si="86"/>
        <v>1</v>
      </c>
      <c r="AA215">
        <f>step3_validation[[#This Row],[AI_FAC1]]</f>
        <v>9</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0</v>
      </c>
      <c r="AF215">
        <f>step3_validation[[#This Row],[AI_FAC2]]</f>
        <v>8</v>
      </c>
      <c r="AG215" t="str">
        <f t="shared" si="90"/>
        <v>Support</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1</v>
      </c>
      <c r="AK215">
        <f>step3_validation[[#This Row],[AI_TRU1]]</f>
        <v>9</v>
      </c>
      <c r="AL215" t="str">
        <f t="shared" si="93"/>
        <v>Support</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0</v>
      </c>
      <c r="AP215">
        <f>step3_validation[[#This Row],[AI_TRU2]]</f>
        <v>7</v>
      </c>
      <c r="AQ215" t="str">
        <f t="shared" si="96"/>
        <v>Neutral</v>
      </c>
      <c r="AR215">
        <f>survey_responses[[#This Row],[Tôi thấy mức thuế tôi phải đóng theo phương án mới là công bằng (người thu nhập như tôi đóng mức này là hợp lý). - HUMAN-TRU2]]</f>
        <v>9</v>
      </c>
      <c r="AS215" t="str">
        <f t="shared" si="97"/>
        <v>Support</v>
      </c>
      <c r="AT215" s="32">
        <f t="shared" si="98"/>
        <v>2</v>
      </c>
      <c r="AU215">
        <f>step3_validation[[#This Row],[AI_TRU3]]</f>
        <v>8</v>
      </c>
      <c r="AV215" t="str">
        <f t="shared" si="99"/>
        <v>Support</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1</v>
      </c>
      <c r="AZ215">
        <f>step3_validation[[#This Row],[AI_TRU4]]</f>
        <v>7</v>
      </c>
      <c r="BA215" t="str">
        <f t="shared" si="102"/>
        <v>Neutral</v>
      </c>
      <c r="BB215">
        <f>survey_responses[[#This Row],[Tôi thấy Nhà nước đã giải thích rõ ràng, minh bạch về lý do và mục tiêu của việc sửa đổi thuế lần này. - HUMAN-TRU4]]</f>
        <v>9</v>
      </c>
      <c r="BC215" t="str">
        <f t="shared" si="103"/>
        <v>Support</v>
      </c>
      <c r="BD215" s="32">
        <f t="shared" si="104"/>
        <v>2</v>
      </c>
      <c r="BE215">
        <f>step3_validation[[#This Row],[AI_OUT1]]</f>
        <v>9</v>
      </c>
      <c r="BF215" t="str">
        <f t="shared" si="105"/>
        <v>Support</v>
      </c>
      <c r="BG215">
        <f>survey_responses[[#This Row],[Sau khi xem xét các quyền lợi và nghĩa vụ, bạn có ủng hộ và tuân thủ chính sách mới hiện nay? - HUMAN-OUT1]]</f>
        <v>9</v>
      </c>
      <c r="BH215" t="str">
        <f t="shared" si="106"/>
        <v>Support</v>
      </c>
      <c r="BI215" s="32">
        <f t="shared" si="107"/>
        <v>0</v>
      </c>
    </row>
    <row r="216" spans="1:61" x14ac:dyDescent="0.45">
      <c r="A216" s="30">
        <f>step3_validation[[#This Row],[Persona_ID]]</f>
        <v>215</v>
      </c>
      <c r="B216" s="31">
        <f>step3_validation[[#This Row],[Used_Seed]]</f>
        <v>12559</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20.086910169212295</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6</v>
      </c>
      <c r="R216" t="str">
        <f t="shared" si="81"/>
        <v>Neutral</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1</v>
      </c>
      <c r="V216">
        <f>step3_validation[[#This Row],[AI_ENF2]]</f>
        <v>7</v>
      </c>
      <c r="W216" t="str">
        <f t="shared" si="84"/>
        <v>Neutral</v>
      </c>
      <c r="X216">
        <f>survey_responses[[#This Row],[Tôi tin rằng Nhà nước, cơ quan thuế có đủ khả năng và công nghệ để phát hiện, xử lý nghiêm các hành vi trốn thuế. - HUMAN-ENF2]]</f>
        <v>5</v>
      </c>
      <c r="Y216" t="str">
        <f t="shared" si="85"/>
        <v>Neutral</v>
      </c>
      <c r="Z216" s="32">
        <f t="shared" si="86"/>
        <v>2</v>
      </c>
      <c r="AA216">
        <f>step3_validation[[#This Row],[AI_FAC1]]</f>
        <v>8</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3</v>
      </c>
      <c r="AF216">
        <f>step3_validation[[#This Row],[AI_FAC2]]</f>
        <v>8</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3</v>
      </c>
      <c r="AK216">
        <f>step3_validation[[#This Row],[AI_TRU1]]</f>
        <v>6</v>
      </c>
      <c r="AL216" t="str">
        <f t="shared" si="93"/>
        <v>Neutral</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1</v>
      </c>
      <c r="AP216">
        <f>step3_validation[[#This Row],[AI_TRU2]]</f>
        <v>7</v>
      </c>
      <c r="AQ216" t="str">
        <f t="shared" si="96"/>
        <v>Neutral</v>
      </c>
      <c r="AR216">
        <f>survey_responses[[#This Row],[Tôi thấy mức thuế tôi phải đóng theo phương án mới là công bằng (người thu nhập như tôi đóng mức này là hợp lý). - HUMAN-TRU2]]</f>
        <v>5</v>
      </c>
      <c r="AS216" t="str">
        <f t="shared" si="97"/>
        <v>Neutral</v>
      </c>
      <c r="AT216" s="32">
        <f t="shared" si="98"/>
        <v>2</v>
      </c>
      <c r="AU216">
        <f>step3_validation[[#This Row],[AI_TRU3]]</f>
        <v>6</v>
      </c>
      <c r="AV216" t="str">
        <f t="shared" si="99"/>
        <v>Neutral</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1</v>
      </c>
      <c r="AZ216">
        <f>step3_validation[[#This Row],[AI_TRU4]]</f>
        <v>7</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2">
        <f t="shared" si="104"/>
        <v>2</v>
      </c>
      <c r="BE216">
        <f>step3_validation[[#This Row],[AI_OUT1]]</f>
        <v>7</v>
      </c>
      <c r="BF216" t="str">
        <f t="shared" si="105"/>
        <v>Neutral</v>
      </c>
      <c r="BG216">
        <f>survey_responses[[#This Row],[Sau khi xem xét các quyền lợi và nghĩa vụ, bạn có ủng hộ và tuân thủ chính sách mới hiện nay? - HUMAN-OUT1]]</f>
        <v>5</v>
      </c>
      <c r="BH216" t="str">
        <f t="shared" si="106"/>
        <v>Neutral</v>
      </c>
      <c r="BI216" s="32">
        <f t="shared" si="107"/>
        <v>2</v>
      </c>
    </row>
    <row r="217" spans="1:61" x14ac:dyDescent="0.45">
      <c r="A217" s="30">
        <f>step3_validation[[#This Row],[Persona_ID]]</f>
        <v>216</v>
      </c>
      <c r="B217" s="31">
        <f>step3_validation[[#This Row],[Used_Seed]]</f>
        <v>12560</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36.907694442722772</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7</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1</v>
      </c>
      <c r="V217">
        <f>step3_validation[[#This Row],[AI_ENF2]]</f>
        <v>8</v>
      </c>
      <c r="W217" t="str">
        <f t="shared" si="84"/>
        <v>Support</v>
      </c>
      <c r="X217">
        <f>survey_responses[[#This Row],[Tôi tin rằng Nhà nước, cơ quan thuế có đủ khả năng và công nghệ để phát hiện, xử lý nghiêm các hành vi trốn thuế. - HUMAN-ENF2]]</f>
        <v>7</v>
      </c>
      <c r="Y217" t="str">
        <f t="shared" si="85"/>
        <v>Neutral</v>
      </c>
      <c r="Z217" s="32">
        <f t="shared" si="86"/>
        <v>1</v>
      </c>
      <c r="AA217">
        <f>step3_validation[[#This Row],[AI_FAC1]]</f>
        <v>9</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2</v>
      </c>
      <c r="AF217">
        <f>step3_validation[[#This Row],[AI_FAC2]]</f>
        <v>8</v>
      </c>
      <c r="AG217" t="str">
        <f t="shared" si="90"/>
        <v>Support</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1</v>
      </c>
      <c r="AK217">
        <f>step3_validation[[#This Row],[AI_TRU1]]</f>
        <v>9</v>
      </c>
      <c r="AL217" t="str">
        <f t="shared" si="93"/>
        <v>Support</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3</v>
      </c>
      <c r="AP217">
        <f>step3_validation[[#This Row],[AI_TRU2]]</f>
        <v>8</v>
      </c>
      <c r="AQ217" t="str">
        <f t="shared" si="96"/>
        <v>Support</v>
      </c>
      <c r="AR217">
        <f>survey_responses[[#This Row],[Tôi thấy mức thuế tôi phải đóng theo phương án mới là công bằng (người thu nhập như tôi đóng mức này là hợp lý). - HUMAN-TRU2]]</f>
        <v>7</v>
      </c>
      <c r="AS217" t="str">
        <f t="shared" si="97"/>
        <v>Neutral</v>
      </c>
      <c r="AT217" s="32">
        <f t="shared" si="98"/>
        <v>1</v>
      </c>
      <c r="AU217">
        <f>step3_validation[[#This Row],[AI_TRU3]]</f>
        <v>9</v>
      </c>
      <c r="AV217" t="str">
        <f t="shared" si="99"/>
        <v>Support</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2</v>
      </c>
      <c r="AZ217">
        <f>step3_validation[[#This Row],[AI_TRU4]]</f>
        <v>7</v>
      </c>
      <c r="BA217" t="str">
        <f t="shared" si="102"/>
        <v>Neutral</v>
      </c>
      <c r="BB217">
        <f>survey_responses[[#This Row],[Tôi thấy Nhà nước đã giải thích rõ ràng, minh bạch về lý do và mục tiêu của việc sửa đổi thuế lần này. - HUMAN-TRU4]]</f>
        <v>7</v>
      </c>
      <c r="BC217" t="str">
        <f t="shared" si="103"/>
        <v>Neutral</v>
      </c>
      <c r="BD217" s="32">
        <f t="shared" si="104"/>
        <v>0</v>
      </c>
      <c r="BE217">
        <f>step3_validation[[#This Row],[AI_OUT1]]</f>
        <v>8</v>
      </c>
      <c r="BF217" t="str">
        <f t="shared" si="105"/>
        <v>Support</v>
      </c>
      <c r="BG217">
        <f>survey_responses[[#This Row],[Sau khi xem xét các quyền lợi và nghĩa vụ, bạn có ủng hộ và tuân thủ chính sách mới hiện nay? - HUMAN-OUT1]]</f>
        <v>7</v>
      </c>
      <c r="BH217" t="str">
        <f t="shared" si="106"/>
        <v>Neutral</v>
      </c>
      <c r="BI217" s="32">
        <f t="shared" si="107"/>
        <v>1</v>
      </c>
    </row>
    <row r="218" spans="1:61" x14ac:dyDescent="0.45">
      <c r="A218" s="30">
        <f>step3_validation[[#This Row],[Persona_ID]]</f>
        <v>217</v>
      </c>
      <c r="B218" s="31">
        <f>step3_validation[[#This Row],[Used_Seed]]</f>
        <v>12561</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45.985553781420869</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8</v>
      </c>
      <c r="R218" t="str">
        <f t="shared" si="81"/>
        <v>Support</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3</v>
      </c>
      <c r="V218">
        <f>step3_validation[[#This Row],[AI_ENF2]]</f>
        <v>9</v>
      </c>
      <c r="W218" t="str">
        <f t="shared" si="84"/>
        <v>Support</v>
      </c>
      <c r="X218">
        <f>survey_responses[[#This Row],[Tôi tin rằng Nhà nước, cơ quan thuế có đủ khả năng và công nghệ để phát hiện, xử lý nghiêm các hành vi trốn thuế. - HUMAN-ENF2]]</f>
        <v>5</v>
      </c>
      <c r="Y218" t="str">
        <f t="shared" si="85"/>
        <v>Neutral</v>
      </c>
      <c r="Z218" s="32">
        <f t="shared" si="86"/>
        <v>4</v>
      </c>
      <c r="AA218">
        <f>step3_validation[[#This Row],[AI_FAC1]]</f>
        <v>6</v>
      </c>
      <c r="AB218" t="str">
        <f t="shared" si="87"/>
        <v>Neutral</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1</v>
      </c>
      <c r="AF218">
        <f>step3_validation[[#This Row],[AI_FAC2]]</f>
        <v>7</v>
      </c>
      <c r="AG218" t="str">
        <f t="shared" si="90"/>
        <v>Neutral</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1</v>
      </c>
      <c r="AK218">
        <f>step3_validation[[#This Row],[AI_TRU1]]</f>
        <v>7</v>
      </c>
      <c r="AL218" t="str">
        <f t="shared" si="93"/>
        <v>Neutral</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2</v>
      </c>
      <c r="AP218">
        <f>step3_validation[[#This Row],[AI_TRU2]]</f>
        <v>8</v>
      </c>
      <c r="AQ218" t="str">
        <f t="shared" si="96"/>
        <v>Support</v>
      </c>
      <c r="AR218">
        <f>survey_responses[[#This Row],[Tôi thấy mức thuế tôi phải đóng theo phương án mới là công bằng (người thu nhập như tôi đóng mức này là hợp lý). - HUMAN-TRU2]]</f>
        <v>5</v>
      </c>
      <c r="AS218" t="str">
        <f t="shared" si="97"/>
        <v>Neutral</v>
      </c>
      <c r="AT218" s="32">
        <f t="shared" si="98"/>
        <v>3</v>
      </c>
      <c r="AU218">
        <f>step3_validation[[#This Row],[AI_TRU3]]</f>
        <v>6</v>
      </c>
      <c r="AV218" t="str">
        <f t="shared" si="99"/>
        <v>Neutral</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1</v>
      </c>
      <c r="AZ218">
        <f>step3_validation[[#This Row],[AI_TRU4]]</f>
        <v>5</v>
      </c>
      <c r="BA218" t="str">
        <f t="shared" si="102"/>
        <v>Neutral</v>
      </c>
      <c r="BB218">
        <f>survey_responses[[#This Row],[Tôi thấy Nhà nước đã giải thích rõ ràng, minh bạch về lý do và mục tiêu của việc sửa đổi thuế lần này. - HUMAN-TRU4]]</f>
        <v>5</v>
      </c>
      <c r="BC218" t="str">
        <f t="shared" si="103"/>
        <v>Neutral</v>
      </c>
      <c r="BD218" s="32">
        <f t="shared" si="104"/>
        <v>0</v>
      </c>
      <c r="BE218">
        <f>step3_validation[[#This Row],[AI_OUT1]]</f>
        <v>7</v>
      </c>
      <c r="BF218" t="str">
        <f t="shared" si="105"/>
        <v>Neutral</v>
      </c>
      <c r="BG218">
        <f>survey_responses[[#This Row],[Sau khi xem xét các quyền lợi và nghĩa vụ, bạn có ủng hộ và tuân thủ chính sách mới hiện nay? - HUMAN-OUT1]]</f>
        <v>5</v>
      </c>
      <c r="BH218" t="str">
        <f t="shared" si="106"/>
        <v>Neutral</v>
      </c>
      <c r="BI218" s="32">
        <f t="shared" si="107"/>
        <v>2</v>
      </c>
    </row>
    <row r="219" spans="1:61" x14ac:dyDescent="0.45">
      <c r="A219" s="30">
        <f>step3_validation[[#This Row],[Persona_ID]]</f>
        <v>218</v>
      </c>
      <c r="B219" s="31">
        <f>step3_validation[[#This Row],[Used_Seed]]</f>
        <v>12562</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51.913595024365129</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8</v>
      </c>
      <c r="R219" t="str">
        <f t="shared" si="81"/>
        <v>Support</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2</v>
      </c>
      <c r="V219">
        <f>step3_validation[[#This Row],[AI_ENF2]]</f>
        <v>7</v>
      </c>
      <c r="W219" t="str">
        <f t="shared" si="84"/>
        <v>Neutral</v>
      </c>
      <c r="X219">
        <f>survey_responses[[#This Row],[Tôi tin rằng Nhà nước, cơ quan thuế có đủ khả năng và công nghệ để phát hiện, xử lý nghiêm các hành vi trốn thuế. - HUMAN-ENF2]]</f>
        <v>7</v>
      </c>
      <c r="Y219" t="str">
        <f t="shared" si="85"/>
        <v>Neutral</v>
      </c>
      <c r="Z219" s="32">
        <f t="shared" si="86"/>
        <v>0</v>
      </c>
      <c r="AA219">
        <f>step3_validation[[#This Row],[AI_FAC1]]</f>
        <v>6</v>
      </c>
      <c r="AB219" t="str">
        <f t="shared" si="87"/>
        <v>Neutral</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1</v>
      </c>
      <c r="AF219">
        <f>step3_validation[[#This Row],[AI_FAC2]]</f>
        <v>8</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1</v>
      </c>
      <c r="AK219">
        <f>step3_validation[[#This Row],[AI_TRU1]]</f>
        <v>6</v>
      </c>
      <c r="AL219" t="str">
        <f t="shared" si="93"/>
        <v>Neutral</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1</v>
      </c>
      <c r="AP219">
        <f>step3_validation[[#This Row],[AI_TRU2]]</f>
        <v>7</v>
      </c>
      <c r="AQ219" t="str">
        <f t="shared" si="96"/>
        <v>Neutral</v>
      </c>
      <c r="AR219">
        <f>survey_responses[[#This Row],[Tôi thấy mức thuế tôi phải đóng theo phương án mới là công bằng (người thu nhập như tôi đóng mức này là hợp lý). - HUMAN-TRU2]]</f>
        <v>7</v>
      </c>
      <c r="AS219" t="str">
        <f t="shared" si="97"/>
        <v>Neutral</v>
      </c>
      <c r="AT219" s="32">
        <f t="shared" si="98"/>
        <v>0</v>
      </c>
      <c r="AU219">
        <f>step3_validation[[#This Row],[AI_TRU3]]</f>
        <v>6</v>
      </c>
      <c r="AV219" t="str">
        <f t="shared" si="99"/>
        <v>Neutral</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1</v>
      </c>
      <c r="AZ219">
        <f>step3_validation[[#This Row],[AI_TRU4]]</f>
        <v>5</v>
      </c>
      <c r="BA219" t="str">
        <f t="shared" si="102"/>
        <v>Neutral</v>
      </c>
      <c r="BB219">
        <f>survey_responses[[#This Row],[Tôi thấy Nhà nước đã giải thích rõ ràng, minh bạch về lý do và mục tiêu của việc sửa đổi thuế lần này. - HUMAN-TRU4]]</f>
        <v>7</v>
      </c>
      <c r="BC219" t="str">
        <f t="shared" si="103"/>
        <v>Neutral</v>
      </c>
      <c r="BD219" s="32">
        <f t="shared" si="104"/>
        <v>2</v>
      </c>
      <c r="BE219">
        <f>step3_validation[[#This Row],[AI_OUT1]]</f>
        <v>7</v>
      </c>
      <c r="BF219" t="str">
        <f t="shared" si="105"/>
        <v>Neutral</v>
      </c>
      <c r="BG219">
        <f>survey_responses[[#This Row],[Sau khi xem xét các quyền lợi và nghĩa vụ, bạn có ủng hộ và tuân thủ chính sách mới hiện nay? - HUMAN-OUT1]]</f>
        <v>7</v>
      </c>
      <c r="BH219" t="str">
        <f t="shared" si="106"/>
        <v>Neutral</v>
      </c>
      <c r="BI219" s="32">
        <f t="shared" si="107"/>
        <v>0</v>
      </c>
    </row>
    <row r="220" spans="1:61" x14ac:dyDescent="0.45">
      <c r="A220" s="30">
        <f>step3_validation[[#This Row],[Persona_ID]]</f>
        <v>219</v>
      </c>
      <c r="B220" s="31">
        <f>step3_validation[[#This Row],[Used_Seed]]</f>
        <v>12563</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209.50095099966052</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7</v>
      </c>
      <c r="R220" t="str">
        <f t="shared" si="81"/>
        <v>Neutral</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0</v>
      </c>
      <c r="V220">
        <f>step3_validation[[#This Row],[AI_ENF2]]</f>
        <v>6</v>
      </c>
      <c r="W220" t="str">
        <f t="shared" si="84"/>
        <v>Neutral</v>
      </c>
      <c r="X220">
        <f>survey_responses[[#This Row],[Tôi tin rằng Nhà nước, cơ quan thuế có đủ khả năng và công nghệ để phát hiện, xử lý nghiêm các hành vi trốn thuế. - HUMAN-ENF2]]</f>
        <v>8</v>
      </c>
      <c r="Y220" t="str">
        <f t="shared" si="85"/>
        <v>Support</v>
      </c>
      <c r="Z220" s="32">
        <f t="shared" si="86"/>
        <v>2</v>
      </c>
      <c r="AA220">
        <f>step3_validation[[#This Row],[AI_FAC1]]</f>
        <v>8</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0</v>
      </c>
      <c r="AF220">
        <f>step3_validation[[#This Row],[AI_FAC2]]</f>
        <v>9</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1</v>
      </c>
      <c r="AK220">
        <f>step3_validation[[#This Row],[AI_TRU1]]</f>
        <v>6</v>
      </c>
      <c r="AL220" t="str">
        <f t="shared" si="93"/>
        <v>Neutral</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2</v>
      </c>
      <c r="AP220">
        <f>step3_validation[[#This Row],[AI_TRU2]]</f>
        <v>7</v>
      </c>
      <c r="AQ220" t="str">
        <f t="shared" si="96"/>
        <v>Neutral</v>
      </c>
      <c r="AR220">
        <f>survey_responses[[#This Row],[Tôi thấy mức thuế tôi phải đóng theo phương án mới là công bằng (người thu nhập như tôi đóng mức này là hợp lý). - HUMAN-TRU2]]</f>
        <v>5</v>
      </c>
      <c r="AS220" t="str">
        <f t="shared" si="97"/>
        <v>Neutral</v>
      </c>
      <c r="AT220" s="32">
        <f t="shared" si="98"/>
        <v>2</v>
      </c>
      <c r="AU220">
        <f>step3_validation[[#This Row],[AI_TRU3]]</f>
        <v>5</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0</v>
      </c>
      <c r="AZ220">
        <f>step3_validation[[#This Row],[AI_TRU4]]</f>
        <v>6</v>
      </c>
      <c r="BA220" t="str">
        <f t="shared" si="102"/>
        <v>Neutral</v>
      </c>
      <c r="BB220">
        <f>survey_responses[[#This Row],[Tôi thấy Nhà nước đã giải thích rõ ràng, minh bạch về lý do và mục tiêu của việc sửa đổi thuế lần này. - HUMAN-TRU4]]</f>
        <v>7</v>
      </c>
      <c r="BC220" t="str">
        <f t="shared" si="103"/>
        <v>Neutral</v>
      </c>
      <c r="BD220" s="32">
        <f t="shared" si="104"/>
        <v>1</v>
      </c>
      <c r="BE220">
        <f>step3_validation[[#This Row],[AI_OUT1]]</f>
        <v>7</v>
      </c>
      <c r="BF220" t="str">
        <f t="shared" si="105"/>
        <v>Neutral</v>
      </c>
      <c r="BG220">
        <f>survey_responses[[#This Row],[Sau khi xem xét các quyền lợi và nghĩa vụ, bạn có ủng hộ và tuân thủ chính sách mới hiện nay? - HUMAN-OUT1]]</f>
        <v>6</v>
      </c>
      <c r="BH220" t="str">
        <f t="shared" si="106"/>
        <v>Neutral</v>
      </c>
      <c r="BI220" s="32">
        <f t="shared" si="107"/>
        <v>1</v>
      </c>
    </row>
    <row r="221" spans="1:61" x14ac:dyDescent="0.45">
      <c r="A221" s="30">
        <f>step3_validation[[#This Row],[Persona_ID]]</f>
        <v>220</v>
      </c>
      <c r="B221" s="31">
        <f>step3_validation[[#This Row],[Used_Seed]]</f>
        <v>12564</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211.25547386529038</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7</v>
      </c>
      <c r="R221" t="str">
        <f t="shared" si="81"/>
        <v>Neutral</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3</v>
      </c>
      <c r="V221">
        <f>step3_validation[[#This Row],[AI_ENF2]]</f>
        <v>6</v>
      </c>
      <c r="W221" t="str">
        <f t="shared" si="84"/>
        <v>Neutral</v>
      </c>
      <c r="X221">
        <f>survey_responses[[#This Row],[Tôi tin rằng Nhà nước, cơ quan thuế có đủ khả năng và công nghệ để phát hiện, xử lý nghiêm các hành vi trốn thuế. - HUMAN-ENF2]]</f>
        <v>10</v>
      </c>
      <c r="Y221" t="str">
        <f t="shared" si="85"/>
        <v>Support</v>
      </c>
      <c r="Z221" s="32">
        <f t="shared" si="86"/>
        <v>4</v>
      </c>
      <c r="AA221">
        <f>step3_validation[[#This Row],[AI_FAC1]]</f>
        <v>8</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2</v>
      </c>
      <c r="AF221">
        <f>step3_validation[[#This Row],[AI_FAC2]]</f>
        <v>9</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0</v>
      </c>
      <c r="AK221">
        <f>step3_validation[[#This Row],[AI_TRU1]]</f>
        <v>7</v>
      </c>
      <c r="AL221" t="str">
        <f t="shared" si="93"/>
        <v>Neutral</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2</v>
      </c>
      <c r="AP221">
        <f>step3_validation[[#This Row],[AI_TRU2]]</f>
        <v>8</v>
      </c>
      <c r="AQ221" t="str">
        <f t="shared" si="96"/>
        <v>Support</v>
      </c>
      <c r="AR221">
        <f>survey_responses[[#This Row],[Tôi thấy mức thuế tôi phải đóng theo phương án mới là công bằng (người thu nhập như tôi đóng mức này là hợp lý). - HUMAN-TRU2]]</f>
        <v>9</v>
      </c>
      <c r="AS221" t="str">
        <f t="shared" si="97"/>
        <v>Support</v>
      </c>
      <c r="AT221" s="32">
        <f t="shared" si="98"/>
        <v>1</v>
      </c>
      <c r="AU221">
        <f>step3_validation[[#This Row],[AI_TRU3]]</f>
        <v>6</v>
      </c>
      <c r="AV221" t="str">
        <f t="shared" si="99"/>
        <v>Neutral</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3</v>
      </c>
      <c r="AZ221">
        <f>step3_validation[[#This Row],[AI_TRU4]]</f>
        <v>5</v>
      </c>
      <c r="BA221" t="str">
        <f t="shared" si="102"/>
        <v>Neutral</v>
      </c>
      <c r="BB221">
        <f>survey_responses[[#This Row],[Tôi thấy Nhà nước đã giải thích rõ ràng, minh bạch về lý do và mục tiêu của việc sửa đổi thuế lần này. - HUMAN-TRU4]]</f>
        <v>8</v>
      </c>
      <c r="BC221" t="str">
        <f t="shared" si="103"/>
        <v>Support</v>
      </c>
      <c r="BD221" s="32">
        <f t="shared" si="104"/>
        <v>3</v>
      </c>
      <c r="BE221">
        <f>step3_validation[[#This Row],[AI_OUT1]]</f>
        <v>7</v>
      </c>
      <c r="BF221" t="str">
        <f t="shared" si="105"/>
        <v>Neutral</v>
      </c>
      <c r="BG221">
        <f>survey_responses[[#This Row],[Sau khi xem xét các quyền lợi và nghĩa vụ, bạn có ủng hộ và tuân thủ chính sách mới hiện nay? - HUMAN-OUT1]]</f>
        <v>8</v>
      </c>
      <c r="BH221" t="str">
        <f t="shared" si="106"/>
        <v>Support</v>
      </c>
      <c r="BI221" s="32">
        <f t="shared" si="107"/>
        <v>1</v>
      </c>
    </row>
    <row r="222" spans="1:61" x14ac:dyDescent="0.45">
      <c r="A222" s="30">
        <f>step3_validation[[#This Row],[Persona_ID]]</f>
        <v>221</v>
      </c>
      <c r="B222" s="31">
        <f>step3_validation[[#This Row],[Used_Seed]]</f>
        <v>12565</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56.947044831130214</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8</v>
      </c>
      <c r="R222" t="str">
        <f t="shared" si="81"/>
        <v>Support</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4</v>
      </c>
      <c r="V222">
        <f>step3_validation[[#This Row],[AI_ENF2]]</f>
        <v>9</v>
      </c>
      <c r="W222" t="str">
        <f t="shared" si="84"/>
        <v>Support</v>
      </c>
      <c r="X222">
        <f>survey_responses[[#This Row],[Tôi tin rằng Nhà nước, cơ quan thuế có đủ khả năng và công nghệ để phát hiện, xử lý nghiêm các hành vi trốn thuế. - HUMAN-ENF2]]</f>
        <v>4</v>
      </c>
      <c r="Y222" t="str">
        <f t="shared" si="85"/>
        <v>Oppose</v>
      </c>
      <c r="Z222" s="32">
        <f t="shared" si="86"/>
        <v>5</v>
      </c>
      <c r="AA222">
        <f>step3_validation[[#This Row],[AI_FAC1]]</f>
        <v>8</v>
      </c>
      <c r="AB222" t="str">
        <f t="shared" si="87"/>
        <v>Support</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4</v>
      </c>
      <c r="AF222">
        <f>step3_validation[[#This Row],[AI_FAC2]]</f>
        <v>9</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3</v>
      </c>
      <c r="AK222">
        <f>step3_validation[[#This Row],[AI_TRU1]]</f>
        <v>7</v>
      </c>
      <c r="AL222" t="str">
        <f t="shared" si="93"/>
        <v>Neutral</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2</v>
      </c>
      <c r="AP222">
        <f>step3_validation[[#This Row],[AI_TRU2]]</f>
        <v>8</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2">
        <f t="shared" si="98"/>
        <v>2</v>
      </c>
      <c r="AU222">
        <f>step3_validation[[#This Row],[AI_TRU3]]</f>
        <v>7</v>
      </c>
      <c r="AV222" t="str">
        <f t="shared" si="99"/>
        <v>Neutral</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2</v>
      </c>
      <c r="AZ222">
        <f>step3_validation[[#This Row],[AI_TRU4]]</f>
        <v>6</v>
      </c>
      <c r="BA222" t="str">
        <f t="shared" si="102"/>
        <v>Neutral</v>
      </c>
      <c r="BB222">
        <f>survey_responses[[#This Row],[Tôi thấy Nhà nước đã giải thích rõ ràng, minh bạch về lý do và mục tiêu của việc sửa đổi thuế lần này. - HUMAN-TRU4]]</f>
        <v>6</v>
      </c>
      <c r="BC222" t="str">
        <f t="shared" si="103"/>
        <v>Neutral</v>
      </c>
      <c r="BD222" s="32">
        <f t="shared" si="104"/>
        <v>0</v>
      </c>
      <c r="BE222">
        <f>step3_validation[[#This Row],[AI_OUT1]]</f>
        <v>7</v>
      </c>
      <c r="BF222" t="str">
        <f t="shared" si="105"/>
        <v>Neutral</v>
      </c>
      <c r="BG222">
        <f>survey_responses[[#This Row],[Sau khi xem xét các quyền lợi và nghĩa vụ, bạn có ủng hộ và tuân thủ chính sách mới hiện nay? - HUMAN-OUT1]]</f>
        <v>5</v>
      </c>
      <c r="BH222" t="str">
        <f t="shared" si="106"/>
        <v>Neutral</v>
      </c>
      <c r="BI222" s="32">
        <f t="shared" si="107"/>
        <v>2</v>
      </c>
    </row>
    <row r="223" spans="1:61" x14ac:dyDescent="0.45">
      <c r="A223" s="30">
        <f>step3_validation[[#This Row],[Persona_ID]]</f>
        <v>222</v>
      </c>
      <c r="B223" s="31">
        <f>step3_validation[[#This Row],[Used_Seed]]</f>
        <v>12566</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54.916541649315903</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8</v>
      </c>
      <c r="R223" t="str">
        <f t="shared" si="81"/>
        <v>Support</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4</v>
      </c>
      <c r="V223">
        <f>step3_validation[[#This Row],[AI_ENF2]]</f>
        <v>8</v>
      </c>
      <c r="W223" t="str">
        <f t="shared" si="84"/>
        <v>Support</v>
      </c>
      <c r="X223">
        <f>survey_responses[[#This Row],[Tôi tin rằng Nhà nước, cơ quan thuế có đủ khả năng và công nghệ để phát hiện, xử lý nghiêm các hành vi trốn thuế. - HUMAN-ENF2]]</f>
        <v>5</v>
      </c>
      <c r="Y223" t="str">
        <f t="shared" si="85"/>
        <v>Neutral</v>
      </c>
      <c r="Z223" s="32">
        <f t="shared" si="86"/>
        <v>3</v>
      </c>
      <c r="AA223">
        <f>step3_validation[[#This Row],[AI_FAC1]]</f>
        <v>9</v>
      </c>
      <c r="AB223" t="str">
        <f t="shared" si="87"/>
        <v>Support</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5</v>
      </c>
      <c r="AF223">
        <f>step3_validation[[#This Row],[AI_FAC2]]</f>
        <v>8</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3</v>
      </c>
      <c r="AK223">
        <f>step3_validation[[#This Row],[AI_TRU1]]</f>
        <v>7</v>
      </c>
      <c r="AL223" t="str">
        <f t="shared" si="93"/>
        <v>Neutral</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2</v>
      </c>
      <c r="AP223">
        <f>step3_validation[[#This Row],[AI_TRU2]]</f>
        <v>6</v>
      </c>
      <c r="AQ223" t="str">
        <f t="shared" si="96"/>
        <v>Neutral</v>
      </c>
      <c r="AR223">
        <f>survey_responses[[#This Row],[Tôi thấy mức thuế tôi phải đóng theo phương án mới là công bằng (người thu nhập như tôi đóng mức này là hợp lý). - HUMAN-TRU2]]</f>
        <v>5</v>
      </c>
      <c r="AS223" t="str">
        <f t="shared" si="97"/>
        <v>Neutral</v>
      </c>
      <c r="AT223" s="32">
        <f t="shared" si="98"/>
        <v>1</v>
      </c>
      <c r="AU223">
        <f>step3_validation[[#This Row],[AI_TRU3]]</f>
        <v>6</v>
      </c>
      <c r="AV223" t="str">
        <f t="shared" si="99"/>
        <v>Neutral</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1</v>
      </c>
      <c r="AZ223">
        <f>step3_validation[[#This Row],[AI_TRU4]]</f>
        <v>6</v>
      </c>
      <c r="BA223" t="str">
        <f t="shared" si="102"/>
        <v>Neutral</v>
      </c>
      <c r="BB223">
        <f>survey_responses[[#This Row],[Tôi thấy Nhà nước đã giải thích rõ ràng, minh bạch về lý do và mục tiêu của việc sửa đổi thuế lần này. - HUMAN-TRU4]]</f>
        <v>5</v>
      </c>
      <c r="BC223" t="str">
        <f t="shared" si="103"/>
        <v>Neutral</v>
      </c>
      <c r="BD223" s="32">
        <f t="shared" si="104"/>
        <v>1</v>
      </c>
      <c r="BE223">
        <f>step3_validation[[#This Row],[AI_OUT1]]</f>
        <v>7</v>
      </c>
      <c r="BF223" t="str">
        <f t="shared" si="105"/>
        <v>Neutral</v>
      </c>
      <c r="BG223">
        <f>survey_responses[[#This Row],[Sau khi xem xét các quyền lợi và nghĩa vụ, bạn có ủng hộ và tuân thủ chính sách mới hiện nay? - HUMAN-OUT1]]</f>
        <v>5</v>
      </c>
      <c r="BH223" t="str">
        <f t="shared" si="106"/>
        <v>Neutral</v>
      </c>
      <c r="BI223" s="32">
        <f t="shared" si="107"/>
        <v>2</v>
      </c>
    </row>
    <row r="224" spans="1:61" x14ac:dyDescent="0.45">
      <c r="A224" s="30">
        <f>step3_validation[[#This Row],[Persona_ID]]</f>
        <v>223</v>
      </c>
      <c r="B224" s="31">
        <f>step3_validation[[#This Row],[Used_Seed]]</f>
        <v>12567</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52.359479696293327</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7</v>
      </c>
      <c r="R224" t="str">
        <f t="shared" si="81"/>
        <v>Neutral</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1</v>
      </c>
      <c r="V224">
        <f>step3_validation[[#This Row],[AI_ENF2]]</f>
        <v>6</v>
      </c>
      <c r="W224" t="str">
        <f t="shared" si="84"/>
        <v>Neutral</v>
      </c>
      <c r="X224">
        <f>survey_responses[[#This Row],[Tôi tin rằng Nhà nước, cơ quan thuế có đủ khả năng và công nghệ để phát hiện, xử lý nghiêm các hành vi trốn thuế. - HUMAN-ENF2]]</f>
        <v>6</v>
      </c>
      <c r="Y224" t="str">
        <f t="shared" si="85"/>
        <v>Neutral</v>
      </c>
      <c r="Z224" s="32">
        <f t="shared" si="86"/>
        <v>0</v>
      </c>
      <c r="AA224">
        <f>step3_validation[[#This Row],[AI_FAC1]]</f>
        <v>5</v>
      </c>
      <c r="AB224" t="str">
        <f t="shared" si="87"/>
        <v>Neutral</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2</v>
      </c>
      <c r="AF224">
        <f>step3_validation[[#This Row],[AI_FAC2]]</f>
        <v>6</v>
      </c>
      <c r="AG224" t="str">
        <f t="shared" si="90"/>
        <v>Neutral</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1</v>
      </c>
      <c r="AK224">
        <f>step3_validation[[#This Row],[AI_TRU1]]</f>
        <v>8</v>
      </c>
      <c r="AL224" t="str">
        <f t="shared" si="93"/>
        <v>Support</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2</v>
      </c>
      <c r="AP224">
        <f>step3_validation[[#This Row],[AI_TRU2]]</f>
        <v>7</v>
      </c>
      <c r="AQ224" t="str">
        <f t="shared" si="96"/>
        <v>Neutral</v>
      </c>
      <c r="AR224">
        <f>survey_responses[[#This Row],[Tôi thấy mức thuế tôi phải đóng theo phương án mới là công bằng (người thu nhập như tôi đóng mức này là hợp lý). - HUMAN-TRU2]]</f>
        <v>6</v>
      </c>
      <c r="AS224" t="str">
        <f t="shared" si="97"/>
        <v>Neutral</v>
      </c>
      <c r="AT224" s="32">
        <f t="shared" si="98"/>
        <v>1</v>
      </c>
      <c r="AU224">
        <f>step3_validation[[#This Row],[AI_TRU3]]</f>
        <v>6</v>
      </c>
      <c r="AV224" t="str">
        <f t="shared" si="99"/>
        <v>Neutral</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2</v>
      </c>
      <c r="AZ224">
        <f>step3_validation[[#This Row],[AI_TRU4]]</f>
        <v>5</v>
      </c>
      <c r="BA224" t="str">
        <f t="shared" si="102"/>
        <v>Neutral</v>
      </c>
      <c r="BB224">
        <f>survey_responses[[#This Row],[Tôi thấy Nhà nước đã giải thích rõ ràng, minh bạch về lý do và mục tiêu của việc sửa đổi thuế lần này. - HUMAN-TRU4]]</f>
        <v>8</v>
      </c>
      <c r="BC224" t="str">
        <f t="shared" si="103"/>
        <v>Support</v>
      </c>
      <c r="BD224" s="32">
        <f t="shared" si="104"/>
        <v>3</v>
      </c>
      <c r="BE224">
        <f>step3_validation[[#This Row],[AI_OUT1]]</f>
        <v>7</v>
      </c>
      <c r="BF224" t="str">
        <f t="shared" si="105"/>
        <v>Neutral</v>
      </c>
      <c r="BG224">
        <f>survey_responses[[#This Row],[Sau khi xem xét các quyền lợi và nghĩa vụ, bạn có ủng hộ và tuân thủ chính sách mới hiện nay? - HUMAN-OUT1]]</f>
        <v>7</v>
      </c>
      <c r="BH224" t="str">
        <f t="shared" si="106"/>
        <v>Neutral</v>
      </c>
      <c r="BI224" s="32">
        <f t="shared" si="107"/>
        <v>0</v>
      </c>
    </row>
    <row r="225" spans="1:61" x14ac:dyDescent="0.45">
      <c r="A225" s="30">
        <f>step3_validation[[#This Row],[Persona_ID]]</f>
        <v>224</v>
      </c>
      <c r="B225" s="31">
        <f>step3_validation[[#This Row],[Used_Seed]]</f>
        <v>12568</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63.820423034934947</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8</v>
      </c>
      <c r="R225" t="str">
        <f t="shared" si="81"/>
        <v>Support</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1</v>
      </c>
      <c r="V225">
        <f>step3_validation[[#This Row],[AI_ENF2]]</f>
        <v>9</v>
      </c>
      <c r="W225" t="str">
        <f t="shared" si="84"/>
        <v>Support</v>
      </c>
      <c r="X225">
        <f>survey_responses[[#This Row],[Tôi tin rằng Nhà nước, cơ quan thuế có đủ khả năng và công nghệ để phát hiện, xử lý nghiêm các hành vi trốn thuế. - HUMAN-ENF2]]</f>
        <v>7</v>
      </c>
      <c r="Y225" t="str">
        <f t="shared" si="85"/>
        <v>Neutral</v>
      </c>
      <c r="Z225" s="32">
        <f t="shared" si="86"/>
        <v>2</v>
      </c>
      <c r="AA225">
        <f>step3_validation[[#This Row],[AI_FAC1]]</f>
        <v>8</v>
      </c>
      <c r="AB225" t="str">
        <f t="shared" si="87"/>
        <v>Support</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1</v>
      </c>
      <c r="AF225">
        <f>step3_validation[[#This Row],[AI_FAC2]]</f>
        <v>9</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2</v>
      </c>
      <c r="AK225">
        <f>step3_validation[[#This Row],[AI_TRU1]]</f>
        <v>8</v>
      </c>
      <c r="AL225" t="str">
        <f t="shared" si="93"/>
        <v>Support</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1</v>
      </c>
      <c r="AP225">
        <f>step3_validation[[#This Row],[AI_TRU2]]</f>
        <v>9</v>
      </c>
      <c r="AQ225" t="str">
        <f t="shared" si="96"/>
        <v>Support</v>
      </c>
      <c r="AR225">
        <f>survey_responses[[#This Row],[Tôi thấy mức thuế tôi phải đóng theo phương án mới là công bằng (người thu nhập như tôi đóng mức này là hợp lý). - HUMAN-TRU2]]</f>
        <v>7</v>
      </c>
      <c r="AS225" t="str">
        <f t="shared" si="97"/>
        <v>Neutral</v>
      </c>
      <c r="AT225" s="32">
        <f t="shared" si="98"/>
        <v>2</v>
      </c>
      <c r="AU225">
        <f>step3_validation[[#This Row],[AI_TRU3]]</f>
        <v>8</v>
      </c>
      <c r="AV225" t="str">
        <f t="shared" si="99"/>
        <v>Support</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1</v>
      </c>
      <c r="AZ225">
        <f>step3_validation[[#This Row],[AI_TRU4]]</f>
        <v>7</v>
      </c>
      <c r="BA225" t="str">
        <f t="shared" si="102"/>
        <v>Neutral</v>
      </c>
      <c r="BB225">
        <f>survey_responses[[#This Row],[Tôi thấy Nhà nước đã giải thích rõ ràng, minh bạch về lý do và mục tiêu của việc sửa đổi thuế lần này. - HUMAN-TRU4]]</f>
        <v>7</v>
      </c>
      <c r="BC225" t="str">
        <f t="shared" si="103"/>
        <v>Neutral</v>
      </c>
      <c r="BD225" s="32">
        <f t="shared" si="104"/>
        <v>0</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2</v>
      </c>
    </row>
    <row r="226" spans="1:61" x14ac:dyDescent="0.45">
      <c r="A226" s="30">
        <f>step3_validation[[#This Row],[Persona_ID]]</f>
        <v>225</v>
      </c>
      <c r="B226" s="31">
        <f>step3_validation[[#This Row],[Used_Seed]]</f>
        <v>12569</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39.406274192627457</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6</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0</v>
      </c>
      <c r="V226">
        <f>step3_validation[[#This Row],[AI_ENF2]]</f>
        <v>7</v>
      </c>
      <c r="W226" t="str">
        <f t="shared" si="84"/>
        <v>Neutral</v>
      </c>
      <c r="X226">
        <f>survey_responses[[#This Row],[Tôi tin rằng Nhà nước, cơ quan thuế có đủ khả năng và công nghệ để phát hiện, xử lý nghiêm các hành vi trốn thuế. - HUMAN-ENF2]]</f>
        <v>6</v>
      </c>
      <c r="Y226" t="str">
        <f t="shared" si="85"/>
        <v>Neutral</v>
      </c>
      <c r="Z226" s="32">
        <f t="shared" si="86"/>
        <v>1</v>
      </c>
      <c r="AA226">
        <f>step3_validation[[#This Row],[AI_FAC1]]</f>
        <v>8</v>
      </c>
      <c r="AB226" t="str">
        <f t="shared" si="87"/>
        <v>Support</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9</v>
      </c>
      <c r="AG226" t="str">
        <f t="shared" si="90"/>
        <v>Support</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2</v>
      </c>
      <c r="AK226">
        <f>step3_validation[[#This Row],[AI_TRU1]]</f>
        <v>7</v>
      </c>
      <c r="AL226" t="str">
        <f t="shared" si="93"/>
        <v>Neutral</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2</v>
      </c>
      <c r="AP226">
        <f>step3_validation[[#This Row],[AI_TRU2]]</f>
        <v>8</v>
      </c>
      <c r="AQ226" t="str">
        <f t="shared" si="96"/>
        <v>Support</v>
      </c>
      <c r="AR226">
        <f>survey_responses[[#This Row],[Tôi thấy mức thuế tôi phải đóng theo phương án mới là công bằng (người thu nhập như tôi đóng mức này là hợp lý). - HUMAN-TRU2]]</f>
        <v>6</v>
      </c>
      <c r="AS226" t="str">
        <f t="shared" si="97"/>
        <v>Neutral</v>
      </c>
      <c r="AT226" s="32">
        <f t="shared" si="98"/>
        <v>2</v>
      </c>
      <c r="AU226">
        <f>step3_validation[[#This Row],[AI_TRU3]]</f>
        <v>6</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0</v>
      </c>
      <c r="AZ226">
        <f>step3_validation[[#This Row],[AI_TRU4]]</f>
        <v>7</v>
      </c>
      <c r="BA226" t="str">
        <f t="shared" si="102"/>
        <v>Neutral</v>
      </c>
      <c r="BB226">
        <f>survey_responses[[#This Row],[Tôi thấy Nhà nước đã giải thích rõ ràng, minh bạch về lý do và mục tiêu của việc sửa đổi thuế lần này. - HUMAN-TRU4]]</f>
        <v>6</v>
      </c>
      <c r="BC226" t="str">
        <f t="shared" si="103"/>
        <v>Neutral</v>
      </c>
      <c r="BD226" s="32">
        <f t="shared" si="104"/>
        <v>1</v>
      </c>
      <c r="BE226">
        <f>step3_validation[[#This Row],[AI_OUT1]]</f>
        <v>8</v>
      </c>
      <c r="BF226" t="str">
        <f t="shared" si="105"/>
        <v>Support</v>
      </c>
      <c r="BG226">
        <f>survey_responses[[#This Row],[Sau khi xem xét các quyền lợi và nghĩa vụ, bạn có ủng hộ và tuân thủ chính sách mới hiện nay? - HUMAN-OUT1]]</f>
        <v>7</v>
      </c>
      <c r="BH226" t="str">
        <f t="shared" si="106"/>
        <v>Neutral</v>
      </c>
      <c r="BI226" s="32">
        <f t="shared" si="107"/>
        <v>1</v>
      </c>
    </row>
    <row r="227" spans="1:61" x14ac:dyDescent="0.45">
      <c r="A227" s="30">
        <f>step3_validation[[#This Row],[Persona_ID]]</f>
        <v>226</v>
      </c>
      <c r="B227" s="31">
        <f>step3_validation[[#This Row],[Used_Seed]]</f>
        <v>12570</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85.117268390452779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8</v>
      </c>
      <c r="R227" t="str">
        <f t="shared" si="81"/>
        <v>Support</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1</v>
      </c>
      <c r="V227">
        <f>step3_validation[[#This Row],[AI_ENF2]]</f>
        <v>7</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2">
        <f t="shared" si="86"/>
        <v>0</v>
      </c>
      <c r="AA227">
        <f>step3_validation[[#This Row],[AI_FAC1]]</f>
        <v>9</v>
      </c>
      <c r="AB227" t="str">
        <f t="shared" si="87"/>
        <v>Support</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3</v>
      </c>
      <c r="AF227">
        <f>step3_validation[[#This Row],[AI_FAC2]]</f>
        <v>8</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1</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6</v>
      </c>
      <c r="AQ227" t="str">
        <f t="shared" si="96"/>
        <v>Neutral</v>
      </c>
      <c r="AR227">
        <f>survey_responses[[#This Row],[Tôi thấy mức thuế tôi phải đóng theo phương án mới là công bằng (người thu nhập như tôi đóng mức này là hợp lý). - HUMAN-TRU2]]</f>
        <v>7</v>
      </c>
      <c r="AS227" t="str">
        <f t="shared" si="97"/>
        <v>Neutral</v>
      </c>
      <c r="AT227" s="32">
        <f t="shared" si="98"/>
        <v>1</v>
      </c>
      <c r="AU227">
        <f>step3_validation[[#This Row],[AI_TRU3]]</f>
        <v>5</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2</v>
      </c>
      <c r="AZ227">
        <f>step3_validation[[#This Row],[AI_TRU4]]</f>
        <v>4</v>
      </c>
      <c r="BA227" t="str">
        <f t="shared" si="102"/>
        <v>Oppose</v>
      </c>
      <c r="BB227">
        <f>survey_responses[[#This Row],[Tôi thấy Nhà nước đã giải thích rõ ràng, minh bạch về lý do và mục tiêu của việc sửa đổi thuế lần này. - HUMAN-TRU4]]</f>
        <v>7</v>
      </c>
      <c r="BC227" t="str">
        <f t="shared" si="103"/>
        <v>Neutral</v>
      </c>
      <c r="BD227" s="32">
        <f t="shared" si="104"/>
        <v>3</v>
      </c>
      <c r="BE227">
        <f>step3_validation[[#This Row],[AI_OUT1]]</f>
        <v>6</v>
      </c>
      <c r="BF227" t="str">
        <f t="shared" si="105"/>
        <v>Neutral</v>
      </c>
      <c r="BG227">
        <f>survey_responses[[#This Row],[Sau khi xem xét các quyền lợi và nghĩa vụ, bạn có ủng hộ và tuân thủ chính sách mới hiện nay? - HUMAN-OUT1]]</f>
        <v>7</v>
      </c>
      <c r="BH227" t="str">
        <f t="shared" si="106"/>
        <v>Neutral</v>
      </c>
      <c r="BI227" s="32">
        <f t="shared" si="107"/>
        <v>1</v>
      </c>
    </row>
    <row r="228" spans="1:61" x14ac:dyDescent="0.45">
      <c r="A228" s="30">
        <f>step3_validation[[#This Row],[Persona_ID]]</f>
        <v>227</v>
      </c>
      <c r="B228" s="31">
        <f>step3_validation[[#This Row],[Used_Seed]]</f>
        <v>12571</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25.555307120083427</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6</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0</v>
      </c>
      <c r="V228">
        <f>step3_validation[[#This Row],[AI_ENF2]]</f>
        <v>8</v>
      </c>
      <c r="W228" t="str">
        <f t="shared" si="84"/>
        <v>Support</v>
      </c>
      <c r="X228">
        <f>survey_responses[[#This Row],[Tôi tin rằng Nhà nước, cơ quan thuế có đủ khả năng và công nghệ để phát hiện, xử lý nghiêm các hành vi trốn thuế. - HUMAN-ENF2]]</f>
        <v>6</v>
      </c>
      <c r="Y228" t="str">
        <f t="shared" si="85"/>
        <v>Neutral</v>
      </c>
      <c r="Z228" s="32">
        <f t="shared" si="86"/>
        <v>2</v>
      </c>
      <c r="AA228">
        <f>step3_validation[[#This Row],[AI_FAC1]]</f>
        <v>7</v>
      </c>
      <c r="AB228" t="str">
        <f t="shared" si="87"/>
        <v>Neutral</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1</v>
      </c>
      <c r="AF228">
        <f>step3_validation[[#This Row],[AI_FAC2]]</f>
        <v>8</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2</v>
      </c>
      <c r="AK228">
        <f>step3_validation[[#This Row],[AI_TRU1]]</f>
        <v>7</v>
      </c>
      <c r="AL228" t="str">
        <f t="shared" si="93"/>
        <v>Neutral</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1</v>
      </c>
      <c r="AP228">
        <f>step3_validation[[#This Row],[AI_TRU2]]</f>
        <v>7</v>
      </c>
      <c r="AQ228" t="str">
        <f t="shared" si="96"/>
        <v>Neutral</v>
      </c>
      <c r="AR228">
        <f>survey_responses[[#This Row],[Tôi thấy mức thuế tôi phải đóng theo phương án mới là công bằng (người thu nhập như tôi đóng mức này là hợp lý). - HUMAN-TRU2]]</f>
        <v>6</v>
      </c>
      <c r="AS228" t="str">
        <f t="shared" si="97"/>
        <v>Neutral</v>
      </c>
      <c r="AT228" s="32">
        <f t="shared" si="98"/>
        <v>1</v>
      </c>
      <c r="AU228">
        <f>step3_validation[[#This Row],[AI_TRU3]]</f>
        <v>7</v>
      </c>
      <c r="AV228" t="str">
        <f t="shared" si="99"/>
        <v>Neutral</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1</v>
      </c>
      <c r="AZ228">
        <f>step3_validation[[#This Row],[AI_TRU4]]</f>
        <v>6</v>
      </c>
      <c r="BA228" t="str">
        <f t="shared" si="102"/>
        <v>Neutral</v>
      </c>
      <c r="BB228">
        <f>survey_responses[[#This Row],[Tôi thấy Nhà nước đã giải thích rõ ràng, minh bạch về lý do và mục tiêu của việc sửa đổi thuế lần này. - HUMAN-TRU4]]</f>
        <v>6</v>
      </c>
      <c r="BC228" t="str">
        <f t="shared" si="103"/>
        <v>Neutral</v>
      </c>
      <c r="BD228" s="32">
        <f t="shared" si="104"/>
        <v>0</v>
      </c>
      <c r="BE228">
        <f>step3_validation[[#This Row],[AI_OUT1]]</f>
        <v>6</v>
      </c>
      <c r="BF228" t="str">
        <f t="shared" si="105"/>
        <v>Neutral</v>
      </c>
      <c r="BG228">
        <f>survey_responses[[#This Row],[Sau khi xem xét các quyền lợi và nghĩa vụ, bạn có ủng hộ và tuân thủ chính sách mới hiện nay? - HUMAN-OUT1]]</f>
        <v>6</v>
      </c>
      <c r="BH228" t="str">
        <f t="shared" si="106"/>
        <v>Neutral</v>
      </c>
      <c r="BI228" s="32">
        <f t="shared" si="107"/>
        <v>0</v>
      </c>
    </row>
    <row r="229" spans="1:61" x14ac:dyDescent="0.45">
      <c r="A229" s="30">
        <f>step3_validation[[#This Row],[Persona_ID]]</f>
        <v>228</v>
      </c>
      <c r="B229" s="31">
        <f>step3_validation[[#This Row],[Used_Seed]]</f>
        <v>12572</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20.474704126778885</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8</v>
      </c>
      <c r="R229" t="str">
        <f t="shared" si="81"/>
        <v>Support</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0</v>
      </c>
      <c r="V229">
        <f>step3_validation[[#This Row],[AI_ENF2]]</f>
        <v>7</v>
      </c>
      <c r="W229" t="str">
        <f t="shared" si="84"/>
        <v>Neutral</v>
      </c>
      <c r="X229">
        <f>survey_responses[[#This Row],[Tôi tin rằng Nhà nước, cơ quan thuế có đủ khả năng và công nghệ để phát hiện, xử lý nghiêm các hành vi trốn thuế. - HUMAN-ENF2]]</f>
        <v>9</v>
      </c>
      <c r="Y229" t="str">
        <f t="shared" si="85"/>
        <v>Support</v>
      </c>
      <c r="Z229" s="32">
        <f t="shared" si="86"/>
        <v>2</v>
      </c>
      <c r="AA229">
        <f>step3_validation[[#This Row],[AI_FAC1]]</f>
        <v>8</v>
      </c>
      <c r="AB229" t="str">
        <f t="shared" si="87"/>
        <v>Support</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1</v>
      </c>
      <c r="AF229">
        <f>step3_validation[[#This Row],[AI_FAC2]]</f>
        <v>9</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1</v>
      </c>
      <c r="AK229">
        <f>step3_validation[[#This Row],[AI_TRU1]]</f>
        <v>8</v>
      </c>
      <c r="AL229" t="str">
        <f t="shared" si="93"/>
        <v>Support</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1</v>
      </c>
      <c r="AP229">
        <f>step3_validation[[#This Row],[AI_TRU2]]</f>
        <v>7</v>
      </c>
      <c r="AQ229" t="str">
        <f t="shared" si="96"/>
        <v>Neutral</v>
      </c>
      <c r="AR229">
        <f>survey_responses[[#This Row],[Tôi thấy mức thuế tôi phải đóng theo phương án mới là công bằng (người thu nhập như tôi đóng mức này là hợp lý). - HUMAN-TRU2]]</f>
        <v>8</v>
      </c>
      <c r="AS229" t="str">
        <f t="shared" si="97"/>
        <v>Support</v>
      </c>
      <c r="AT229" s="32">
        <f t="shared" si="98"/>
        <v>1</v>
      </c>
      <c r="AU229">
        <f>step3_validation[[#This Row],[AI_TRU3]]</f>
        <v>6</v>
      </c>
      <c r="AV229" t="str">
        <f t="shared" si="99"/>
        <v>Neutral</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2</v>
      </c>
      <c r="AZ229">
        <f>step3_validation[[#This Row],[AI_TRU4]]</f>
        <v>5</v>
      </c>
      <c r="BA229" t="str">
        <f t="shared" si="102"/>
        <v>Neutral</v>
      </c>
      <c r="BB229">
        <f>survey_responses[[#This Row],[Tôi thấy Nhà nước đã giải thích rõ ràng, minh bạch về lý do và mục tiêu của việc sửa đổi thuế lần này. - HUMAN-TRU4]]</f>
        <v>8</v>
      </c>
      <c r="BC229" t="str">
        <f t="shared" si="103"/>
        <v>Support</v>
      </c>
      <c r="BD229" s="32">
        <f t="shared" si="104"/>
        <v>3</v>
      </c>
      <c r="BE229">
        <f>step3_validation[[#This Row],[AI_OUT1]]</f>
        <v>6</v>
      </c>
      <c r="BF229" t="str">
        <f t="shared" si="105"/>
        <v>Neutral</v>
      </c>
      <c r="BG229">
        <f>survey_responses[[#This Row],[Sau khi xem xét các quyền lợi và nghĩa vụ, bạn có ủng hộ và tuân thủ chính sách mới hiện nay? - HUMAN-OUT1]]</f>
        <v>8</v>
      </c>
      <c r="BH229" t="str">
        <f t="shared" si="106"/>
        <v>Support</v>
      </c>
      <c r="BI229" s="32">
        <f t="shared" si="107"/>
        <v>2</v>
      </c>
    </row>
    <row r="230" spans="1:61" x14ac:dyDescent="0.45">
      <c r="A230" s="30">
        <f>step3_validation[[#This Row],[Persona_ID]]</f>
        <v>229</v>
      </c>
      <c r="B230" s="31">
        <f>step3_validation[[#This Row],[Used_Seed]]</f>
        <v>12573</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63.152124654242797</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7</v>
      </c>
      <c r="R230" t="str">
        <f t="shared" si="81"/>
        <v>Neutral</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1</v>
      </c>
      <c r="V230">
        <f>step3_validation[[#This Row],[AI_ENF2]]</f>
        <v>8</v>
      </c>
      <c r="W230" t="str">
        <f t="shared" si="84"/>
        <v>Support</v>
      </c>
      <c r="X230">
        <f>survey_responses[[#This Row],[Tôi tin rằng Nhà nước, cơ quan thuế có đủ khả năng và công nghệ để phát hiện, xử lý nghiêm các hành vi trốn thuế. - HUMAN-ENF2]]</f>
        <v>6</v>
      </c>
      <c r="Y230" t="str">
        <f t="shared" si="85"/>
        <v>Neutral</v>
      </c>
      <c r="Z230" s="32">
        <f t="shared" si="86"/>
        <v>2</v>
      </c>
      <c r="AA230">
        <f>step3_validation[[#This Row],[AI_FAC1]]</f>
        <v>6</v>
      </c>
      <c r="AB230" t="str">
        <f t="shared" si="87"/>
        <v>Neutral</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0</v>
      </c>
      <c r="AF230">
        <f>step3_validation[[#This Row],[AI_FAC2]]</f>
        <v>8</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2</v>
      </c>
      <c r="AK230">
        <f>step3_validation[[#This Row],[AI_TRU1]]</f>
        <v>7</v>
      </c>
      <c r="AL230" t="str">
        <f t="shared" si="93"/>
        <v>Neutral</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1</v>
      </c>
      <c r="AP230">
        <f>step3_validation[[#This Row],[AI_TRU2]]</f>
        <v>8</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2">
        <f t="shared" si="98"/>
        <v>1</v>
      </c>
      <c r="AU230">
        <f>step3_validation[[#This Row],[AI_TRU3]]</f>
        <v>7</v>
      </c>
      <c r="AV230" t="str">
        <f t="shared" si="99"/>
        <v>Neutral</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1</v>
      </c>
      <c r="AZ230">
        <f>step3_validation[[#This Row],[AI_TRU4]]</f>
        <v>6</v>
      </c>
      <c r="BA230" t="str">
        <f t="shared" si="102"/>
        <v>Neutral</v>
      </c>
      <c r="BB230">
        <f>survey_responses[[#This Row],[Tôi thấy Nhà nước đã giải thích rõ ràng, minh bạch về lý do và mục tiêu của việc sửa đổi thuế lần này. - HUMAN-TRU4]]</f>
        <v>6</v>
      </c>
      <c r="BC230" t="str">
        <f t="shared" si="103"/>
        <v>Neutral</v>
      </c>
      <c r="BD230" s="32">
        <f t="shared" si="104"/>
        <v>0</v>
      </c>
      <c r="BE230">
        <f>step3_validation[[#This Row],[AI_OUT1]]</f>
        <v>6</v>
      </c>
      <c r="BF230" t="str">
        <f t="shared" si="105"/>
        <v>Neutral</v>
      </c>
      <c r="BG230">
        <f>survey_responses[[#This Row],[Sau khi xem xét các quyền lợi và nghĩa vụ, bạn có ủng hộ và tuân thủ chính sách mới hiện nay? - HUMAN-OUT1]]</f>
        <v>7</v>
      </c>
      <c r="BH230" t="str">
        <f t="shared" si="106"/>
        <v>Neutral</v>
      </c>
      <c r="BI230" s="32">
        <f t="shared" si="107"/>
        <v>1</v>
      </c>
    </row>
    <row r="231" spans="1:61" x14ac:dyDescent="0.45">
      <c r="A231" s="30">
        <f>step3_validation[[#This Row],[Persona_ID]]</f>
        <v>230</v>
      </c>
      <c r="B231" s="31">
        <f>step3_validation[[#This Row],[Used_Seed]]</f>
        <v>12574</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88.941297532583818</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8</v>
      </c>
      <c r="R231" t="str">
        <f t="shared" si="81"/>
        <v>Support</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4</v>
      </c>
      <c r="V231">
        <f>step3_validation[[#This Row],[AI_ENF2]]</f>
        <v>7</v>
      </c>
      <c r="W231" t="str">
        <f t="shared" si="84"/>
        <v>Neutral</v>
      </c>
      <c r="X231">
        <f>survey_responses[[#This Row],[Tôi tin rằng Nhà nước, cơ quan thuế có đủ khả năng và công nghệ để phát hiện, xử lý nghiêm các hành vi trốn thuế. - HUMAN-ENF2]]</f>
        <v>5</v>
      </c>
      <c r="Y231" t="str">
        <f t="shared" si="85"/>
        <v>Neutral</v>
      </c>
      <c r="Z231" s="32">
        <f t="shared" si="86"/>
        <v>2</v>
      </c>
      <c r="AA231">
        <f>step3_validation[[#This Row],[AI_FAC1]]</f>
        <v>7</v>
      </c>
      <c r="AB231" t="str">
        <f t="shared" si="87"/>
        <v>Neutral</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6</v>
      </c>
      <c r="AF231">
        <f>step3_validation[[#This Row],[AI_FAC2]]</f>
        <v>8</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2</v>
      </c>
      <c r="AK231">
        <f>step3_validation[[#This Row],[AI_TRU1]]</f>
        <v>6</v>
      </c>
      <c r="AL231" t="str">
        <f t="shared" si="93"/>
        <v>Neutral</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2</v>
      </c>
      <c r="AP231">
        <f>step3_validation[[#This Row],[AI_TRU2]]</f>
        <v>7</v>
      </c>
      <c r="AQ231" t="str">
        <f t="shared" si="96"/>
        <v>Neutral</v>
      </c>
      <c r="AR231">
        <f>survey_responses[[#This Row],[Tôi thấy mức thuế tôi phải đóng theo phương án mới là công bằng (người thu nhập như tôi đóng mức này là hợp lý). - HUMAN-TRU2]]</f>
        <v>4</v>
      </c>
      <c r="AS231" t="str">
        <f t="shared" si="97"/>
        <v>Oppose</v>
      </c>
      <c r="AT231" s="32">
        <f t="shared" si="98"/>
        <v>3</v>
      </c>
      <c r="AU231">
        <f>step3_validation[[#This Row],[AI_TRU3]]</f>
        <v>5</v>
      </c>
      <c r="AV231" t="str">
        <f t="shared" si="99"/>
        <v>Neutral</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0</v>
      </c>
      <c r="AZ231">
        <f>step3_validation[[#This Row],[AI_TRU4]]</f>
        <v>6</v>
      </c>
      <c r="BA231" t="str">
        <f t="shared" si="102"/>
        <v>Neutral</v>
      </c>
      <c r="BB231">
        <f>survey_responses[[#This Row],[Tôi thấy Nhà nước đã giải thích rõ ràng, minh bạch về lý do và mục tiêu của việc sửa đổi thuế lần này. - HUMAN-TRU4]]</f>
        <v>5</v>
      </c>
      <c r="BC231" t="str">
        <f t="shared" si="103"/>
        <v>Neutral</v>
      </c>
      <c r="BD231" s="32">
        <f t="shared" si="104"/>
        <v>1</v>
      </c>
      <c r="BE231">
        <f>step3_validation[[#This Row],[AI_OUT1]]</f>
        <v>6</v>
      </c>
      <c r="BF231" t="str">
        <f t="shared" si="105"/>
        <v>Neutral</v>
      </c>
      <c r="BG231">
        <f>survey_responses[[#This Row],[Sau khi xem xét các quyền lợi và nghĩa vụ, bạn có ủng hộ và tuân thủ chính sách mới hiện nay? - HUMAN-OUT1]]</f>
        <v>5</v>
      </c>
      <c r="BH231" t="str">
        <f t="shared" si="106"/>
        <v>Neutral</v>
      </c>
      <c r="BI231" s="32">
        <f t="shared" si="107"/>
        <v>1</v>
      </c>
    </row>
    <row r="232" spans="1:61" x14ac:dyDescent="0.45">
      <c r="A232" s="30">
        <f>step3_validation[[#This Row],[Persona_ID]]</f>
        <v>231</v>
      </c>
      <c r="B232" s="31">
        <f>step3_validation[[#This Row],[Used_Seed]]</f>
        <v>12575</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128.03554286536991</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1</v>
      </c>
      <c r="V232">
        <f>step3_validation[[#This Row],[AI_ENF2]]</f>
        <v>8</v>
      </c>
      <c r="W232" t="str">
        <f t="shared" si="84"/>
        <v>Support</v>
      </c>
      <c r="X232">
        <f>survey_responses[[#This Row],[Tôi tin rằng Nhà nước, cơ quan thuế có đủ khả năng và công nghệ để phát hiện, xử lý nghiêm các hành vi trốn thuế. - HUMAN-ENF2]]</f>
        <v>8</v>
      </c>
      <c r="Y232" t="str">
        <f t="shared" si="85"/>
        <v>Support</v>
      </c>
      <c r="Z232" s="32">
        <f t="shared" si="86"/>
        <v>0</v>
      </c>
      <c r="AA232">
        <f>step3_validation[[#This Row],[AI_FAC1]]</f>
        <v>6</v>
      </c>
      <c r="AB232" t="str">
        <f t="shared" si="87"/>
        <v>Neutral</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2</v>
      </c>
      <c r="AF232">
        <f>step3_validation[[#This Row],[AI_FAC2]]</f>
        <v>8</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0</v>
      </c>
      <c r="AK232">
        <f>step3_validation[[#This Row],[AI_TRU1]]</f>
        <v>7</v>
      </c>
      <c r="AL232" t="str">
        <f t="shared" si="93"/>
        <v>Neutral</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0</v>
      </c>
      <c r="AP232">
        <f>step3_validation[[#This Row],[AI_TRU2]]</f>
        <v>5</v>
      </c>
      <c r="AQ232" t="str">
        <f t="shared" si="96"/>
        <v>Neutral</v>
      </c>
      <c r="AR232">
        <f>survey_responses[[#This Row],[Tôi thấy mức thuế tôi phải đóng theo phương án mới là công bằng (người thu nhập như tôi đóng mức này là hợp lý). - HUMAN-TRU2]]</f>
        <v>7</v>
      </c>
      <c r="AS232" t="str">
        <f t="shared" si="97"/>
        <v>Neutral</v>
      </c>
      <c r="AT232" s="32">
        <f t="shared" si="98"/>
        <v>2</v>
      </c>
      <c r="AU232">
        <f>step3_validation[[#This Row],[AI_TRU3]]</f>
        <v>6</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2</v>
      </c>
      <c r="AZ232">
        <f>step3_validation[[#This Row],[AI_TRU4]]</f>
        <v>4</v>
      </c>
      <c r="BA232" t="str">
        <f t="shared" si="102"/>
        <v>Oppose</v>
      </c>
      <c r="BB232">
        <f>survey_responses[[#This Row],[Tôi thấy Nhà nước đã giải thích rõ ràng, minh bạch về lý do và mục tiêu của việc sửa đổi thuế lần này. - HUMAN-TRU4]]</f>
        <v>7</v>
      </c>
      <c r="BC232" t="str">
        <f t="shared" si="103"/>
        <v>Neutral</v>
      </c>
      <c r="BD232" s="32">
        <f t="shared" si="104"/>
        <v>3</v>
      </c>
      <c r="BE232">
        <f>step3_validation[[#This Row],[AI_OUT1]]</f>
        <v>7</v>
      </c>
      <c r="BF232" t="str">
        <f t="shared" si="105"/>
        <v>Neutral</v>
      </c>
      <c r="BG232">
        <f>survey_responses[[#This Row],[Sau khi xem xét các quyền lợi và nghĩa vụ, bạn có ủng hộ và tuân thủ chính sách mới hiện nay? - HUMAN-OUT1]]</f>
        <v>8</v>
      </c>
      <c r="BH232" t="str">
        <f t="shared" si="106"/>
        <v>Support</v>
      </c>
      <c r="BI232" s="32">
        <f t="shared" si="107"/>
        <v>1</v>
      </c>
    </row>
    <row r="233" spans="1:61" x14ac:dyDescent="0.45">
      <c r="A233" s="30">
        <f>step3_validation[[#This Row],[Persona_ID]]</f>
        <v>232</v>
      </c>
      <c r="B233" s="31">
        <f>step3_validation[[#This Row],[Used_Seed]]</f>
        <v>12576</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50.871414207238672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8</v>
      </c>
      <c r="R233" t="str">
        <f t="shared" si="81"/>
        <v>Support</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2</v>
      </c>
      <c r="V233">
        <f>step3_validation[[#This Row],[AI_ENF2]]</f>
        <v>7</v>
      </c>
      <c r="W233" t="str">
        <f t="shared" si="84"/>
        <v>Neutral</v>
      </c>
      <c r="X233">
        <f>survey_responses[[#This Row],[Tôi tin rằng Nhà nước, cơ quan thuế có đủ khả năng và công nghệ để phát hiện, xử lý nghiêm các hành vi trốn thuế. - HUMAN-ENF2]]</f>
        <v>6</v>
      </c>
      <c r="Y233" t="str">
        <f t="shared" si="85"/>
        <v>Neutral</v>
      </c>
      <c r="Z233" s="32">
        <f t="shared" si="86"/>
        <v>1</v>
      </c>
      <c r="AA233">
        <f>step3_validation[[#This Row],[AI_FAC1]]</f>
        <v>8</v>
      </c>
      <c r="AB233" t="str">
        <f t="shared" si="87"/>
        <v>Support</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2</v>
      </c>
      <c r="AF233">
        <f>step3_validation[[#This Row],[AI_FAC2]]</f>
        <v>9</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3</v>
      </c>
      <c r="AK233">
        <f>step3_validation[[#This Row],[AI_TRU1]]</f>
        <v>7</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1</v>
      </c>
      <c r="AP233">
        <f>step3_validation[[#This Row],[AI_TRU2]]</f>
        <v>8</v>
      </c>
      <c r="AQ233" t="str">
        <f t="shared" si="96"/>
        <v>Support</v>
      </c>
      <c r="AR233">
        <f>survey_responses[[#This Row],[Tôi thấy mức thuế tôi phải đóng theo phương án mới là công bằng (người thu nhập như tôi đóng mức này là hợp lý). - HUMAN-TRU2]]</f>
        <v>6</v>
      </c>
      <c r="AS233" t="str">
        <f t="shared" si="97"/>
        <v>Neutral</v>
      </c>
      <c r="AT233" s="32">
        <f t="shared" si="98"/>
        <v>2</v>
      </c>
      <c r="AU233">
        <f>step3_validation[[#This Row],[AI_TRU3]]</f>
        <v>7</v>
      </c>
      <c r="AV233" t="str">
        <f t="shared" si="99"/>
        <v>Neutral</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1</v>
      </c>
      <c r="AZ233">
        <f>step3_validation[[#This Row],[AI_TRU4]]</f>
        <v>6</v>
      </c>
      <c r="BA233" t="str">
        <f t="shared" si="102"/>
        <v>Neutral</v>
      </c>
      <c r="BB233">
        <f>survey_responses[[#This Row],[Tôi thấy Nhà nước đã giải thích rõ ràng, minh bạch về lý do và mục tiêu của việc sửa đổi thuế lần này. - HUMAN-TRU4]]</f>
        <v>6</v>
      </c>
      <c r="BC233" t="str">
        <f t="shared" si="103"/>
        <v>Neutral</v>
      </c>
      <c r="BD233" s="32">
        <f t="shared" si="104"/>
        <v>0</v>
      </c>
      <c r="BE233">
        <f>step3_validation[[#This Row],[AI_OUT1]]</f>
        <v>5</v>
      </c>
      <c r="BF233" t="str">
        <f t="shared" si="105"/>
        <v>Neutral</v>
      </c>
      <c r="BG233">
        <f>survey_responses[[#This Row],[Sau khi xem xét các quyền lợi và nghĩa vụ, bạn có ủng hộ và tuân thủ chính sách mới hiện nay? - HUMAN-OUT1]]</f>
        <v>6</v>
      </c>
      <c r="BH233" t="str">
        <f t="shared" si="106"/>
        <v>Neutral</v>
      </c>
      <c r="BI233" s="32">
        <f t="shared" si="107"/>
        <v>1</v>
      </c>
    </row>
    <row r="234" spans="1:61" x14ac:dyDescent="0.45">
      <c r="A234" s="30">
        <f>step3_validation[[#This Row],[Persona_ID]]</f>
        <v>233</v>
      </c>
      <c r="B234" s="31">
        <f>step3_validation[[#This Row],[Used_Seed]]</f>
        <v>12577</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14.644126104004014</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8</v>
      </c>
      <c r="R234" t="str">
        <f t="shared" si="81"/>
        <v>Support</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0</v>
      </c>
      <c r="V234">
        <f>step3_validation[[#This Row],[AI_ENF2]]</f>
        <v>9</v>
      </c>
      <c r="W234" t="str">
        <f t="shared" si="84"/>
        <v>Support</v>
      </c>
      <c r="X234">
        <f>survey_responses[[#This Row],[Tôi tin rằng Nhà nước, cơ quan thuế có đủ khả năng và công nghệ để phát hiện, xử lý nghiêm các hành vi trốn thuế. - HUMAN-ENF2]]</f>
        <v>8</v>
      </c>
      <c r="Y234" t="str">
        <f t="shared" si="85"/>
        <v>Support</v>
      </c>
      <c r="Z234" s="32">
        <f t="shared" si="86"/>
        <v>1</v>
      </c>
      <c r="AA234">
        <f>step3_validation[[#This Row],[AI_FAC1]]</f>
        <v>7</v>
      </c>
      <c r="AB234" t="str">
        <f t="shared" si="87"/>
        <v>Neutral</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1</v>
      </c>
      <c r="AF234">
        <f>step3_validation[[#This Row],[AI_FAC2]]</f>
        <v>6</v>
      </c>
      <c r="AG234" t="str">
        <f t="shared" si="90"/>
        <v>Neutral</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2</v>
      </c>
      <c r="AK234">
        <f>step3_validation[[#This Row],[AI_TRU1]]</f>
        <v>7</v>
      </c>
      <c r="AL234" t="str">
        <f t="shared" si="93"/>
        <v>Neutral</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2</v>
      </c>
      <c r="AP234">
        <f>step3_validation[[#This Row],[AI_TRU2]]</f>
        <v>4</v>
      </c>
      <c r="AQ234" t="str">
        <f t="shared" si="96"/>
        <v>Oppose</v>
      </c>
      <c r="AR234">
        <f>survey_responses[[#This Row],[Tôi thấy mức thuế tôi phải đóng theo phương án mới là công bằng (người thu nhập như tôi đóng mức này là hợp lý). - HUMAN-TRU2]]</f>
        <v>8</v>
      </c>
      <c r="AS234" t="str">
        <f t="shared" si="97"/>
        <v>Support</v>
      </c>
      <c r="AT234" s="32">
        <f t="shared" si="98"/>
        <v>4</v>
      </c>
      <c r="AU234">
        <f>step3_validation[[#This Row],[AI_TRU3]]</f>
        <v>6</v>
      </c>
      <c r="AV234" t="str">
        <f t="shared" si="99"/>
        <v>Neutral</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2</v>
      </c>
      <c r="AZ234">
        <f>step3_validation[[#This Row],[AI_TRU4]]</f>
        <v>5</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2">
        <f t="shared" si="104"/>
        <v>3</v>
      </c>
      <c r="BE234">
        <f>step3_validation[[#This Row],[AI_OUT1]]</f>
        <v>3</v>
      </c>
      <c r="BF234" t="str">
        <f t="shared" si="105"/>
        <v>Oppose</v>
      </c>
      <c r="BG234">
        <f>survey_responses[[#This Row],[Sau khi xem xét các quyền lợi và nghĩa vụ, bạn có ủng hộ và tuân thủ chính sách mới hiện nay? - HUMAN-OUT1]]</f>
        <v>10</v>
      </c>
      <c r="BH234" t="str">
        <f t="shared" si="106"/>
        <v>Support</v>
      </c>
      <c r="BI234" s="32">
        <f t="shared" si="107"/>
        <v>7</v>
      </c>
    </row>
    <row r="235" spans="1:61" x14ac:dyDescent="0.45">
      <c r="A235" s="30">
        <f>step3_validation[[#This Row],[Persona_ID]]</f>
        <v>234</v>
      </c>
      <c r="B235" s="31">
        <f>step3_validation[[#This Row],[Used_Seed]]</f>
        <v>12578</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74.992711943235221</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6</v>
      </c>
      <c r="R235" t="str">
        <f t="shared" si="81"/>
        <v>Neutral</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2</v>
      </c>
      <c r="V235">
        <f>step3_validation[[#This Row],[AI_ENF2]]</f>
        <v>7</v>
      </c>
      <c r="W235" t="str">
        <f t="shared" si="84"/>
        <v>Neutral</v>
      </c>
      <c r="X235">
        <f>survey_responses[[#This Row],[Tôi tin rằng Nhà nước, cơ quan thuế có đủ khả năng và công nghệ để phát hiện, xử lý nghiêm các hành vi trốn thuế. - HUMAN-ENF2]]</f>
        <v>4</v>
      </c>
      <c r="Y235" t="str">
        <f t="shared" si="85"/>
        <v>Oppose</v>
      </c>
      <c r="Z235" s="32">
        <f t="shared" si="86"/>
        <v>3</v>
      </c>
      <c r="AA235">
        <f>step3_validation[[#This Row],[AI_FAC1]]</f>
        <v>8</v>
      </c>
      <c r="AB235" t="str">
        <f t="shared" si="87"/>
        <v>Support</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4</v>
      </c>
      <c r="AF235">
        <f>step3_validation[[#This Row],[AI_FAC2]]</f>
        <v>9</v>
      </c>
      <c r="AG235" t="str">
        <f t="shared" si="90"/>
        <v>Support</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5</v>
      </c>
      <c r="AK235">
        <f>step3_validation[[#This Row],[AI_TRU1]]</f>
        <v>7</v>
      </c>
      <c r="AL235" t="str">
        <f t="shared" si="93"/>
        <v>Neutral</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6</v>
      </c>
      <c r="AP235">
        <f>step3_validation[[#This Row],[AI_TRU2]]</f>
        <v>8</v>
      </c>
      <c r="AQ235" t="str">
        <f t="shared" si="96"/>
        <v>Support</v>
      </c>
      <c r="AR235">
        <f>survey_responses[[#This Row],[Tôi thấy mức thuế tôi phải đóng theo phương án mới là công bằng (người thu nhập như tôi đóng mức này là hợp lý). - HUMAN-TRU2]]</f>
        <v>3</v>
      </c>
      <c r="AS235" t="str">
        <f t="shared" si="97"/>
        <v>Oppose</v>
      </c>
      <c r="AT235" s="32">
        <f t="shared" si="98"/>
        <v>5</v>
      </c>
      <c r="AU235">
        <f>step3_validation[[#This Row],[AI_TRU3]]</f>
        <v>7</v>
      </c>
      <c r="AV235" t="str">
        <f t="shared" si="99"/>
        <v>Neutral</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6</v>
      </c>
      <c r="AZ235">
        <f>step3_validation[[#This Row],[AI_TRU4]]</f>
        <v>8</v>
      </c>
      <c r="BA235" t="str">
        <f t="shared" si="102"/>
        <v>Support</v>
      </c>
      <c r="BB235">
        <f>survey_responses[[#This Row],[Tôi thấy Nhà nước đã giải thích rõ ràng, minh bạch về lý do và mục tiêu của việc sửa đổi thuế lần này. - HUMAN-TRU4]]</f>
        <v>1</v>
      </c>
      <c r="BC235" t="str">
        <f t="shared" si="103"/>
        <v>Oppose</v>
      </c>
      <c r="BD235" s="32">
        <f t="shared" si="104"/>
        <v>7</v>
      </c>
      <c r="BE235">
        <f>step3_validation[[#This Row],[AI_OUT1]]</f>
        <v>7</v>
      </c>
      <c r="BF235" t="str">
        <f t="shared" si="105"/>
        <v>Neutral</v>
      </c>
      <c r="BG235">
        <f>survey_responses[[#This Row],[Sau khi xem xét các quyền lợi và nghĩa vụ, bạn có ủng hộ và tuân thủ chính sách mới hiện nay? - HUMAN-OUT1]]</f>
        <v>1</v>
      </c>
      <c r="BH235" t="str">
        <f t="shared" si="106"/>
        <v>Oppose</v>
      </c>
      <c r="BI235" s="32">
        <f t="shared" si="107"/>
        <v>6</v>
      </c>
    </row>
    <row r="236" spans="1:61" x14ac:dyDescent="0.45">
      <c r="A236" s="30">
        <f>step3_validation[[#This Row],[Persona_ID]]</f>
        <v>235</v>
      </c>
      <c r="B236" s="31">
        <f>step3_validation[[#This Row],[Used_Seed]]</f>
        <v>12579</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33.489906884490352</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t="str">
        <f t="shared" si="81"/>
        <v>Neutral</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1</v>
      </c>
      <c r="V236">
        <f>step3_validation[[#This Row],[AI_ENF2]]</f>
        <v>8</v>
      </c>
      <c r="W236" t="str">
        <f t="shared" si="84"/>
        <v>Support</v>
      </c>
      <c r="X236">
        <f>survey_responses[[#This Row],[Tôi tin rằng Nhà nước, cơ quan thuế có đủ khả năng và công nghệ để phát hiện, xử lý nghiêm các hành vi trốn thuế. - HUMAN-ENF2]]</f>
        <v>6</v>
      </c>
      <c r="Y236" t="str">
        <f t="shared" si="85"/>
        <v>Neutral</v>
      </c>
      <c r="Z236" s="32">
        <f t="shared" si="86"/>
        <v>2</v>
      </c>
      <c r="AA236">
        <f>step3_validation[[#This Row],[AI_FAC1]]</f>
        <v>9</v>
      </c>
      <c r="AB236" t="str">
        <f t="shared" si="87"/>
        <v>Support</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8</v>
      </c>
      <c r="AF236">
        <f>step3_validation[[#This Row],[AI_FAC2]]</f>
        <v>8</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2</v>
      </c>
      <c r="AK236">
        <f>step3_validation[[#This Row],[AI_TRU1]]</f>
        <v>6</v>
      </c>
      <c r="AL236" t="str">
        <f t="shared" si="93"/>
        <v>Neutral</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1</v>
      </c>
      <c r="AP236">
        <f>step3_validation[[#This Row],[AI_TRU2]]</f>
        <v>6</v>
      </c>
      <c r="AQ236" t="str">
        <f t="shared" si="96"/>
        <v>Neutral</v>
      </c>
      <c r="AR236">
        <f>survey_responses[[#This Row],[Tôi thấy mức thuế tôi phải đóng theo phương án mới là công bằng (người thu nhập như tôi đóng mức này là hợp lý). - HUMAN-TRU2]]</f>
        <v>6</v>
      </c>
      <c r="AS236" t="str">
        <f t="shared" si="97"/>
        <v>Neutral</v>
      </c>
      <c r="AT236" s="32">
        <f t="shared" si="98"/>
        <v>0</v>
      </c>
      <c r="AU236">
        <f>step3_validation[[#This Row],[AI_TRU3]]</f>
        <v>6</v>
      </c>
      <c r="AV236" t="str">
        <f t="shared" si="99"/>
        <v>Neutral</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1</v>
      </c>
      <c r="AZ236">
        <f>step3_validation[[#This Row],[AI_TRU4]]</f>
        <v>5</v>
      </c>
      <c r="BA236" t="str">
        <f t="shared" si="102"/>
        <v>Neutral</v>
      </c>
      <c r="BB236">
        <f>survey_responses[[#This Row],[Tôi thấy Nhà nước đã giải thích rõ ràng, minh bạch về lý do và mục tiêu của việc sửa đổi thuế lần này. - HUMAN-TRU4]]</f>
        <v>6</v>
      </c>
      <c r="BC236" t="str">
        <f t="shared" si="103"/>
        <v>Neutral</v>
      </c>
      <c r="BD236" s="32">
        <f t="shared" si="104"/>
        <v>1</v>
      </c>
      <c r="BE236">
        <f>step3_validation[[#This Row],[AI_OUT1]]</f>
        <v>7</v>
      </c>
      <c r="BF236" t="str">
        <f t="shared" si="105"/>
        <v>Neutral</v>
      </c>
      <c r="BG236">
        <f>survey_responses[[#This Row],[Sau khi xem xét các quyền lợi và nghĩa vụ, bạn có ủng hộ và tuân thủ chính sách mới hiện nay? - HUMAN-OUT1]]</f>
        <v>6</v>
      </c>
      <c r="BH236" t="str">
        <f t="shared" si="106"/>
        <v>Neutral</v>
      </c>
      <c r="BI236" s="32">
        <f t="shared" si="107"/>
        <v>1</v>
      </c>
    </row>
    <row r="237" spans="1:61" x14ac:dyDescent="0.45">
      <c r="A237" s="30">
        <f>step3_validation[[#This Row],[Persona_ID]]</f>
        <v>236</v>
      </c>
      <c r="B237" s="31">
        <f>step3_validation[[#This Row],[Used_Seed]]</f>
        <v>12580</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68.634207633579592</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7</v>
      </c>
      <c r="R237" t="str">
        <f t="shared" si="81"/>
        <v>Neutral</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0</v>
      </c>
      <c r="V237">
        <f>step3_validation[[#This Row],[AI_ENF2]]</f>
        <v>6</v>
      </c>
      <c r="W237" t="str">
        <f t="shared" si="84"/>
        <v>Neutral</v>
      </c>
      <c r="X237">
        <f>survey_responses[[#This Row],[Tôi tin rằng Nhà nước, cơ quan thuế có đủ khả năng và công nghệ để phát hiện, xử lý nghiêm các hành vi trốn thuế. - HUMAN-ENF2]]</f>
        <v>7</v>
      </c>
      <c r="Y237" t="str">
        <f t="shared" si="85"/>
        <v>Neutral</v>
      </c>
      <c r="Z237" s="32">
        <f t="shared" si="86"/>
        <v>1</v>
      </c>
      <c r="AA237">
        <f>step3_validation[[#This Row],[AI_FAC1]]</f>
        <v>8</v>
      </c>
      <c r="AB237" t="str">
        <f t="shared" si="87"/>
        <v>Support</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1</v>
      </c>
      <c r="AF237">
        <f>step3_validation[[#This Row],[AI_FAC2]]</f>
        <v>9</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2</v>
      </c>
      <c r="AK237">
        <f>step3_validation[[#This Row],[AI_TRU1]]</f>
        <v>7</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0</v>
      </c>
      <c r="AP237">
        <f>step3_validation[[#This Row],[AI_TRU2]]</f>
        <v>6</v>
      </c>
      <c r="AQ237" t="str">
        <f t="shared" si="96"/>
        <v>Neutral</v>
      </c>
      <c r="AR237">
        <f>survey_responses[[#This Row],[Tôi thấy mức thuế tôi phải đóng theo phương án mới là công bằng (người thu nhập như tôi đóng mức này là hợp lý). - HUMAN-TRU2]]</f>
        <v>7</v>
      </c>
      <c r="AS237" t="str">
        <f t="shared" si="97"/>
        <v>Neutral</v>
      </c>
      <c r="AT237" s="32">
        <f t="shared" si="98"/>
        <v>1</v>
      </c>
      <c r="AU237">
        <f>step3_validation[[#This Row],[AI_TRU3]]</f>
        <v>5</v>
      </c>
      <c r="AV237" t="str">
        <f t="shared" si="99"/>
        <v>Neutral</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2</v>
      </c>
      <c r="AZ237">
        <f>step3_validation[[#This Row],[AI_TRU4]]</f>
        <v>6</v>
      </c>
      <c r="BA237" t="str">
        <f t="shared" si="102"/>
        <v>Neutral</v>
      </c>
      <c r="BB237">
        <f>survey_responses[[#This Row],[Tôi thấy Nhà nước đã giải thích rõ ràng, minh bạch về lý do và mục tiêu của việc sửa đổi thuế lần này. - HUMAN-TRU4]]</f>
        <v>7</v>
      </c>
      <c r="BC237" t="str">
        <f t="shared" si="103"/>
        <v>Neutral</v>
      </c>
      <c r="BD237" s="32">
        <f t="shared" si="104"/>
        <v>1</v>
      </c>
      <c r="BE237">
        <f>step3_validation[[#This Row],[AI_OUT1]]</f>
        <v>7</v>
      </c>
      <c r="BF237" t="str">
        <f t="shared" si="105"/>
        <v>Neutral</v>
      </c>
      <c r="BG237">
        <f>survey_responses[[#This Row],[Sau khi xem xét các quyền lợi và nghĩa vụ, bạn có ủng hộ và tuân thủ chính sách mới hiện nay? - HUMAN-OUT1]]</f>
        <v>7</v>
      </c>
      <c r="BH237" t="str">
        <f t="shared" si="106"/>
        <v>Neutral</v>
      </c>
      <c r="BI237" s="32">
        <f t="shared" si="107"/>
        <v>0</v>
      </c>
    </row>
    <row r="238" spans="1:61" x14ac:dyDescent="0.45">
      <c r="A238" s="30">
        <f>step3_validation[[#This Row],[Persona_ID]]</f>
        <v>237</v>
      </c>
      <c r="B238" s="31">
        <f>step3_validation[[#This Row],[Used_Seed]]</f>
        <v>12581</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12.399043697752848</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6</v>
      </c>
      <c r="R238" t="str">
        <f t="shared" si="81"/>
        <v>Neutral</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4</v>
      </c>
      <c r="V238">
        <f>step3_validation[[#This Row],[AI_ENF2]]</f>
        <v>7</v>
      </c>
      <c r="W238" t="str">
        <f t="shared" si="84"/>
        <v>Neutral</v>
      </c>
      <c r="X238">
        <f>survey_responses[[#This Row],[Tôi tin rằng Nhà nước, cơ quan thuế có đủ khả năng và công nghệ để phát hiện, xử lý nghiêm các hành vi trốn thuế. - HUMAN-ENF2]]</f>
        <v>10</v>
      </c>
      <c r="Y238" t="str">
        <f t="shared" si="85"/>
        <v>Support</v>
      </c>
      <c r="Z238" s="32">
        <f t="shared" si="86"/>
        <v>3</v>
      </c>
      <c r="AA238">
        <f>step3_validation[[#This Row],[AI_FAC1]]</f>
        <v>6</v>
      </c>
      <c r="AB238" t="str">
        <f t="shared" si="87"/>
        <v>Neutral</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2</v>
      </c>
      <c r="AF238">
        <f>step3_validation[[#This Row],[AI_FAC2]]</f>
        <v>8</v>
      </c>
      <c r="AG238" t="str">
        <f t="shared" si="90"/>
        <v>Support</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2</v>
      </c>
      <c r="AK238">
        <f>step3_validation[[#This Row],[AI_TRU1]]</f>
        <v>7</v>
      </c>
      <c r="AL238" t="str">
        <f t="shared" si="93"/>
        <v>Neutral</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4</v>
      </c>
      <c r="AP238">
        <f>step3_validation[[#This Row],[AI_TRU2]]</f>
        <v>8</v>
      </c>
      <c r="AQ238" t="str">
        <f t="shared" si="96"/>
        <v>Support</v>
      </c>
      <c r="AR238">
        <f>survey_responses[[#This Row],[Tôi thấy mức thuế tôi phải đóng theo phương án mới là công bằng (người thu nhập như tôi đóng mức này là hợp lý). - HUMAN-TRU2]]</f>
        <v>1</v>
      </c>
      <c r="AS238" t="str">
        <f t="shared" si="97"/>
        <v>Oppose</v>
      </c>
      <c r="AT238" s="32">
        <f t="shared" si="98"/>
        <v>7</v>
      </c>
      <c r="AU238">
        <f>step3_validation[[#This Row],[AI_TRU3]]</f>
        <v>7</v>
      </c>
      <c r="AV238" t="str">
        <f t="shared" si="99"/>
        <v>Neutral</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6</v>
      </c>
      <c r="AZ238">
        <f>step3_validation[[#This Row],[AI_TRU4]]</f>
        <v>6</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2">
        <f t="shared" si="104"/>
        <v>3</v>
      </c>
      <c r="BE238">
        <f>step3_validation[[#This Row],[AI_OUT1]]</f>
        <v>7</v>
      </c>
      <c r="BF238" t="str">
        <f t="shared" si="105"/>
        <v>Neutral</v>
      </c>
      <c r="BG238">
        <f>survey_responses[[#This Row],[Sau khi xem xét các quyền lợi và nghĩa vụ, bạn có ủng hộ và tuân thủ chính sách mới hiện nay? - HUMAN-OUT1]]</f>
        <v>1</v>
      </c>
      <c r="BH238" t="str">
        <f t="shared" si="106"/>
        <v>Oppose</v>
      </c>
      <c r="BI238" s="32">
        <f t="shared" si="107"/>
        <v>6</v>
      </c>
    </row>
    <row r="239" spans="1:61" x14ac:dyDescent="0.45">
      <c r="A239" s="30">
        <f>step3_validation[[#This Row],[Persona_ID]]</f>
        <v>238</v>
      </c>
      <c r="B239" s="31">
        <f>step3_validation[[#This Row],[Used_Seed]]</f>
        <v>12582</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23.801704615176334</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6</v>
      </c>
      <c r="R239" t="str">
        <f t="shared" si="81"/>
        <v>Neutral</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2</v>
      </c>
      <c r="V239">
        <f>step3_validation[[#This Row],[AI_ENF2]]</f>
        <v>7</v>
      </c>
      <c r="W239" t="str">
        <f t="shared" si="84"/>
        <v>Neutral</v>
      </c>
      <c r="X239">
        <f>survey_responses[[#This Row],[Tôi tin rằng Nhà nước, cơ quan thuế có đủ khả năng và công nghệ để phát hiện, xử lý nghiêm các hành vi trốn thuế. - HUMAN-ENF2]]</f>
        <v>10</v>
      </c>
      <c r="Y239" t="str">
        <f t="shared" si="85"/>
        <v>Support</v>
      </c>
      <c r="Z239" s="32">
        <f t="shared" si="86"/>
        <v>3</v>
      </c>
      <c r="AA239">
        <f>step3_validation[[#This Row],[AI_FAC1]]</f>
        <v>8</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0</v>
      </c>
      <c r="AF239">
        <f>step3_validation[[#This Row],[AI_FAC2]]</f>
        <v>7</v>
      </c>
      <c r="AG239" t="str">
        <f t="shared" si="90"/>
        <v>Neutral</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3</v>
      </c>
      <c r="AK239">
        <f>step3_validation[[#This Row],[AI_TRU1]]</f>
        <v>6</v>
      </c>
      <c r="AL239" t="str">
        <f t="shared" si="93"/>
        <v>Neutral</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3</v>
      </c>
      <c r="AP239">
        <f>step3_validation[[#This Row],[AI_TRU2]]</f>
        <v>7</v>
      </c>
      <c r="AQ239" t="str">
        <f t="shared" si="96"/>
        <v>Neutral</v>
      </c>
      <c r="AR239">
        <f>survey_responses[[#This Row],[Tôi thấy mức thuế tôi phải đóng theo phương án mới là công bằng (người thu nhập như tôi đóng mức này là hợp lý). - HUMAN-TRU2]]</f>
        <v>8</v>
      </c>
      <c r="AS239" t="str">
        <f t="shared" si="97"/>
        <v>Support</v>
      </c>
      <c r="AT239" s="32">
        <f t="shared" si="98"/>
        <v>1</v>
      </c>
      <c r="AU239">
        <f>step3_validation[[#This Row],[AI_TRU3]]</f>
        <v>6</v>
      </c>
      <c r="AV239" t="str">
        <f t="shared" si="99"/>
        <v>Neutral</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1</v>
      </c>
      <c r="AZ239">
        <f>step3_validation[[#This Row],[AI_TRU4]]</f>
        <v>7</v>
      </c>
      <c r="BA239" t="str">
        <f t="shared" si="102"/>
        <v>Neutral</v>
      </c>
      <c r="BB239">
        <f>survey_responses[[#This Row],[Tôi thấy Nhà nước đã giải thích rõ ràng, minh bạch về lý do và mục tiêu của việc sửa đổi thuế lần này. - HUMAN-TRU4]]</f>
        <v>9</v>
      </c>
      <c r="BC239" t="str">
        <f t="shared" si="103"/>
        <v>Support</v>
      </c>
      <c r="BD239" s="32">
        <f t="shared" si="104"/>
        <v>2</v>
      </c>
      <c r="BE239">
        <f>step3_validation[[#This Row],[AI_OUT1]]</f>
        <v>8</v>
      </c>
      <c r="BF239" t="str">
        <f t="shared" si="105"/>
        <v>Support</v>
      </c>
      <c r="BG239">
        <f>survey_responses[[#This Row],[Sau khi xem xét các quyền lợi và nghĩa vụ, bạn có ủng hộ và tuân thủ chính sách mới hiện nay? - HUMAN-OUT1]]</f>
        <v>9</v>
      </c>
      <c r="BH239" t="str">
        <f t="shared" si="106"/>
        <v>Support</v>
      </c>
      <c r="BI239" s="32">
        <f t="shared" si="107"/>
        <v>1</v>
      </c>
    </row>
    <row r="240" spans="1:61" x14ac:dyDescent="0.45">
      <c r="A240" s="30">
        <f>step3_validation[[#This Row],[Persona_ID]]</f>
        <v>239</v>
      </c>
      <c r="B240" s="31">
        <f>step3_validation[[#This Row],[Used_Seed]]</f>
        <v>12583</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96.861978178096948</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9</v>
      </c>
      <c r="R240" t="str">
        <f t="shared" si="81"/>
        <v>Support</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3</v>
      </c>
      <c r="V240">
        <f>step3_validation[[#This Row],[AI_ENF2]]</f>
        <v>8</v>
      </c>
      <c r="W240" t="str">
        <f t="shared" si="84"/>
        <v>Support</v>
      </c>
      <c r="X240">
        <f>survey_responses[[#This Row],[Tôi tin rằng Nhà nước, cơ quan thuế có đủ khả năng và công nghệ để phát hiện, xử lý nghiêm các hành vi trốn thuế. - HUMAN-ENF2]]</f>
        <v>6</v>
      </c>
      <c r="Y240" t="str">
        <f t="shared" si="85"/>
        <v>Neutral</v>
      </c>
      <c r="Z240" s="32">
        <f t="shared" si="86"/>
        <v>2</v>
      </c>
      <c r="AA240">
        <f>step3_validation[[#This Row],[AI_FAC1]]</f>
        <v>9</v>
      </c>
      <c r="AB240" t="str">
        <f t="shared" si="87"/>
        <v>Support</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3</v>
      </c>
      <c r="AF240">
        <f>step3_validation[[#This Row],[AI_FAC2]]</f>
        <v>8</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2</v>
      </c>
      <c r="AK240">
        <f>step3_validation[[#This Row],[AI_TRU1]]</f>
        <v>9</v>
      </c>
      <c r="AL240" t="str">
        <f t="shared" si="93"/>
        <v>Support</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3</v>
      </c>
      <c r="AP240">
        <f>step3_validation[[#This Row],[AI_TRU2]]</f>
        <v>8</v>
      </c>
      <c r="AQ240" t="str">
        <f t="shared" si="96"/>
        <v>Support</v>
      </c>
      <c r="AR240">
        <f>survey_responses[[#This Row],[Tôi thấy mức thuế tôi phải đóng theo phương án mới là công bằng (người thu nhập như tôi đóng mức này là hợp lý). - HUMAN-TRU2]]</f>
        <v>6</v>
      </c>
      <c r="AS240" t="str">
        <f t="shared" si="97"/>
        <v>Neutral</v>
      </c>
      <c r="AT240" s="32">
        <f t="shared" si="98"/>
        <v>2</v>
      </c>
      <c r="AU240">
        <f>step3_validation[[#This Row],[AI_TRU3]]</f>
        <v>9</v>
      </c>
      <c r="AV240" t="str">
        <f t="shared" si="99"/>
        <v>Support</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3</v>
      </c>
      <c r="AZ240">
        <f>step3_validation[[#This Row],[AI_TRU4]]</f>
        <v>7</v>
      </c>
      <c r="BA240" t="str">
        <f t="shared" si="102"/>
        <v>Neutral</v>
      </c>
      <c r="BB240">
        <f>survey_responses[[#This Row],[Tôi thấy Nhà nước đã giải thích rõ ràng, minh bạch về lý do và mục tiêu của việc sửa đổi thuế lần này. - HUMAN-TRU4]]</f>
        <v>7</v>
      </c>
      <c r="BC240" t="str">
        <f t="shared" si="103"/>
        <v>Neutral</v>
      </c>
      <c r="BD240" s="32">
        <f t="shared" si="104"/>
        <v>0</v>
      </c>
      <c r="BE240">
        <f>step3_validation[[#This Row],[AI_OUT1]]</f>
        <v>8</v>
      </c>
      <c r="BF240" t="str">
        <f t="shared" si="105"/>
        <v>Support</v>
      </c>
      <c r="BG240">
        <f>survey_responses[[#This Row],[Sau khi xem xét các quyền lợi và nghĩa vụ, bạn có ủng hộ và tuân thủ chính sách mới hiện nay? - HUMAN-OUT1]]</f>
        <v>6</v>
      </c>
      <c r="BH240" t="str">
        <f t="shared" si="106"/>
        <v>Neutral</v>
      </c>
      <c r="BI240" s="32">
        <f t="shared" si="107"/>
        <v>2</v>
      </c>
    </row>
    <row r="241" spans="1:61" x14ac:dyDescent="0.45">
      <c r="A241" s="30">
        <f>step3_validation[[#This Row],[Persona_ID]]</f>
        <v>240</v>
      </c>
      <c r="B241" s="31">
        <f>step3_validation[[#This Row],[Used_Seed]]</f>
        <v>12584</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61.961746975968374</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7</v>
      </c>
      <c r="R241" t="str">
        <f t="shared" si="81"/>
        <v>Neutral</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1</v>
      </c>
      <c r="V241">
        <f>step3_validation[[#This Row],[AI_ENF2]]</f>
        <v>6</v>
      </c>
      <c r="W241" t="str">
        <f t="shared" si="84"/>
        <v>Neutral</v>
      </c>
      <c r="X241">
        <f>survey_responses[[#This Row],[Tôi tin rằng Nhà nước, cơ quan thuế có đủ khả năng và công nghệ để phát hiện, xử lý nghiêm các hành vi trốn thuế. - HUMAN-ENF2]]</f>
        <v>8</v>
      </c>
      <c r="Y241" t="str">
        <f t="shared" si="85"/>
        <v>Support</v>
      </c>
      <c r="Z241" s="32">
        <f t="shared" si="86"/>
        <v>2</v>
      </c>
      <c r="AA241">
        <f>step3_validation[[#This Row],[AI_FAC1]]</f>
        <v>8</v>
      </c>
      <c r="AB241" t="str">
        <f t="shared" si="87"/>
        <v>Support</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0</v>
      </c>
      <c r="AF241">
        <f>step3_validation[[#This Row],[AI_FAC2]]</f>
        <v>7</v>
      </c>
      <c r="AG241" t="str">
        <f t="shared" si="90"/>
        <v>Neutral</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8</v>
      </c>
      <c r="AL241" t="str">
        <f t="shared" si="93"/>
        <v>Support</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0</v>
      </c>
      <c r="AP241">
        <f>step3_validation[[#This Row],[AI_TRU2]]</f>
        <v>7</v>
      </c>
      <c r="AQ241" t="str">
        <f t="shared" si="96"/>
        <v>Neutral</v>
      </c>
      <c r="AR241">
        <f>survey_responses[[#This Row],[Tôi thấy mức thuế tôi phải đóng theo phương án mới là công bằng (người thu nhập như tôi đóng mức này là hợp lý). - HUMAN-TRU2]]</f>
        <v>8</v>
      </c>
      <c r="AS241" t="str">
        <f t="shared" si="97"/>
        <v>Support</v>
      </c>
      <c r="AT241" s="32">
        <f t="shared" si="98"/>
        <v>1</v>
      </c>
      <c r="AU241">
        <f>step3_validation[[#This Row],[AI_TRU3]]</f>
        <v>8</v>
      </c>
      <c r="AV241" t="str">
        <f t="shared" si="99"/>
        <v>Support</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0</v>
      </c>
      <c r="AZ241">
        <f>step3_validation[[#This Row],[AI_TRU4]]</f>
        <v>5</v>
      </c>
      <c r="BA241" t="str">
        <f t="shared" si="102"/>
        <v>Neutral</v>
      </c>
      <c r="BB241">
        <f>survey_responses[[#This Row],[Tôi thấy Nhà nước đã giải thích rõ ràng, minh bạch về lý do và mục tiêu của việc sửa đổi thuế lần này. - HUMAN-TRU4]]</f>
        <v>8</v>
      </c>
      <c r="BC241" t="str">
        <f t="shared" si="103"/>
        <v>Support</v>
      </c>
      <c r="BD241" s="32">
        <f t="shared" si="104"/>
        <v>3</v>
      </c>
      <c r="BE241">
        <f>step3_validation[[#This Row],[AI_OUT1]]</f>
        <v>7</v>
      </c>
      <c r="BF241" t="str">
        <f t="shared" si="105"/>
        <v>Neutral</v>
      </c>
      <c r="BG241">
        <f>survey_responses[[#This Row],[Sau khi xem xét các quyền lợi và nghĩa vụ, bạn có ủng hộ và tuân thủ chính sách mới hiện nay? - HUMAN-OUT1]]</f>
        <v>8</v>
      </c>
      <c r="BH241" t="str">
        <f t="shared" si="106"/>
        <v>Support</v>
      </c>
      <c r="BI241" s="32">
        <f t="shared" si="107"/>
        <v>1</v>
      </c>
    </row>
    <row r="242" spans="1:61" x14ac:dyDescent="0.45">
      <c r="A242" s="30">
        <f>step3_validation[[#This Row],[Persona_ID]]</f>
        <v>241</v>
      </c>
      <c r="B242" s="31">
        <f>step3_validation[[#This Row],[Used_Seed]]</f>
        <v>12585</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55.244096512194275</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7</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0</v>
      </c>
      <c r="V242">
        <f>step3_validation[[#This Row],[AI_ENF2]]</f>
        <v>8</v>
      </c>
      <c r="W242" t="str">
        <f t="shared" si="84"/>
        <v>Support</v>
      </c>
      <c r="X242">
        <f>survey_responses[[#This Row],[Tôi tin rằng Nhà nước, cơ quan thuế có đủ khả năng và công nghệ để phát hiện, xử lý nghiêm các hành vi trốn thuế. - HUMAN-ENF2]]</f>
        <v>6</v>
      </c>
      <c r="Y242" t="str">
        <f t="shared" si="85"/>
        <v>Neutral</v>
      </c>
      <c r="Z242" s="32">
        <f t="shared" si="86"/>
        <v>2</v>
      </c>
      <c r="AA242">
        <f>step3_validation[[#This Row],[AI_FAC1]]</f>
        <v>6</v>
      </c>
      <c r="AB242" t="str">
        <f t="shared" si="87"/>
        <v>Neutral</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1</v>
      </c>
      <c r="AF242">
        <f>step3_validation[[#This Row],[AI_FAC2]]</f>
        <v>8</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1</v>
      </c>
      <c r="AK242">
        <f>step3_validation[[#This Row],[AI_TRU1]]</f>
        <v>7</v>
      </c>
      <c r="AL242" t="str">
        <f t="shared" si="93"/>
        <v>Neutral</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1</v>
      </c>
      <c r="AP242">
        <f>step3_validation[[#This Row],[AI_TRU2]]</f>
        <v>6</v>
      </c>
      <c r="AQ242" t="str">
        <f t="shared" si="96"/>
        <v>Neutral</v>
      </c>
      <c r="AR242">
        <f>survey_responses[[#This Row],[Tôi thấy mức thuế tôi phải đóng theo phương án mới là công bằng (người thu nhập như tôi đóng mức này là hợp lý). - HUMAN-TRU2]]</f>
        <v>8</v>
      </c>
      <c r="AS242" t="str">
        <f t="shared" si="97"/>
        <v>Support</v>
      </c>
      <c r="AT242" s="32">
        <f t="shared" si="98"/>
        <v>2</v>
      </c>
      <c r="AU242">
        <f>step3_validation[[#This Row],[AI_TRU3]]</f>
        <v>6</v>
      </c>
      <c r="AV242" t="str">
        <f t="shared" si="99"/>
        <v>Neutral</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2</v>
      </c>
      <c r="AZ242">
        <f>step3_validation[[#This Row],[AI_TRU4]]</f>
        <v>5</v>
      </c>
      <c r="BA242" t="str">
        <f t="shared" si="102"/>
        <v>Neutral</v>
      </c>
      <c r="BB242">
        <f>survey_responses[[#This Row],[Tôi thấy Nhà nước đã giải thích rõ ràng, minh bạch về lý do và mục tiêu của việc sửa đổi thuế lần này. - HUMAN-TRU4]]</f>
        <v>8</v>
      </c>
      <c r="BC242" t="str">
        <f t="shared" si="103"/>
        <v>Support</v>
      </c>
      <c r="BD242" s="32">
        <f t="shared" si="104"/>
        <v>3</v>
      </c>
      <c r="BE242">
        <f>step3_validation[[#This Row],[AI_OUT1]]</f>
        <v>7</v>
      </c>
      <c r="BF242" t="str">
        <f t="shared" si="105"/>
        <v>Neutral</v>
      </c>
      <c r="BG242">
        <f>survey_responses[[#This Row],[Sau khi xem xét các quyền lợi và nghĩa vụ, bạn có ủng hộ và tuân thủ chính sách mới hiện nay? - HUMAN-OUT1]]</f>
        <v>8</v>
      </c>
      <c r="BH242" t="str">
        <f t="shared" si="106"/>
        <v>Support</v>
      </c>
      <c r="BI242" s="32">
        <f t="shared" si="107"/>
        <v>1</v>
      </c>
    </row>
    <row r="243" spans="1:61" x14ac:dyDescent="0.45">
      <c r="A243" s="30">
        <f>step3_validation[[#This Row],[Persona_ID]]</f>
        <v>242</v>
      </c>
      <c r="B243" s="31">
        <f>step3_validation[[#This Row],[Used_Seed]]</f>
        <v>12586</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49.477002046177468</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t="str">
        <f t="shared" si="81"/>
        <v>Neutral</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1</v>
      </c>
      <c r="V243">
        <f>step3_validation[[#This Row],[AI_ENF2]]</f>
        <v>8</v>
      </c>
      <c r="W243" t="str">
        <f t="shared" si="84"/>
        <v>Support</v>
      </c>
      <c r="X243">
        <f>survey_responses[[#This Row],[Tôi tin rằng Nhà nước, cơ quan thuế có đủ khả năng và công nghệ để phát hiện, xử lý nghiêm các hành vi trốn thuế. - HUMAN-ENF2]]</f>
        <v>5</v>
      </c>
      <c r="Y243" t="str">
        <f t="shared" si="85"/>
        <v>Neutral</v>
      </c>
      <c r="Z243" s="32">
        <f t="shared" si="86"/>
        <v>3</v>
      </c>
      <c r="AA243">
        <f>step3_validation[[#This Row],[AI_FAC1]]</f>
        <v>6</v>
      </c>
      <c r="AB243" t="str">
        <f t="shared" si="87"/>
        <v>Neutral</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1</v>
      </c>
      <c r="AF243">
        <f>step3_validation[[#This Row],[AI_FAC2]]</f>
        <v>7</v>
      </c>
      <c r="AG243" t="str">
        <f t="shared" si="90"/>
        <v>Neutral</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0</v>
      </c>
      <c r="AK243">
        <f>step3_validation[[#This Row],[AI_TRU1]]</f>
        <v>7</v>
      </c>
      <c r="AL243" t="str">
        <f t="shared" si="93"/>
        <v>Neutral</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0</v>
      </c>
      <c r="AP243">
        <f>step3_validation[[#This Row],[AI_TRU2]]</f>
        <v>8</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2">
        <f t="shared" si="98"/>
        <v>1</v>
      </c>
      <c r="AU243">
        <f>step3_validation[[#This Row],[AI_TRU3]]</f>
        <v>6</v>
      </c>
      <c r="AV243" t="str">
        <f t="shared" si="99"/>
        <v>Neutral</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1</v>
      </c>
      <c r="AZ243">
        <f>step3_validation[[#This Row],[AI_TRU4]]</f>
        <v>7</v>
      </c>
      <c r="BA243" t="str">
        <f t="shared" si="102"/>
        <v>Neutral</v>
      </c>
      <c r="BB243">
        <f>survey_responses[[#This Row],[Tôi thấy Nhà nước đã giải thích rõ ràng, minh bạch về lý do và mục tiêu của việc sửa đổi thuế lần này. - HUMAN-TRU4]]</f>
        <v>8</v>
      </c>
      <c r="BC243" t="str">
        <f t="shared" si="103"/>
        <v>Support</v>
      </c>
      <c r="BD243" s="32">
        <f t="shared" si="104"/>
        <v>1</v>
      </c>
      <c r="BE243">
        <f>step3_validation[[#This Row],[AI_OUT1]]</f>
        <v>8</v>
      </c>
      <c r="BF243" t="str">
        <f t="shared" si="105"/>
        <v>Support</v>
      </c>
      <c r="BG243">
        <f>survey_responses[[#This Row],[Sau khi xem xét các quyền lợi và nghĩa vụ, bạn có ủng hộ và tuân thủ chính sách mới hiện nay? - HUMAN-OUT1]]</f>
        <v>8</v>
      </c>
      <c r="BH243" t="str">
        <f t="shared" si="106"/>
        <v>Support</v>
      </c>
      <c r="BI243" s="32">
        <f t="shared" si="107"/>
        <v>0</v>
      </c>
    </row>
    <row r="244" spans="1:61" x14ac:dyDescent="0.45">
      <c r="A244" s="30">
        <f>step3_validation[[#This Row],[Persona_ID]]</f>
        <v>243</v>
      </c>
      <c r="B244" s="31">
        <f>step3_validation[[#This Row],[Used_Seed]]</f>
        <v>12587</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73.91270643903151</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t="str">
        <f t="shared" si="81"/>
        <v>Neutral</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1</v>
      </c>
      <c r="V244">
        <f>step3_validation[[#This Row],[AI_ENF2]]</f>
        <v>6</v>
      </c>
      <c r="W244" t="str">
        <f t="shared" si="84"/>
        <v>Neutral</v>
      </c>
      <c r="X244">
        <f>survey_responses[[#This Row],[Tôi tin rằng Nhà nước, cơ quan thuế có đủ khả năng và công nghệ để phát hiện, xử lý nghiêm các hành vi trốn thuế. - HUMAN-ENF2]]</f>
        <v>6</v>
      </c>
      <c r="Y244" t="str">
        <f t="shared" si="85"/>
        <v>Neutral</v>
      </c>
      <c r="Z244" s="32">
        <f t="shared" si="86"/>
        <v>0</v>
      </c>
      <c r="AA244">
        <f>step3_validation[[#This Row],[AI_FAC1]]</f>
        <v>8</v>
      </c>
      <c r="AB244" t="str">
        <f t="shared" si="87"/>
        <v>Support</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2</v>
      </c>
      <c r="AF244">
        <f>step3_validation[[#This Row],[AI_FAC2]]</f>
        <v>9</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3</v>
      </c>
      <c r="AK244">
        <f>step3_validation[[#This Row],[AI_TRU1]]</f>
        <v>6</v>
      </c>
      <c r="AL244" t="str">
        <f t="shared" si="93"/>
        <v>Neutral</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0</v>
      </c>
      <c r="AP244">
        <f>step3_validation[[#This Row],[AI_TRU2]]</f>
        <v>7</v>
      </c>
      <c r="AQ244" t="str">
        <f t="shared" si="96"/>
        <v>Neutral</v>
      </c>
      <c r="AR244">
        <f>survey_responses[[#This Row],[Tôi thấy mức thuế tôi phải đóng theo phương án mới là công bằng (người thu nhập như tôi đóng mức này là hợp lý). - HUMAN-TRU2]]</f>
        <v>6</v>
      </c>
      <c r="AS244" t="str">
        <f t="shared" si="97"/>
        <v>Neutral</v>
      </c>
      <c r="AT244" s="32">
        <f t="shared" si="98"/>
        <v>1</v>
      </c>
      <c r="AU244">
        <f>step3_validation[[#This Row],[AI_TRU3]]</f>
        <v>6</v>
      </c>
      <c r="AV244" t="str">
        <f t="shared" si="99"/>
        <v>Neutral</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0</v>
      </c>
      <c r="AZ244">
        <f>step3_validation[[#This Row],[AI_TRU4]]</f>
        <v>5</v>
      </c>
      <c r="BA244" t="str">
        <f t="shared" si="102"/>
        <v>Neutral</v>
      </c>
      <c r="BB244">
        <f>survey_responses[[#This Row],[Tôi thấy Nhà nước đã giải thích rõ ràng, minh bạch về lý do và mục tiêu của việc sửa đổi thuế lần này. - HUMAN-TRU4]]</f>
        <v>6</v>
      </c>
      <c r="BC244" t="str">
        <f t="shared" si="103"/>
        <v>Neutral</v>
      </c>
      <c r="BD244" s="32">
        <f t="shared" si="104"/>
        <v>1</v>
      </c>
      <c r="BE244">
        <f>step3_validation[[#This Row],[AI_OUT1]]</f>
        <v>7</v>
      </c>
      <c r="BF244" t="str">
        <f t="shared" si="105"/>
        <v>Neutral</v>
      </c>
      <c r="BG244">
        <f>survey_responses[[#This Row],[Sau khi xem xét các quyền lợi và nghĩa vụ, bạn có ủng hộ và tuân thủ chính sách mới hiện nay? - HUMAN-OUT1]]</f>
        <v>6</v>
      </c>
      <c r="BH244" t="str">
        <f t="shared" si="106"/>
        <v>Neutral</v>
      </c>
      <c r="BI244" s="32">
        <f t="shared" si="107"/>
        <v>1</v>
      </c>
    </row>
    <row r="245" spans="1:61" x14ac:dyDescent="0.45">
      <c r="A245" s="30">
        <f>step3_validation[[#This Row],[Persona_ID]]</f>
        <v>244</v>
      </c>
      <c r="B245" s="31">
        <f>step3_validation[[#This Row],[Used_Seed]]</f>
        <v>12588</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62.774756718616466</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8</v>
      </c>
      <c r="R245" t="str">
        <f t="shared" si="81"/>
        <v>Support</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1</v>
      </c>
      <c r="V245">
        <f>step3_validation[[#This Row],[AI_ENF2]]</f>
        <v>9</v>
      </c>
      <c r="W245" t="str">
        <f t="shared" si="84"/>
        <v>Support</v>
      </c>
      <c r="X245">
        <f>survey_responses[[#This Row],[Tôi tin rằng Nhà nước, cơ quan thuế có đủ khả năng và công nghệ để phát hiện, xử lý nghiêm các hành vi trốn thuế. - HUMAN-ENF2]]</f>
        <v>6</v>
      </c>
      <c r="Y245" t="str">
        <f t="shared" si="85"/>
        <v>Neutral</v>
      </c>
      <c r="Z245" s="32">
        <f t="shared" si="86"/>
        <v>3</v>
      </c>
      <c r="AA245">
        <f>step3_validation[[#This Row],[AI_FAC1]]</f>
        <v>7</v>
      </c>
      <c r="AB245" t="str">
        <f t="shared" si="87"/>
        <v>Neutral</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1</v>
      </c>
      <c r="AF245">
        <f>step3_validation[[#This Row],[AI_FAC2]]</f>
        <v>8</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0</v>
      </c>
      <c r="AK245">
        <f>step3_validation[[#This Row],[AI_TRU1]]</f>
        <v>7</v>
      </c>
      <c r="AL245" t="str">
        <f t="shared" si="93"/>
        <v>Neutral</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1</v>
      </c>
      <c r="AP245">
        <f>step3_validation[[#This Row],[AI_TRU2]]</f>
        <v>8</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2</v>
      </c>
      <c r="AU245">
        <f>step3_validation[[#This Row],[AI_TRU3]]</f>
        <v>6</v>
      </c>
      <c r="AV245" t="str">
        <f t="shared" si="99"/>
        <v>Neutral</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0</v>
      </c>
      <c r="AZ245">
        <f>step3_validation[[#This Row],[AI_TRU4]]</f>
        <v>5</v>
      </c>
      <c r="BA245" t="str">
        <f t="shared" si="102"/>
        <v>Neutral</v>
      </c>
      <c r="BB245">
        <f>survey_responses[[#This Row],[Tôi thấy Nhà nước đã giải thích rõ ràng, minh bạch về lý do và mục tiêu của việc sửa đổi thuế lần này. - HUMAN-TRU4]]</f>
        <v>6</v>
      </c>
      <c r="BC245" t="str">
        <f t="shared" si="103"/>
        <v>Neutral</v>
      </c>
      <c r="BD245" s="32">
        <f t="shared" si="104"/>
        <v>1</v>
      </c>
      <c r="BE245">
        <f>step3_validation[[#This Row],[AI_OUT1]]</f>
        <v>7</v>
      </c>
      <c r="BF245" t="str">
        <f t="shared" si="105"/>
        <v>Neutral</v>
      </c>
      <c r="BG245">
        <f>survey_responses[[#This Row],[Sau khi xem xét các quyền lợi và nghĩa vụ, bạn có ủng hộ và tuân thủ chính sách mới hiện nay? - HUMAN-OUT1]]</f>
        <v>6</v>
      </c>
      <c r="BH245" t="str">
        <f t="shared" si="106"/>
        <v>Neutral</v>
      </c>
      <c r="BI245" s="32">
        <f t="shared" si="107"/>
        <v>1</v>
      </c>
    </row>
    <row r="246" spans="1:61" x14ac:dyDescent="0.45">
      <c r="A246" s="30">
        <f>step3_validation[[#This Row],[Persona_ID]]</f>
        <v>245</v>
      </c>
      <c r="B246" s="31">
        <f>step3_validation[[#This Row],[Used_Seed]]</f>
        <v>12589</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160.27799351115863</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6</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2</v>
      </c>
      <c r="V246">
        <f>step3_validation[[#This Row],[AI_ENF2]]</f>
        <v>7</v>
      </c>
      <c r="W246" t="str">
        <f t="shared" si="84"/>
        <v>Neutral</v>
      </c>
      <c r="X246">
        <f>survey_responses[[#This Row],[Tôi tin rằng Nhà nước, cơ quan thuế có đủ khả năng và công nghệ để phát hiện, xử lý nghiêm các hành vi trốn thuế. - HUMAN-ENF2]]</f>
        <v>4</v>
      </c>
      <c r="Y246" t="str">
        <f t="shared" si="85"/>
        <v>Oppose</v>
      </c>
      <c r="Z246" s="32">
        <f t="shared" si="86"/>
        <v>3</v>
      </c>
      <c r="AA246">
        <f>step3_validation[[#This Row],[AI_FAC1]]</f>
        <v>8</v>
      </c>
      <c r="AB246" t="str">
        <f t="shared" si="87"/>
        <v>Support</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7</v>
      </c>
      <c r="AF246">
        <f>step3_validation[[#This Row],[AI_FAC2]]</f>
        <v>9</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5</v>
      </c>
      <c r="AK246">
        <f>step3_validation[[#This Row],[AI_TRU1]]</f>
        <v>5</v>
      </c>
      <c r="AL246" t="str">
        <f t="shared" si="93"/>
        <v>Neutral</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1</v>
      </c>
      <c r="AP246">
        <f>step3_validation[[#This Row],[AI_TRU2]]</f>
        <v>7</v>
      </c>
      <c r="AQ246" t="str">
        <f t="shared" si="96"/>
        <v>Neutral</v>
      </c>
      <c r="AR246">
        <f>survey_responses[[#This Row],[Tôi thấy mức thuế tôi phải đóng theo phương án mới là công bằng (người thu nhập như tôi đóng mức này là hợp lý). - HUMAN-TRU2]]</f>
        <v>4</v>
      </c>
      <c r="AS246" t="str">
        <f t="shared" si="97"/>
        <v>Oppose</v>
      </c>
      <c r="AT246" s="32">
        <f t="shared" si="98"/>
        <v>3</v>
      </c>
      <c r="AU246">
        <f>step3_validation[[#This Row],[AI_TRU3]]</f>
        <v>4</v>
      </c>
      <c r="AV246" t="str">
        <f t="shared" si="99"/>
        <v>Oppose</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1</v>
      </c>
      <c r="AZ246">
        <f>step3_validation[[#This Row],[AI_TRU4]]</f>
        <v>5</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0</v>
      </c>
      <c r="BE246">
        <f>step3_validation[[#This Row],[AI_OUT1]]</f>
        <v>6</v>
      </c>
      <c r="BF246" t="str">
        <f t="shared" si="105"/>
        <v>Neutral</v>
      </c>
      <c r="BG246">
        <f>survey_responses[[#This Row],[Sau khi xem xét các quyền lợi và nghĩa vụ, bạn có ủng hộ và tuân thủ chính sách mới hiện nay? - HUMAN-OUT1]]</f>
        <v>5</v>
      </c>
      <c r="BH246" t="str">
        <f t="shared" si="106"/>
        <v>Neutral</v>
      </c>
      <c r="BI246" s="32">
        <f t="shared" si="107"/>
        <v>1</v>
      </c>
    </row>
    <row r="247" spans="1:61" x14ac:dyDescent="0.45">
      <c r="A247" s="30">
        <f>step3_validation[[#This Row],[Persona_ID]]</f>
        <v>246</v>
      </c>
      <c r="B247" s="31">
        <f>step3_validation[[#This Row],[Used_Seed]]</f>
        <v>12590</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24.830761581250968</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7</v>
      </c>
      <c r="R247" t="str">
        <f t="shared" si="81"/>
        <v>Neutral</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1</v>
      </c>
      <c r="V247">
        <f>step3_validation[[#This Row],[AI_ENF2]]</f>
        <v>8</v>
      </c>
      <c r="W247" t="str">
        <f t="shared" si="84"/>
        <v>Support</v>
      </c>
      <c r="X247">
        <f>survey_responses[[#This Row],[Tôi tin rằng Nhà nước, cơ quan thuế có đủ khả năng và công nghệ để phát hiện, xử lý nghiêm các hành vi trốn thuế. - HUMAN-ENF2]]</f>
        <v>7</v>
      </c>
      <c r="Y247" t="str">
        <f t="shared" si="85"/>
        <v>Neutral</v>
      </c>
      <c r="Z247" s="32">
        <f t="shared" si="86"/>
        <v>1</v>
      </c>
      <c r="AA247">
        <f>step3_validation[[#This Row],[AI_FAC1]]</f>
        <v>9</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2</v>
      </c>
      <c r="AF247">
        <f>step3_validation[[#This Row],[AI_FAC2]]</f>
        <v>8</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1</v>
      </c>
      <c r="AK247">
        <f>step3_validation[[#This Row],[AI_TRU1]]</f>
        <v>7</v>
      </c>
      <c r="AL247" t="str">
        <f t="shared" si="93"/>
        <v>Neutral</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0</v>
      </c>
      <c r="AP247">
        <f>step3_validation[[#This Row],[AI_TRU2]]</f>
        <v>6</v>
      </c>
      <c r="AQ247" t="str">
        <f t="shared" si="96"/>
        <v>Neutral</v>
      </c>
      <c r="AR247">
        <f>survey_responses[[#This Row],[Tôi thấy mức thuế tôi phải đóng theo phương án mới là công bằng (người thu nhập như tôi đóng mức này là hợp lý). - HUMAN-TRU2]]</f>
        <v>7</v>
      </c>
      <c r="AS247" t="str">
        <f t="shared" si="97"/>
        <v>Neutral</v>
      </c>
      <c r="AT247" s="32">
        <f t="shared" si="98"/>
        <v>1</v>
      </c>
      <c r="AU247">
        <f>step3_validation[[#This Row],[AI_TRU3]]</f>
        <v>7</v>
      </c>
      <c r="AV247" t="str">
        <f t="shared" si="99"/>
        <v>Neutral</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0</v>
      </c>
      <c r="AZ247">
        <f>step3_validation[[#This Row],[AI_TRU4]]</f>
        <v>5</v>
      </c>
      <c r="BA247" t="str">
        <f t="shared" si="102"/>
        <v>Neutral</v>
      </c>
      <c r="BB247">
        <f>survey_responses[[#This Row],[Tôi thấy Nhà nước đã giải thích rõ ràng, minh bạch về lý do và mục tiêu của việc sửa đổi thuế lần này. - HUMAN-TRU4]]</f>
        <v>7</v>
      </c>
      <c r="BC247" t="str">
        <f t="shared" si="103"/>
        <v>Neutral</v>
      </c>
      <c r="BD247" s="32">
        <f t="shared" si="104"/>
        <v>2</v>
      </c>
      <c r="BE247">
        <f>step3_validation[[#This Row],[AI_OUT1]]</f>
        <v>6</v>
      </c>
      <c r="BF247" t="str">
        <f t="shared" si="105"/>
        <v>Neutral</v>
      </c>
      <c r="BG247">
        <f>survey_responses[[#This Row],[Sau khi xem xét các quyền lợi và nghĩa vụ, bạn có ủng hộ và tuân thủ chính sách mới hiện nay? - HUMAN-OUT1]]</f>
        <v>7</v>
      </c>
      <c r="BH247" t="str">
        <f t="shared" si="106"/>
        <v>Neutral</v>
      </c>
      <c r="BI247" s="32">
        <f t="shared" si="107"/>
        <v>1</v>
      </c>
    </row>
    <row r="248" spans="1:61" x14ac:dyDescent="0.45">
      <c r="A248" s="30">
        <f>step3_validation[[#This Row],[Persona_ID]]</f>
        <v>247</v>
      </c>
      <c r="B248" s="31">
        <f>step3_validation[[#This Row],[Used_Seed]]</f>
        <v>12591</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51.908259134031475</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7</v>
      </c>
      <c r="R248" t="str">
        <f t="shared" si="81"/>
        <v>Neutral</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1</v>
      </c>
      <c r="V248">
        <f>step3_validation[[#This Row],[AI_ENF2]]</f>
        <v>8</v>
      </c>
      <c r="W248" t="str">
        <f t="shared" si="84"/>
        <v>Support</v>
      </c>
      <c r="X248">
        <f>survey_responses[[#This Row],[Tôi tin rằng Nhà nước, cơ quan thuế có đủ khả năng và công nghệ để phát hiện, xử lý nghiêm các hành vi trốn thuế. - HUMAN-ENF2]]</f>
        <v>8</v>
      </c>
      <c r="Y248" t="str">
        <f t="shared" si="85"/>
        <v>Support</v>
      </c>
      <c r="Z248" s="32">
        <f t="shared" si="86"/>
        <v>0</v>
      </c>
      <c r="AA248">
        <f>step3_validation[[#This Row],[AI_FAC1]]</f>
        <v>9</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1</v>
      </c>
      <c r="AF248">
        <f>step3_validation[[#This Row],[AI_FAC2]]</f>
        <v>8</v>
      </c>
      <c r="AG248" t="str">
        <f t="shared" si="90"/>
        <v>Support</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0</v>
      </c>
      <c r="AK248">
        <f>step3_validation[[#This Row],[AI_TRU1]]</f>
        <v>7</v>
      </c>
      <c r="AL248" t="str">
        <f t="shared" si="93"/>
        <v>Neutral</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1</v>
      </c>
      <c r="AP248">
        <f>step3_validation[[#This Row],[AI_TRU2]]</f>
        <v>8</v>
      </c>
      <c r="AQ248" t="str">
        <f t="shared" si="96"/>
        <v>Support</v>
      </c>
      <c r="AR248">
        <f>survey_responses[[#This Row],[Tôi thấy mức thuế tôi phải đóng theo phương án mới là công bằng (người thu nhập như tôi đóng mức này là hợp lý). - HUMAN-TRU2]]</f>
        <v>8</v>
      </c>
      <c r="AS248" t="str">
        <f t="shared" si="97"/>
        <v>Support</v>
      </c>
      <c r="AT248" s="32">
        <f t="shared" si="98"/>
        <v>0</v>
      </c>
      <c r="AU248">
        <f>step3_validation[[#This Row],[AI_TRU3]]</f>
        <v>6</v>
      </c>
      <c r="AV248" t="str">
        <f t="shared" si="99"/>
        <v>Neutral</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2</v>
      </c>
      <c r="AZ248">
        <f>step3_validation[[#This Row],[AI_TRU4]]</f>
        <v>5</v>
      </c>
      <c r="BA248" t="str">
        <f t="shared" si="102"/>
        <v>Neutral</v>
      </c>
      <c r="BB248">
        <f>survey_responses[[#This Row],[Tôi thấy Nhà nước đã giải thích rõ ràng, minh bạch về lý do và mục tiêu của việc sửa đổi thuế lần này. - HUMAN-TRU4]]</f>
        <v>8</v>
      </c>
      <c r="BC248" t="str">
        <f t="shared" si="103"/>
        <v>Support</v>
      </c>
      <c r="BD248" s="32">
        <f t="shared" si="104"/>
        <v>3</v>
      </c>
      <c r="BE248">
        <f>step3_validation[[#This Row],[AI_OUT1]]</f>
        <v>6</v>
      </c>
      <c r="BF248" t="str">
        <f t="shared" si="105"/>
        <v>Neutral</v>
      </c>
      <c r="BG248">
        <f>survey_responses[[#This Row],[Sau khi xem xét các quyền lợi và nghĩa vụ, bạn có ủng hộ và tuân thủ chính sách mới hiện nay? - HUMAN-OUT1]]</f>
        <v>8</v>
      </c>
      <c r="BH248" t="str">
        <f t="shared" si="106"/>
        <v>Support</v>
      </c>
      <c r="BI248" s="32">
        <f t="shared" si="107"/>
        <v>2</v>
      </c>
    </row>
    <row r="249" spans="1:61" x14ac:dyDescent="0.45">
      <c r="A249" s="30">
        <f>step3_validation[[#This Row],[Persona_ID]]</f>
        <v>248</v>
      </c>
      <c r="B249" s="31">
        <f>step3_validation[[#This Row],[Used_Seed]]</f>
        <v>12592</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38.324639309206603</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0</v>
      </c>
      <c r="V249">
        <f>step3_validation[[#This Row],[AI_ENF2]]</f>
        <v>8</v>
      </c>
      <c r="W249" t="str">
        <f t="shared" si="84"/>
        <v>Support</v>
      </c>
      <c r="X249">
        <f>survey_responses[[#This Row],[Tôi tin rằng Nhà nước, cơ quan thuế có đủ khả năng và công nghệ để phát hiện, xử lý nghiêm các hành vi trốn thuế. - HUMAN-ENF2]]</f>
        <v>7</v>
      </c>
      <c r="Y249" t="str">
        <f t="shared" si="85"/>
        <v>Neutral</v>
      </c>
      <c r="Z249" s="32">
        <f t="shared" si="86"/>
        <v>1</v>
      </c>
      <c r="AA249">
        <f>step3_validation[[#This Row],[AI_FAC1]]</f>
        <v>6</v>
      </c>
      <c r="AB249" t="str">
        <f t="shared" si="87"/>
        <v>Neutral</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1</v>
      </c>
      <c r="AF249">
        <f>step3_validation[[#This Row],[AI_FAC2]]</f>
        <v>9</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2</v>
      </c>
      <c r="AK249">
        <f>step3_validation[[#This Row],[AI_TRU1]]</f>
        <v>6</v>
      </c>
      <c r="AL249" t="str">
        <f t="shared" si="93"/>
        <v>Neutral</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1</v>
      </c>
      <c r="AP249">
        <f>step3_validation[[#This Row],[AI_TRU2]]</f>
        <v>7</v>
      </c>
      <c r="AQ249" t="str">
        <f t="shared" si="96"/>
        <v>Neutral</v>
      </c>
      <c r="AR249">
        <f>survey_responses[[#This Row],[Tôi thấy mức thuế tôi phải đóng theo phương án mới là công bằng (người thu nhập như tôi đóng mức này là hợp lý). - HUMAN-TRU2]]</f>
        <v>7</v>
      </c>
      <c r="AS249" t="str">
        <f t="shared" si="97"/>
        <v>Neutral</v>
      </c>
      <c r="AT249" s="32">
        <f t="shared" si="98"/>
        <v>0</v>
      </c>
      <c r="AU249">
        <f>step3_validation[[#This Row],[AI_TRU3]]</f>
        <v>6</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1</v>
      </c>
      <c r="AZ249">
        <f>step3_validation[[#This Row],[AI_TRU4]]</f>
        <v>7</v>
      </c>
      <c r="BA249" t="str">
        <f t="shared" si="102"/>
        <v>Neutral</v>
      </c>
      <c r="BB249">
        <f>survey_responses[[#This Row],[Tôi thấy Nhà nước đã giải thích rõ ràng, minh bạch về lý do và mục tiêu của việc sửa đổi thuế lần này. - HUMAN-TRU4]]</f>
        <v>7</v>
      </c>
      <c r="BC249" t="str">
        <f t="shared" si="103"/>
        <v>Neutral</v>
      </c>
      <c r="BD249" s="32">
        <f t="shared" si="104"/>
        <v>0</v>
      </c>
      <c r="BE249">
        <f>step3_validation[[#This Row],[AI_OUT1]]</f>
        <v>8</v>
      </c>
      <c r="BF249" t="str">
        <f t="shared" si="105"/>
        <v>Support</v>
      </c>
      <c r="BG249">
        <f>survey_responses[[#This Row],[Sau khi xem xét các quyền lợi và nghĩa vụ, bạn có ủng hộ và tuân thủ chính sách mới hiện nay? - HUMAN-OUT1]]</f>
        <v>7</v>
      </c>
      <c r="BH249" t="str">
        <f t="shared" si="106"/>
        <v>Neutral</v>
      </c>
      <c r="BI249" s="32">
        <f t="shared" si="107"/>
        <v>1</v>
      </c>
    </row>
    <row r="250" spans="1:61" x14ac:dyDescent="0.45">
      <c r="A250" s="30">
        <f>step3_validation[[#This Row],[Persona_ID]]</f>
        <v>249</v>
      </c>
      <c r="B250" s="31">
        <f>step3_validation[[#This Row],[Used_Seed]]</f>
        <v>12593</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95.970651707955142</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8</v>
      </c>
      <c r="R250" t="str">
        <f t="shared" si="81"/>
        <v>Support</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1</v>
      </c>
      <c r="V250">
        <f>step3_validation[[#This Row],[AI_ENF2]]</f>
        <v>7</v>
      </c>
      <c r="W250" t="str">
        <f t="shared" si="84"/>
        <v>Neutral</v>
      </c>
      <c r="X250">
        <f>survey_responses[[#This Row],[Tôi tin rằng Nhà nước, cơ quan thuế có đủ khả năng và công nghệ để phát hiện, xử lý nghiêm các hành vi trốn thuế. - HUMAN-ENF2]]</f>
        <v>9</v>
      </c>
      <c r="Y250" t="str">
        <f t="shared" si="85"/>
        <v>Support</v>
      </c>
      <c r="Z250" s="32">
        <f t="shared" si="86"/>
        <v>2</v>
      </c>
      <c r="AA250">
        <f>step3_validation[[#This Row],[AI_FAC1]]</f>
        <v>9</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0</v>
      </c>
      <c r="AF250">
        <f>step3_validation[[#This Row],[AI_FAC2]]</f>
        <v>8</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1</v>
      </c>
      <c r="AK250">
        <f>step3_validation[[#This Row],[AI_TRU1]]</f>
        <v>9</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0</v>
      </c>
      <c r="AP250">
        <f>step3_validation[[#This Row],[AI_TRU2]]</f>
        <v>8</v>
      </c>
      <c r="AQ250" t="str">
        <f t="shared" si="96"/>
        <v>Support</v>
      </c>
      <c r="AR250">
        <f>survey_responses[[#This Row],[Tôi thấy mức thuế tôi phải đóng theo phương án mới là công bằng (người thu nhập như tôi đóng mức này là hợp lý). - HUMAN-TRU2]]</f>
        <v>9</v>
      </c>
      <c r="AS250" t="str">
        <f t="shared" si="97"/>
        <v>Support</v>
      </c>
      <c r="AT250" s="32">
        <f t="shared" si="98"/>
        <v>1</v>
      </c>
      <c r="AU250">
        <f>step3_validation[[#This Row],[AI_TRU3]]</f>
        <v>9</v>
      </c>
      <c r="AV250" t="str">
        <f t="shared" si="99"/>
        <v>Support</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0</v>
      </c>
      <c r="AZ250">
        <f>step3_validation[[#This Row],[AI_TRU4]]</f>
        <v>6</v>
      </c>
      <c r="BA250" t="str">
        <f t="shared" si="102"/>
        <v>Neutral</v>
      </c>
      <c r="BB250">
        <f>survey_responses[[#This Row],[Tôi thấy Nhà nước đã giải thích rõ ràng, minh bạch về lý do và mục tiêu của việc sửa đổi thuế lần này. - HUMAN-TRU4]]</f>
        <v>9</v>
      </c>
      <c r="BC250" t="str">
        <f t="shared" si="103"/>
        <v>Support</v>
      </c>
      <c r="BD250" s="32">
        <f t="shared" si="104"/>
        <v>3</v>
      </c>
      <c r="BE250">
        <f>step3_validation[[#This Row],[AI_OUT1]]</f>
        <v>7</v>
      </c>
      <c r="BF250" t="str">
        <f t="shared" si="105"/>
        <v>Neutral</v>
      </c>
      <c r="BG250">
        <f>survey_responses[[#This Row],[Sau khi xem xét các quyền lợi và nghĩa vụ, bạn có ủng hộ và tuân thủ chính sách mới hiện nay? - HUMAN-OUT1]]</f>
        <v>9</v>
      </c>
      <c r="BH250" t="str">
        <f t="shared" si="106"/>
        <v>Support</v>
      </c>
      <c r="BI250" s="32">
        <f t="shared" si="107"/>
        <v>2</v>
      </c>
    </row>
    <row r="251" spans="1:61" x14ac:dyDescent="0.45">
      <c r="A251" s="30">
        <f>step3_validation[[#This Row],[Persona_ID]]</f>
        <v>250</v>
      </c>
      <c r="B251" s="31">
        <f>step3_validation[[#This Row],[Used_Seed]]</f>
        <v>12594</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55.813882137423207</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7</v>
      </c>
      <c r="R251" t="str">
        <f t="shared" si="81"/>
        <v>Neutral</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0</v>
      </c>
      <c r="V251">
        <f>step3_validation[[#This Row],[AI_ENF2]]</f>
        <v>8</v>
      </c>
      <c r="W251" t="str">
        <f t="shared" si="84"/>
        <v>Support</v>
      </c>
      <c r="X251">
        <f>survey_responses[[#This Row],[Tôi tin rằng Nhà nước, cơ quan thuế có đủ khả năng và công nghệ để phát hiện, xử lý nghiêm các hành vi trốn thuế. - HUMAN-ENF2]]</f>
        <v>6</v>
      </c>
      <c r="Y251" t="str">
        <f t="shared" si="85"/>
        <v>Neutral</v>
      </c>
      <c r="Z251" s="32">
        <f t="shared" si="86"/>
        <v>2</v>
      </c>
      <c r="AA251">
        <f>step3_validation[[#This Row],[AI_FAC1]]</f>
        <v>6</v>
      </c>
      <c r="AB251" t="str">
        <f t="shared" si="87"/>
        <v>Neutral</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1</v>
      </c>
      <c r="AF251">
        <f>step3_validation[[#This Row],[AI_FAC2]]</f>
        <v>8</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2</v>
      </c>
      <c r="AK251">
        <f>step3_validation[[#This Row],[AI_TRU1]]</f>
        <v>7</v>
      </c>
      <c r="AL251" t="str">
        <f t="shared" si="93"/>
        <v>Neutral</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1</v>
      </c>
      <c r="AP251">
        <f>step3_validation[[#This Row],[AI_TRU2]]</f>
        <v>6</v>
      </c>
      <c r="AQ251" t="str">
        <f t="shared" si="96"/>
        <v>Neutral</v>
      </c>
      <c r="AR251">
        <f>survey_responses[[#This Row],[Tôi thấy mức thuế tôi phải đóng theo phương án mới là công bằng (người thu nhập như tôi đóng mức này là hợp lý). - HUMAN-TRU2]]</f>
        <v>6</v>
      </c>
      <c r="AS251" t="str">
        <f t="shared" si="97"/>
        <v>Neutral</v>
      </c>
      <c r="AT251" s="32">
        <f t="shared" si="98"/>
        <v>0</v>
      </c>
      <c r="AU251">
        <f>step3_validation[[#This Row],[AI_TRU3]]</f>
        <v>5</v>
      </c>
      <c r="AV251" t="str">
        <f t="shared" si="99"/>
        <v>Neutral</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1</v>
      </c>
      <c r="AZ251">
        <f>step3_validation[[#This Row],[AI_TRU4]]</f>
        <v>7</v>
      </c>
      <c r="BA251" t="str">
        <f t="shared" si="102"/>
        <v>Neutral</v>
      </c>
      <c r="BB251">
        <f>survey_responses[[#This Row],[Tôi thấy Nhà nước đã giải thích rõ ràng, minh bạch về lý do và mục tiêu của việc sửa đổi thuế lần này. - HUMAN-TRU4]]</f>
        <v>6</v>
      </c>
      <c r="BC251" t="str">
        <f t="shared" si="103"/>
        <v>Neutral</v>
      </c>
      <c r="BD251" s="32">
        <f t="shared" si="104"/>
        <v>1</v>
      </c>
      <c r="BE251">
        <f>step3_validation[[#This Row],[AI_OUT1]]</f>
        <v>6</v>
      </c>
      <c r="BF251" t="str">
        <f t="shared" si="105"/>
        <v>Neutral</v>
      </c>
      <c r="BG251">
        <f>survey_responses[[#This Row],[Sau khi xem xét các quyền lợi và nghĩa vụ, bạn có ủng hộ và tuân thủ chính sách mới hiện nay? - HUMAN-OUT1]]</f>
        <v>7</v>
      </c>
      <c r="BH251" t="str">
        <f t="shared" si="106"/>
        <v>Neutral</v>
      </c>
      <c r="BI251" s="32">
        <f t="shared" si="107"/>
        <v>1</v>
      </c>
    </row>
    <row r="252" spans="1:61" x14ac:dyDescent="0.45">
      <c r="A252" s="30">
        <f>step3_validation[[#This Row],[Persona_ID]]</f>
        <v>251</v>
      </c>
      <c r="B252" s="31">
        <f>step3_validation[[#This Row],[Used_Seed]]</f>
        <v>12595</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43.750989364816725</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7</v>
      </c>
      <c r="R252" t="str">
        <f t="shared" si="81"/>
        <v>Neutral</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1</v>
      </c>
      <c r="V252">
        <f>step3_validation[[#This Row],[AI_ENF2]]</f>
        <v>8</v>
      </c>
      <c r="W252" t="str">
        <f t="shared" si="84"/>
        <v>Support</v>
      </c>
      <c r="X252">
        <f>survey_responses[[#This Row],[Tôi tin rằng Nhà nước, cơ quan thuế có đủ khả năng và công nghệ để phát hiện, xử lý nghiêm các hành vi trốn thuế. - HUMAN-ENF2]]</f>
        <v>8</v>
      </c>
      <c r="Y252" t="str">
        <f t="shared" si="85"/>
        <v>Support</v>
      </c>
      <c r="Z252" s="32">
        <f t="shared" si="86"/>
        <v>0</v>
      </c>
      <c r="AA252">
        <f>step3_validation[[#This Row],[AI_FAC1]]</f>
        <v>9</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1</v>
      </c>
      <c r="AF252">
        <f>step3_validation[[#This Row],[AI_FAC2]]</f>
        <v>8</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1</v>
      </c>
      <c r="AK252">
        <f>step3_validation[[#This Row],[AI_TRU1]]</f>
        <v>7</v>
      </c>
      <c r="AL252" t="str">
        <f t="shared" si="93"/>
        <v>Neutral</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1</v>
      </c>
      <c r="AP252">
        <f>step3_validation[[#This Row],[AI_TRU2]]</f>
        <v>6</v>
      </c>
      <c r="AQ252" t="str">
        <f t="shared" si="96"/>
        <v>Neutral</v>
      </c>
      <c r="AR252">
        <f>survey_responses[[#This Row],[Tôi thấy mức thuế tôi phải đóng theo phương án mới là công bằng (người thu nhập như tôi đóng mức này là hợp lý). - HUMAN-TRU2]]</f>
        <v>10</v>
      </c>
      <c r="AS252" t="str">
        <f t="shared" si="97"/>
        <v>Support</v>
      </c>
      <c r="AT252" s="32">
        <f t="shared" si="98"/>
        <v>4</v>
      </c>
      <c r="AU252">
        <f>step3_validation[[#This Row],[AI_TRU3]]</f>
        <v>7</v>
      </c>
      <c r="AV252" t="str">
        <f t="shared" si="99"/>
        <v>Neutral</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0</v>
      </c>
      <c r="AZ252">
        <f>step3_validation[[#This Row],[AI_TRU4]]</f>
        <v>6</v>
      </c>
      <c r="BA252" t="str">
        <f t="shared" si="102"/>
        <v>Neutral</v>
      </c>
      <c r="BB252">
        <f>survey_responses[[#This Row],[Tôi thấy Nhà nước đã giải thích rõ ràng, minh bạch về lý do và mục tiêu của việc sửa đổi thuế lần này. - HUMAN-TRU4]]</f>
        <v>7</v>
      </c>
      <c r="BC252" t="str">
        <f t="shared" si="103"/>
        <v>Neutral</v>
      </c>
      <c r="BD252" s="32">
        <f t="shared" si="104"/>
        <v>1</v>
      </c>
      <c r="BE252">
        <f>step3_validation[[#This Row],[AI_OUT1]]</f>
        <v>8</v>
      </c>
      <c r="BF252" t="str">
        <f t="shared" si="105"/>
        <v>Support</v>
      </c>
      <c r="BG252">
        <f>survey_responses[[#This Row],[Sau khi xem xét các quyền lợi và nghĩa vụ, bạn có ủng hộ và tuân thủ chính sách mới hiện nay? - HUMAN-OUT1]]</f>
        <v>10</v>
      </c>
      <c r="BH252" t="str">
        <f t="shared" si="106"/>
        <v>Support</v>
      </c>
      <c r="BI252" s="32">
        <f t="shared" si="107"/>
        <v>2</v>
      </c>
    </row>
    <row r="253" spans="1:61" x14ac:dyDescent="0.45">
      <c r="A253" s="30">
        <f>step3_validation[[#This Row],[Persona_ID]]</f>
        <v>252</v>
      </c>
      <c r="B253" s="31">
        <f>step3_validation[[#This Row],[Used_Seed]]</f>
        <v>12596</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63.366930785870409</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7</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1</v>
      </c>
      <c r="V253">
        <f>step3_validation[[#This Row],[AI_ENF2]]</f>
        <v>6</v>
      </c>
      <c r="W253" t="str">
        <f t="shared" si="84"/>
        <v>Neutral</v>
      </c>
      <c r="X253">
        <f>survey_responses[[#This Row],[Tôi tin rằng Nhà nước, cơ quan thuế có đủ khả năng và công nghệ để phát hiện, xử lý nghiêm các hành vi trốn thuế. - HUMAN-ENF2]]</f>
        <v>6</v>
      </c>
      <c r="Y253" t="str">
        <f t="shared" si="85"/>
        <v>Neutral</v>
      </c>
      <c r="Z253" s="32">
        <f t="shared" si="86"/>
        <v>0</v>
      </c>
      <c r="AA253">
        <f>step3_validation[[#This Row],[AI_FAC1]]</f>
        <v>5</v>
      </c>
      <c r="AB253" t="str">
        <f t="shared" si="87"/>
        <v>Neutral</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4</v>
      </c>
      <c r="AF253">
        <f>step3_validation[[#This Row],[AI_FAC2]]</f>
        <v>8</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2</v>
      </c>
      <c r="AK253">
        <f>step3_validation[[#This Row],[AI_TRU1]]</f>
        <v>7</v>
      </c>
      <c r="AL253" t="str">
        <f t="shared" si="93"/>
        <v>Neutral</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2</v>
      </c>
      <c r="AP253">
        <f>step3_validation[[#This Row],[AI_TRU2]]</f>
        <v>6</v>
      </c>
      <c r="AQ253" t="str">
        <f t="shared" si="96"/>
        <v>Neutral</v>
      </c>
      <c r="AR253">
        <f>survey_responses[[#This Row],[Tôi thấy mức thuế tôi phải đóng theo phương án mới là công bằng (người thu nhập như tôi đóng mức này là hợp lý). - HUMAN-TRU2]]</f>
        <v>6</v>
      </c>
      <c r="AS253" t="str">
        <f t="shared" si="97"/>
        <v>Neutral</v>
      </c>
      <c r="AT253" s="32">
        <f t="shared" si="98"/>
        <v>0</v>
      </c>
      <c r="AU253">
        <f>step3_validation[[#This Row],[AI_TRU3]]</f>
        <v>7</v>
      </c>
      <c r="AV253" t="str">
        <f t="shared" si="99"/>
        <v>Neutral</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1</v>
      </c>
      <c r="AZ253">
        <f>step3_validation[[#This Row],[AI_TRU4]]</f>
        <v>5</v>
      </c>
      <c r="BA253" t="str">
        <f t="shared" si="102"/>
        <v>Neutral</v>
      </c>
      <c r="BB253">
        <f>survey_responses[[#This Row],[Tôi thấy Nhà nước đã giải thích rõ ràng, minh bạch về lý do và mục tiêu của việc sửa đổi thuế lần này. - HUMAN-TRU4]]</f>
        <v>6</v>
      </c>
      <c r="BC253" t="str">
        <f t="shared" si="103"/>
        <v>Neutral</v>
      </c>
      <c r="BD253" s="32">
        <f t="shared" si="104"/>
        <v>1</v>
      </c>
      <c r="BE253">
        <f>step3_validation[[#This Row],[AI_OUT1]]</f>
        <v>6</v>
      </c>
      <c r="BF253" t="str">
        <f t="shared" si="105"/>
        <v>Neutral</v>
      </c>
      <c r="BG253">
        <f>survey_responses[[#This Row],[Sau khi xem xét các quyền lợi và nghĩa vụ, bạn có ủng hộ và tuân thủ chính sách mới hiện nay? - HUMAN-OUT1]]</f>
        <v>6</v>
      </c>
      <c r="BH253" t="str">
        <f t="shared" si="106"/>
        <v>Neutral</v>
      </c>
      <c r="BI253" s="32">
        <f t="shared" si="107"/>
        <v>0</v>
      </c>
    </row>
    <row r="254" spans="1:61" x14ac:dyDescent="0.45">
      <c r="A254" s="30">
        <f>step3_validation[[#This Row],[Persona_ID]]</f>
        <v>253</v>
      </c>
      <c r="B254" s="31">
        <f>step3_validation[[#This Row],[Used_Seed]]</f>
        <v>12597</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84.493388172869544</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6</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2</v>
      </c>
      <c r="V254">
        <f>step3_validation[[#This Row],[AI_ENF2]]</f>
        <v>5</v>
      </c>
      <c r="W254" t="str">
        <f t="shared" si="84"/>
        <v>Neutral</v>
      </c>
      <c r="X254">
        <f>survey_responses[[#This Row],[Tôi tin rằng Nhà nước, cơ quan thuế có đủ khả năng và công nghệ để phát hiện, xử lý nghiêm các hành vi trốn thuế. - HUMAN-ENF2]]</f>
        <v>8</v>
      </c>
      <c r="Y254" t="str">
        <f t="shared" si="85"/>
        <v>Support</v>
      </c>
      <c r="Z254" s="32">
        <f t="shared" si="86"/>
        <v>3</v>
      </c>
      <c r="AA254">
        <f>step3_validation[[#This Row],[AI_FAC1]]</f>
        <v>7</v>
      </c>
      <c r="AB254" t="str">
        <f t="shared" si="87"/>
        <v>Neutral</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4</v>
      </c>
      <c r="AF254">
        <f>step3_validation[[#This Row],[AI_FAC2]]</f>
        <v>6</v>
      </c>
      <c r="AG254" t="str">
        <f t="shared" si="90"/>
        <v>Neutral</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3</v>
      </c>
      <c r="AK254">
        <f>step3_validation[[#This Row],[AI_TRU1]]</f>
        <v>8</v>
      </c>
      <c r="AL254" t="str">
        <f t="shared" si="93"/>
        <v>Support</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0</v>
      </c>
      <c r="AP254">
        <f>step3_validation[[#This Row],[AI_TRU2]]</f>
        <v>5</v>
      </c>
      <c r="AQ254" t="str">
        <f t="shared" si="96"/>
        <v>Neutral</v>
      </c>
      <c r="AR254">
        <f>survey_responses[[#This Row],[Tôi thấy mức thuế tôi phải đóng theo phương án mới là công bằng (người thu nhập như tôi đóng mức này là hợp lý). - HUMAN-TRU2]]</f>
        <v>8</v>
      </c>
      <c r="AS254" t="str">
        <f t="shared" si="97"/>
        <v>Support</v>
      </c>
      <c r="AT254" s="32">
        <f t="shared" si="98"/>
        <v>3</v>
      </c>
      <c r="AU254">
        <f>step3_validation[[#This Row],[AI_TRU3]]</f>
        <v>7</v>
      </c>
      <c r="AV254" t="str">
        <f t="shared" si="99"/>
        <v>Neutral</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1</v>
      </c>
      <c r="AZ254">
        <f>step3_validation[[#This Row],[AI_TRU4]]</f>
        <v>5</v>
      </c>
      <c r="BA254" t="str">
        <f t="shared" si="102"/>
        <v>Neutral</v>
      </c>
      <c r="BB254">
        <f>survey_responses[[#This Row],[Tôi thấy Nhà nước đã giải thích rõ ràng, minh bạch về lý do và mục tiêu của việc sửa đổi thuế lần này. - HUMAN-TRU4]]</f>
        <v>8</v>
      </c>
      <c r="BC254" t="str">
        <f t="shared" si="103"/>
        <v>Support</v>
      </c>
      <c r="BD254" s="32">
        <f t="shared" si="104"/>
        <v>3</v>
      </c>
      <c r="BE254">
        <f>step3_validation[[#This Row],[AI_OUT1]]</f>
        <v>7</v>
      </c>
      <c r="BF254" t="str">
        <f t="shared" si="105"/>
        <v>Neutral</v>
      </c>
      <c r="BG254">
        <f>survey_responses[[#This Row],[Sau khi xem xét các quyền lợi và nghĩa vụ, bạn có ủng hộ và tuân thủ chính sách mới hiện nay? - HUMAN-OUT1]]</f>
        <v>8</v>
      </c>
      <c r="BH254" t="str">
        <f t="shared" si="106"/>
        <v>Support</v>
      </c>
      <c r="BI254" s="32">
        <f t="shared" si="107"/>
        <v>1</v>
      </c>
    </row>
    <row r="255" spans="1:61" x14ac:dyDescent="0.45">
      <c r="A255" s="30">
        <f>step3_validation[[#This Row],[Persona_ID]]</f>
        <v>254</v>
      </c>
      <c r="B255" s="31">
        <f>step3_validation[[#This Row],[Used_Seed]]</f>
        <v>12598</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89.219665372633969</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7</v>
      </c>
      <c r="R255" t="str">
        <f t="shared" si="81"/>
        <v>Neutral</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3</v>
      </c>
      <c r="V255">
        <f>step3_validation[[#This Row],[AI_ENF2]]</f>
        <v>8</v>
      </c>
      <c r="W255" t="str">
        <f t="shared" si="84"/>
        <v>Support</v>
      </c>
      <c r="X255">
        <f>survey_responses[[#This Row],[Tôi tin rằng Nhà nước, cơ quan thuế có đủ khả năng và công nghệ để phát hiện, xử lý nghiêm các hành vi trốn thuế. - HUMAN-ENF2]]</f>
        <v>3</v>
      </c>
      <c r="Y255" t="str">
        <f t="shared" si="85"/>
        <v>Oppose</v>
      </c>
      <c r="Z255" s="32">
        <f t="shared" si="86"/>
        <v>5</v>
      </c>
      <c r="AA255">
        <f>step3_validation[[#This Row],[AI_FAC1]]</f>
        <v>6</v>
      </c>
      <c r="AB255" t="str">
        <f t="shared" si="87"/>
        <v>Neutral</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5</v>
      </c>
      <c r="AF255">
        <f>step3_validation[[#This Row],[AI_FAC2]]</f>
        <v>7</v>
      </c>
      <c r="AG255" t="str">
        <f t="shared" si="90"/>
        <v>Neutral</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0</v>
      </c>
      <c r="AK255">
        <f>step3_validation[[#This Row],[AI_TRU1]]</f>
        <v>8</v>
      </c>
      <c r="AL255" t="str">
        <f t="shared" si="93"/>
        <v>Support</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5</v>
      </c>
      <c r="AP255">
        <f>step3_validation[[#This Row],[AI_TRU2]]</f>
        <v>7</v>
      </c>
      <c r="AQ255" t="str">
        <f t="shared" si="96"/>
        <v>Neutral</v>
      </c>
      <c r="AR255">
        <f>survey_responses[[#This Row],[Tôi thấy mức thuế tôi phải đóng theo phương án mới là công bằng (người thu nhập như tôi đóng mức này là hợp lý). - HUMAN-TRU2]]</f>
        <v>6</v>
      </c>
      <c r="AS255" t="str">
        <f t="shared" si="97"/>
        <v>Neutral</v>
      </c>
      <c r="AT255" s="32">
        <f t="shared" si="98"/>
        <v>1</v>
      </c>
      <c r="AU255">
        <f>step3_validation[[#This Row],[AI_TRU3]]</f>
        <v>8</v>
      </c>
      <c r="AV255" t="str">
        <f t="shared" si="99"/>
        <v>Support</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3</v>
      </c>
      <c r="AZ255">
        <f>step3_validation[[#This Row],[AI_TRU4]]</f>
        <v>7</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1</v>
      </c>
      <c r="BE255">
        <f>step3_validation[[#This Row],[AI_OUT1]]</f>
        <v>7</v>
      </c>
      <c r="BF255" t="str">
        <f t="shared" si="105"/>
        <v>Neutral</v>
      </c>
      <c r="BG255">
        <f>survey_responses[[#This Row],[Sau khi xem xét các quyền lợi và nghĩa vụ, bạn có ủng hộ và tuân thủ chính sách mới hiện nay? - HUMAN-OUT1]]</f>
        <v>6</v>
      </c>
      <c r="BH255" t="str">
        <f t="shared" si="106"/>
        <v>Neutral</v>
      </c>
      <c r="BI255" s="32">
        <f t="shared" si="107"/>
        <v>1</v>
      </c>
    </row>
    <row r="256" spans="1:61" x14ac:dyDescent="0.45">
      <c r="A256" s="30">
        <f>step3_validation[[#This Row],[Persona_ID]]</f>
        <v>255</v>
      </c>
      <c r="B256" s="31">
        <f>step3_validation[[#This Row],[Used_Seed]]</f>
        <v>12599</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63.722273621221056</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8</v>
      </c>
      <c r="R256" t="str">
        <f t="shared" si="81"/>
        <v>Support</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2</v>
      </c>
      <c r="V256">
        <f>step3_validation[[#This Row],[AI_ENF2]]</f>
        <v>7</v>
      </c>
      <c r="W256" t="str">
        <f t="shared" si="84"/>
        <v>Neutral</v>
      </c>
      <c r="X256">
        <f>survey_responses[[#This Row],[Tôi tin rằng Nhà nước, cơ quan thuế có đủ khả năng và công nghệ để phát hiện, xử lý nghiêm các hành vi trốn thuế. - HUMAN-ENF2]]</f>
        <v>6</v>
      </c>
      <c r="Y256" t="str">
        <f t="shared" si="85"/>
        <v>Neutral</v>
      </c>
      <c r="Z256" s="32">
        <f t="shared" si="86"/>
        <v>1</v>
      </c>
      <c r="AA256">
        <f>step3_validation[[#This Row],[AI_FAC1]]</f>
        <v>9</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8</v>
      </c>
      <c r="AF256">
        <f>step3_validation[[#This Row],[AI_FAC2]]</f>
        <v>7</v>
      </c>
      <c r="AG256" t="str">
        <f t="shared" si="90"/>
        <v>Neutral</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0</v>
      </c>
      <c r="AK256">
        <f>step3_validation[[#This Row],[AI_TRU1]]</f>
        <v>8</v>
      </c>
      <c r="AL256" t="str">
        <f t="shared" si="93"/>
        <v>Support</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3</v>
      </c>
      <c r="AP256">
        <f>step3_validation[[#This Row],[AI_TRU2]]</f>
        <v>6</v>
      </c>
      <c r="AQ256" t="str">
        <f t="shared" si="96"/>
        <v>Neutral</v>
      </c>
      <c r="AR256">
        <f>survey_responses[[#This Row],[Tôi thấy mức thuế tôi phải đóng theo phương án mới là công bằng (người thu nhập như tôi đóng mức này là hợp lý). - HUMAN-TRU2]]</f>
        <v>6</v>
      </c>
      <c r="AS256" t="str">
        <f t="shared" si="97"/>
        <v>Neutral</v>
      </c>
      <c r="AT256" s="32">
        <f t="shared" si="98"/>
        <v>0</v>
      </c>
      <c r="AU256">
        <f>step3_validation[[#This Row],[AI_TRU3]]</f>
        <v>7</v>
      </c>
      <c r="AV256" t="str">
        <f t="shared" si="99"/>
        <v>Neutral</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1</v>
      </c>
      <c r="AZ256">
        <f>step3_validation[[#This Row],[AI_TRU4]]</f>
        <v>5</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1</v>
      </c>
      <c r="BE256">
        <f>step3_validation[[#This Row],[AI_OUT1]]</f>
        <v>7</v>
      </c>
      <c r="BF256" t="str">
        <f t="shared" si="105"/>
        <v>Neutral</v>
      </c>
      <c r="BG256">
        <f>survey_responses[[#This Row],[Sau khi xem xét các quyền lợi và nghĩa vụ, bạn có ủng hộ và tuân thủ chính sách mới hiện nay? - HUMAN-OUT1]]</f>
        <v>6</v>
      </c>
      <c r="BH256" t="str">
        <f t="shared" si="106"/>
        <v>Neutral</v>
      </c>
      <c r="BI256" s="32">
        <f t="shared" si="107"/>
        <v>1</v>
      </c>
    </row>
    <row r="257" spans="1:61" x14ac:dyDescent="0.45">
      <c r="A257" s="30">
        <f>step3_validation[[#This Row],[Persona_ID]]</f>
        <v>256</v>
      </c>
      <c r="B257" s="31">
        <f>step3_validation[[#This Row],[Used_Seed]]</f>
        <v>12600</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167.09669027968141</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1</v>
      </c>
      <c r="V257">
        <f>step3_validation[[#This Row],[AI_ENF2]]</f>
        <v>8</v>
      </c>
      <c r="W257" t="str">
        <f t="shared" si="84"/>
        <v>Support</v>
      </c>
      <c r="X257">
        <f>survey_responses[[#This Row],[Tôi tin rằng Nhà nước, cơ quan thuế có đủ khả năng và công nghệ để phát hiện, xử lý nghiêm các hành vi trốn thuế. - HUMAN-ENF2]]</f>
        <v>8</v>
      </c>
      <c r="Y257" t="str">
        <f t="shared" si="85"/>
        <v>Support</v>
      </c>
      <c r="Z257" s="32">
        <f t="shared" si="86"/>
        <v>0</v>
      </c>
      <c r="AA257">
        <f>step3_validation[[#This Row],[AI_FAC1]]</f>
        <v>6</v>
      </c>
      <c r="AB257" t="str">
        <f t="shared" si="87"/>
        <v>Neutral</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1</v>
      </c>
      <c r="AF257">
        <f>step3_validation[[#This Row],[AI_FAC2]]</f>
        <v>8</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0</v>
      </c>
      <c r="AK257">
        <f>step3_validation[[#This Row],[AI_TRU1]]</f>
        <v>7</v>
      </c>
      <c r="AL257" t="str">
        <f t="shared" si="93"/>
        <v>Neutral</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1</v>
      </c>
      <c r="AP257">
        <f>step3_validation[[#This Row],[AI_TRU2]]</f>
        <v>7</v>
      </c>
      <c r="AQ257" t="str">
        <f t="shared" si="96"/>
        <v>Neutral</v>
      </c>
      <c r="AR257">
        <f>survey_responses[[#This Row],[Tôi thấy mức thuế tôi phải đóng theo phương án mới là công bằng (người thu nhập như tôi đóng mức này là hợp lý). - HUMAN-TRU2]]</f>
        <v>7</v>
      </c>
      <c r="AS257" t="str">
        <f t="shared" si="97"/>
        <v>Neutral</v>
      </c>
      <c r="AT257" s="32">
        <f t="shared" si="98"/>
        <v>0</v>
      </c>
      <c r="AU257">
        <f>step3_validation[[#This Row],[AI_TRU3]]</f>
        <v>6</v>
      </c>
      <c r="AV257" t="str">
        <f t="shared" si="99"/>
        <v>Neutral</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1</v>
      </c>
      <c r="AZ257">
        <f>step3_validation[[#This Row],[AI_TRU4]]</f>
        <v>7</v>
      </c>
      <c r="BA257" t="str">
        <f t="shared" si="102"/>
        <v>Neutral</v>
      </c>
      <c r="BB257">
        <f>survey_responses[[#This Row],[Tôi thấy Nhà nước đã giải thích rõ ràng, minh bạch về lý do và mục tiêu của việc sửa đổi thuế lần này. - HUMAN-TRU4]]</f>
        <v>7</v>
      </c>
      <c r="BC257" t="str">
        <f t="shared" si="103"/>
        <v>Neutral</v>
      </c>
      <c r="BD257" s="32">
        <f t="shared" si="104"/>
        <v>0</v>
      </c>
      <c r="BE257">
        <f>step3_validation[[#This Row],[AI_OUT1]]</f>
        <v>7</v>
      </c>
      <c r="BF257" t="str">
        <f t="shared" si="105"/>
        <v>Neutral</v>
      </c>
      <c r="BG257">
        <f>survey_responses[[#This Row],[Sau khi xem xét các quyền lợi và nghĩa vụ, bạn có ủng hộ và tuân thủ chính sách mới hiện nay? - HUMAN-OUT1]]</f>
        <v>7</v>
      </c>
      <c r="BH257" t="str">
        <f t="shared" si="106"/>
        <v>Neutral</v>
      </c>
      <c r="BI257" s="32">
        <f t="shared" si="107"/>
        <v>0</v>
      </c>
    </row>
    <row r="258" spans="1:61" x14ac:dyDescent="0.45">
      <c r="A258" s="30">
        <f>step3_validation[[#This Row],[Persona_ID]]</f>
        <v>257</v>
      </c>
      <c r="B258" s="31">
        <f>step3_validation[[#This Row],[Used_Seed]]</f>
        <v>12601</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36.263610707498728</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8</v>
      </c>
      <c r="R258" t="str">
        <f t="shared" si="81"/>
        <v>Support</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1</v>
      </c>
      <c r="V258">
        <f>step3_validation[[#This Row],[AI_ENF2]]</f>
        <v>9</v>
      </c>
      <c r="W258" t="str">
        <f t="shared" si="84"/>
        <v>Support</v>
      </c>
      <c r="X258">
        <f>survey_responses[[#This Row],[Tôi tin rằng Nhà nước, cơ quan thuế có đủ khả năng và công nghệ để phát hiện, xử lý nghiêm các hành vi trốn thuế. - HUMAN-ENF2]]</f>
        <v>8</v>
      </c>
      <c r="Y258" t="str">
        <f t="shared" si="85"/>
        <v>Support</v>
      </c>
      <c r="Z258" s="32">
        <f t="shared" si="86"/>
        <v>1</v>
      </c>
      <c r="AA258">
        <f>step3_validation[[#This Row],[AI_FAC1]]</f>
        <v>7</v>
      </c>
      <c r="AB258" t="str">
        <f t="shared" si="87"/>
        <v>Neutral</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3</v>
      </c>
      <c r="AF258">
        <f>step3_validation[[#This Row],[AI_FAC2]]</f>
        <v>8</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0</v>
      </c>
      <c r="AK258">
        <f>step3_validation[[#This Row],[AI_TRU1]]</f>
        <v>7</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2</v>
      </c>
      <c r="AP258">
        <f>step3_validation[[#This Row],[AI_TRU2]]</f>
        <v>8</v>
      </c>
      <c r="AQ258" t="str">
        <f t="shared" si="96"/>
        <v>Support</v>
      </c>
      <c r="AR258">
        <f>survey_responses[[#This Row],[Tôi thấy mức thuế tôi phải đóng theo phương án mới là công bằng (người thu nhập như tôi đóng mức này là hợp lý). - HUMAN-TRU2]]</f>
        <v>7</v>
      </c>
      <c r="AS258" t="str">
        <f t="shared" si="97"/>
        <v>Neutral</v>
      </c>
      <c r="AT258" s="32">
        <f t="shared" si="98"/>
        <v>1</v>
      </c>
      <c r="AU258">
        <f>step3_validation[[#This Row],[AI_TRU3]]</f>
        <v>7</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2</v>
      </c>
      <c r="AZ258">
        <f>step3_validation[[#This Row],[AI_TRU4]]</f>
        <v>8</v>
      </c>
      <c r="BA258" t="str">
        <f t="shared" si="102"/>
        <v>Support</v>
      </c>
      <c r="BB258">
        <f>survey_responses[[#This Row],[Tôi thấy Nhà nước đã giải thích rõ ràng, minh bạch về lý do và mục tiêu của việc sửa đổi thuế lần này. - HUMAN-TRU4]]</f>
        <v>6</v>
      </c>
      <c r="BC258" t="str">
        <f t="shared" si="103"/>
        <v>Neutral</v>
      </c>
      <c r="BD258" s="32">
        <f t="shared" si="104"/>
        <v>2</v>
      </c>
      <c r="BE258">
        <f>step3_validation[[#This Row],[AI_OUT1]]</f>
        <v>7</v>
      </c>
      <c r="BF258" t="str">
        <f t="shared" si="105"/>
        <v>Neutral</v>
      </c>
      <c r="BG258">
        <f>survey_responses[[#This Row],[Sau khi xem xét các quyền lợi và nghĩa vụ, bạn có ủng hộ và tuân thủ chính sách mới hiện nay? - HUMAN-OUT1]]</f>
        <v>6</v>
      </c>
      <c r="BH258" t="str">
        <f t="shared" si="106"/>
        <v>Neutral</v>
      </c>
      <c r="BI258" s="32">
        <f t="shared" si="107"/>
        <v>1</v>
      </c>
    </row>
    <row r="259" spans="1:61" x14ac:dyDescent="0.45">
      <c r="A259" s="30">
        <f>step3_validation[[#This Row],[Persona_ID]]</f>
        <v>258</v>
      </c>
      <c r="B259" s="31">
        <f>step3_validation[[#This Row],[Used_Seed]]</f>
        <v>12602</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60.016750374929345</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7</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1</v>
      </c>
      <c r="V259">
        <f>step3_validation[[#This Row],[AI_ENF2]]</f>
        <v>6</v>
      </c>
      <c r="W259" t="str">
        <f t="shared" ref="W259:W322" si="111">IF(AND(V259&gt;=1,V259&lt;5),"Oppose",IF(AND(V259&gt;=5,V259&lt;8),"Neutral",IF(AND(V259&gt;=8,V259&lt;=10),"Support","")))</f>
        <v>Neutral</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1</v>
      </c>
      <c r="AA259">
        <f>step3_validation[[#This Row],[AI_FAC1]]</f>
        <v>7</v>
      </c>
      <c r="AB259" t="str">
        <f t="shared" ref="AB259:AB322" si="114">IF(AND(AA259&gt;=1,AA259&lt;5),"Oppose",IF(AND(AA259&gt;=5,AA259&lt;8),"Neutral",IF(AND(AA259&gt;=8,AA259&lt;=10),"Support","")))</f>
        <v>Neutral</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5</v>
      </c>
      <c r="AF259">
        <f>step3_validation[[#This Row],[AI_FAC2]]</f>
        <v>8</v>
      </c>
      <c r="AG259" t="str">
        <f t="shared" ref="AG259:AG322" si="117">IF(AND(AF259&gt;=1,AF259&lt;5),"Oppose",IF(AND(AF259&gt;=5,AF259&lt;8),"Neutral",IF(AND(AF259&gt;=8,AF259&lt;=10),"Support","")))</f>
        <v>Support</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1</v>
      </c>
      <c r="AK259">
        <f>step3_validation[[#This Row],[AI_TRU1]]</f>
        <v>6</v>
      </c>
      <c r="AL259" t="str">
        <f t="shared" ref="AL259:AL322" si="120">IF(AND(AK259&gt;=1,AK259&lt;5),"Oppose",IF(AND(AK259&gt;=5,AK259&lt;8),"Neutral",IF(AND(AK259&gt;=8,AK259&lt;=10),"Support","")))</f>
        <v>Neutral</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1</v>
      </c>
      <c r="AP259">
        <f>step3_validation[[#This Row],[AI_TRU2]]</f>
        <v>5</v>
      </c>
      <c r="AQ259" t="str">
        <f t="shared" ref="AQ259:AQ322" si="123">IF(AND(AP259&gt;=1,AP259&lt;5),"Oppose",IF(AND(AP259&gt;=5,AP259&lt;8),"Neutral",IF(AND(AP259&gt;=8,AP259&lt;=10),"Support","")))</f>
        <v>Neutral</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0</v>
      </c>
      <c r="AU259">
        <f>step3_validation[[#This Row],[AI_TRU3]]</f>
        <v>4</v>
      </c>
      <c r="AV259" t="str">
        <f t="shared" ref="AV259:AV322" si="126">IF(AND(AU259&gt;=1,AU259&lt;5),"Oppose",IF(AND(AU259&gt;=5,AU259&lt;8),"Neutral",IF(AND(AU259&gt;=8,AU259&lt;=10),"Support","")))</f>
        <v>Oppose</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1</v>
      </c>
      <c r="AZ259">
        <f>step3_validation[[#This Row],[AI_TRU4]]</f>
        <v>5</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1</v>
      </c>
      <c r="BE259">
        <f>step3_validation[[#This Row],[AI_OUT1]]</f>
        <v>4</v>
      </c>
      <c r="BF259" t="str">
        <f t="shared" ref="BF259:BF322" si="132">IF(AND(BE259&gt;=1,BE259&lt;5),"Oppose",IF(AND(BE259&gt;=5,BE259&lt;8),"Neutral",IF(AND(BE259&gt;=8,BE259&lt;=10),"Support","")))</f>
        <v>Oppose</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1</v>
      </c>
    </row>
    <row r="260" spans="1:61" x14ac:dyDescent="0.45">
      <c r="A260" s="30">
        <f>step3_validation[[#This Row],[Persona_ID]]</f>
        <v>259</v>
      </c>
      <c r="B260" s="31">
        <f>step3_validation[[#This Row],[Used_Seed]]</f>
        <v>12603</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132.41059809018466</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5</v>
      </c>
      <c r="V260">
        <f>step3_validation[[#This Row],[AI_ENF2]]</f>
        <v>8</v>
      </c>
      <c r="W260" t="str">
        <f t="shared" si="111"/>
        <v>Support</v>
      </c>
      <c r="X260">
        <f>survey_responses[[#This Row],[Tôi tin rằng Nhà nước, cơ quan thuế có đủ khả năng và công nghệ để phát hiện, xử lý nghiêm các hành vi trốn thuế. - HUMAN-ENF2]]</f>
        <v>1</v>
      </c>
      <c r="Y260" t="str">
        <f t="shared" si="112"/>
        <v>Oppose</v>
      </c>
      <c r="Z260" s="32">
        <f t="shared" si="113"/>
        <v>7</v>
      </c>
      <c r="AA260">
        <f>step3_validation[[#This Row],[AI_FAC1]]</f>
        <v>9</v>
      </c>
      <c r="AB260" t="str">
        <f t="shared" si="114"/>
        <v>Support</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8</v>
      </c>
      <c r="AF260">
        <f>step3_validation[[#This Row],[AI_FAC2]]</f>
        <v>7</v>
      </c>
      <c r="AG260" t="str">
        <f t="shared" si="117"/>
        <v>Neutral</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1</v>
      </c>
      <c r="AK260">
        <f>step3_validation[[#This Row],[AI_TRU1]]</f>
        <v>6</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4</v>
      </c>
      <c r="AP260">
        <f>step3_validation[[#This Row],[AI_TRU2]]</f>
        <v>7</v>
      </c>
      <c r="AQ260" t="str">
        <f t="shared" si="123"/>
        <v>Neutral</v>
      </c>
      <c r="AR260">
        <f>survey_responses[[#This Row],[Tôi thấy mức thuế tôi phải đóng theo phương án mới là công bằng (người thu nhập như tôi đóng mức này là hợp lý). - HUMAN-TRU2]]</f>
        <v>3</v>
      </c>
      <c r="AS260" t="str">
        <f t="shared" si="124"/>
        <v>Oppose</v>
      </c>
      <c r="AT260" s="32">
        <f t="shared" si="125"/>
        <v>4</v>
      </c>
      <c r="AU260">
        <f>step3_validation[[#This Row],[AI_TRU3]]</f>
        <v>5</v>
      </c>
      <c r="AV260" t="str">
        <f t="shared" si="126"/>
        <v>Neutral</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4</v>
      </c>
      <c r="AZ260">
        <f>step3_validation[[#This Row],[AI_TRU4]]</f>
        <v>6</v>
      </c>
      <c r="BA260" t="str">
        <f t="shared" si="129"/>
        <v>Neutral</v>
      </c>
      <c r="BB260">
        <f>survey_responses[[#This Row],[Tôi thấy Nhà nước đã giải thích rõ ràng, minh bạch về lý do và mục tiêu của việc sửa đổi thuế lần này. - HUMAN-TRU4]]</f>
        <v>5</v>
      </c>
      <c r="BC260" t="str">
        <f t="shared" si="130"/>
        <v>Neutral</v>
      </c>
      <c r="BD260" s="32">
        <f t="shared" si="131"/>
        <v>1</v>
      </c>
      <c r="BE260">
        <f>step3_validation[[#This Row],[AI_OUT1]]</f>
        <v>8</v>
      </c>
      <c r="BF260" t="str">
        <f t="shared" si="132"/>
        <v>Support</v>
      </c>
      <c r="BG260">
        <f>survey_responses[[#This Row],[Sau khi xem xét các quyền lợi và nghĩa vụ, bạn có ủng hộ và tuân thủ chính sách mới hiện nay? - HUMAN-OUT1]]</f>
        <v>4</v>
      </c>
      <c r="BH260" t="str">
        <f t="shared" si="133"/>
        <v>Oppose</v>
      </c>
      <c r="BI260" s="32">
        <f t="shared" si="134"/>
        <v>4</v>
      </c>
    </row>
    <row r="261" spans="1:61" x14ac:dyDescent="0.45">
      <c r="A261" s="30">
        <f>step3_validation[[#This Row],[Persona_ID]]</f>
        <v>260</v>
      </c>
      <c r="B261" s="31">
        <f>step3_validation[[#This Row],[Used_Seed]]</f>
        <v>12604</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32.087303665472916</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8</v>
      </c>
      <c r="R261" t="str">
        <f t="shared" si="108"/>
        <v>Support</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2</v>
      </c>
      <c r="V261">
        <f>step3_validation[[#This Row],[AI_ENF2]]</f>
        <v>7</v>
      </c>
      <c r="W261" t="str">
        <f t="shared" si="111"/>
        <v>Neutral</v>
      </c>
      <c r="X261">
        <f>survey_responses[[#This Row],[Tôi tin rằng Nhà nước, cơ quan thuế có đủ khả năng và công nghệ để phát hiện, xử lý nghiêm các hành vi trốn thuế. - HUMAN-ENF2]]</f>
        <v>6</v>
      </c>
      <c r="Y261" t="str">
        <f t="shared" si="112"/>
        <v>Neutral</v>
      </c>
      <c r="Z261" s="32">
        <f t="shared" si="113"/>
        <v>1</v>
      </c>
      <c r="AA261">
        <f>step3_validation[[#This Row],[AI_FAC1]]</f>
        <v>9</v>
      </c>
      <c r="AB261" t="str">
        <f t="shared" si="114"/>
        <v>Support</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2</v>
      </c>
      <c r="AF261">
        <f>step3_validation[[#This Row],[AI_FAC2]]</f>
        <v>8</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2</v>
      </c>
      <c r="AK261">
        <f>step3_validation[[#This Row],[AI_TRU1]]</f>
        <v>7</v>
      </c>
      <c r="AL261" t="str">
        <f t="shared" si="120"/>
        <v>Neutral</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2</v>
      </c>
      <c r="AP261">
        <f>step3_validation[[#This Row],[AI_TRU2]]</f>
        <v>6</v>
      </c>
      <c r="AQ261" t="str">
        <f t="shared" si="123"/>
        <v>Neutral</v>
      </c>
      <c r="AR261">
        <f>survey_responses[[#This Row],[Tôi thấy mức thuế tôi phải đóng theo phương án mới là công bằng (người thu nhập như tôi đóng mức này là hợp lý). - HUMAN-TRU2]]</f>
        <v>6</v>
      </c>
      <c r="AS261" t="str">
        <f t="shared" si="124"/>
        <v>Neutral</v>
      </c>
      <c r="AT261" s="32">
        <f t="shared" si="125"/>
        <v>0</v>
      </c>
      <c r="AU261">
        <f>step3_validation[[#This Row],[AI_TRU3]]</f>
        <v>7</v>
      </c>
      <c r="AV261" t="str">
        <f t="shared" si="126"/>
        <v>Neutral</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2</v>
      </c>
      <c r="AZ261">
        <f>step3_validation[[#This Row],[AI_TRU4]]</f>
        <v>6</v>
      </c>
      <c r="BA261" t="str">
        <f t="shared" si="129"/>
        <v>Neutral</v>
      </c>
      <c r="BB261">
        <f>survey_responses[[#This Row],[Tôi thấy Nhà nước đã giải thích rõ ràng, minh bạch về lý do và mục tiêu của việc sửa đổi thuế lần này. - HUMAN-TRU4]]</f>
        <v>6</v>
      </c>
      <c r="BC261" t="str">
        <f t="shared" si="130"/>
        <v>Neutral</v>
      </c>
      <c r="BD261" s="32">
        <f t="shared" si="131"/>
        <v>0</v>
      </c>
      <c r="BE261">
        <f>step3_validation[[#This Row],[AI_OUT1]]</f>
        <v>5</v>
      </c>
      <c r="BF261" t="str">
        <f t="shared" si="132"/>
        <v>Neutral</v>
      </c>
      <c r="BG261">
        <f>survey_responses[[#This Row],[Sau khi xem xét các quyền lợi và nghĩa vụ, bạn có ủng hộ và tuân thủ chính sách mới hiện nay? - HUMAN-OUT1]]</f>
        <v>6</v>
      </c>
      <c r="BH261" t="str">
        <f t="shared" si="133"/>
        <v>Neutral</v>
      </c>
      <c r="BI261" s="32">
        <f t="shared" si="134"/>
        <v>1</v>
      </c>
    </row>
    <row r="262" spans="1:61" x14ac:dyDescent="0.45">
      <c r="A262" s="30">
        <f>step3_validation[[#This Row],[Persona_ID]]</f>
        <v>261</v>
      </c>
      <c r="B262" s="31">
        <f>step3_validation[[#This Row],[Used_Seed]]</f>
        <v>12605</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39.062928247312357</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t="str">
        <f t="shared" si="108"/>
        <v>Neutral</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1</v>
      </c>
      <c r="V262">
        <f>step3_validation[[#This Row],[AI_ENF2]]</f>
        <v>6</v>
      </c>
      <c r="W262" t="str">
        <f t="shared" si="111"/>
        <v>Neutral</v>
      </c>
      <c r="X262">
        <f>survey_responses[[#This Row],[Tôi tin rằng Nhà nước, cơ quan thuế có đủ khả năng và công nghệ để phát hiện, xử lý nghiêm các hành vi trốn thuế. - HUMAN-ENF2]]</f>
        <v>7</v>
      </c>
      <c r="Y262" t="str">
        <f t="shared" si="112"/>
        <v>Neutral</v>
      </c>
      <c r="Z262" s="32">
        <f t="shared" si="113"/>
        <v>1</v>
      </c>
      <c r="AA262">
        <f>step3_validation[[#This Row],[AI_FAC1]]</f>
        <v>8</v>
      </c>
      <c r="AB262" t="str">
        <f t="shared" si="114"/>
        <v>Support</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7</v>
      </c>
      <c r="AF262">
        <f>step3_validation[[#This Row],[AI_FAC2]]</f>
        <v>7</v>
      </c>
      <c r="AG262" t="str">
        <f t="shared" si="117"/>
        <v>Neutral</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2</v>
      </c>
      <c r="AK262">
        <f>step3_validation[[#This Row],[AI_TRU1]]</f>
        <v>8</v>
      </c>
      <c r="AL262" t="str">
        <f t="shared" si="120"/>
        <v>Support</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3</v>
      </c>
      <c r="AP262">
        <f>step3_validation[[#This Row],[AI_TRU2]]</f>
        <v>6</v>
      </c>
      <c r="AQ262" t="str">
        <f t="shared" si="123"/>
        <v>Neutral</v>
      </c>
      <c r="AR262">
        <f>survey_responses[[#This Row],[Tôi thấy mức thuế tôi phải đóng theo phương án mới là công bằng (người thu nhập như tôi đóng mức này là hợp lý). - HUMAN-TRU2]]</f>
        <v>4</v>
      </c>
      <c r="AS262" t="str">
        <f t="shared" si="124"/>
        <v>Oppose</v>
      </c>
      <c r="AT262" s="32">
        <f t="shared" si="125"/>
        <v>2</v>
      </c>
      <c r="AU262">
        <f>step3_validation[[#This Row],[AI_TRU3]]</f>
        <v>7</v>
      </c>
      <c r="AV262" t="str">
        <f t="shared" si="126"/>
        <v>Neutral</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3</v>
      </c>
      <c r="AZ262">
        <f>step3_validation[[#This Row],[AI_TRU4]]</f>
        <v>6</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1</v>
      </c>
      <c r="BE262">
        <f>step3_validation[[#This Row],[AI_OUT1]]</f>
        <v>8</v>
      </c>
      <c r="BF262" t="str">
        <f t="shared" si="132"/>
        <v>Support</v>
      </c>
      <c r="BG262">
        <f>survey_responses[[#This Row],[Sau khi xem xét các quyền lợi và nghĩa vụ, bạn có ủng hộ và tuân thủ chính sách mới hiện nay? - HUMAN-OUT1]]</f>
        <v>5</v>
      </c>
      <c r="BH262" t="str">
        <f t="shared" si="133"/>
        <v>Neutral</v>
      </c>
      <c r="BI262" s="32">
        <f t="shared" si="134"/>
        <v>3</v>
      </c>
    </row>
    <row r="263" spans="1:61" x14ac:dyDescent="0.45">
      <c r="A263" s="30">
        <f>step3_validation[[#This Row],[Persona_ID]]</f>
        <v>262</v>
      </c>
      <c r="B263" s="31">
        <f>step3_validation[[#This Row],[Used_Seed]]</f>
        <v>12606</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48.343753354470955</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8</v>
      </c>
      <c r="R263" t="str">
        <f t="shared" si="108"/>
        <v>Support</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1</v>
      </c>
      <c r="V263">
        <f>step3_validation[[#This Row],[AI_ENF2]]</f>
        <v>9</v>
      </c>
      <c r="W263" t="str">
        <f t="shared" si="111"/>
        <v>Support</v>
      </c>
      <c r="X263">
        <f>survey_responses[[#This Row],[Tôi tin rằng Nhà nước, cơ quan thuế có đủ khả năng và công nghệ để phát hiện, xử lý nghiêm các hành vi trốn thuế. - HUMAN-ENF2]]</f>
        <v>9</v>
      </c>
      <c r="Y263" t="str">
        <f t="shared" si="112"/>
        <v>Support</v>
      </c>
      <c r="Z263" s="32">
        <f t="shared" si="113"/>
        <v>0</v>
      </c>
      <c r="AA263">
        <f>step3_validation[[#This Row],[AI_FAC1]]</f>
        <v>7</v>
      </c>
      <c r="AB263" t="str">
        <f t="shared" si="114"/>
        <v>Neutral</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1</v>
      </c>
      <c r="AF263">
        <f>step3_validation[[#This Row],[AI_FAC2]]</f>
        <v>6</v>
      </c>
      <c r="AG263" t="str">
        <f t="shared" si="117"/>
        <v>Neutral</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3</v>
      </c>
      <c r="AK263">
        <f>step3_validation[[#This Row],[AI_TRU1]]</f>
        <v>8</v>
      </c>
      <c r="AL263" t="str">
        <f t="shared" si="120"/>
        <v>Support</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0</v>
      </c>
      <c r="AP263">
        <f>step3_validation[[#This Row],[AI_TRU2]]</f>
        <v>7</v>
      </c>
      <c r="AQ263" t="str">
        <f t="shared" si="123"/>
        <v>Neutral</v>
      </c>
      <c r="AR263">
        <f>survey_responses[[#This Row],[Tôi thấy mức thuế tôi phải đóng theo phương án mới là công bằng (người thu nhập như tôi đóng mức này là hợp lý). - HUMAN-TRU2]]</f>
        <v>9</v>
      </c>
      <c r="AS263" t="str">
        <f t="shared" si="124"/>
        <v>Support</v>
      </c>
      <c r="AT263" s="32">
        <f t="shared" si="125"/>
        <v>2</v>
      </c>
      <c r="AU263">
        <f>step3_validation[[#This Row],[AI_TRU3]]</f>
        <v>8</v>
      </c>
      <c r="AV263" t="str">
        <f t="shared" si="126"/>
        <v>Support</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1</v>
      </c>
      <c r="AZ263">
        <f>step3_validation[[#This Row],[AI_TRU4]]</f>
        <v>7</v>
      </c>
      <c r="BA263" t="str">
        <f t="shared" si="129"/>
        <v>Neutral</v>
      </c>
      <c r="BB263">
        <f>survey_responses[[#This Row],[Tôi thấy Nhà nước đã giải thích rõ ràng, minh bạch về lý do và mục tiêu của việc sửa đổi thuế lần này. - HUMAN-TRU4]]</f>
        <v>8</v>
      </c>
      <c r="BC263" t="str">
        <f t="shared" si="130"/>
        <v>Support</v>
      </c>
      <c r="BD263" s="32">
        <f t="shared" si="131"/>
        <v>1</v>
      </c>
      <c r="BE263">
        <f>step3_validation[[#This Row],[AI_OUT1]]</f>
        <v>8</v>
      </c>
      <c r="BF263" t="str">
        <f t="shared" si="132"/>
        <v>Support</v>
      </c>
      <c r="BG263">
        <f>survey_responses[[#This Row],[Sau khi xem xét các quyền lợi và nghĩa vụ, bạn có ủng hộ và tuân thủ chính sách mới hiện nay? - HUMAN-OUT1]]</f>
        <v>8</v>
      </c>
      <c r="BH263" t="str">
        <f t="shared" si="133"/>
        <v>Support</v>
      </c>
      <c r="BI263" s="32">
        <f t="shared" si="134"/>
        <v>0</v>
      </c>
    </row>
    <row r="264" spans="1:61" x14ac:dyDescent="0.45">
      <c r="A264" s="30">
        <f>step3_validation[[#This Row],[Persona_ID]]</f>
        <v>263</v>
      </c>
      <c r="B264" s="31">
        <f>step3_validation[[#This Row],[Used_Seed]]</f>
        <v>12607</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96.582099489997503</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7</v>
      </c>
      <c r="R264" t="str">
        <f t="shared" si="108"/>
        <v>Neutral</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1</v>
      </c>
      <c r="V264">
        <f>step3_validation[[#This Row],[AI_ENF2]]</f>
        <v>8</v>
      </c>
      <c r="W264" t="str">
        <f t="shared" si="111"/>
        <v>Support</v>
      </c>
      <c r="X264">
        <f>survey_responses[[#This Row],[Tôi tin rằng Nhà nước, cơ quan thuế có đủ khả năng và công nghệ để phát hiện, xử lý nghiêm các hành vi trốn thuế. - HUMAN-ENF2]]</f>
        <v>8</v>
      </c>
      <c r="Y264" t="str">
        <f t="shared" si="112"/>
        <v>Support</v>
      </c>
      <c r="Z264" s="32">
        <f t="shared" si="113"/>
        <v>0</v>
      </c>
      <c r="AA264">
        <f>step3_validation[[#This Row],[AI_FAC1]]</f>
        <v>9</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4</v>
      </c>
      <c r="AF264">
        <f>step3_validation[[#This Row],[AI_FAC2]]</f>
        <v>6</v>
      </c>
      <c r="AG264" t="str">
        <f t="shared" si="117"/>
        <v>Neutral</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1</v>
      </c>
      <c r="AK264">
        <f>step3_validation[[#This Row],[AI_TRU1]]</f>
        <v>7</v>
      </c>
      <c r="AL264" t="str">
        <f t="shared" si="120"/>
        <v>Neutral</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0</v>
      </c>
      <c r="AP264">
        <f>step3_validation[[#This Row],[AI_TRU2]]</f>
        <v>6</v>
      </c>
      <c r="AQ264" t="str">
        <f t="shared" si="123"/>
        <v>Neutral</v>
      </c>
      <c r="AR264">
        <f>survey_responses[[#This Row],[Tôi thấy mức thuế tôi phải đóng theo phương án mới là công bằng (người thu nhập như tôi đóng mức này là hợp lý). - HUMAN-TRU2]]</f>
        <v>5</v>
      </c>
      <c r="AS264" t="str">
        <f t="shared" si="124"/>
        <v>Neutral</v>
      </c>
      <c r="AT264" s="32">
        <f t="shared" si="125"/>
        <v>1</v>
      </c>
      <c r="AU264">
        <f>step3_validation[[#This Row],[AI_TRU3]]</f>
        <v>8</v>
      </c>
      <c r="AV264" t="str">
        <f t="shared" si="126"/>
        <v>Support</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3</v>
      </c>
      <c r="AZ264">
        <f>step3_validation[[#This Row],[AI_TRU4]]</f>
        <v>7</v>
      </c>
      <c r="BA264" t="str">
        <f t="shared" si="129"/>
        <v>Neutral</v>
      </c>
      <c r="BB264">
        <f>survey_responses[[#This Row],[Tôi thấy Nhà nước đã giải thích rõ ràng, minh bạch về lý do và mục tiêu của việc sửa đổi thuế lần này. - HUMAN-TRU4]]</f>
        <v>6</v>
      </c>
      <c r="BC264" t="str">
        <f t="shared" si="130"/>
        <v>Neutral</v>
      </c>
      <c r="BD264" s="32">
        <f t="shared" si="131"/>
        <v>1</v>
      </c>
      <c r="BE264">
        <f>step3_validation[[#This Row],[AI_OUT1]]</f>
        <v>5</v>
      </c>
      <c r="BF264" t="str">
        <f t="shared" si="132"/>
        <v>Neutral</v>
      </c>
      <c r="BG264">
        <f>survey_responses[[#This Row],[Sau khi xem xét các quyền lợi và nghĩa vụ, bạn có ủng hộ và tuân thủ chính sách mới hiện nay? - HUMAN-OUT1]]</f>
        <v>6</v>
      </c>
      <c r="BH264" t="str">
        <f t="shared" si="133"/>
        <v>Neutral</v>
      </c>
      <c r="BI264" s="32">
        <f t="shared" si="134"/>
        <v>1</v>
      </c>
    </row>
    <row r="265" spans="1:61" x14ac:dyDescent="0.45">
      <c r="A265" s="30">
        <f>step3_validation[[#This Row],[Persona_ID]]</f>
        <v>264</v>
      </c>
      <c r="B265" s="31">
        <f>step3_validation[[#This Row],[Used_Seed]]</f>
        <v>12608</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192.82303663729419</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0</v>
      </c>
      <c r="V265">
        <f>step3_validation[[#This Row],[AI_ENF2]]</f>
        <v>6</v>
      </c>
      <c r="W265" t="str">
        <f t="shared" si="111"/>
        <v>Neutral</v>
      </c>
      <c r="X265">
        <f>survey_responses[[#This Row],[Tôi tin rằng Nhà nước, cơ quan thuế có đủ khả năng và công nghệ để phát hiện, xử lý nghiêm các hành vi trốn thuế. - HUMAN-ENF2]]</f>
        <v>7</v>
      </c>
      <c r="Y265" t="str">
        <f t="shared" si="112"/>
        <v>Neutral</v>
      </c>
      <c r="Z265" s="32">
        <f t="shared" si="113"/>
        <v>1</v>
      </c>
      <c r="AA265">
        <f>step3_validation[[#This Row],[AI_FAC1]]</f>
        <v>8</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1</v>
      </c>
      <c r="AF265">
        <f>step3_validation[[#This Row],[AI_FAC2]]</f>
        <v>9</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1</v>
      </c>
      <c r="AK265">
        <f>step3_validation[[#This Row],[AI_TRU1]]</f>
        <v>5</v>
      </c>
      <c r="AL265" t="str">
        <f t="shared" si="120"/>
        <v>Neutral</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2</v>
      </c>
      <c r="AP265">
        <f>step3_validation[[#This Row],[AI_TRU2]]</f>
        <v>8</v>
      </c>
      <c r="AQ265" t="str">
        <f t="shared" si="123"/>
        <v>Support</v>
      </c>
      <c r="AR265">
        <f>survey_responses[[#This Row],[Tôi thấy mức thuế tôi phải đóng theo phương án mới là công bằng (người thu nhập như tôi đóng mức này là hợp lý). - HUMAN-TRU2]]</f>
        <v>7</v>
      </c>
      <c r="AS265" t="str">
        <f t="shared" si="124"/>
        <v>Neutral</v>
      </c>
      <c r="AT265" s="32">
        <f t="shared" si="125"/>
        <v>1</v>
      </c>
      <c r="AU265">
        <f>step3_validation[[#This Row],[AI_TRU3]]</f>
        <v>7</v>
      </c>
      <c r="AV265" t="str">
        <f t="shared" si="126"/>
        <v>Neutral</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0</v>
      </c>
      <c r="AZ265">
        <f>step3_validation[[#This Row],[AI_TRU4]]</f>
        <v>6</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1</v>
      </c>
      <c r="BE265">
        <f>step3_validation[[#This Row],[AI_OUT1]]</f>
        <v>8</v>
      </c>
      <c r="BF265" t="str">
        <f t="shared" si="132"/>
        <v>Support</v>
      </c>
      <c r="BG265">
        <f>survey_responses[[#This Row],[Sau khi xem xét các quyền lợi và nghĩa vụ, bạn có ủng hộ và tuân thủ chính sách mới hiện nay? - HUMAN-OUT1]]</f>
        <v>7</v>
      </c>
      <c r="BH265" t="str">
        <f t="shared" si="133"/>
        <v>Neutral</v>
      </c>
      <c r="BI265" s="32">
        <f t="shared" si="134"/>
        <v>1</v>
      </c>
    </row>
    <row r="266" spans="1:61" x14ac:dyDescent="0.45">
      <c r="A266" s="30">
        <f>step3_validation[[#This Row],[Persona_ID]]</f>
        <v>265</v>
      </c>
      <c r="B266" s="31">
        <f>step3_validation[[#This Row],[Used_Seed]]</f>
        <v>12609</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27.961883857566292</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5</v>
      </c>
      <c r="R266" t="str">
        <f t="shared" si="108"/>
        <v>Neutral</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1</v>
      </c>
      <c r="V266">
        <f>step3_validation[[#This Row],[AI_ENF2]]</f>
        <v>6</v>
      </c>
      <c r="W266" t="str">
        <f t="shared" si="111"/>
        <v>Neutral</v>
      </c>
      <c r="X266">
        <f>survey_responses[[#This Row],[Tôi tin rằng Nhà nước, cơ quan thuế có đủ khả năng và công nghệ để phát hiện, xử lý nghiêm các hành vi trốn thuế. - HUMAN-ENF2]]</f>
        <v>5</v>
      </c>
      <c r="Y266" t="str">
        <f t="shared" si="112"/>
        <v>Neutral</v>
      </c>
      <c r="Z266" s="32">
        <f t="shared" si="113"/>
        <v>1</v>
      </c>
      <c r="AA266">
        <f>step3_validation[[#This Row],[AI_FAC1]]</f>
        <v>8</v>
      </c>
      <c r="AB266" t="str">
        <f t="shared" si="114"/>
        <v>Support</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3</v>
      </c>
      <c r="AF266">
        <f>step3_validation[[#This Row],[AI_FAC2]]</f>
        <v>9</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2</v>
      </c>
      <c r="AK266">
        <f>step3_validation[[#This Row],[AI_TRU1]]</f>
        <v>7</v>
      </c>
      <c r="AL266" t="str">
        <f t="shared" si="120"/>
        <v>Neutral</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1</v>
      </c>
      <c r="AP266">
        <f>step3_validation[[#This Row],[AI_TRU2]]</f>
        <v>8</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2">
        <f t="shared" si="125"/>
        <v>1</v>
      </c>
      <c r="AU266">
        <f>step3_validation[[#This Row],[AI_TRU3]]</f>
        <v>7</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2</v>
      </c>
      <c r="AZ266">
        <f>step3_validation[[#This Row],[AI_TRU4]]</f>
        <v>6</v>
      </c>
      <c r="BA266" t="str">
        <f t="shared" si="129"/>
        <v>Neutral</v>
      </c>
      <c r="BB266">
        <f>survey_responses[[#This Row],[Tôi thấy Nhà nước đã giải thích rõ ràng, minh bạch về lý do và mục tiêu của việc sửa đổi thuế lần này. - HUMAN-TRU4]]</f>
        <v>6</v>
      </c>
      <c r="BC266" t="str">
        <f t="shared" si="130"/>
        <v>Neutral</v>
      </c>
      <c r="BD266" s="32">
        <f t="shared" si="131"/>
        <v>0</v>
      </c>
      <c r="BE266">
        <f>step3_validation[[#This Row],[AI_OUT1]]</f>
        <v>7</v>
      </c>
      <c r="BF266" t="str">
        <f t="shared" si="132"/>
        <v>Neutral</v>
      </c>
      <c r="BG266">
        <f>survey_responses[[#This Row],[Sau khi xem xét các quyền lợi và nghĩa vụ, bạn có ủng hộ và tuân thủ chính sách mới hiện nay? - HUMAN-OUT1]]</f>
        <v>6</v>
      </c>
      <c r="BH266" t="str">
        <f t="shared" si="133"/>
        <v>Neutral</v>
      </c>
      <c r="BI266" s="32">
        <f t="shared" si="134"/>
        <v>1</v>
      </c>
    </row>
    <row r="267" spans="1:61" x14ac:dyDescent="0.45">
      <c r="A267" s="30">
        <f>step3_validation[[#This Row],[Persona_ID]]</f>
        <v>266</v>
      </c>
      <c r="B267" s="31">
        <f>step3_validation[[#This Row],[Used_Seed]]</f>
        <v>12610</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48.07318258724181</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8</v>
      </c>
      <c r="R267" t="str">
        <f t="shared" si="108"/>
        <v>Support</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1</v>
      </c>
      <c r="V267">
        <f>step3_validation[[#This Row],[AI_ENF2]]</f>
        <v>9</v>
      </c>
      <c r="W267" t="str">
        <f t="shared" si="111"/>
        <v>Support</v>
      </c>
      <c r="X267">
        <f>survey_responses[[#This Row],[Tôi tin rằng Nhà nước, cơ quan thuế có đủ khả năng và công nghệ để phát hiện, xử lý nghiêm các hành vi trốn thuế. - HUMAN-ENF2]]</f>
        <v>6</v>
      </c>
      <c r="Y267" t="str">
        <f t="shared" si="112"/>
        <v>Neutral</v>
      </c>
      <c r="Z267" s="32">
        <f t="shared" si="113"/>
        <v>3</v>
      </c>
      <c r="AA267">
        <f>step3_validation[[#This Row],[AI_FAC1]]</f>
        <v>7</v>
      </c>
      <c r="AB267" t="str">
        <f t="shared" si="114"/>
        <v>Neutral</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1</v>
      </c>
      <c r="AF267">
        <f>step3_validation[[#This Row],[AI_FAC2]]</f>
        <v>8</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2</v>
      </c>
      <c r="AK267">
        <f>step3_validation[[#This Row],[AI_TRU1]]</f>
        <v>7</v>
      </c>
      <c r="AL267" t="str">
        <f t="shared" si="120"/>
        <v>Neutral</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0</v>
      </c>
      <c r="AP267">
        <f>step3_validation[[#This Row],[AI_TRU2]]</f>
        <v>6</v>
      </c>
      <c r="AQ267" t="str">
        <f t="shared" si="123"/>
        <v>Neutral</v>
      </c>
      <c r="AR267">
        <f>survey_responses[[#This Row],[Tôi thấy mức thuế tôi phải đóng theo phương án mới là công bằng (người thu nhập như tôi đóng mức này là hợp lý). - HUMAN-TRU2]]</f>
        <v>7</v>
      </c>
      <c r="AS267" t="str">
        <f t="shared" si="124"/>
        <v>Neutral</v>
      </c>
      <c r="AT267" s="32">
        <f t="shared" si="125"/>
        <v>1</v>
      </c>
      <c r="AU267">
        <f>step3_validation[[#This Row],[AI_TRU3]]</f>
        <v>7</v>
      </c>
      <c r="AV267" t="str">
        <f t="shared" si="126"/>
        <v>Neutral</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0</v>
      </c>
      <c r="AZ267">
        <f>step3_validation[[#This Row],[AI_TRU4]]</f>
        <v>6</v>
      </c>
      <c r="BA267" t="str">
        <f t="shared" si="129"/>
        <v>Neutral</v>
      </c>
      <c r="BB267">
        <f>survey_responses[[#This Row],[Tôi thấy Nhà nước đã giải thích rõ ràng, minh bạch về lý do và mục tiêu của việc sửa đổi thuế lần này. - HUMAN-TRU4]]</f>
        <v>7</v>
      </c>
      <c r="BC267" t="str">
        <f t="shared" si="130"/>
        <v>Neutral</v>
      </c>
      <c r="BD267" s="32">
        <f t="shared" si="131"/>
        <v>1</v>
      </c>
      <c r="BE267">
        <f>step3_validation[[#This Row],[AI_OUT1]]</f>
        <v>7</v>
      </c>
      <c r="BF267" t="str">
        <f t="shared" si="132"/>
        <v>Neutral</v>
      </c>
      <c r="BG267">
        <f>survey_responses[[#This Row],[Sau khi xem xét các quyền lợi và nghĩa vụ, bạn có ủng hộ và tuân thủ chính sách mới hiện nay? - HUMAN-OUT1]]</f>
        <v>7</v>
      </c>
      <c r="BH267" t="str">
        <f t="shared" si="133"/>
        <v>Neutral</v>
      </c>
      <c r="BI267" s="32">
        <f t="shared" si="134"/>
        <v>0</v>
      </c>
    </row>
    <row r="268" spans="1:61" x14ac:dyDescent="0.45">
      <c r="A268" s="30">
        <f>step3_validation[[#This Row],[Persona_ID]]</f>
        <v>267</v>
      </c>
      <c r="B268" s="31">
        <f>step3_validation[[#This Row],[Used_Seed]]</f>
        <v>12611</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52.976593671361009</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7</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1</v>
      </c>
      <c r="V268">
        <f>step3_validation[[#This Row],[AI_ENF2]]</f>
        <v>8</v>
      </c>
      <c r="W268" t="str">
        <f t="shared" si="111"/>
        <v>Support</v>
      </c>
      <c r="X268">
        <f>survey_responses[[#This Row],[Tôi tin rằng Nhà nước, cơ quan thuế có đủ khả năng và công nghệ để phát hiện, xử lý nghiêm các hành vi trốn thuế. - HUMAN-ENF2]]</f>
        <v>7</v>
      </c>
      <c r="Y268" t="str">
        <f t="shared" si="112"/>
        <v>Neutral</v>
      </c>
      <c r="Z268" s="32">
        <f t="shared" si="113"/>
        <v>1</v>
      </c>
      <c r="AA268">
        <f>step3_validation[[#This Row],[AI_FAC1]]</f>
        <v>6</v>
      </c>
      <c r="AB268" t="str">
        <f t="shared" si="114"/>
        <v>Neutral</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1</v>
      </c>
      <c r="AF268">
        <f>step3_validation[[#This Row],[AI_FAC2]]</f>
        <v>9</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3</v>
      </c>
      <c r="AK268">
        <f>step3_validation[[#This Row],[AI_TRU1]]</f>
        <v>7</v>
      </c>
      <c r="AL268" t="str">
        <f t="shared" si="120"/>
        <v>Neutral</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1</v>
      </c>
      <c r="AP268">
        <f>step3_validation[[#This Row],[AI_TRU2]]</f>
        <v>8</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2">
        <f t="shared" si="125"/>
        <v>2</v>
      </c>
      <c r="AU268">
        <f>step3_validation[[#This Row],[AI_TRU3]]</f>
        <v>6</v>
      </c>
      <c r="AV268" t="str">
        <f t="shared" si="126"/>
        <v>Neutral</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0</v>
      </c>
      <c r="AZ268">
        <f>step3_validation[[#This Row],[AI_TRU4]]</f>
        <v>7</v>
      </c>
      <c r="BA268" t="str">
        <f t="shared" si="129"/>
        <v>Neutral</v>
      </c>
      <c r="BB268">
        <f>survey_responses[[#This Row],[Tôi thấy Nhà nước đã giải thích rõ ràng, minh bạch về lý do và mục tiêu của việc sửa đổi thuế lần này. - HUMAN-TRU4]]</f>
        <v>7</v>
      </c>
      <c r="BC268" t="str">
        <f t="shared" si="130"/>
        <v>Neutral</v>
      </c>
      <c r="BD268" s="32">
        <f t="shared" si="131"/>
        <v>0</v>
      </c>
      <c r="BE268">
        <f>step3_validation[[#This Row],[AI_OUT1]]</f>
        <v>9</v>
      </c>
      <c r="BF268" t="str">
        <f t="shared" si="132"/>
        <v>Support</v>
      </c>
      <c r="BG268">
        <f>survey_responses[[#This Row],[Sau khi xem xét các quyền lợi và nghĩa vụ, bạn có ủng hộ và tuân thủ chính sách mới hiện nay? - HUMAN-OUT1]]</f>
        <v>7</v>
      </c>
      <c r="BH268" t="str">
        <f t="shared" si="133"/>
        <v>Neutral</v>
      </c>
      <c r="BI268" s="32">
        <f t="shared" si="134"/>
        <v>2</v>
      </c>
    </row>
    <row r="269" spans="1:61" x14ac:dyDescent="0.45">
      <c r="A269" s="30">
        <f>step3_validation[[#This Row],[Persona_ID]]</f>
        <v>268</v>
      </c>
      <c r="B269" s="31">
        <f>step3_validation[[#This Row],[Used_Seed]]</f>
        <v>12612</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23.51261243360954</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8</v>
      </c>
      <c r="R269" t="str">
        <f t="shared" si="108"/>
        <v>Support</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1</v>
      </c>
      <c r="V269">
        <f>step3_validation[[#This Row],[AI_ENF2]]</f>
        <v>9</v>
      </c>
      <c r="W269" t="str">
        <f t="shared" si="111"/>
        <v>Support</v>
      </c>
      <c r="X269">
        <f>survey_responses[[#This Row],[Tôi tin rằng Nhà nước, cơ quan thuế có đủ khả năng và công nghệ để phát hiện, xử lý nghiêm các hành vi trốn thuế. - HUMAN-ENF2]]</f>
        <v>7</v>
      </c>
      <c r="Y269" t="str">
        <f t="shared" si="112"/>
        <v>Neutral</v>
      </c>
      <c r="Z269" s="32">
        <f t="shared" si="113"/>
        <v>2</v>
      </c>
      <c r="AA269">
        <f>step3_validation[[#This Row],[AI_FAC1]]</f>
        <v>7</v>
      </c>
      <c r="AB269" t="str">
        <f t="shared" si="114"/>
        <v>Neutral</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5</v>
      </c>
      <c r="AF269">
        <f>step3_validation[[#This Row],[AI_FAC2]]</f>
        <v>8</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1</v>
      </c>
      <c r="AK269">
        <f>step3_validation[[#This Row],[AI_TRU1]]</f>
        <v>7</v>
      </c>
      <c r="AL269" t="str">
        <f t="shared" si="120"/>
        <v>Neutral</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0</v>
      </c>
      <c r="AP269">
        <f>step3_validation[[#This Row],[AI_TRU2]]</f>
        <v>6</v>
      </c>
      <c r="AQ269" t="str">
        <f t="shared" si="123"/>
        <v>Neutral</v>
      </c>
      <c r="AR269">
        <f>survey_responses[[#This Row],[Tôi thấy mức thuế tôi phải đóng theo phương án mới là công bằng (người thu nhập như tôi đóng mức này là hợp lý). - HUMAN-TRU2]]</f>
        <v>7</v>
      </c>
      <c r="AS269" t="str">
        <f t="shared" si="124"/>
        <v>Neutral</v>
      </c>
      <c r="AT269" s="32">
        <f t="shared" si="125"/>
        <v>1</v>
      </c>
      <c r="AU269">
        <f>step3_validation[[#This Row],[AI_TRU3]]</f>
        <v>5</v>
      </c>
      <c r="AV269" t="str">
        <f t="shared" si="126"/>
        <v>Neutral</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2</v>
      </c>
      <c r="AZ269">
        <f>step3_validation[[#This Row],[AI_TRU4]]</f>
        <v>4</v>
      </c>
      <c r="BA269" t="str">
        <f t="shared" si="129"/>
        <v>Oppose</v>
      </c>
      <c r="BB269">
        <f>survey_responses[[#This Row],[Tôi thấy Nhà nước đã giải thích rõ ràng, minh bạch về lý do và mục tiêu của việc sửa đổi thuế lần này. - HUMAN-TRU4]]</f>
        <v>7</v>
      </c>
      <c r="BC269" t="str">
        <f t="shared" si="130"/>
        <v>Neutral</v>
      </c>
      <c r="BD269" s="32">
        <f t="shared" si="131"/>
        <v>3</v>
      </c>
      <c r="BE269">
        <f>step3_validation[[#This Row],[AI_OUT1]]</f>
        <v>7</v>
      </c>
      <c r="BF269" t="str">
        <f t="shared" si="132"/>
        <v>Neutral</v>
      </c>
      <c r="BG269">
        <f>survey_responses[[#This Row],[Sau khi xem xét các quyền lợi và nghĩa vụ, bạn có ủng hộ và tuân thủ chính sách mới hiện nay? - HUMAN-OUT1]]</f>
        <v>7</v>
      </c>
      <c r="BH269" t="str">
        <f t="shared" si="133"/>
        <v>Neutral</v>
      </c>
      <c r="BI269" s="32">
        <f t="shared" si="134"/>
        <v>0</v>
      </c>
    </row>
    <row r="270" spans="1:61" x14ac:dyDescent="0.45">
      <c r="A270" s="30">
        <f>step3_validation[[#This Row],[Persona_ID]]</f>
        <v>269</v>
      </c>
      <c r="B270" s="31">
        <f>step3_validation[[#This Row],[Used_Seed]]</f>
        <v>12613</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91.108376806043836</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7</v>
      </c>
      <c r="R270" t="str">
        <f t="shared" si="108"/>
        <v>Neutral</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3</v>
      </c>
      <c r="V270">
        <f>step3_validation[[#This Row],[AI_ENF2]]</f>
        <v>6</v>
      </c>
      <c r="W270" t="str">
        <f t="shared" si="111"/>
        <v>Neutral</v>
      </c>
      <c r="X270">
        <f>survey_responses[[#This Row],[Tôi tin rằng Nhà nước, cơ quan thuế có đủ khả năng và công nghệ để phát hiện, xử lý nghiêm các hành vi trốn thuế. - HUMAN-ENF2]]</f>
        <v>5</v>
      </c>
      <c r="Y270" t="str">
        <f t="shared" si="112"/>
        <v>Neutral</v>
      </c>
      <c r="Z270" s="32">
        <f t="shared" si="113"/>
        <v>1</v>
      </c>
      <c r="AA270">
        <f>step3_validation[[#This Row],[AI_FAC1]]</f>
        <v>8</v>
      </c>
      <c r="AB270" t="str">
        <f t="shared" si="114"/>
        <v>Support</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6</v>
      </c>
      <c r="AF270">
        <f>step3_validation[[#This Row],[AI_FAC2]]</f>
        <v>7</v>
      </c>
      <c r="AG270" t="str">
        <f t="shared" si="117"/>
        <v>Neutral</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1</v>
      </c>
      <c r="AK270">
        <f>step3_validation[[#This Row],[AI_TRU1]]</f>
        <v>6</v>
      </c>
      <c r="AL270" t="str">
        <f t="shared" si="120"/>
        <v>Neutral</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3</v>
      </c>
      <c r="AP270">
        <f>step3_validation[[#This Row],[AI_TRU2]]</f>
        <v>5</v>
      </c>
      <c r="AQ270" t="str">
        <f t="shared" si="123"/>
        <v>Neutral</v>
      </c>
      <c r="AR270">
        <f>survey_responses[[#This Row],[Tôi thấy mức thuế tôi phải đóng theo phương án mới là công bằng (người thu nhập như tôi đóng mức này là hợp lý). - HUMAN-TRU2]]</f>
        <v>3</v>
      </c>
      <c r="AS270" t="str">
        <f t="shared" si="124"/>
        <v>Oppose</v>
      </c>
      <c r="AT270" s="32">
        <f t="shared" si="125"/>
        <v>2</v>
      </c>
      <c r="AU270">
        <f>step3_validation[[#This Row],[AI_TRU3]]</f>
        <v>4</v>
      </c>
      <c r="AV270" t="str">
        <f t="shared" si="126"/>
        <v>Oppose</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3</v>
      </c>
      <c r="AZ270">
        <f>step3_validation[[#This Row],[AI_TRU4]]</f>
        <v>5</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2">
        <f t="shared" si="131"/>
        <v>2</v>
      </c>
      <c r="BE270">
        <f>step3_validation[[#This Row],[AI_OUT1]]</f>
        <v>6</v>
      </c>
      <c r="BF270" t="str">
        <f t="shared" si="132"/>
        <v>Neutral</v>
      </c>
      <c r="BG270">
        <f>survey_responses[[#This Row],[Sau khi xem xét các quyền lợi và nghĩa vụ, bạn có ủng hộ và tuân thủ chính sách mới hiện nay? - HUMAN-OUT1]]</f>
        <v>1</v>
      </c>
      <c r="BH270" t="str">
        <f t="shared" si="133"/>
        <v>Oppose</v>
      </c>
      <c r="BI270" s="32">
        <f t="shared" si="134"/>
        <v>5</v>
      </c>
    </row>
    <row r="271" spans="1:61" x14ac:dyDescent="0.45">
      <c r="A271" s="30">
        <f>step3_validation[[#This Row],[Persona_ID]]</f>
        <v>270</v>
      </c>
      <c r="B271" s="31">
        <f>step3_validation[[#This Row],[Used_Seed]]</f>
        <v>12614</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63.755473832752344</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8</v>
      </c>
      <c r="R271" t="str">
        <f t="shared" si="108"/>
        <v>Support</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0</v>
      </c>
      <c r="V271">
        <f>step3_validation[[#This Row],[AI_ENF2]]</f>
        <v>7</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2">
        <f t="shared" si="113"/>
        <v>1</v>
      </c>
      <c r="AA271">
        <f>step3_validation[[#This Row],[AI_FAC1]]</f>
        <v>9</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6</v>
      </c>
      <c r="AF271">
        <f>step3_validation[[#This Row],[AI_FAC2]]</f>
        <v>8</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0</v>
      </c>
      <c r="AK271">
        <f>step3_validation[[#This Row],[AI_TRU1]]</f>
        <v>7</v>
      </c>
      <c r="AL271" t="str">
        <f t="shared" si="120"/>
        <v>Neutral</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4</v>
      </c>
      <c r="AP271">
        <f>step3_validation[[#This Row],[AI_TRU2]]</f>
        <v>6</v>
      </c>
      <c r="AQ271" t="str">
        <f t="shared" si="123"/>
        <v>Neutral</v>
      </c>
      <c r="AR271">
        <f>survey_responses[[#This Row],[Tôi thấy mức thuế tôi phải đóng theo phương án mới là công bằng (người thu nhập như tôi đóng mức này là hợp lý). - HUMAN-TRU2]]</f>
        <v>1</v>
      </c>
      <c r="AS271" t="str">
        <f t="shared" si="124"/>
        <v>Oppose</v>
      </c>
      <c r="AT271" s="32">
        <f t="shared" si="125"/>
        <v>5</v>
      </c>
      <c r="AU271">
        <f>step3_validation[[#This Row],[AI_TRU3]]</f>
        <v>5</v>
      </c>
      <c r="AV271" t="str">
        <f t="shared" si="126"/>
        <v>Neutral</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3</v>
      </c>
      <c r="AZ271">
        <f>step3_validation[[#This Row],[AI_TRU4]]</f>
        <v>6</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2">
        <f t="shared" si="131"/>
        <v>0</v>
      </c>
      <c r="BE271">
        <f>step3_validation[[#This Row],[AI_OUT1]]</f>
        <v>7</v>
      </c>
      <c r="BF271" t="str">
        <f t="shared" si="132"/>
        <v>Neutral</v>
      </c>
      <c r="BG271">
        <f>survey_responses[[#This Row],[Sau khi xem xét các quyền lợi và nghĩa vụ, bạn có ủng hộ và tuân thủ chính sách mới hiện nay? - HUMAN-OUT1]]</f>
        <v>7</v>
      </c>
      <c r="BH271" t="str">
        <f t="shared" si="133"/>
        <v>Neutral</v>
      </c>
      <c r="BI271" s="32">
        <f t="shared" si="134"/>
        <v>0</v>
      </c>
    </row>
    <row r="272" spans="1:61" x14ac:dyDescent="0.45">
      <c r="A272" s="30">
        <f>step3_validation[[#This Row],[Persona_ID]]</f>
        <v>271</v>
      </c>
      <c r="B272" s="31">
        <f>step3_validation[[#This Row],[Used_Seed]]</f>
        <v>12615</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66.966987427494431</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7</v>
      </c>
      <c r="R272" t="str">
        <f t="shared" si="108"/>
        <v>Neutral</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0</v>
      </c>
      <c r="V272">
        <f>step3_validation[[#This Row],[AI_ENF2]]</f>
        <v>8</v>
      </c>
      <c r="W272" t="str">
        <f t="shared" si="111"/>
        <v>Support</v>
      </c>
      <c r="X272">
        <f>survey_responses[[#This Row],[Tôi tin rằng Nhà nước, cơ quan thuế có đủ khả năng và công nghệ để phát hiện, xử lý nghiêm các hành vi trốn thuế. - HUMAN-ENF2]]</f>
        <v>7</v>
      </c>
      <c r="Y272" t="str">
        <f t="shared" si="112"/>
        <v>Neutral</v>
      </c>
      <c r="Z272" s="32">
        <f t="shared" si="113"/>
        <v>1</v>
      </c>
      <c r="AA272">
        <f>step3_validation[[#This Row],[AI_FAC1]]</f>
        <v>9</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5</v>
      </c>
      <c r="AF272">
        <f>step3_validation[[#This Row],[AI_FAC2]]</f>
        <v>8</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1</v>
      </c>
      <c r="AK272">
        <f>step3_validation[[#This Row],[AI_TRU1]]</f>
        <v>7</v>
      </c>
      <c r="AL272" t="str">
        <f t="shared" si="120"/>
        <v>Neutral</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0</v>
      </c>
      <c r="AP272">
        <f>step3_validation[[#This Row],[AI_TRU2]]</f>
        <v>8</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2">
        <f t="shared" si="125"/>
        <v>2</v>
      </c>
      <c r="AU272">
        <f>step3_validation[[#This Row],[AI_TRU3]]</f>
        <v>6</v>
      </c>
      <c r="AV272" t="str">
        <f t="shared" si="126"/>
        <v>Neutral</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1</v>
      </c>
      <c r="AZ272">
        <f>step3_validation[[#This Row],[AI_TRU4]]</f>
        <v>7</v>
      </c>
      <c r="BA272" t="str">
        <f t="shared" si="129"/>
        <v>Neutral</v>
      </c>
      <c r="BB272">
        <f>survey_responses[[#This Row],[Tôi thấy Nhà nước đã giải thích rõ ràng, minh bạch về lý do và mục tiêu của việc sửa đổi thuế lần này. - HUMAN-TRU4]]</f>
        <v>7</v>
      </c>
      <c r="BC272" t="str">
        <f t="shared" si="130"/>
        <v>Neutral</v>
      </c>
      <c r="BD272" s="32">
        <f t="shared" si="131"/>
        <v>0</v>
      </c>
      <c r="BE272">
        <f>step3_validation[[#This Row],[AI_OUT1]]</f>
        <v>8</v>
      </c>
      <c r="BF272" t="str">
        <f t="shared" si="132"/>
        <v>Support</v>
      </c>
      <c r="BG272">
        <f>survey_responses[[#This Row],[Sau khi xem xét các quyền lợi và nghĩa vụ, bạn có ủng hộ và tuân thủ chính sách mới hiện nay? - HUMAN-OUT1]]</f>
        <v>6</v>
      </c>
      <c r="BH272" t="str">
        <f t="shared" si="133"/>
        <v>Neutral</v>
      </c>
      <c r="BI272" s="32">
        <f t="shared" si="134"/>
        <v>2</v>
      </c>
    </row>
    <row r="273" spans="1:61" x14ac:dyDescent="0.45">
      <c r="A273" s="30">
        <f>step3_validation[[#This Row],[Persona_ID]]</f>
        <v>272</v>
      </c>
      <c r="B273" s="31">
        <f>step3_validation[[#This Row],[Used_Seed]]</f>
        <v>12616</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45.135285224602534</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6</v>
      </c>
      <c r="R273" t="str">
        <f t="shared" si="108"/>
        <v>Neutral</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1</v>
      </c>
      <c r="V273">
        <f>step3_validation[[#This Row],[AI_ENF2]]</f>
        <v>7</v>
      </c>
      <c r="W273" t="str">
        <f t="shared" si="111"/>
        <v>Neutral</v>
      </c>
      <c r="X273">
        <f>survey_responses[[#This Row],[Tôi tin rằng Nhà nước, cơ quan thuế có đủ khả năng và công nghệ để phát hiện, xử lý nghiêm các hành vi trốn thuế. - HUMAN-ENF2]]</f>
        <v>8</v>
      </c>
      <c r="Y273" t="str">
        <f t="shared" si="112"/>
        <v>Support</v>
      </c>
      <c r="Z273" s="32">
        <f t="shared" si="113"/>
        <v>1</v>
      </c>
      <c r="AA273">
        <f>step3_validation[[#This Row],[AI_FAC1]]</f>
        <v>8</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6</v>
      </c>
      <c r="AF273">
        <f>step3_validation[[#This Row],[AI_FAC2]]</f>
        <v>7</v>
      </c>
      <c r="AG273" t="str">
        <f t="shared" si="117"/>
        <v>Neutral</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1</v>
      </c>
      <c r="AK273">
        <f>step3_validation[[#This Row],[AI_TRU1]]</f>
        <v>8</v>
      </c>
      <c r="AL273" t="str">
        <f t="shared" si="120"/>
        <v>Support</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2</v>
      </c>
      <c r="AP273">
        <f>step3_validation[[#This Row],[AI_TRU2]]</f>
        <v>6</v>
      </c>
      <c r="AQ273" t="str">
        <f t="shared" si="123"/>
        <v>Neutral</v>
      </c>
      <c r="AR273">
        <f>survey_responses[[#This Row],[Tôi thấy mức thuế tôi phải đóng theo phương án mới là công bằng (người thu nhập như tôi đóng mức này là hợp lý). - HUMAN-TRU2]]</f>
        <v>6</v>
      </c>
      <c r="AS273" t="str">
        <f t="shared" si="124"/>
        <v>Neutral</v>
      </c>
      <c r="AT273" s="32">
        <f t="shared" si="125"/>
        <v>0</v>
      </c>
      <c r="AU273">
        <f>step3_validation[[#This Row],[AI_TRU3]]</f>
        <v>7</v>
      </c>
      <c r="AV273" t="str">
        <f t="shared" si="126"/>
        <v>Neutral</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2</v>
      </c>
      <c r="AZ273">
        <f>step3_validation[[#This Row],[AI_TRU4]]</f>
        <v>5</v>
      </c>
      <c r="BA273" t="str">
        <f t="shared" si="129"/>
        <v>Neutral</v>
      </c>
      <c r="BB273">
        <f>survey_responses[[#This Row],[Tôi thấy Nhà nước đã giải thích rõ ràng, minh bạch về lý do và mục tiêu của việc sửa đổi thuế lần này. - HUMAN-TRU4]]</f>
        <v>5</v>
      </c>
      <c r="BC273" t="str">
        <f t="shared" si="130"/>
        <v>Neutral</v>
      </c>
      <c r="BD273" s="32">
        <f t="shared" si="131"/>
        <v>0</v>
      </c>
      <c r="BE273">
        <f>step3_validation[[#This Row],[AI_OUT1]]</f>
        <v>6</v>
      </c>
      <c r="BF273" t="str">
        <f t="shared" si="132"/>
        <v>Neutral</v>
      </c>
      <c r="BG273">
        <f>survey_responses[[#This Row],[Sau khi xem xét các quyền lợi và nghĩa vụ, bạn có ủng hộ và tuân thủ chính sách mới hiện nay? - HUMAN-OUT1]]</f>
        <v>6</v>
      </c>
      <c r="BH273" t="str">
        <f t="shared" si="133"/>
        <v>Neutral</v>
      </c>
      <c r="BI273" s="32">
        <f t="shared" si="134"/>
        <v>0</v>
      </c>
    </row>
    <row r="274" spans="1:61" x14ac:dyDescent="0.45">
      <c r="A274" s="30">
        <f>step3_validation[[#This Row],[Persona_ID]]</f>
        <v>273</v>
      </c>
      <c r="B274" s="31">
        <f>step3_validation[[#This Row],[Used_Seed]]</f>
        <v>12617</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94.51187685135308</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7</v>
      </c>
      <c r="R274" t="str">
        <f t="shared" si="108"/>
        <v>Neutral</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4</v>
      </c>
      <c r="V274">
        <f>step3_validation[[#This Row],[AI_ENF2]]</f>
        <v>6</v>
      </c>
      <c r="W274" t="str">
        <f t="shared" si="111"/>
        <v>Neutral</v>
      </c>
      <c r="X274">
        <f>survey_responses[[#This Row],[Tôi tin rằng Nhà nước, cơ quan thuế có đủ khả năng và công nghệ để phát hiện, xử lý nghiêm các hành vi trốn thuế. - HUMAN-ENF2]]</f>
        <v>3</v>
      </c>
      <c r="Y274" t="str">
        <f t="shared" si="112"/>
        <v>Oppose</v>
      </c>
      <c r="Z274" s="32">
        <f t="shared" si="113"/>
        <v>3</v>
      </c>
      <c r="AA274">
        <f>step3_validation[[#This Row],[AI_FAC1]]</f>
        <v>8</v>
      </c>
      <c r="AB274" t="str">
        <f t="shared" si="114"/>
        <v>Support</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7</v>
      </c>
      <c r="AF274">
        <f>step3_validation[[#This Row],[AI_FAC2]]</f>
        <v>9</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3</v>
      </c>
      <c r="AK274">
        <f>step3_validation[[#This Row],[AI_TRU1]]</f>
        <v>8</v>
      </c>
      <c r="AL274" t="str">
        <f t="shared" si="120"/>
        <v>Support</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7</v>
      </c>
      <c r="AP274">
        <f>step3_validation[[#This Row],[AI_TRU2]]</f>
        <v>7</v>
      </c>
      <c r="AQ274" t="str">
        <f t="shared" si="123"/>
        <v>Neutral</v>
      </c>
      <c r="AR274">
        <f>survey_responses[[#This Row],[Tôi thấy mức thuế tôi phải đóng theo phương án mới là công bằng (người thu nhập như tôi đóng mức này là hợp lý). - HUMAN-TRU2]]</f>
        <v>1</v>
      </c>
      <c r="AS274" t="str">
        <f t="shared" si="124"/>
        <v>Oppose</v>
      </c>
      <c r="AT274" s="32">
        <f t="shared" si="125"/>
        <v>6</v>
      </c>
      <c r="AU274">
        <f>step3_validation[[#This Row],[AI_TRU3]]</f>
        <v>8</v>
      </c>
      <c r="AV274" t="str">
        <f t="shared" si="126"/>
        <v>Support</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7</v>
      </c>
      <c r="AZ274">
        <f>step3_validation[[#This Row],[AI_TRU4]]</f>
        <v>5</v>
      </c>
      <c r="BA274" t="str">
        <f t="shared" si="129"/>
        <v>Neutral</v>
      </c>
      <c r="BB274">
        <f>survey_responses[[#This Row],[Tôi thấy Nhà nước đã giải thích rõ ràng, minh bạch về lý do và mục tiêu của việc sửa đổi thuế lần này. - HUMAN-TRU4]]</f>
        <v>1</v>
      </c>
      <c r="BC274" t="str">
        <f t="shared" si="130"/>
        <v>Oppose</v>
      </c>
      <c r="BD274" s="32">
        <f t="shared" si="131"/>
        <v>4</v>
      </c>
      <c r="BE274">
        <f>step3_validation[[#This Row],[AI_OUT1]]</f>
        <v>7</v>
      </c>
      <c r="BF274" t="str">
        <f t="shared" si="132"/>
        <v>Neutral</v>
      </c>
      <c r="BG274">
        <f>survey_responses[[#This Row],[Sau khi xem xét các quyền lợi và nghĩa vụ, bạn có ủng hộ và tuân thủ chính sách mới hiện nay? - HUMAN-OUT1]]</f>
        <v>1</v>
      </c>
      <c r="BH274" t="str">
        <f t="shared" si="133"/>
        <v>Oppose</v>
      </c>
      <c r="BI274" s="32">
        <f t="shared" si="134"/>
        <v>6</v>
      </c>
    </row>
    <row r="275" spans="1:61" x14ac:dyDescent="0.45">
      <c r="A275" s="30">
        <f>step3_validation[[#This Row],[Persona_ID]]</f>
        <v>274</v>
      </c>
      <c r="B275" s="31">
        <f>step3_validation[[#This Row],[Used_Seed]]</f>
        <v>12618</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65.316219846220875</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7</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1</v>
      </c>
      <c r="V275">
        <f>step3_validation[[#This Row],[AI_ENF2]]</f>
        <v>6</v>
      </c>
      <c r="W275" t="str">
        <f t="shared" si="111"/>
        <v>Neutral</v>
      </c>
      <c r="X275">
        <f>survey_responses[[#This Row],[Tôi tin rằng Nhà nước, cơ quan thuế có đủ khả năng và công nghệ để phát hiện, xử lý nghiêm các hành vi trốn thuế. - HUMAN-ENF2]]</f>
        <v>6</v>
      </c>
      <c r="Y275" t="str">
        <f t="shared" si="112"/>
        <v>Neutral</v>
      </c>
      <c r="Z275" s="32">
        <f t="shared" si="113"/>
        <v>0</v>
      </c>
      <c r="AA275">
        <f>step3_validation[[#This Row],[AI_FAC1]]</f>
        <v>8</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3</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3</v>
      </c>
      <c r="AK275">
        <f>step3_validation[[#This Row],[AI_TRU1]]</f>
        <v>6</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0</v>
      </c>
      <c r="AP275">
        <f>step3_validation[[#This Row],[AI_TRU2]]</f>
        <v>7</v>
      </c>
      <c r="AQ275" t="str">
        <f t="shared" si="123"/>
        <v>Neutral</v>
      </c>
      <c r="AR275">
        <f>survey_responses[[#This Row],[Tôi thấy mức thuế tôi phải đóng theo phương án mới là công bằng (người thu nhập như tôi đóng mức này là hợp lý). - HUMAN-TRU2]]</f>
        <v>6</v>
      </c>
      <c r="AS275" t="str">
        <f t="shared" si="124"/>
        <v>Neutral</v>
      </c>
      <c r="AT275" s="32">
        <f t="shared" si="125"/>
        <v>1</v>
      </c>
      <c r="AU275">
        <f>step3_validation[[#This Row],[AI_TRU3]]</f>
        <v>6</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0</v>
      </c>
      <c r="AZ275">
        <f>step3_validation[[#This Row],[AI_TRU4]]</f>
        <v>5</v>
      </c>
      <c r="BA275" t="str">
        <f t="shared" si="129"/>
        <v>Neutral</v>
      </c>
      <c r="BB275">
        <f>survey_responses[[#This Row],[Tôi thấy Nhà nước đã giải thích rõ ràng, minh bạch về lý do và mục tiêu của việc sửa đổi thuế lần này. - HUMAN-TRU4]]</f>
        <v>6</v>
      </c>
      <c r="BC275" t="str">
        <f t="shared" si="130"/>
        <v>Neutral</v>
      </c>
      <c r="BD275" s="32">
        <f t="shared" si="131"/>
        <v>1</v>
      </c>
      <c r="BE275">
        <f>step3_validation[[#This Row],[AI_OUT1]]</f>
        <v>6</v>
      </c>
      <c r="BF275" t="str">
        <f t="shared" si="132"/>
        <v>Neutral</v>
      </c>
      <c r="BG275">
        <f>survey_responses[[#This Row],[Sau khi xem xét các quyền lợi và nghĩa vụ, bạn có ủng hộ và tuân thủ chính sách mới hiện nay? - HUMAN-OUT1]]</f>
        <v>6</v>
      </c>
      <c r="BH275" t="str">
        <f t="shared" si="133"/>
        <v>Neutral</v>
      </c>
      <c r="BI275" s="32">
        <f t="shared" si="134"/>
        <v>0</v>
      </c>
    </row>
    <row r="276" spans="1:61" x14ac:dyDescent="0.45">
      <c r="A276" s="30">
        <f>step3_validation[[#This Row],[Persona_ID]]</f>
        <v>275</v>
      </c>
      <c r="B276" s="31">
        <f>step3_validation[[#This Row],[Used_Seed]]</f>
        <v>12619</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61.039403417158866</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1</v>
      </c>
      <c r="V276">
        <f>step3_validation[[#This Row],[AI_ENF2]]</f>
        <v>8</v>
      </c>
      <c r="W276" t="str">
        <f t="shared" si="111"/>
        <v>Support</v>
      </c>
      <c r="X276">
        <f>survey_responses[[#This Row],[Tôi tin rằng Nhà nước, cơ quan thuế có đủ khả năng và công nghệ để phát hiện, xử lý nghiêm các hành vi trốn thuế. - HUMAN-ENF2]]</f>
        <v>9</v>
      </c>
      <c r="Y276" t="str">
        <f t="shared" si="112"/>
        <v>Support</v>
      </c>
      <c r="Z276" s="32">
        <f t="shared" si="113"/>
        <v>1</v>
      </c>
      <c r="AA276">
        <f>step3_validation[[#This Row],[AI_FAC1]]</f>
        <v>9</v>
      </c>
      <c r="AB276" t="str">
        <f t="shared" si="114"/>
        <v>Support</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4</v>
      </c>
      <c r="AF276">
        <f>step3_validation[[#This Row],[AI_FAC2]]</f>
        <v>8</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1</v>
      </c>
      <c r="AK276">
        <f>step3_validation[[#This Row],[AI_TRU1]]</f>
        <v>7</v>
      </c>
      <c r="AL276" t="str">
        <f t="shared" si="120"/>
        <v>Neutral</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1</v>
      </c>
      <c r="AP276">
        <f>step3_validation[[#This Row],[AI_TRU2]]</f>
        <v>6</v>
      </c>
      <c r="AQ276" t="str">
        <f t="shared" si="123"/>
        <v>Neutral</v>
      </c>
      <c r="AR276">
        <f>survey_responses[[#This Row],[Tôi thấy mức thuế tôi phải đóng theo phương án mới là công bằng (người thu nhập như tôi đóng mức này là hợp lý). - HUMAN-TRU2]]</f>
        <v>7</v>
      </c>
      <c r="AS276" t="str">
        <f t="shared" si="124"/>
        <v>Neutral</v>
      </c>
      <c r="AT276" s="32">
        <f t="shared" si="125"/>
        <v>1</v>
      </c>
      <c r="AU276">
        <f>step3_validation[[#This Row],[AI_TRU3]]</f>
        <v>7</v>
      </c>
      <c r="AV276" t="str">
        <f t="shared" si="126"/>
        <v>Neutral</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0</v>
      </c>
      <c r="AZ276">
        <f>step3_validation[[#This Row],[AI_TRU4]]</f>
        <v>6</v>
      </c>
      <c r="BA276" t="str">
        <f t="shared" si="129"/>
        <v>Neutral</v>
      </c>
      <c r="BB276">
        <f>survey_responses[[#This Row],[Tôi thấy Nhà nước đã giải thích rõ ràng, minh bạch về lý do và mục tiêu của việc sửa đổi thuế lần này. - HUMAN-TRU4]]</f>
        <v>7</v>
      </c>
      <c r="BC276" t="str">
        <f t="shared" si="130"/>
        <v>Neutral</v>
      </c>
      <c r="BD276" s="32">
        <f t="shared" si="131"/>
        <v>1</v>
      </c>
      <c r="BE276">
        <f>step3_validation[[#This Row],[AI_OUT1]]</f>
        <v>7</v>
      </c>
      <c r="BF276" t="str">
        <f t="shared" si="132"/>
        <v>Neutral</v>
      </c>
      <c r="BG276">
        <f>survey_responses[[#This Row],[Sau khi xem xét các quyền lợi và nghĩa vụ, bạn có ủng hộ và tuân thủ chính sách mới hiện nay? - HUMAN-OUT1]]</f>
        <v>7</v>
      </c>
      <c r="BH276" t="str">
        <f t="shared" si="133"/>
        <v>Neutral</v>
      </c>
      <c r="BI276" s="32">
        <f t="shared" si="134"/>
        <v>0</v>
      </c>
    </row>
    <row r="277" spans="1:61" x14ac:dyDescent="0.45">
      <c r="A277" s="30">
        <f>step3_validation[[#This Row],[Persona_ID]]</f>
        <v>276</v>
      </c>
      <c r="B277" s="31">
        <f>step3_validation[[#This Row],[Used_Seed]]</f>
        <v>12620</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33.603736278304325</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7</v>
      </c>
      <c r="R277" t="str">
        <f t="shared" si="108"/>
        <v>Neutral</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1</v>
      </c>
      <c r="V277">
        <f>step3_validation[[#This Row],[AI_ENF2]]</f>
        <v>8</v>
      </c>
      <c r="W277" t="str">
        <f t="shared" si="111"/>
        <v>Support</v>
      </c>
      <c r="X277">
        <f>survey_responses[[#This Row],[Tôi tin rằng Nhà nước, cơ quan thuế có đủ khả năng và công nghệ để phát hiện, xử lý nghiêm các hành vi trốn thuế. - HUMAN-ENF2]]</f>
        <v>6</v>
      </c>
      <c r="Y277" t="str">
        <f t="shared" si="112"/>
        <v>Neutral</v>
      </c>
      <c r="Z277" s="32">
        <f t="shared" si="113"/>
        <v>2</v>
      </c>
      <c r="AA277">
        <f>step3_validation[[#This Row],[AI_FAC1]]</f>
        <v>6</v>
      </c>
      <c r="AB277" t="str">
        <f t="shared" si="114"/>
        <v>Neutral</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3</v>
      </c>
      <c r="AF277">
        <f>step3_validation[[#This Row],[AI_FAC2]]</f>
        <v>8</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1</v>
      </c>
      <c r="AK277">
        <f>step3_validation[[#This Row],[AI_TRU1]]</f>
        <v>7</v>
      </c>
      <c r="AL277" t="str">
        <f t="shared" si="120"/>
        <v>Neutral</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0</v>
      </c>
      <c r="AP277">
        <f>step3_validation[[#This Row],[AI_TRU2]]</f>
        <v>8</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2">
        <f t="shared" si="125"/>
        <v>1</v>
      </c>
      <c r="AU277">
        <f>step3_validation[[#This Row],[AI_TRU3]]</f>
        <v>7</v>
      </c>
      <c r="AV277" t="str">
        <f t="shared" si="126"/>
        <v>Neutral</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2</v>
      </c>
      <c r="AZ277">
        <f>step3_validation[[#This Row],[AI_TRU4]]</f>
        <v>6</v>
      </c>
      <c r="BA277" t="str">
        <f t="shared" si="129"/>
        <v>Neutral</v>
      </c>
      <c r="BB277">
        <f>survey_responses[[#This Row],[Tôi thấy Nhà nước đã giải thích rõ ràng, minh bạch về lý do và mục tiêu của việc sửa đổi thuế lần này. - HUMAN-TRU4]]</f>
        <v>7</v>
      </c>
      <c r="BC277" t="str">
        <f t="shared" si="130"/>
        <v>Neutral</v>
      </c>
      <c r="BD277" s="32">
        <f t="shared" si="131"/>
        <v>1</v>
      </c>
      <c r="BE277">
        <f>step3_validation[[#This Row],[AI_OUT1]]</f>
        <v>8</v>
      </c>
      <c r="BF277" t="str">
        <f t="shared" si="132"/>
        <v>Support</v>
      </c>
      <c r="BG277">
        <f>survey_responses[[#This Row],[Sau khi xem xét các quyền lợi và nghĩa vụ, bạn có ủng hộ và tuân thủ chính sách mới hiện nay? - HUMAN-OUT1]]</f>
        <v>7</v>
      </c>
      <c r="BH277" t="str">
        <f t="shared" si="133"/>
        <v>Neutral</v>
      </c>
      <c r="BI277" s="32">
        <f t="shared" si="134"/>
        <v>1</v>
      </c>
    </row>
    <row r="278" spans="1:61" x14ac:dyDescent="0.45">
      <c r="A278" s="30">
        <f>step3_validation[[#This Row],[Persona_ID]]</f>
        <v>277</v>
      </c>
      <c r="B278" s="31">
        <f>step3_validation[[#This Row],[Used_Seed]]</f>
        <v>12621</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78.750453674134562</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7</v>
      </c>
      <c r="R278" t="str">
        <f t="shared" si="108"/>
        <v>Neutral</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1</v>
      </c>
      <c r="V278">
        <f>step3_validation[[#This Row],[AI_ENF2]]</f>
        <v>8</v>
      </c>
      <c r="W278" t="str">
        <f t="shared" si="111"/>
        <v>Support</v>
      </c>
      <c r="X278">
        <f>survey_responses[[#This Row],[Tôi tin rằng Nhà nước, cơ quan thuế có đủ khả năng và công nghệ để phát hiện, xử lý nghiêm các hành vi trốn thuế. - HUMAN-ENF2]]</f>
        <v>8</v>
      </c>
      <c r="Y278" t="str">
        <f t="shared" si="112"/>
        <v>Support</v>
      </c>
      <c r="Z278" s="32">
        <f t="shared" si="113"/>
        <v>0</v>
      </c>
      <c r="AA278">
        <f>step3_validation[[#This Row],[AI_FAC1]]</f>
        <v>6</v>
      </c>
      <c r="AB278" t="str">
        <f t="shared" si="114"/>
        <v>Neutral</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0</v>
      </c>
      <c r="AF278">
        <f>step3_validation[[#This Row],[AI_FAC2]]</f>
        <v>7</v>
      </c>
      <c r="AG278" t="str">
        <f t="shared" si="117"/>
        <v>Neutral</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0</v>
      </c>
      <c r="AK278">
        <f>step3_validation[[#This Row],[AI_TRU1]]</f>
        <v>8</v>
      </c>
      <c r="AL278" t="str">
        <f t="shared" si="120"/>
        <v>Support</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1</v>
      </c>
      <c r="AP278">
        <f>step3_validation[[#This Row],[AI_TRU2]]</f>
        <v>7</v>
      </c>
      <c r="AQ278" t="str">
        <f t="shared" si="123"/>
        <v>Neutral</v>
      </c>
      <c r="AR278">
        <f>survey_responses[[#This Row],[Tôi thấy mức thuế tôi phải đóng theo phương án mới là công bằng (người thu nhập như tôi đóng mức này là hợp lý). - HUMAN-TRU2]]</f>
        <v>4</v>
      </c>
      <c r="AS278" t="str">
        <f t="shared" si="124"/>
        <v>Oppose</v>
      </c>
      <c r="AT278" s="32">
        <f t="shared" si="125"/>
        <v>3</v>
      </c>
      <c r="AU278">
        <f>step3_validation[[#This Row],[AI_TRU3]]</f>
        <v>8</v>
      </c>
      <c r="AV278" t="str">
        <f t="shared" si="126"/>
        <v>Support</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3</v>
      </c>
      <c r="AZ278">
        <f>step3_validation[[#This Row],[AI_TRU4]]</f>
        <v>6</v>
      </c>
      <c r="BA278" t="str">
        <f t="shared" si="129"/>
        <v>Neutral</v>
      </c>
      <c r="BB278">
        <f>survey_responses[[#This Row],[Tôi thấy Nhà nước đã giải thích rõ ràng, minh bạch về lý do và mục tiêu của việc sửa đổi thuế lần này. - HUMAN-TRU4]]</f>
        <v>5</v>
      </c>
      <c r="BC278" t="str">
        <f t="shared" si="130"/>
        <v>Neutral</v>
      </c>
      <c r="BD278" s="32">
        <f t="shared" si="131"/>
        <v>1</v>
      </c>
      <c r="BE278">
        <f>step3_validation[[#This Row],[AI_OUT1]]</f>
        <v>8</v>
      </c>
      <c r="BF278" t="str">
        <f t="shared" si="132"/>
        <v>Support</v>
      </c>
      <c r="BG278">
        <f>survey_responses[[#This Row],[Sau khi xem xét các quyền lợi và nghĩa vụ, bạn có ủng hộ và tuân thủ chính sách mới hiện nay? - HUMAN-OUT1]]</f>
        <v>5</v>
      </c>
      <c r="BH278" t="str">
        <f t="shared" si="133"/>
        <v>Neutral</v>
      </c>
      <c r="BI278" s="32">
        <f t="shared" si="134"/>
        <v>3</v>
      </c>
    </row>
    <row r="279" spans="1:61" x14ac:dyDescent="0.45">
      <c r="A279" s="30">
        <f>step3_validation[[#This Row],[Persona_ID]]</f>
        <v>278</v>
      </c>
      <c r="B279" s="31">
        <f>step3_validation[[#This Row],[Used_Seed]]</f>
        <v>12622</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63.196717756684855</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7</v>
      </c>
      <c r="R279" t="str">
        <f t="shared" si="108"/>
        <v>Neutral</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1</v>
      </c>
      <c r="V279">
        <f>step3_validation[[#This Row],[AI_ENF2]]</f>
        <v>8</v>
      </c>
      <c r="W279" t="str">
        <f t="shared" si="111"/>
        <v>Support</v>
      </c>
      <c r="X279">
        <f>survey_responses[[#This Row],[Tôi tin rằng Nhà nước, cơ quan thuế có đủ khả năng và công nghệ để phát hiện, xử lý nghiêm các hành vi trốn thuế. - HUMAN-ENF2]]</f>
        <v>7</v>
      </c>
      <c r="Y279" t="str">
        <f t="shared" si="112"/>
        <v>Neutral</v>
      </c>
      <c r="Z279" s="32">
        <f t="shared" si="113"/>
        <v>1</v>
      </c>
      <c r="AA279">
        <f>step3_validation[[#This Row],[AI_FAC1]]</f>
        <v>9</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4</v>
      </c>
      <c r="AF279">
        <f>step3_validation[[#This Row],[AI_FAC2]]</f>
        <v>8</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1</v>
      </c>
      <c r="AK279">
        <f>step3_validation[[#This Row],[AI_TRU1]]</f>
        <v>6</v>
      </c>
      <c r="AL279" t="str">
        <f t="shared" si="120"/>
        <v>Neutral</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0</v>
      </c>
      <c r="AP279">
        <f>step3_validation[[#This Row],[AI_TRU2]]</f>
        <v>9</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3</v>
      </c>
      <c r="AU279">
        <f>step3_validation[[#This Row],[AI_TRU3]]</f>
        <v>7</v>
      </c>
      <c r="AV279" t="str">
        <f t="shared" si="126"/>
        <v>Neutral</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1</v>
      </c>
      <c r="AZ279">
        <f>step3_validation[[#This Row],[AI_TRU4]]</f>
        <v>8</v>
      </c>
      <c r="BA279" t="str">
        <f t="shared" si="129"/>
        <v>Support</v>
      </c>
      <c r="BB279">
        <f>survey_responses[[#This Row],[Tôi thấy Nhà nước đã giải thích rõ ràng, minh bạch về lý do và mục tiêu của việc sửa đổi thuế lần này. - HUMAN-TRU4]]</f>
        <v>6</v>
      </c>
      <c r="BC279" t="str">
        <f t="shared" si="130"/>
        <v>Neutral</v>
      </c>
      <c r="BD279" s="32">
        <f t="shared" si="131"/>
        <v>2</v>
      </c>
      <c r="BE279">
        <f>step3_validation[[#This Row],[AI_OUT1]]</f>
        <v>9</v>
      </c>
      <c r="BF279" t="str">
        <f t="shared" si="132"/>
        <v>Support</v>
      </c>
      <c r="BG279">
        <f>survey_responses[[#This Row],[Sau khi xem xét các quyền lợi và nghĩa vụ, bạn có ủng hộ và tuân thủ chính sách mới hiện nay? - HUMAN-OUT1]]</f>
        <v>6</v>
      </c>
      <c r="BH279" t="str">
        <f t="shared" si="133"/>
        <v>Neutral</v>
      </c>
      <c r="BI279" s="32">
        <f t="shared" si="134"/>
        <v>3</v>
      </c>
    </row>
    <row r="280" spans="1:61" x14ac:dyDescent="0.45">
      <c r="A280" s="30">
        <f>step3_validation[[#This Row],[Persona_ID]]</f>
        <v>279</v>
      </c>
      <c r="B280" s="31">
        <f>step3_validation[[#This Row],[Used_Seed]]</f>
        <v>12623</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82.146160335976077</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8</v>
      </c>
      <c r="R280" t="str">
        <f t="shared" si="108"/>
        <v>Support</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2</v>
      </c>
      <c r="V280">
        <f>step3_validation[[#This Row],[AI_ENF2]]</f>
        <v>7</v>
      </c>
      <c r="W280" t="str">
        <f t="shared" si="111"/>
        <v>Neutral</v>
      </c>
      <c r="X280">
        <f>survey_responses[[#This Row],[Tôi tin rằng Nhà nước, cơ quan thuế có đủ khả năng và công nghệ để phát hiện, xử lý nghiêm các hành vi trốn thuế. - HUMAN-ENF2]]</f>
        <v>7</v>
      </c>
      <c r="Y280" t="str">
        <f t="shared" si="112"/>
        <v>Neutral</v>
      </c>
      <c r="Z280" s="32">
        <f t="shared" si="113"/>
        <v>0</v>
      </c>
      <c r="AA280">
        <f>step3_validation[[#This Row],[AI_FAC1]]</f>
        <v>8</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3</v>
      </c>
      <c r="AF280">
        <f>step3_validation[[#This Row],[AI_FAC2]]</f>
        <v>9</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1</v>
      </c>
      <c r="AK280">
        <f>step3_validation[[#This Row],[AI_TRU1]]</f>
        <v>7</v>
      </c>
      <c r="AL280" t="str">
        <f t="shared" si="120"/>
        <v>Neutral</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1</v>
      </c>
      <c r="AP280">
        <f>step3_validation[[#This Row],[AI_TRU2]]</f>
        <v>6</v>
      </c>
      <c r="AQ280" t="str">
        <f t="shared" si="123"/>
        <v>Neutral</v>
      </c>
      <c r="AR280">
        <f>survey_responses[[#This Row],[Tôi thấy mức thuế tôi phải đóng theo phương án mới là công bằng (người thu nhập như tôi đóng mức này là hợp lý). - HUMAN-TRU2]]</f>
        <v>3</v>
      </c>
      <c r="AS280" t="str">
        <f t="shared" si="124"/>
        <v>Oppose</v>
      </c>
      <c r="AT280" s="32">
        <f t="shared" si="125"/>
        <v>3</v>
      </c>
      <c r="AU280">
        <f>step3_validation[[#This Row],[AI_TRU3]]</f>
        <v>7</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1</v>
      </c>
      <c r="AZ280">
        <f>step3_validation[[#This Row],[AI_TRU4]]</f>
        <v>6</v>
      </c>
      <c r="BA280" t="str">
        <f t="shared" si="129"/>
        <v>Neutral</v>
      </c>
      <c r="BB280">
        <f>survey_responses[[#This Row],[Tôi thấy Nhà nước đã giải thích rõ ràng, minh bạch về lý do và mục tiêu của việc sửa đổi thuế lần này. - HUMAN-TRU4]]</f>
        <v>8</v>
      </c>
      <c r="BC280" t="str">
        <f t="shared" si="130"/>
        <v>Support</v>
      </c>
      <c r="BD280" s="32">
        <f t="shared" si="131"/>
        <v>2</v>
      </c>
      <c r="BE280">
        <f>step3_validation[[#This Row],[AI_OUT1]]</f>
        <v>5</v>
      </c>
      <c r="BF280" t="str">
        <f t="shared" si="132"/>
        <v>Neutral</v>
      </c>
      <c r="BG280">
        <f>survey_responses[[#This Row],[Sau khi xem xét các quyền lợi và nghĩa vụ, bạn có ủng hộ và tuân thủ chính sách mới hiện nay? - HUMAN-OUT1]]</f>
        <v>6</v>
      </c>
      <c r="BH280" t="str">
        <f t="shared" si="133"/>
        <v>Neutral</v>
      </c>
      <c r="BI280" s="32">
        <f t="shared" si="134"/>
        <v>1</v>
      </c>
    </row>
    <row r="281" spans="1:61" x14ac:dyDescent="0.45">
      <c r="A281" s="30">
        <f>step3_validation[[#This Row],[Persona_ID]]</f>
        <v>280</v>
      </c>
      <c r="B281" s="31">
        <f>step3_validation[[#This Row],[Used_Seed]]</f>
        <v>12624</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70.772828588128235</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7</v>
      </c>
      <c r="R281" t="str">
        <f t="shared" si="108"/>
        <v>Neutral</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3</v>
      </c>
      <c r="V281">
        <f>step3_validation[[#This Row],[AI_ENF2]]</f>
        <v>8</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2">
        <f t="shared" si="113"/>
        <v>4</v>
      </c>
      <c r="AA281">
        <f>step3_validation[[#This Row],[AI_FAC1]]</f>
        <v>9</v>
      </c>
      <c r="AB281" t="str">
        <f t="shared" si="114"/>
        <v>Support</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8</v>
      </c>
      <c r="AF281">
        <f>step3_validation[[#This Row],[AI_FAC2]]</f>
        <v>8</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2</v>
      </c>
      <c r="AK281">
        <f>step3_validation[[#This Row],[AI_TRU1]]</f>
        <v>7</v>
      </c>
      <c r="AL281" t="str">
        <f t="shared" si="120"/>
        <v>Neutral</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4</v>
      </c>
      <c r="AP281">
        <f>step3_validation[[#This Row],[AI_TRU2]]</f>
        <v>8</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2">
        <f t="shared" si="125"/>
        <v>6</v>
      </c>
      <c r="AU281">
        <f>step3_validation[[#This Row],[AI_TRU3]]</f>
        <v>7</v>
      </c>
      <c r="AV281" t="str">
        <f t="shared" si="126"/>
        <v>Neutral</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6</v>
      </c>
      <c r="AZ281">
        <f>step3_validation[[#This Row],[AI_TRU4]]</f>
        <v>6</v>
      </c>
      <c r="BA281" t="str">
        <f t="shared" si="129"/>
        <v>Neutral</v>
      </c>
      <c r="BB281">
        <f>survey_responses[[#This Row],[Tôi thấy Nhà nước đã giải thích rõ ràng, minh bạch về lý do và mục tiêu của việc sửa đổi thuế lần này. - HUMAN-TRU4]]</f>
        <v>5</v>
      </c>
      <c r="BC281" t="str">
        <f t="shared" si="130"/>
        <v>Neutral</v>
      </c>
      <c r="BD281" s="32">
        <f t="shared" si="131"/>
        <v>1</v>
      </c>
      <c r="BE281">
        <f>step3_validation[[#This Row],[AI_OUT1]]</f>
        <v>7</v>
      </c>
      <c r="BF281" t="str">
        <f t="shared" si="132"/>
        <v>Neutral</v>
      </c>
      <c r="BG281">
        <f>survey_responses[[#This Row],[Sau khi xem xét các quyền lợi và nghĩa vụ, bạn có ủng hộ và tuân thủ chính sách mới hiện nay? - HUMAN-OUT1]]</f>
        <v>4</v>
      </c>
      <c r="BH281" t="str">
        <f t="shared" si="133"/>
        <v>Oppose</v>
      </c>
      <c r="BI281" s="32">
        <f t="shared" si="134"/>
        <v>3</v>
      </c>
    </row>
    <row r="282" spans="1:61" x14ac:dyDescent="0.45">
      <c r="A282" s="30">
        <f>step3_validation[[#This Row],[Persona_ID]]</f>
        <v>281</v>
      </c>
      <c r="B282" s="31">
        <f>step3_validation[[#This Row],[Used_Seed]]</f>
        <v>12625</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96.872665591889103</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6</v>
      </c>
      <c r="R282" t="str">
        <f t="shared" si="108"/>
        <v>Neutral</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0</v>
      </c>
      <c r="V282">
        <f>step3_validation[[#This Row],[AI_ENF2]]</f>
        <v>5</v>
      </c>
      <c r="W282" t="str">
        <f t="shared" si="111"/>
        <v>Neutral</v>
      </c>
      <c r="X282">
        <f>survey_responses[[#This Row],[Tôi tin rằng Nhà nước, cơ quan thuế có đủ khả năng và công nghệ để phát hiện, xử lý nghiêm các hành vi trốn thuế. - HUMAN-ENF2]]</f>
        <v>7</v>
      </c>
      <c r="Y282" t="str">
        <f t="shared" si="112"/>
        <v>Neutral</v>
      </c>
      <c r="Z282" s="32">
        <f t="shared" si="113"/>
        <v>2</v>
      </c>
      <c r="AA282">
        <f>step3_validation[[#This Row],[AI_FAC1]]</f>
        <v>7</v>
      </c>
      <c r="AB282" t="str">
        <f t="shared" si="114"/>
        <v>Neutral</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3</v>
      </c>
      <c r="AF282">
        <f>step3_validation[[#This Row],[AI_FAC2]]</f>
        <v>6</v>
      </c>
      <c r="AG282" t="str">
        <f t="shared" si="117"/>
        <v>Neutral</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2</v>
      </c>
      <c r="AK282">
        <f>step3_validation[[#This Row],[AI_TRU1]]</f>
        <v>7</v>
      </c>
      <c r="AL282" t="str">
        <f t="shared" si="120"/>
        <v>Neutral</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1</v>
      </c>
      <c r="AP282">
        <f>step3_validation[[#This Row],[AI_TRU2]]</f>
        <v>5</v>
      </c>
      <c r="AQ282" t="str">
        <f t="shared" si="123"/>
        <v>Neutral</v>
      </c>
      <c r="AR282">
        <f>survey_responses[[#This Row],[Tôi thấy mức thuế tôi phải đóng theo phương án mới là công bằng (người thu nhập như tôi đóng mức này là hợp lý). - HUMAN-TRU2]]</f>
        <v>6</v>
      </c>
      <c r="AS282" t="str">
        <f t="shared" si="124"/>
        <v>Neutral</v>
      </c>
      <c r="AT282" s="32">
        <f t="shared" si="125"/>
        <v>1</v>
      </c>
      <c r="AU282">
        <f>step3_validation[[#This Row],[AI_TRU3]]</f>
        <v>6</v>
      </c>
      <c r="AV282" t="str">
        <f t="shared" si="126"/>
        <v>Neutral</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1</v>
      </c>
      <c r="AZ282">
        <f>step3_validation[[#This Row],[AI_TRU4]]</f>
        <v>3</v>
      </c>
      <c r="BA282" t="str">
        <f t="shared" si="129"/>
        <v>Oppose</v>
      </c>
      <c r="BB282">
        <f>survey_responses[[#This Row],[Tôi thấy Nhà nước đã giải thích rõ ràng, minh bạch về lý do và mục tiêu của việc sửa đổi thuế lần này. - HUMAN-TRU4]]</f>
        <v>7</v>
      </c>
      <c r="BC282" t="str">
        <f t="shared" si="130"/>
        <v>Neutral</v>
      </c>
      <c r="BD282" s="32">
        <f t="shared" si="131"/>
        <v>4</v>
      </c>
      <c r="BE282">
        <f>step3_validation[[#This Row],[AI_OUT1]]</f>
        <v>4</v>
      </c>
      <c r="BF282" t="str">
        <f t="shared" si="132"/>
        <v>Oppose</v>
      </c>
      <c r="BG282">
        <f>survey_responses[[#This Row],[Sau khi xem xét các quyền lợi và nghĩa vụ, bạn có ủng hộ và tuân thủ chính sách mới hiện nay? - HUMAN-OUT1]]</f>
        <v>6</v>
      </c>
      <c r="BH282" t="str">
        <f t="shared" si="133"/>
        <v>Neutral</v>
      </c>
      <c r="BI282" s="32">
        <f t="shared" si="134"/>
        <v>2</v>
      </c>
    </row>
    <row r="283" spans="1:61" x14ac:dyDescent="0.45">
      <c r="A283" s="30">
        <f>step3_validation[[#This Row],[Persona_ID]]</f>
        <v>282</v>
      </c>
      <c r="B283" s="31">
        <f>step3_validation[[#This Row],[Used_Seed]]</f>
        <v>12626</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220.3058166118995</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8</v>
      </c>
      <c r="R283" t="str">
        <f t="shared" si="108"/>
        <v>Support</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0</v>
      </c>
      <c r="V283">
        <f>step3_validation[[#This Row],[AI_ENF2]]</f>
        <v>7</v>
      </c>
      <c r="W283" t="str">
        <f t="shared" si="111"/>
        <v>Neutral</v>
      </c>
      <c r="X283">
        <f>survey_responses[[#This Row],[Tôi tin rằng Nhà nước, cơ quan thuế có đủ khả năng và công nghệ để phát hiện, xử lý nghiêm các hành vi trốn thuế. - HUMAN-ENF2]]</f>
        <v>8</v>
      </c>
      <c r="Y283" t="str">
        <f t="shared" si="112"/>
        <v>Support</v>
      </c>
      <c r="Z283" s="32">
        <f t="shared" si="113"/>
        <v>1</v>
      </c>
      <c r="AA283">
        <f>step3_validation[[#This Row],[AI_FAC1]]</f>
        <v>9</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0</v>
      </c>
      <c r="AF283">
        <f>step3_validation[[#This Row],[AI_FAC2]]</f>
        <v>8</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1</v>
      </c>
      <c r="AK283">
        <f>step3_validation[[#This Row],[AI_TRU1]]</f>
        <v>7</v>
      </c>
      <c r="AL283" t="str">
        <f t="shared" si="120"/>
        <v>Neutral</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0</v>
      </c>
      <c r="AP283">
        <f>step3_validation[[#This Row],[AI_TRU2]]</f>
        <v>6</v>
      </c>
      <c r="AQ283" t="str">
        <f t="shared" si="123"/>
        <v>Neutral</v>
      </c>
      <c r="AR283">
        <f>survey_responses[[#This Row],[Tôi thấy mức thuế tôi phải đóng theo phương án mới là công bằng (người thu nhập như tôi đóng mức này là hợp lý). - HUMAN-TRU2]]</f>
        <v>8</v>
      </c>
      <c r="AS283" t="str">
        <f t="shared" si="124"/>
        <v>Support</v>
      </c>
      <c r="AT283" s="32">
        <f t="shared" si="125"/>
        <v>2</v>
      </c>
      <c r="AU283">
        <f>step3_validation[[#This Row],[AI_TRU3]]</f>
        <v>7</v>
      </c>
      <c r="AV283" t="str">
        <f t="shared" si="126"/>
        <v>Neutral</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1</v>
      </c>
      <c r="AZ283">
        <f>step3_validation[[#This Row],[AI_TRU4]]</f>
        <v>6</v>
      </c>
      <c r="BA283" t="str">
        <f t="shared" si="129"/>
        <v>Neutral</v>
      </c>
      <c r="BB283">
        <f>survey_responses[[#This Row],[Tôi thấy Nhà nước đã giải thích rõ ràng, minh bạch về lý do và mục tiêu của việc sửa đổi thuế lần này. - HUMAN-TRU4]]</f>
        <v>8</v>
      </c>
      <c r="BC283" t="str">
        <f t="shared" si="130"/>
        <v>Support</v>
      </c>
      <c r="BD283" s="32">
        <f t="shared" si="131"/>
        <v>2</v>
      </c>
      <c r="BE283">
        <f>step3_validation[[#This Row],[AI_OUT1]]</f>
        <v>7</v>
      </c>
      <c r="BF283" t="str">
        <f t="shared" si="132"/>
        <v>Neutral</v>
      </c>
      <c r="BG283">
        <f>survey_responses[[#This Row],[Sau khi xem xét các quyền lợi và nghĩa vụ, bạn có ủng hộ và tuân thủ chính sách mới hiện nay? - HUMAN-OUT1]]</f>
        <v>7</v>
      </c>
      <c r="BH283" t="str">
        <f t="shared" si="133"/>
        <v>Neutral</v>
      </c>
      <c r="BI283" s="32">
        <f t="shared" si="134"/>
        <v>0</v>
      </c>
    </row>
    <row r="284" spans="1:61" x14ac:dyDescent="0.45">
      <c r="A284" s="30">
        <f>step3_validation[[#This Row],[Persona_ID]]</f>
        <v>283</v>
      </c>
      <c r="B284" s="31">
        <f>step3_validation[[#This Row],[Used_Seed]]</f>
        <v>12627</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67.215088829980886</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7</v>
      </c>
      <c r="R284" t="str">
        <f t="shared" si="108"/>
        <v>Neutral</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2</v>
      </c>
      <c r="V284">
        <f>step3_validation[[#This Row],[AI_ENF2]]</f>
        <v>6</v>
      </c>
      <c r="W284" t="str">
        <f t="shared" si="111"/>
        <v>Neutral</v>
      </c>
      <c r="X284">
        <f>survey_responses[[#This Row],[Tôi tin rằng Nhà nước, cơ quan thuế có đủ khả năng và công nghệ để phát hiện, xử lý nghiêm các hành vi trốn thuế. - HUMAN-ENF2]]</f>
        <v>5</v>
      </c>
      <c r="Y284" t="str">
        <f t="shared" si="112"/>
        <v>Neutral</v>
      </c>
      <c r="Z284" s="32">
        <f t="shared" si="113"/>
        <v>1</v>
      </c>
      <c r="AA284">
        <f>step3_validation[[#This Row],[AI_FAC1]]</f>
        <v>8</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6</v>
      </c>
      <c r="AF284">
        <f>step3_validation[[#This Row],[AI_FAC2]]</f>
        <v>7</v>
      </c>
      <c r="AG284" t="str">
        <f t="shared" si="117"/>
        <v>Neutral</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1</v>
      </c>
      <c r="AK284">
        <f>step3_validation[[#This Row],[AI_TRU1]]</f>
        <v>8</v>
      </c>
      <c r="AL284" t="str">
        <f t="shared" si="120"/>
        <v>Support</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3</v>
      </c>
      <c r="AP284">
        <f>step3_validation[[#This Row],[AI_TRU2]]</f>
        <v>7</v>
      </c>
      <c r="AQ284" t="str">
        <f t="shared" si="123"/>
        <v>Neutral</v>
      </c>
      <c r="AR284">
        <f>survey_responses[[#This Row],[Tôi thấy mức thuế tôi phải đóng theo phương án mới là công bằng (người thu nhập như tôi đóng mức này là hợp lý). - HUMAN-TRU2]]</f>
        <v>4</v>
      </c>
      <c r="AS284" t="str">
        <f t="shared" si="124"/>
        <v>Oppose</v>
      </c>
      <c r="AT284" s="32">
        <f t="shared" si="125"/>
        <v>3</v>
      </c>
      <c r="AU284">
        <f>step3_validation[[#This Row],[AI_TRU3]]</f>
        <v>6</v>
      </c>
      <c r="AV284" t="str">
        <f t="shared" si="126"/>
        <v>Neutral</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1</v>
      </c>
      <c r="AZ284">
        <f>step3_validation[[#This Row],[AI_TRU4]]</f>
        <v>5</v>
      </c>
      <c r="BA284" t="str">
        <f t="shared" si="129"/>
        <v>Neutral</v>
      </c>
      <c r="BB284">
        <f>survey_responses[[#This Row],[Tôi thấy Nhà nước đã giải thích rõ ràng, minh bạch về lý do và mục tiêu của việc sửa đổi thuế lần này. - HUMAN-TRU4]]</f>
        <v>5</v>
      </c>
      <c r="BC284" t="str">
        <f t="shared" si="130"/>
        <v>Neutral</v>
      </c>
      <c r="BD284" s="32">
        <f t="shared" si="131"/>
        <v>0</v>
      </c>
      <c r="BE284">
        <f>step3_validation[[#This Row],[AI_OUT1]]</f>
        <v>7</v>
      </c>
      <c r="BF284" t="str">
        <f t="shared" si="132"/>
        <v>Neutral</v>
      </c>
      <c r="BG284">
        <f>survey_responses[[#This Row],[Sau khi xem xét các quyền lợi và nghĩa vụ, bạn có ủng hộ và tuân thủ chính sách mới hiện nay? - HUMAN-OUT1]]</f>
        <v>4</v>
      </c>
      <c r="BH284" t="str">
        <f t="shared" si="133"/>
        <v>Oppose</v>
      </c>
      <c r="BI284" s="32">
        <f t="shared" si="134"/>
        <v>3</v>
      </c>
    </row>
    <row r="285" spans="1:61" x14ac:dyDescent="0.45">
      <c r="A285" s="30">
        <f>step3_validation[[#This Row],[Persona_ID]]</f>
        <v>284</v>
      </c>
      <c r="B285" s="31">
        <f>step3_validation[[#This Row],[Used_Seed]]</f>
        <v>12628</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57.766302457784683</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7</v>
      </c>
      <c r="R285" t="str">
        <f t="shared" si="108"/>
        <v>Neutral</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0</v>
      </c>
      <c r="V285">
        <f>step3_validation[[#This Row],[AI_ENF2]]</f>
        <v>8</v>
      </c>
      <c r="W285" t="str">
        <f t="shared" si="111"/>
        <v>Support</v>
      </c>
      <c r="X285">
        <f>survey_responses[[#This Row],[Tôi tin rằng Nhà nước, cơ quan thuế có đủ khả năng và công nghệ để phát hiện, xử lý nghiêm các hành vi trốn thuế. - HUMAN-ENF2]]</f>
        <v>7</v>
      </c>
      <c r="Y285" t="str">
        <f t="shared" si="112"/>
        <v>Neutral</v>
      </c>
      <c r="Z285" s="32">
        <f t="shared" si="113"/>
        <v>1</v>
      </c>
      <c r="AA285">
        <f>step3_validation[[#This Row],[AI_FAC1]]</f>
        <v>9</v>
      </c>
      <c r="AB285" t="str">
        <f t="shared" si="114"/>
        <v>Support</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4</v>
      </c>
      <c r="AF285">
        <f>step3_validation[[#This Row],[AI_FAC2]]</f>
        <v>8</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1</v>
      </c>
      <c r="AK285">
        <f>step3_validation[[#This Row],[AI_TRU1]]</f>
        <v>7</v>
      </c>
      <c r="AL285" t="str">
        <f t="shared" si="120"/>
        <v>Neutral</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2</v>
      </c>
      <c r="AP285">
        <f>step3_validation[[#This Row],[AI_TRU2]]</f>
        <v>6</v>
      </c>
      <c r="AQ285" t="str">
        <f t="shared" si="123"/>
        <v>Neutral</v>
      </c>
      <c r="AR285">
        <f>survey_responses[[#This Row],[Tôi thấy mức thuế tôi phải đóng theo phương án mới là công bằng (người thu nhập như tôi đóng mức này là hợp lý). - HUMAN-TRU2]]</f>
        <v>6</v>
      </c>
      <c r="AS285" t="str">
        <f t="shared" si="124"/>
        <v>Neutral</v>
      </c>
      <c r="AT285" s="32">
        <f t="shared" si="125"/>
        <v>0</v>
      </c>
      <c r="AU285">
        <f>step3_validation[[#This Row],[AI_TRU3]]</f>
        <v>5</v>
      </c>
      <c r="AV285" t="str">
        <f t="shared" si="126"/>
        <v>Neutral</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0</v>
      </c>
      <c r="AZ285">
        <f>step3_validation[[#This Row],[AI_TRU4]]</f>
        <v>4</v>
      </c>
      <c r="BA285" t="str">
        <f t="shared" si="129"/>
        <v>Oppose</v>
      </c>
      <c r="BB285">
        <f>survey_responses[[#This Row],[Tôi thấy Nhà nước đã giải thích rõ ràng, minh bạch về lý do và mục tiêu của việc sửa đổi thuế lần này. - HUMAN-TRU4]]</f>
        <v>7</v>
      </c>
      <c r="BC285" t="str">
        <f t="shared" si="130"/>
        <v>Neutral</v>
      </c>
      <c r="BD285" s="32">
        <f t="shared" si="131"/>
        <v>3</v>
      </c>
      <c r="BE285">
        <f>step3_validation[[#This Row],[AI_OUT1]]</f>
        <v>5</v>
      </c>
      <c r="BF285" t="str">
        <f t="shared" si="132"/>
        <v>Neutral</v>
      </c>
      <c r="BG285">
        <f>survey_responses[[#This Row],[Sau khi xem xét các quyền lợi và nghĩa vụ, bạn có ủng hộ và tuân thủ chính sách mới hiện nay? - HUMAN-OUT1]]</f>
        <v>6</v>
      </c>
      <c r="BH285" t="str">
        <f t="shared" si="133"/>
        <v>Neutral</v>
      </c>
      <c r="BI285" s="32">
        <f t="shared" si="134"/>
        <v>1</v>
      </c>
    </row>
    <row r="286" spans="1:61" x14ac:dyDescent="0.45">
      <c r="A286" s="30">
        <f>step3_validation[[#This Row],[Persona_ID]]</f>
        <v>285</v>
      </c>
      <c r="B286" s="31">
        <f>step3_validation[[#This Row],[Used_Seed]]</f>
        <v>12629</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99.46031303063414</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7</v>
      </c>
      <c r="R286" t="str">
        <f t="shared" si="108"/>
        <v>Neutral</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0</v>
      </c>
      <c r="V286">
        <f>step3_validation[[#This Row],[AI_ENF2]]</f>
        <v>6</v>
      </c>
      <c r="W286" t="str">
        <f t="shared" si="111"/>
        <v>Neutral</v>
      </c>
      <c r="X286">
        <f>survey_responses[[#This Row],[Tôi tin rằng Nhà nước, cơ quan thuế có đủ khả năng và công nghệ để phát hiện, xử lý nghiêm các hành vi trốn thuế. - HUMAN-ENF2]]</f>
        <v>7</v>
      </c>
      <c r="Y286" t="str">
        <f t="shared" si="112"/>
        <v>Neutral</v>
      </c>
      <c r="Z286" s="32">
        <f t="shared" si="113"/>
        <v>1</v>
      </c>
      <c r="AA286">
        <f>step3_validation[[#This Row],[AI_FAC1]]</f>
        <v>8</v>
      </c>
      <c r="AB286" t="str">
        <f t="shared" si="114"/>
        <v>Support</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3</v>
      </c>
      <c r="AF286">
        <f>step3_validation[[#This Row],[AI_FAC2]]</f>
        <v>9</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1</v>
      </c>
      <c r="AK286">
        <f>step3_validation[[#This Row],[AI_TRU1]]</f>
        <v>6</v>
      </c>
      <c r="AL286" t="str">
        <f t="shared" si="120"/>
        <v>Neutral</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0</v>
      </c>
      <c r="AP286">
        <f>step3_validation[[#This Row],[AI_TRU2]]</f>
        <v>8</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2</v>
      </c>
      <c r="AU286">
        <f>step3_validation[[#This Row],[AI_TRU3]]</f>
        <v>7</v>
      </c>
      <c r="AV286" t="str">
        <f t="shared" si="126"/>
        <v>Neutral</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1</v>
      </c>
      <c r="AZ286">
        <f>step3_validation[[#This Row],[AI_TRU4]]</f>
        <v>5</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2">
        <f t="shared" si="131"/>
        <v>2</v>
      </c>
      <c r="BE286">
        <f>step3_validation[[#This Row],[AI_OUT1]]</f>
        <v>7</v>
      </c>
      <c r="BF286" t="str">
        <f t="shared" si="132"/>
        <v>Neutral</v>
      </c>
      <c r="BG286">
        <f>survey_responses[[#This Row],[Sau khi xem xét các quyền lợi và nghĩa vụ, bạn có ủng hộ và tuân thủ chính sách mới hiện nay? - HUMAN-OUT1]]</f>
        <v>7</v>
      </c>
      <c r="BH286" t="str">
        <f t="shared" si="133"/>
        <v>Neutral</v>
      </c>
      <c r="BI286" s="32">
        <f t="shared" si="134"/>
        <v>0</v>
      </c>
    </row>
    <row r="287" spans="1:61" x14ac:dyDescent="0.45">
      <c r="A287" s="30">
        <f>step3_validation[[#This Row],[Persona_ID]]</f>
        <v>286</v>
      </c>
      <c r="B287" s="31">
        <f>step3_validation[[#This Row],[Used_Seed]]</f>
        <v>12630</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40.982443905549381</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8</v>
      </c>
      <c r="R287" t="str">
        <f t="shared" si="108"/>
        <v>Support</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4</v>
      </c>
      <c r="V287">
        <f>step3_validation[[#This Row],[AI_ENF2]]</f>
        <v>7</v>
      </c>
      <c r="W287" t="str">
        <f t="shared" si="111"/>
        <v>Neutral</v>
      </c>
      <c r="X287">
        <f>survey_responses[[#This Row],[Tôi tin rằng Nhà nước, cơ quan thuế có đủ khả năng và công nghệ để phát hiện, xử lý nghiêm các hành vi trốn thuế. - HUMAN-ENF2]]</f>
        <v>4</v>
      </c>
      <c r="Y287" t="str">
        <f t="shared" si="112"/>
        <v>Oppose</v>
      </c>
      <c r="Z287" s="32">
        <f t="shared" si="113"/>
        <v>3</v>
      </c>
      <c r="AA287">
        <f>step3_validation[[#This Row],[AI_FAC1]]</f>
        <v>9</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7</v>
      </c>
      <c r="AF287">
        <f>step3_validation[[#This Row],[AI_FAC2]]</f>
        <v>8</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0</v>
      </c>
      <c r="AK287">
        <f>step3_validation[[#This Row],[AI_TRU1]]</f>
        <v>7</v>
      </c>
      <c r="AL287" t="str">
        <f t="shared" si="120"/>
        <v>Neutral</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2</v>
      </c>
      <c r="AP287">
        <f>step3_validation[[#This Row],[AI_TRU2]]</f>
        <v>8</v>
      </c>
      <c r="AQ287" t="str">
        <f t="shared" si="123"/>
        <v>Support</v>
      </c>
      <c r="AR287">
        <f>survey_responses[[#This Row],[Tôi thấy mức thuế tôi phải đóng theo phương án mới là công bằng (người thu nhập như tôi đóng mức này là hợp lý). - HUMAN-TRU2]]</f>
        <v>5</v>
      </c>
      <c r="AS287" t="str">
        <f t="shared" si="124"/>
        <v>Neutral</v>
      </c>
      <c r="AT287" s="32">
        <f t="shared" si="125"/>
        <v>3</v>
      </c>
      <c r="AU287">
        <f>step3_validation[[#This Row],[AI_TRU3]]</f>
        <v>7</v>
      </c>
      <c r="AV287" t="str">
        <f t="shared" si="126"/>
        <v>Neutral</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3</v>
      </c>
      <c r="AZ287">
        <f>step3_validation[[#This Row],[AI_TRU4]]</f>
        <v>6</v>
      </c>
      <c r="BA287" t="str">
        <f t="shared" si="129"/>
        <v>Neutral</v>
      </c>
      <c r="BB287">
        <f>survey_responses[[#This Row],[Tôi thấy Nhà nước đã giải thích rõ ràng, minh bạch về lý do và mục tiêu của việc sửa đổi thuế lần này. - HUMAN-TRU4]]</f>
        <v>6</v>
      </c>
      <c r="BC287" t="str">
        <f t="shared" si="130"/>
        <v>Neutral</v>
      </c>
      <c r="BD287" s="32">
        <f t="shared" si="131"/>
        <v>0</v>
      </c>
      <c r="BE287">
        <f>step3_validation[[#This Row],[AI_OUT1]]</f>
        <v>7</v>
      </c>
      <c r="BF287" t="str">
        <f t="shared" si="132"/>
        <v>Neutral</v>
      </c>
      <c r="BG287">
        <f>survey_responses[[#This Row],[Sau khi xem xét các quyền lợi và nghĩa vụ, bạn có ủng hộ và tuân thủ chính sách mới hiện nay? - HUMAN-OUT1]]</f>
        <v>5</v>
      </c>
      <c r="BH287" t="str">
        <f t="shared" si="133"/>
        <v>Neutral</v>
      </c>
      <c r="BI287" s="32">
        <f t="shared" si="134"/>
        <v>2</v>
      </c>
    </row>
    <row r="288" spans="1:61" x14ac:dyDescent="0.45">
      <c r="A288" s="30">
        <f>step3_validation[[#This Row],[Persona_ID]]</f>
        <v>287</v>
      </c>
      <c r="B288" s="31">
        <f>step3_validation[[#This Row],[Used_Seed]]</f>
        <v>12631</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67.014852647140088</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8</v>
      </c>
      <c r="R288" t="str">
        <f t="shared" si="108"/>
        <v>Support</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2</v>
      </c>
      <c r="V288">
        <f>step3_validation[[#This Row],[AI_ENF2]]</f>
        <v>7</v>
      </c>
      <c r="W288" t="str">
        <f t="shared" si="111"/>
        <v>Neutral</v>
      </c>
      <c r="X288">
        <f>survey_responses[[#This Row],[Tôi tin rằng Nhà nước, cơ quan thuế có đủ khả năng và công nghệ để phát hiện, xử lý nghiêm các hành vi trốn thuế. - HUMAN-ENF2]]</f>
        <v>10</v>
      </c>
      <c r="Y288" t="str">
        <f t="shared" si="112"/>
        <v>Support</v>
      </c>
      <c r="Z288" s="32">
        <f t="shared" si="113"/>
        <v>3</v>
      </c>
      <c r="AA288">
        <f>step3_validation[[#This Row],[AI_FAC1]]</f>
        <v>8</v>
      </c>
      <c r="AB288" t="str">
        <f t="shared" si="114"/>
        <v>Support</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1</v>
      </c>
      <c r="AF288">
        <f>step3_validation[[#This Row],[AI_FAC2]]</f>
        <v>9</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2</v>
      </c>
      <c r="AK288">
        <f>step3_validation[[#This Row],[AI_TRU1]]</f>
        <v>7</v>
      </c>
      <c r="AL288" t="str">
        <f t="shared" si="120"/>
        <v>Neutral</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1</v>
      </c>
      <c r="AP288">
        <f>step3_validation[[#This Row],[AI_TRU2]]</f>
        <v>6</v>
      </c>
      <c r="AQ288" t="str">
        <f t="shared" si="123"/>
        <v>Neutral</v>
      </c>
      <c r="AR288">
        <f>survey_responses[[#This Row],[Tôi thấy mức thuế tôi phải đóng theo phương án mới là công bằng (người thu nhập như tôi đóng mức này là hợp lý). - HUMAN-TRU2]]</f>
        <v>7</v>
      </c>
      <c r="AS288" t="str">
        <f t="shared" si="124"/>
        <v>Neutral</v>
      </c>
      <c r="AT288" s="32">
        <f t="shared" si="125"/>
        <v>1</v>
      </c>
      <c r="AU288">
        <f>step3_validation[[#This Row],[AI_TRU3]]</f>
        <v>7</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1</v>
      </c>
      <c r="AZ288">
        <f>step3_validation[[#This Row],[AI_TRU4]]</f>
        <v>6</v>
      </c>
      <c r="BA288" t="str">
        <f t="shared" si="129"/>
        <v>Neutral</v>
      </c>
      <c r="BB288">
        <f>survey_responses[[#This Row],[Tôi thấy Nhà nước đã giải thích rõ ràng, minh bạch về lý do và mục tiêu của việc sửa đổi thuế lần này. - HUMAN-TRU4]]</f>
        <v>8</v>
      </c>
      <c r="BC288" t="str">
        <f t="shared" si="130"/>
        <v>Support</v>
      </c>
      <c r="BD288" s="32">
        <f t="shared" si="131"/>
        <v>2</v>
      </c>
      <c r="BE288">
        <f>step3_validation[[#This Row],[AI_OUT1]]</f>
        <v>7</v>
      </c>
      <c r="BF288" t="str">
        <f t="shared" si="132"/>
        <v>Neutral</v>
      </c>
      <c r="BG288">
        <f>survey_responses[[#This Row],[Sau khi xem xét các quyền lợi và nghĩa vụ, bạn có ủng hộ và tuân thủ chính sách mới hiện nay? - HUMAN-OUT1]]</f>
        <v>8</v>
      </c>
      <c r="BH288" t="str">
        <f t="shared" si="133"/>
        <v>Support</v>
      </c>
      <c r="BI288" s="32">
        <f t="shared" si="134"/>
        <v>1</v>
      </c>
    </row>
    <row r="289" spans="1:61" x14ac:dyDescent="0.45">
      <c r="A289" s="30">
        <f>step3_validation[[#This Row],[Persona_ID]]</f>
        <v>288</v>
      </c>
      <c r="B289" s="31">
        <f>step3_validation[[#This Row],[Used_Seed]]</f>
        <v>12632</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25.773509379703359</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6</v>
      </c>
      <c r="R289" t="str">
        <f t="shared" si="108"/>
        <v>Neutral</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2</v>
      </c>
      <c r="V289">
        <f>step3_validation[[#This Row],[AI_ENF2]]</f>
        <v>7</v>
      </c>
      <c r="W289" t="str">
        <f t="shared" si="111"/>
        <v>Neutral</v>
      </c>
      <c r="X289">
        <f>survey_responses[[#This Row],[Tôi tin rằng Nhà nước, cơ quan thuế có đủ khả năng và công nghệ để phát hiện, xử lý nghiêm các hành vi trốn thuế. - HUMAN-ENF2]]</f>
        <v>8</v>
      </c>
      <c r="Y289" t="str">
        <f t="shared" si="112"/>
        <v>Support</v>
      </c>
      <c r="Z289" s="32">
        <f t="shared" si="113"/>
        <v>1</v>
      </c>
      <c r="AA289">
        <f>step3_validation[[#This Row],[AI_FAC1]]</f>
        <v>8</v>
      </c>
      <c r="AB289" t="str">
        <f t="shared" si="114"/>
        <v>Support</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3</v>
      </c>
      <c r="AF289">
        <f>step3_validation[[#This Row],[AI_FAC2]]</f>
        <v>9</v>
      </c>
      <c r="AG289" t="str">
        <f t="shared" si="117"/>
        <v>Support</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0</v>
      </c>
      <c r="AK289">
        <f>step3_validation[[#This Row],[AI_TRU1]]</f>
        <v>7</v>
      </c>
      <c r="AL289" t="str">
        <f t="shared" si="120"/>
        <v>Neutral</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3</v>
      </c>
      <c r="AP289">
        <f>step3_validation[[#This Row],[AI_TRU2]]</f>
        <v>8</v>
      </c>
      <c r="AQ289" t="str">
        <f t="shared" si="123"/>
        <v>Support</v>
      </c>
      <c r="AR289">
        <f>survey_responses[[#This Row],[Tôi thấy mức thuế tôi phải đóng theo phương án mới là công bằng (người thu nhập như tôi đóng mức này là hợp lý). - HUMAN-TRU2]]</f>
        <v>10</v>
      </c>
      <c r="AS289" t="str">
        <f t="shared" si="124"/>
        <v>Support</v>
      </c>
      <c r="AT289" s="32">
        <f t="shared" si="125"/>
        <v>2</v>
      </c>
      <c r="AU289">
        <f>step3_validation[[#This Row],[AI_TRU3]]</f>
        <v>7</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2</v>
      </c>
      <c r="AZ289">
        <f>step3_validation[[#This Row],[AI_TRU4]]</f>
        <v>5</v>
      </c>
      <c r="BA289" t="str">
        <f t="shared" si="129"/>
        <v>Neutral</v>
      </c>
      <c r="BB289">
        <f>survey_responses[[#This Row],[Tôi thấy Nhà nước đã giải thích rõ ràng, minh bạch về lý do và mục tiêu của việc sửa đổi thuế lần này. - HUMAN-TRU4]]</f>
        <v>9</v>
      </c>
      <c r="BC289" t="str">
        <f t="shared" si="130"/>
        <v>Support</v>
      </c>
      <c r="BD289" s="32">
        <f t="shared" si="131"/>
        <v>4</v>
      </c>
      <c r="BE289">
        <f>step3_validation[[#This Row],[AI_OUT1]]</f>
        <v>8</v>
      </c>
      <c r="BF289" t="str">
        <f t="shared" si="132"/>
        <v>Support</v>
      </c>
      <c r="BG289">
        <f>survey_responses[[#This Row],[Sau khi xem xét các quyền lợi và nghĩa vụ, bạn có ủng hộ và tuân thủ chính sách mới hiện nay? - HUMAN-OUT1]]</f>
        <v>10</v>
      </c>
      <c r="BH289" t="str">
        <f t="shared" si="133"/>
        <v>Support</v>
      </c>
      <c r="BI289" s="32">
        <f t="shared" si="134"/>
        <v>2</v>
      </c>
    </row>
    <row r="290" spans="1:61" x14ac:dyDescent="0.45">
      <c r="A290" s="30">
        <f>step3_validation[[#This Row],[Persona_ID]]</f>
        <v>289</v>
      </c>
      <c r="B290" s="31">
        <f>step3_validation[[#This Row],[Used_Seed]]</f>
        <v>12633</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29.79743673042605</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7</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0</v>
      </c>
      <c r="V290">
        <f>step3_validation[[#This Row],[AI_ENF2]]</f>
        <v>6</v>
      </c>
      <c r="W290" t="str">
        <f t="shared" si="111"/>
        <v>Neutral</v>
      </c>
      <c r="X290">
        <f>survey_responses[[#This Row],[Tôi tin rằng Nhà nước, cơ quan thuế có đủ khả năng và công nghệ để phát hiện, xử lý nghiêm các hành vi trốn thuế. - HUMAN-ENF2]]</f>
        <v>7</v>
      </c>
      <c r="Y290" t="str">
        <f t="shared" si="112"/>
        <v>Neutral</v>
      </c>
      <c r="Z290" s="32">
        <f t="shared" si="113"/>
        <v>1</v>
      </c>
      <c r="AA290">
        <f>step3_validation[[#This Row],[AI_FAC1]]</f>
        <v>8</v>
      </c>
      <c r="AB290" t="str">
        <f t="shared" si="114"/>
        <v>Support</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3</v>
      </c>
      <c r="AF290">
        <f>step3_validation[[#This Row],[AI_FAC2]]</f>
        <v>9</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3</v>
      </c>
      <c r="AK290">
        <f>step3_validation[[#This Row],[AI_TRU1]]</f>
        <v>6</v>
      </c>
      <c r="AL290" t="str">
        <f t="shared" si="120"/>
        <v>Neutral</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1</v>
      </c>
      <c r="AP290">
        <f>step3_validation[[#This Row],[AI_TRU2]]</f>
        <v>7</v>
      </c>
      <c r="AQ290" t="str">
        <f t="shared" si="123"/>
        <v>Neutral</v>
      </c>
      <c r="AR290">
        <f>survey_responses[[#This Row],[Tôi thấy mức thuế tôi phải đóng theo phương án mới là công bằng (người thu nhập như tôi đóng mức này là hợp lý). - HUMAN-TRU2]]</f>
        <v>5</v>
      </c>
      <c r="AS290" t="str">
        <f t="shared" si="124"/>
        <v>Neutral</v>
      </c>
      <c r="AT290" s="32">
        <f t="shared" si="125"/>
        <v>2</v>
      </c>
      <c r="AU290">
        <f>step3_validation[[#This Row],[AI_TRU3]]</f>
        <v>7</v>
      </c>
      <c r="AV290" t="str">
        <f t="shared" si="126"/>
        <v>Neutral</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2</v>
      </c>
      <c r="AZ290">
        <f>step3_validation[[#This Row],[AI_TRU4]]</f>
        <v>5</v>
      </c>
      <c r="BA290" t="str">
        <f t="shared" si="129"/>
        <v>Neutral</v>
      </c>
      <c r="BB290">
        <f>survey_responses[[#This Row],[Tôi thấy Nhà nước đã giải thích rõ ràng, minh bạch về lý do và mục tiêu của việc sửa đổi thuế lần này. - HUMAN-TRU4]]</f>
        <v>5</v>
      </c>
      <c r="BC290" t="str">
        <f t="shared" si="130"/>
        <v>Neutral</v>
      </c>
      <c r="BD290" s="32">
        <f t="shared" si="131"/>
        <v>0</v>
      </c>
      <c r="BE290">
        <f>step3_validation[[#This Row],[AI_OUT1]]</f>
        <v>6</v>
      </c>
      <c r="BF290" t="str">
        <f t="shared" si="132"/>
        <v>Neutral</v>
      </c>
      <c r="BG290">
        <f>survey_responses[[#This Row],[Sau khi xem xét các quyền lợi và nghĩa vụ, bạn có ủng hộ và tuân thủ chính sách mới hiện nay? - HUMAN-OUT1]]</f>
        <v>6</v>
      </c>
      <c r="BH290" t="str">
        <f t="shared" si="133"/>
        <v>Neutral</v>
      </c>
      <c r="BI290" s="32">
        <f t="shared" si="134"/>
        <v>0</v>
      </c>
    </row>
    <row r="291" spans="1:61" x14ac:dyDescent="0.45">
      <c r="A291" s="30">
        <f>step3_validation[[#This Row],[Persona_ID]]</f>
        <v>290</v>
      </c>
      <c r="B291" s="31">
        <f>step3_validation[[#This Row],[Used_Seed]]</f>
        <v>12634</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45.104991096016889</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7</v>
      </c>
      <c r="R291" t="str">
        <f t="shared" si="108"/>
        <v>Neutral</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1</v>
      </c>
      <c r="V291">
        <f>step3_validation[[#This Row],[AI_ENF2]]</f>
        <v>6</v>
      </c>
      <c r="W291" t="str">
        <f t="shared" si="111"/>
        <v>Neutral</v>
      </c>
      <c r="X291">
        <f>survey_responses[[#This Row],[Tôi tin rằng Nhà nước, cơ quan thuế có đủ khả năng và công nghệ để phát hiện, xử lý nghiêm các hành vi trốn thuế. - HUMAN-ENF2]]</f>
        <v>8</v>
      </c>
      <c r="Y291" t="str">
        <f t="shared" si="112"/>
        <v>Support</v>
      </c>
      <c r="Z291" s="32">
        <f t="shared" si="113"/>
        <v>2</v>
      </c>
      <c r="AA291">
        <f>step3_validation[[#This Row],[AI_FAC1]]</f>
        <v>8</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0</v>
      </c>
      <c r="AF291">
        <f>step3_validation[[#This Row],[AI_FAC2]]</f>
        <v>7</v>
      </c>
      <c r="AG291" t="str">
        <f t="shared" si="117"/>
        <v>Neutral</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1</v>
      </c>
      <c r="AK291">
        <f>step3_validation[[#This Row],[AI_TRU1]]</f>
        <v>8</v>
      </c>
      <c r="AL291" t="str">
        <f t="shared" si="120"/>
        <v>Support</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0</v>
      </c>
      <c r="AP291">
        <f>step3_validation[[#This Row],[AI_TRU2]]</f>
        <v>6</v>
      </c>
      <c r="AQ291" t="str">
        <f t="shared" si="123"/>
        <v>Neutral</v>
      </c>
      <c r="AR291">
        <f>survey_responses[[#This Row],[Tôi thấy mức thuế tôi phải đóng theo phương án mới là công bằng (người thu nhập như tôi đóng mức này là hợp lý). - HUMAN-TRU2]]</f>
        <v>8</v>
      </c>
      <c r="AS291" t="str">
        <f t="shared" si="124"/>
        <v>Support</v>
      </c>
      <c r="AT291" s="32">
        <f t="shared" si="125"/>
        <v>2</v>
      </c>
      <c r="AU291">
        <f>step3_validation[[#This Row],[AI_TRU3]]</f>
        <v>7</v>
      </c>
      <c r="AV291" t="str">
        <f t="shared" si="126"/>
        <v>Neutral</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1</v>
      </c>
      <c r="AZ291">
        <f>step3_validation[[#This Row],[AI_TRU4]]</f>
        <v>6</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2">
        <f t="shared" si="131"/>
        <v>2</v>
      </c>
      <c r="BE291">
        <f>step3_validation[[#This Row],[AI_OUT1]]</f>
        <v>7</v>
      </c>
      <c r="BF291" t="str">
        <f t="shared" si="132"/>
        <v>Neutral</v>
      </c>
      <c r="BG291">
        <f>survey_responses[[#This Row],[Sau khi xem xét các quyền lợi và nghĩa vụ, bạn có ủng hộ và tuân thủ chính sách mới hiện nay? - HUMAN-OUT1]]</f>
        <v>8</v>
      </c>
      <c r="BH291" t="str">
        <f t="shared" si="133"/>
        <v>Support</v>
      </c>
      <c r="BI291" s="32">
        <f t="shared" si="134"/>
        <v>1</v>
      </c>
    </row>
    <row r="292" spans="1:61" x14ac:dyDescent="0.45">
      <c r="A292" s="30">
        <f>step3_validation[[#This Row],[Persona_ID]]</f>
        <v>291</v>
      </c>
      <c r="B292" s="31">
        <f>step3_validation[[#This Row],[Used_Seed]]</f>
        <v>12635</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61.339928034608413</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t="str">
        <f t="shared" si="108"/>
        <v>Neutral</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2</v>
      </c>
      <c r="V292">
        <f>step3_validation[[#This Row],[AI_ENF2]]</f>
        <v>8</v>
      </c>
      <c r="W292" t="str">
        <f t="shared" si="111"/>
        <v>Support</v>
      </c>
      <c r="X292">
        <f>survey_responses[[#This Row],[Tôi tin rằng Nhà nước, cơ quan thuế có đủ khả năng và công nghệ để phát hiện, xử lý nghiêm các hành vi trốn thuế. - HUMAN-ENF2]]</f>
        <v>9</v>
      </c>
      <c r="Y292" t="str">
        <f t="shared" si="112"/>
        <v>Support</v>
      </c>
      <c r="Z292" s="32">
        <f t="shared" si="113"/>
        <v>1</v>
      </c>
      <c r="AA292">
        <f>step3_validation[[#This Row],[AI_FAC1]]</f>
        <v>9</v>
      </c>
      <c r="AB292" t="str">
        <f t="shared" si="114"/>
        <v>Support</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6</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2</v>
      </c>
      <c r="AK292">
        <f>step3_validation[[#This Row],[AI_TRU1]]</f>
        <v>9</v>
      </c>
      <c r="AL292" t="str">
        <f t="shared" si="120"/>
        <v>Support</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1</v>
      </c>
      <c r="AP292">
        <f>step3_validation[[#This Row],[AI_TRU2]]</f>
        <v>6</v>
      </c>
      <c r="AQ292" t="str">
        <f t="shared" si="123"/>
        <v>Neutral</v>
      </c>
      <c r="AR292">
        <f>survey_responses[[#This Row],[Tôi thấy mức thuế tôi phải đóng theo phương án mới là công bằng (người thu nhập như tôi đóng mức này là hợp lý). - HUMAN-TRU2]]</f>
        <v>8</v>
      </c>
      <c r="AS292" t="str">
        <f t="shared" si="124"/>
        <v>Support</v>
      </c>
      <c r="AT292" s="32">
        <f t="shared" si="125"/>
        <v>2</v>
      </c>
      <c r="AU292">
        <f>step3_validation[[#This Row],[AI_TRU3]]</f>
        <v>8</v>
      </c>
      <c r="AV292" t="str">
        <f t="shared" si="126"/>
        <v>Support</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2</v>
      </c>
      <c r="AZ292">
        <f>step3_validation[[#This Row],[AI_TRU4]]</f>
        <v>7</v>
      </c>
      <c r="BA292" t="str">
        <f t="shared" si="129"/>
        <v>Neutral</v>
      </c>
      <c r="BB292">
        <f>survey_responses[[#This Row],[Tôi thấy Nhà nước đã giải thích rõ ràng, minh bạch về lý do và mục tiêu của việc sửa đổi thuế lần này. - HUMAN-TRU4]]</f>
        <v>8</v>
      </c>
      <c r="BC292" t="str">
        <f t="shared" si="130"/>
        <v>Support</v>
      </c>
      <c r="BD292" s="32">
        <f t="shared" si="131"/>
        <v>1</v>
      </c>
      <c r="BE292">
        <f>step3_validation[[#This Row],[AI_OUT1]]</f>
        <v>8</v>
      </c>
      <c r="BF292" t="str">
        <f t="shared" si="132"/>
        <v>Support</v>
      </c>
      <c r="BG292">
        <f>survey_responses[[#This Row],[Sau khi xem xét các quyền lợi và nghĩa vụ, bạn có ủng hộ và tuân thủ chính sách mới hiện nay? - HUMAN-OUT1]]</f>
        <v>8</v>
      </c>
      <c r="BH292" t="str">
        <f t="shared" si="133"/>
        <v>Support</v>
      </c>
      <c r="BI292" s="32">
        <f t="shared" si="134"/>
        <v>0</v>
      </c>
    </row>
    <row r="293" spans="1:61" x14ac:dyDescent="0.45">
      <c r="A293" s="30">
        <f>step3_validation[[#This Row],[Persona_ID]]</f>
        <v>292</v>
      </c>
      <c r="B293" s="31">
        <f>step3_validation[[#This Row],[Used_Seed]]</f>
        <v>12636</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51.316450442993485</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8</v>
      </c>
      <c r="R293" t="str">
        <f t="shared" si="108"/>
        <v>Support</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2</v>
      </c>
      <c r="V293">
        <f>step3_validation[[#This Row],[AI_ENF2]]</f>
        <v>9</v>
      </c>
      <c r="W293" t="str">
        <f t="shared" si="111"/>
        <v>Support</v>
      </c>
      <c r="X293">
        <f>survey_responses[[#This Row],[Tôi tin rằng Nhà nước, cơ quan thuế có đủ khả năng và công nghệ để phát hiện, xử lý nghiêm các hành vi trốn thuế. - HUMAN-ENF2]]</f>
        <v>6</v>
      </c>
      <c r="Y293" t="str">
        <f t="shared" si="112"/>
        <v>Neutral</v>
      </c>
      <c r="Z293" s="32">
        <f t="shared" si="113"/>
        <v>3</v>
      </c>
      <c r="AA293">
        <f>step3_validation[[#This Row],[AI_FAC1]]</f>
        <v>7</v>
      </c>
      <c r="AB293" t="str">
        <f t="shared" si="114"/>
        <v>Neutral</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6</v>
      </c>
      <c r="AF293">
        <f>step3_validation[[#This Row],[AI_FAC2]]</f>
        <v>8</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2</v>
      </c>
      <c r="AK293">
        <f>step3_validation[[#This Row],[AI_TRU1]]</f>
        <v>7</v>
      </c>
      <c r="AL293" t="str">
        <f t="shared" si="120"/>
        <v>Neutral</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2</v>
      </c>
      <c r="AP293">
        <f>step3_validation[[#This Row],[AI_TRU2]]</f>
        <v>6</v>
      </c>
      <c r="AQ293" t="str">
        <f t="shared" si="123"/>
        <v>Neutral</v>
      </c>
      <c r="AR293">
        <f>survey_responses[[#This Row],[Tôi thấy mức thuế tôi phải đóng theo phương án mới là công bằng (người thu nhập như tôi đóng mức này là hợp lý). - HUMAN-TRU2]]</f>
        <v>6</v>
      </c>
      <c r="AS293" t="str">
        <f t="shared" si="124"/>
        <v>Neutral</v>
      </c>
      <c r="AT293" s="32">
        <f t="shared" si="125"/>
        <v>0</v>
      </c>
      <c r="AU293">
        <f>step3_validation[[#This Row],[AI_TRU3]]</f>
        <v>5</v>
      </c>
      <c r="AV293" t="str">
        <f t="shared" si="126"/>
        <v>Neutral</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0</v>
      </c>
      <c r="AZ293">
        <f>step3_validation[[#This Row],[AI_TRU4]]</f>
        <v>6</v>
      </c>
      <c r="BA293" t="str">
        <f t="shared" si="129"/>
        <v>Neutral</v>
      </c>
      <c r="BB293">
        <f>survey_responses[[#This Row],[Tôi thấy Nhà nước đã giải thích rõ ràng, minh bạch về lý do và mục tiêu của việc sửa đổi thuế lần này. - HUMAN-TRU4]]</f>
        <v>6</v>
      </c>
      <c r="BC293" t="str">
        <f t="shared" si="130"/>
        <v>Neutral</v>
      </c>
      <c r="BD293" s="32">
        <f t="shared" si="131"/>
        <v>0</v>
      </c>
      <c r="BE293">
        <f>step3_validation[[#This Row],[AI_OUT1]]</f>
        <v>5</v>
      </c>
      <c r="BF293" t="str">
        <f t="shared" si="132"/>
        <v>Neutral</v>
      </c>
      <c r="BG293">
        <f>survey_responses[[#This Row],[Sau khi xem xét các quyền lợi và nghĩa vụ, bạn có ủng hộ và tuân thủ chính sách mới hiện nay? - HUMAN-OUT1]]</f>
        <v>6</v>
      </c>
      <c r="BH293" t="str">
        <f t="shared" si="133"/>
        <v>Neutral</v>
      </c>
      <c r="BI293" s="32">
        <f t="shared" si="134"/>
        <v>1</v>
      </c>
    </row>
    <row r="294" spans="1:61" x14ac:dyDescent="0.45">
      <c r="A294" s="30">
        <f>step3_validation[[#This Row],[Persona_ID]]</f>
        <v>293</v>
      </c>
      <c r="B294" s="31">
        <f>step3_validation[[#This Row],[Used_Seed]]</f>
        <v>12637</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36.76426561228746</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6</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2</v>
      </c>
      <c r="V294">
        <f>step3_validation[[#This Row],[AI_ENF2]]</f>
        <v>7</v>
      </c>
      <c r="W294" t="str">
        <f t="shared" si="111"/>
        <v>Neutral</v>
      </c>
      <c r="X294">
        <f>survey_responses[[#This Row],[Tôi tin rằng Nhà nước, cơ quan thuế có đủ khả năng và công nghệ để phát hiện, xử lý nghiêm các hành vi trốn thuế. - HUMAN-ENF2]]</f>
        <v>8</v>
      </c>
      <c r="Y294" t="str">
        <f t="shared" si="112"/>
        <v>Support</v>
      </c>
      <c r="Z294" s="32">
        <f t="shared" si="113"/>
        <v>1</v>
      </c>
      <c r="AA294">
        <f>step3_validation[[#This Row],[AI_FAC1]]</f>
        <v>6</v>
      </c>
      <c r="AB294" t="str">
        <f t="shared" si="114"/>
        <v>Neutral</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1</v>
      </c>
      <c r="AF294">
        <f>step3_validation[[#This Row],[AI_FAC2]]</f>
        <v>8</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0</v>
      </c>
      <c r="AK294">
        <f>step3_validation[[#This Row],[AI_TRU1]]</f>
        <v>5</v>
      </c>
      <c r="AL294" t="str">
        <f t="shared" si="120"/>
        <v>Neutral</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0</v>
      </c>
      <c r="AP294">
        <f>step3_validation[[#This Row],[AI_TRU2]]</f>
        <v>4</v>
      </c>
      <c r="AQ294" t="str">
        <f t="shared" si="123"/>
        <v>Oppose</v>
      </c>
      <c r="AR294">
        <f>survey_responses[[#This Row],[Tôi thấy mức thuế tôi phải đóng theo phương án mới là công bằng (người thu nhập như tôi đóng mức này là hợp lý). - HUMAN-TRU2]]</f>
        <v>6</v>
      </c>
      <c r="AS294" t="str">
        <f t="shared" si="124"/>
        <v>Neutral</v>
      </c>
      <c r="AT294" s="32">
        <f t="shared" si="125"/>
        <v>2</v>
      </c>
      <c r="AU294">
        <f>step3_validation[[#This Row],[AI_TRU3]]</f>
        <v>5</v>
      </c>
      <c r="AV294" t="str">
        <f t="shared" si="126"/>
        <v>Neutral</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0</v>
      </c>
      <c r="AZ294">
        <f>step3_validation[[#This Row],[AI_TRU4]]</f>
        <v>5</v>
      </c>
      <c r="BA294" t="str">
        <f t="shared" si="129"/>
        <v>Neutral</v>
      </c>
      <c r="BB294">
        <f>survey_responses[[#This Row],[Tôi thấy Nhà nước đã giải thích rõ ràng, minh bạch về lý do và mục tiêu của việc sửa đổi thuế lần này. - HUMAN-TRU4]]</f>
        <v>6</v>
      </c>
      <c r="BC294" t="str">
        <f t="shared" si="130"/>
        <v>Neutral</v>
      </c>
      <c r="BD294" s="32">
        <f t="shared" si="131"/>
        <v>1</v>
      </c>
      <c r="BE294">
        <f>step3_validation[[#This Row],[AI_OUT1]]</f>
        <v>6</v>
      </c>
      <c r="BF294" t="str">
        <f t="shared" si="132"/>
        <v>Neutral</v>
      </c>
      <c r="BG294">
        <f>survey_responses[[#This Row],[Sau khi xem xét các quyền lợi và nghĩa vụ, bạn có ủng hộ và tuân thủ chính sách mới hiện nay? - HUMAN-OUT1]]</f>
        <v>6</v>
      </c>
      <c r="BH294" t="str">
        <f t="shared" si="133"/>
        <v>Neutral</v>
      </c>
      <c r="BI294" s="32">
        <f t="shared" si="134"/>
        <v>0</v>
      </c>
    </row>
    <row r="295" spans="1:61" x14ac:dyDescent="0.45">
      <c r="A295" s="30">
        <f>step3_validation[[#This Row],[Persona_ID]]</f>
        <v>294</v>
      </c>
      <c r="B295" s="31">
        <f>step3_validation[[#This Row],[Used_Seed]]</f>
        <v>12638</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49.63187851692156</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7</v>
      </c>
      <c r="R295" t="str">
        <f t="shared" si="108"/>
        <v>Neutral</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1</v>
      </c>
      <c r="V295">
        <f>step3_validation[[#This Row],[AI_ENF2]]</f>
        <v>6</v>
      </c>
      <c r="W295" t="str">
        <f t="shared" si="111"/>
        <v>Neutral</v>
      </c>
      <c r="X295">
        <f>survey_responses[[#This Row],[Tôi tin rằng Nhà nước, cơ quan thuế có đủ khả năng và công nghệ để phát hiện, xử lý nghiêm các hành vi trốn thuế. - HUMAN-ENF2]]</f>
        <v>6</v>
      </c>
      <c r="Y295" t="str">
        <f t="shared" si="112"/>
        <v>Neutral</v>
      </c>
      <c r="Z295" s="32">
        <f t="shared" si="113"/>
        <v>0</v>
      </c>
      <c r="AA295">
        <f>step3_validation[[#This Row],[AI_FAC1]]</f>
        <v>5</v>
      </c>
      <c r="AB295" t="str">
        <f t="shared" si="114"/>
        <v>Neutral</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2</v>
      </c>
      <c r="AF295">
        <f>step3_validation[[#This Row],[AI_FAC2]]</f>
        <v>4</v>
      </c>
      <c r="AG295" t="str">
        <f t="shared" si="117"/>
        <v>Oppose</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3</v>
      </c>
      <c r="AK295">
        <f>step3_validation[[#This Row],[AI_TRU1]]</f>
        <v>6</v>
      </c>
      <c r="AL295" t="str">
        <f t="shared" si="120"/>
        <v>Neutral</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1</v>
      </c>
      <c r="AP295">
        <f>step3_validation[[#This Row],[AI_TRU2]]</f>
        <v>5</v>
      </c>
      <c r="AQ295" t="str">
        <f t="shared" si="123"/>
        <v>Neutral</v>
      </c>
      <c r="AR295">
        <f>survey_responses[[#This Row],[Tôi thấy mức thuế tôi phải đóng theo phương án mới là công bằng (người thu nhập như tôi đóng mức này là hợp lý). - HUMAN-TRU2]]</f>
        <v>6</v>
      </c>
      <c r="AS295" t="str">
        <f t="shared" si="124"/>
        <v>Neutral</v>
      </c>
      <c r="AT295" s="32">
        <f t="shared" si="125"/>
        <v>1</v>
      </c>
      <c r="AU295">
        <f>step3_validation[[#This Row],[AI_TRU3]]</f>
        <v>4</v>
      </c>
      <c r="AV295" t="str">
        <f t="shared" si="126"/>
        <v>Oppose</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1</v>
      </c>
      <c r="AZ295">
        <f>step3_validation[[#This Row],[AI_TRU4]]</f>
        <v>5</v>
      </c>
      <c r="BA295" t="str">
        <f t="shared" si="129"/>
        <v>Neutral</v>
      </c>
      <c r="BB295">
        <f>survey_responses[[#This Row],[Tôi thấy Nhà nước đã giải thích rõ ràng, minh bạch về lý do và mục tiêu của việc sửa đổi thuế lần này. - HUMAN-TRU4]]</f>
        <v>5</v>
      </c>
      <c r="BC295" t="str">
        <f t="shared" si="130"/>
        <v>Neutral</v>
      </c>
      <c r="BD295" s="32">
        <f t="shared" si="131"/>
        <v>0</v>
      </c>
      <c r="BE295">
        <f>step3_validation[[#This Row],[AI_OUT1]]</f>
        <v>6</v>
      </c>
      <c r="BF295" t="str">
        <f t="shared" si="132"/>
        <v>Neutral</v>
      </c>
      <c r="BG295">
        <f>survey_responses[[#This Row],[Sau khi xem xét các quyền lợi và nghĩa vụ, bạn có ủng hộ và tuân thủ chính sách mới hiện nay? - HUMAN-OUT1]]</f>
        <v>6</v>
      </c>
      <c r="BH295" t="str">
        <f t="shared" si="133"/>
        <v>Neutral</v>
      </c>
      <c r="BI295" s="32">
        <f t="shared" si="134"/>
        <v>0</v>
      </c>
    </row>
    <row r="296" spans="1:61" x14ac:dyDescent="0.45">
      <c r="A296" s="30">
        <f>step3_validation[[#This Row],[Persona_ID]]</f>
        <v>295</v>
      </c>
      <c r="B296" s="31">
        <f>step3_validation[[#This Row],[Used_Seed]]</f>
        <v>12639</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25.984365789218586</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8</v>
      </c>
      <c r="R296" t="str">
        <f t="shared" si="108"/>
        <v>Support</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0</v>
      </c>
      <c r="V296">
        <f>step3_validation[[#This Row],[AI_ENF2]]</f>
        <v>9</v>
      </c>
      <c r="W296" t="str">
        <f t="shared" si="111"/>
        <v>Support</v>
      </c>
      <c r="X296">
        <f>survey_responses[[#This Row],[Tôi tin rằng Nhà nước, cơ quan thuế có đủ khả năng và công nghệ để phát hiện, xử lý nghiêm các hành vi trốn thuế. - HUMAN-ENF2]]</f>
        <v>9</v>
      </c>
      <c r="Y296" t="str">
        <f t="shared" si="112"/>
        <v>Support</v>
      </c>
      <c r="Z296" s="32">
        <f t="shared" si="113"/>
        <v>0</v>
      </c>
      <c r="AA296">
        <f>step3_validation[[#This Row],[AI_FAC1]]</f>
        <v>8</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1</v>
      </c>
      <c r="AF296">
        <f>step3_validation[[#This Row],[AI_FAC2]]</f>
        <v>7</v>
      </c>
      <c r="AG296" t="str">
        <f t="shared" si="117"/>
        <v>Neutral</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3</v>
      </c>
      <c r="AK296">
        <f>step3_validation[[#This Row],[AI_TRU1]]</f>
        <v>6</v>
      </c>
      <c r="AL296" t="str">
        <f t="shared" si="120"/>
        <v>Neutral</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2</v>
      </c>
      <c r="AP296">
        <f>step3_validation[[#This Row],[AI_TRU2]]</f>
        <v>5</v>
      </c>
      <c r="AQ296" t="str">
        <f t="shared" si="123"/>
        <v>Neutral</v>
      </c>
      <c r="AR296">
        <f>survey_responses[[#This Row],[Tôi thấy mức thuế tôi phải đóng theo phương án mới là công bằng (người thu nhập như tôi đóng mức này là hợp lý). - HUMAN-TRU2]]</f>
        <v>8</v>
      </c>
      <c r="AS296" t="str">
        <f t="shared" si="124"/>
        <v>Support</v>
      </c>
      <c r="AT296" s="32">
        <f t="shared" si="125"/>
        <v>3</v>
      </c>
      <c r="AU296">
        <f>step3_validation[[#This Row],[AI_TRU3]]</f>
        <v>4</v>
      </c>
      <c r="AV296" t="str">
        <f t="shared" si="126"/>
        <v>Oppose</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5</v>
      </c>
      <c r="AZ296">
        <f>step3_validation[[#This Row],[AI_TRU4]]</f>
        <v>3</v>
      </c>
      <c r="BA296" t="str">
        <f t="shared" si="129"/>
        <v>Oppose</v>
      </c>
      <c r="BB296">
        <f>survey_responses[[#This Row],[Tôi thấy Nhà nước đã giải thích rõ ràng, minh bạch về lý do và mục tiêu của việc sửa đổi thuế lần này. - HUMAN-TRU4]]</f>
        <v>10</v>
      </c>
      <c r="BC296" t="str">
        <f t="shared" si="130"/>
        <v>Support</v>
      </c>
      <c r="BD296" s="32">
        <f t="shared" si="131"/>
        <v>7</v>
      </c>
      <c r="BE296">
        <f>step3_validation[[#This Row],[AI_OUT1]]</f>
        <v>6</v>
      </c>
      <c r="BF296" t="str">
        <f t="shared" si="132"/>
        <v>Neutral</v>
      </c>
      <c r="BG296">
        <f>survey_responses[[#This Row],[Sau khi xem xét các quyền lợi và nghĩa vụ, bạn có ủng hộ và tuân thủ chính sách mới hiện nay? - HUMAN-OUT1]]</f>
        <v>10</v>
      </c>
      <c r="BH296" t="str">
        <f t="shared" si="133"/>
        <v>Support</v>
      </c>
      <c r="BI296" s="32">
        <f t="shared" si="134"/>
        <v>4</v>
      </c>
    </row>
    <row r="297" spans="1:61" x14ac:dyDescent="0.45">
      <c r="A297" s="30">
        <f>step3_validation[[#This Row],[Persona_ID]]</f>
        <v>296</v>
      </c>
      <c r="B297" s="31">
        <f>step3_validation[[#This Row],[Used_Seed]]</f>
        <v>12640</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6</v>
      </c>
      <c r="R297" t="str">
        <f t="shared" si="108"/>
        <v>Neutral</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1</v>
      </c>
      <c r="V297">
        <f>step3_validation[[#This Row],[AI_ENF2]]</f>
        <v>7</v>
      </c>
      <c r="W297" t="str">
        <f t="shared" si="111"/>
        <v>Neutral</v>
      </c>
      <c r="X297">
        <f>survey_responses[[#This Row],[Tôi tin rằng Nhà nước, cơ quan thuế có đủ khả năng và công nghệ để phát hiện, xử lý nghiêm các hành vi trốn thuế. - HUMAN-ENF2]]</f>
        <v>7</v>
      </c>
      <c r="Y297" t="str">
        <f t="shared" si="112"/>
        <v>Neutral</v>
      </c>
      <c r="Z297" s="32">
        <f t="shared" si="113"/>
        <v>0</v>
      </c>
      <c r="AA297">
        <f>step3_validation[[#This Row],[AI_FAC1]]</f>
        <v>8</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2</v>
      </c>
      <c r="AF297">
        <f>step3_validation[[#This Row],[AI_FAC2]]</f>
        <v>9</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2</v>
      </c>
      <c r="AK297">
        <f>step3_validation[[#This Row],[AI_TRU1]]</f>
        <v>7</v>
      </c>
      <c r="AL297" t="str">
        <f t="shared" si="120"/>
        <v>Neutral</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0</v>
      </c>
      <c r="AP297">
        <f>step3_validation[[#This Row],[AI_TRU2]]</f>
        <v>8</v>
      </c>
      <c r="AQ297" t="str">
        <f t="shared" si="123"/>
        <v>Support</v>
      </c>
      <c r="AR297">
        <f>survey_responses[[#This Row],[Tôi thấy mức thuế tôi phải đóng theo phương án mới là công bằng (người thu nhập như tôi đóng mức này là hợp lý). - HUMAN-TRU2]]</f>
        <v>1</v>
      </c>
      <c r="AS297" t="str">
        <f t="shared" si="124"/>
        <v>Oppose</v>
      </c>
      <c r="AT297" s="32">
        <f t="shared" si="125"/>
        <v>7</v>
      </c>
      <c r="AU297">
        <f>step3_validation[[#This Row],[AI_TRU3]]</f>
        <v>7</v>
      </c>
      <c r="AV297" t="str">
        <f t="shared" si="126"/>
        <v>Neutral</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2</v>
      </c>
      <c r="AZ297">
        <f>step3_validation[[#This Row],[AI_TRU4]]</f>
        <v>5</v>
      </c>
      <c r="BA297" t="str">
        <f t="shared" si="129"/>
        <v>Neutral</v>
      </c>
      <c r="BB297">
        <f>survey_responses[[#This Row],[Tôi thấy Nhà nước đã giải thích rõ ràng, minh bạch về lý do và mục tiêu của việc sửa đổi thuế lần này. - HUMAN-TRU4]]</f>
        <v>7</v>
      </c>
      <c r="BC297" t="str">
        <f t="shared" si="130"/>
        <v>Neutral</v>
      </c>
      <c r="BD297" s="32">
        <f t="shared" si="131"/>
        <v>2</v>
      </c>
      <c r="BE297">
        <f>step3_validation[[#This Row],[AI_OUT1]]</f>
        <v>7</v>
      </c>
      <c r="BF297" t="str">
        <f t="shared" si="132"/>
        <v>Neutral</v>
      </c>
      <c r="BG297">
        <f>survey_responses[[#This Row],[Sau khi xem xét các quyền lợi và nghĩa vụ, bạn có ủng hộ và tuân thủ chính sách mới hiện nay? - HUMAN-OUT1]]</f>
        <v>7</v>
      </c>
      <c r="BH297" t="str">
        <f t="shared" si="133"/>
        <v>Neutral</v>
      </c>
      <c r="BI297" s="32">
        <f t="shared" si="134"/>
        <v>0</v>
      </c>
    </row>
    <row r="298" spans="1:61" x14ac:dyDescent="0.45">
      <c r="A298" s="30">
        <f>step3_validation[[#This Row],[Persona_ID]]</f>
        <v>297</v>
      </c>
      <c r="B298" s="31">
        <f>step3_validation[[#This Row],[Used_Seed]]</f>
        <v>12641</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68.317760226526588</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6</v>
      </c>
      <c r="R298" t="str">
        <f t="shared" si="108"/>
        <v>Neutral</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1</v>
      </c>
      <c r="V298">
        <f>step3_validation[[#This Row],[AI_ENF2]]</f>
        <v>7</v>
      </c>
      <c r="W298" t="str">
        <f t="shared" si="111"/>
        <v>Neutral</v>
      </c>
      <c r="X298">
        <f>survey_responses[[#This Row],[Tôi tin rằng Nhà nước, cơ quan thuế có đủ khả năng và công nghệ để phát hiện, xử lý nghiêm các hành vi trốn thuế. - HUMAN-ENF2]]</f>
        <v>10</v>
      </c>
      <c r="Y298" t="str">
        <f t="shared" si="112"/>
        <v>Support</v>
      </c>
      <c r="Z298" s="32">
        <f t="shared" si="113"/>
        <v>3</v>
      </c>
      <c r="AA298">
        <f>step3_validation[[#This Row],[AI_FAC1]]</f>
        <v>6</v>
      </c>
      <c r="AB298" t="str">
        <f t="shared" si="114"/>
        <v>Neutral</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1</v>
      </c>
      <c r="AF298">
        <f>step3_validation[[#This Row],[AI_FAC2]]</f>
        <v>8</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3</v>
      </c>
      <c r="AK298">
        <f>step3_validation[[#This Row],[AI_TRU1]]</f>
        <v>5</v>
      </c>
      <c r="AL298" t="str">
        <f t="shared" si="120"/>
        <v>Neutral</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3</v>
      </c>
      <c r="AP298">
        <f>step3_validation[[#This Row],[AI_TRU2]]</f>
        <v>6</v>
      </c>
      <c r="AQ298" t="str">
        <f t="shared" si="123"/>
        <v>Neutral</v>
      </c>
      <c r="AR298">
        <f>survey_responses[[#This Row],[Tôi thấy mức thuế tôi phải đóng theo phương án mới là công bằng (người thu nhập như tôi đóng mức này là hợp lý). - HUMAN-TRU2]]</f>
        <v>3</v>
      </c>
      <c r="AS298" t="str">
        <f t="shared" si="124"/>
        <v>Oppose</v>
      </c>
      <c r="AT298" s="32">
        <f t="shared" si="125"/>
        <v>3</v>
      </c>
      <c r="AU298">
        <f>step3_validation[[#This Row],[AI_TRU3]]</f>
        <v>5</v>
      </c>
      <c r="AV298" t="str">
        <f t="shared" si="126"/>
        <v>Neutral</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3</v>
      </c>
      <c r="AZ298">
        <f>step3_validation[[#This Row],[AI_TRU4]]</f>
        <v>4</v>
      </c>
      <c r="BA298" t="str">
        <f t="shared" si="129"/>
        <v>Oppose</v>
      </c>
      <c r="BB298">
        <f>survey_responses[[#This Row],[Tôi thấy Nhà nước đã giải thích rõ ràng, minh bạch về lý do và mục tiêu của việc sửa đổi thuế lần này. - HUMAN-TRU4]]</f>
        <v>5</v>
      </c>
      <c r="BC298" t="str">
        <f t="shared" si="130"/>
        <v>Neutral</v>
      </c>
      <c r="BD298" s="32">
        <f t="shared" si="131"/>
        <v>1</v>
      </c>
      <c r="BE298">
        <f>step3_validation[[#This Row],[AI_OUT1]]</f>
        <v>6</v>
      </c>
      <c r="BF298" t="str">
        <f t="shared" si="132"/>
        <v>Neutral</v>
      </c>
      <c r="BG298">
        <f>survey_responses[[#This Row],[Sau khi xem xét các quyền lợi và nghĩa vụ, bạn có ủng hộ và tuân thủ chính sách mới hiện nay? - HUMAN-OUT1]]</f>
        <v>5</v>
      </c>
      <c r="BH298" t="str">
        <f t="shared" si="133"/>
        <v>Neutral</v>
      </c>
      <c r="BI298" s="32">
        <f t="shared" si="134"/>
        <v>1</v>
      </c>
    </row>
    <row r="299" spans="1:61" x14ac:dyDescent="0.45">
      <c r="A299" s="30">
        <f>step3_validation[[#This Row],[Persona_ID]]</f>
        <v>298</v>
      </c>
      <c r="B299" s="31">
        <f>step3_validation[[#This Row],[Used_Seed]]</f>
        <v>12642</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7</v>
      </c>
      <c r="R299" t="str">
        <f t="shared" si="108"/>
        <v>Neutral</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2</v>
      </c>
      <c r="V299">
        <f>step3_validation[[#This Row],[AI_ENF2]]</f>
        <v>8</v>
      </c>
      <c r="W299" t="str">
        <f t="shared" si="111"/>
        <v>Support</v>
      </c>
      <c r="X299">
        <f>survey_responses[[#This Row],[Tôi tin rằng Nhà nước, cơ quan thuế có đủ khả năng và công nghệ để phát hiện, xử lý nghiêm các hành vi trốn thuế. - HUMAN-ENF2]]</f>
        <v>5</v>
      </c>
      <c r="Y299" t="str">
        <f t="shared" si="112"/>
        <v>Neutral</v>
      </c>
      <c r="Z299" s="32">
        <f t="shared" si="113"/>
        <v>3</v>
      </c>
      <c r="AA299">
        <f>step3_validation[[#This Row],[AI_FAC1]]</f>
        <v>6</v>
      </c>
      <c r="AB299" t="str">
        <f t="shared" si="114"/>
        <v>Neutral</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1</v>
      </c>
      <c r="AF299">
        <f>step3_validation[[#This Row],[AI_FAC2]]</f>
        <v>7</v>
      </c>
      <c r="AG299" t="str">
        <f t="shared" si="117"/>
        <v>Neutral</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3</v>
      </c>
      <c r="AK299">
        <f>step3_validation[[#This Row],[AI_TRU1]]</f>
        <v>8</v>
      </c>
      <c r="AL299" t="str">
        <f t="shared" si="120"/>
        <v>Support</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2</v>
      </c>
      <c r="AP299">
        <f>step3_validation[[#This Row],[AI_TRU2]]</f>
        <v>7</v>
      </c>
      <c r="AQ299" t="str">
        <f t="shared" si="123"/>
        <v>Neutral</v>
      </c>
      <c r="AR299">
        <f>survey_responses[[#This Row],[Tôi thấy mức thuế tôi phải đóng theo phương án mới là công bằng (người thu nhập như tôi đóng mức này là hợp lý). - HUMAN-TRU2]]</f>
        <v>5</v>
      </c>
      <c r="AS299" t="str">
        <f t="shared" si="124"/>
        <v>Neutral</v>
      </c>
      <c r="AT299" s="32">
        <f t="shared" si="125"/>
        <v>2</v>
      </c>
      <c r="AU299">
        <f>step3_validation[[#This Row],[AI_TRU3]]</f>
        <v>6</v>
      </c>
      <c r="AV299" t="str">
        <f t="shared" si="126"/>
        <v>Neutral</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1</v>
      </c>
      <c r="AZ299">
        <f>step3_validation[[#This Row],[AI_TRU4]]</f>
        <v>7</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2</v>
      </c>
      <c r="BE299">
        <f>step3_validation[[#This Row],[AI_OUT1]]</f>
        <v>8</v>
      </c>
      <c r="BF299" t="str">
        <f t="shared" si="132"/>
        <v>Support</v>
      </c>
      <c r="BG299">
        <f>survey_responses[[#This Row],[Sau khi xem xét các quyền lợi và nghĩa vụ, bạn có ủng hộ và tuân thủ chính sách mới hiện nay? - HUMAN-OUT1]]</f>
        <v>5</v>
      </c>
      <c r="BH299" t="str">
        <f t="shared" si="133"/>
        <v>Neutral</v>
      </c>
      <c r="BI299" s="32">
        <f t="shared" si="134"/>
        <v>3</v>
      </c>
    </row>
    <row r="300" spans="1:61" x14ac:dyDescent="0.45">
      <c r="A300" s="30">
        <f>step3_validation[[#This Row],[Persona_ID]]</f>
        <v>299</v>
      </c>
      <c r="B300" s="31">
        <f>step3_validation[[#This Row],[Used_Seed]]</f>
        <v>12643</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32.44069611738707</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6</v>
      </c>
      <c r="R300" t="str">
        <f t="shared" si="108"/>
        <v>Neutral</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4</v>
      </c>
      <c r="V300">
        <f>step3_validation[[#This Row],[AI_ENF2]]</f>
        <v>7</v>
      </c>
      <c r="W300" t="str">
        <f t="shared" si="111"/>
        <v>Neutral</v>
      </c>
      <c r="X300">
        <f>survey_responses[[#This Row],[Tôi tin rằng Nhà nước, cơ quan thuế có đủ khả năng và công nghệ để phát hiện, xử lý nghiêm các hành vi trốn thuế. - HUMAN-ENF2]]</f>
        <v>10</v>
      </c>
      <c r="Y300" t="str">
        <f t="shared" si="112"/>
        <v>Support</v>
      </c>
      <c r="Z300" s="32">
        <f t="shared" si="113"/>
        <v>3</v>
      </c>
      <c r="AA300">
        <f>step3_validation[[#This Row],[AI_FAC1]]</f>
        <v>8</v>
      </c>
      <c r="AB300" t="str">
        <f t="shared" si="114"/>
        <v>Support</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2</v>
      </c>
      <c r="AF300">
        <f>step3_validation[[#This Row],[AI_FAC2]]</f>
        <v>9</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1</v>
      </c>
      <c r="AK300">
        <f>step3_validation[[#This Row],[AI_TRU1]]</f>
        <v>8</v>
      </c>
      <c r="AL300" t="str">
        <f t="shared" si="120"/>
        <v>Support</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2</v>
      </c>
      <c r="AP300">
        <f>step3_validation[[#This Row],[AI_TRU2]]</f>
        <v>7</v>
      </c>
      <c r="AQ300" t="str">
        <f t="shared" si="123"/>
        <v>Neutral</v>
      </c>
      <c r="AR300">
        <f>survey_responses[[#This Row],[Tôi thấy mức thuế tôi phải đóng theo phương án mới là công bằng (người thu nhập như tôi đóng mức này là hợp lý). - HUMAN-TRU2]]</f>
        <v>10</v>
      </c>
      <c r="AS300" t="str">
        <f t="shared" si="124"/>
        <v>Support</v>
      </c>
      <c r="AT300" s="32">
        <f t="shared" si="125"/>
        <v>3</v>
      </c>
      <c r="AU300">
        <f>step3_validation[[#This Row],[AI_TRU3]]</f>
        <v>8</v>
      </c>
      <c r="AV300" t="str">
        <f t="shared" si="126"/>
        <v>Support</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2</v>
      </c>
      <c r="AZ300">
        <f>step3_validation[[#This Row],[AI_TRU4]]</f>
        <v>6</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4</v>
      </c>
      <c r="BE300">
        <f>step3_validation[[#This Row],[AI_OUT1]]</f>
        <v>7</v>
      </c>
      <c r="BF300" t="str">
        <f t="shared" si="132"/>
        <v>Neutral</v>
      </c>
      <c r="BG300">
        <f>survey_responses[[#This Row],[Sau khi xem xét các quyền lợi và nghĩa vụ, bạn có ủng hộ và tuân thủ chính sách mới hiện nay? - HUMAN-OUT1]]</f>
        <v>10</v>
      </c>
      <c r="BH300" t="str">
        <f t="shared" si="133"/>
        <v>Support</v>
      </c>
      <c r="BI300" s="32">
        <f t="shared" si="134"/>
        <v>3</v>
      </c>
    </row>
    <row r="301" spans="1:61" x14ac:dyDescent="0.45">
      <c r="A301" s="30">
        <f>step3_validation[[#This Row],[Persona_ID]]</f>
        <v>300</v>
      </c>
      <c r="B301" s="31">
        <f>step3_validation[[#This Row],[Used_Seed]]</f>
        <v>12644</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25.493077285704377</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2</v>
      </c>
      <c r="V301">
        <f>step3_validation[[#This Row],[AI_ENF2]]</f>
        <v>8</v>
      </c>
      <c r="W301" t="str">
        <f t="shared" si="111"/>
        <v>Support</v>
      </c>
      <c r="X301">
        <f>survey_responses[[#This Row],[Tôi tin rằng Nhà nước, cơ quan thuế có đủ khả năng và công nghệ để phát hiện, xử lý nghiêm các hành vi trốn thuế. - HUMAN-ENF2]]</f>
        <v>9</v>
      </c>
      <c r="Y301" t="str">
        <f t="shared" si="112"/>
        <v>Support</v>
      </c>
      <c r="Z301" s="32">
        <f t="shared" si="113"/>
        <v>1</v>
      </c>
      <c r="AA301">
        <f>step3_validation[[#This Row],[AI_FAC1]]</f>
        <v>8</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0</v>
      </c>
      <c r="AF301">
        <f>step3_validation[[#This Row],[AI_FAC2]]</f>
        <v>9</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1</v>
      </c>
      <c r="AK301">
        <f>step3_validation[[#This Row],[AI_TRU1]]</f>
        <v>7</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1</v>
      </c>
      <c r="AP301">
        <f>step3_validation[[#This Row],[AI_TRU2]]</f>
        <v>6</v>
      </c>
      <c r="AQ301" t="str">
        <f t="shared" si="123"/>
        <v>Neutral</v>
      </c>
      <c r="AR301">
        <f>survey_responses[[#This Row],[Tôi thấy mức thuế tôi phải đóng theo phương án mới là công bằng (người thu nhập như tôi đóng mức này là hợp lý). - HUMAN-TRU2]]</f>
        <v>8</v>
      </c>
      <c r="AS301" t="str">
        <f t="shared" si="124"/>
        <v>Support</v>
      </c>
      <c r="AT301" s="32">
        <f t="shared" si="125"/>
        <v>2</v>
      </c>
      <c r="AU301">
        <f>step3_validation[[#This Row],[AI_TRU3]]</f>
        <v>6</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4</v>
      </c>
      <c r="AZ301">
        <f>step3_validation[[#This Row],[AI_TRU4]]</f>
        <v>5</v>
      </c>
      <c r="BA301" t="str">
        <f t="shared" si="129"/>
        <v>Neutral</v>
      </c>
      <c r="BB301">
        <f>survey_responses[[#This Row],[Tôi thấy Nhà nước đã giải thích rõ ràng, minh bạch về lý do và mục tiêu của việc sửa đổi thuế lần này. - HUMAN-TRU4]]</f>
        <v>9</v>
      </c>
      <c r="BC301" t="str">
        <f t="shared" si="130"/>
        <v>Support</v>
      </c>
      <c r="BD301" s="32">
        <f t="shared" si="131"/>
        <v>4</v>
      </c>
      <c r="BE301">
        <f>step3_validation[[#This Row],[AI_OUT1]]</f>
        <v>6</v>
      </c>
      <c r="BF301" t="str">
        <f t="shared" si="132"/>
        <v>Neutral</v>
      </c>
      <c r="BG301">
        <f>survey_responses[[#This Row],[Sau khi xem xét các quyền lợi và nghĩa vụ, bạn có ủng hộ và tuân thủ chính sách mới hiện nay? - HUMAN-OUT1]]</f>
        <v>9</v>
      </c>
      <c r="BH301" t="str">
        <f t="shared" si="133"/>
        <v>Support</v>
      </c>
      <c r="BI301" s="32">
        <f t="shared" si="134"/>
        <v>3</v>
      </c>
    </row>
    <row r="302" spans="1:61" x14ac:dyDescent="0.45">
      <c r="A302" s="30">
        <f>step3_validation[[#This Row],[Persona_ID]]</f>
        <v>301</v>
      </c>
      <c r="B302" s="31">
        <f>step3_validation[[#This Row],[Used_Seed]]</f>
        <v>12645</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4</v>
      </c>
      <c r="R302" t="str">
        <f t="shared" si="108"/>
        <v>Oppose</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4</v>
      </c>
      <c r="V302">
        <f>step3_validation[[#This Row],[AI_ENF2]]</f>
        <v>5</v>
      </c>
      <c r="W302" t="str">
        <f t="shared" si="111"/>
        <v>Neutral</v>
      </c>
      <c r="X302">
        <f>survey_responses[[#This Row],[Tôi tin rằng Nhà nước, cơ quan thuế có đủ khả năng và công nghệ để phát hiện, xử lý nghiêm các hành vi trốn thuế. - HUMAN-ENF2]]</f>
        <v>7</v>
      </c>
      <c r="Y302" t="str">
        <f t="shared" si="112"/>
        <v>Neutral</v>
      </c>
      <c r="Z302" s="32">
        <f t="shared" si="113"/>
        <v>2</v>
      </c>
      <c r="AA302">
        <f>step3_validation[[#This Row],[AI_FAC1]]</f>
        <v>7</v>
      </c>
      <c r="AB302" t="str">
        <f t="shared" si="114"/>
        <v>Neutral</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2</v>
      </c>
      <c r="AF302">
        <f>step3_validation[[#This Row],[AI_FAC2]]</f>
        <v>6</v>
      </c>
      <c r="AG302" t="str">
        <f t="shared" si="117"/>
        <v>Neutral</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1</v>
      </c>
      <c r="AK302">
        <f>step3_validation[[#This Row],[AI_TRU1]]</f>
        <v>5</v>
      </c>
      <c r="AL302" t="str">
        <f t="shared" si="120"/>
        <v>Neutral</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2</v>
      </c>
      <c r="AP302">
        <f>step3_validation[[#This Row],[AI_TRU2]]</f>
        <v>6</v>
      </c>
      <c r="AQ302" t="str">
        <f t="shared" si="123"/>
        <v>Neutral</v>
      </c>
      <c r="AR302">
        <f>survey_responses[[#This Row],[Tôi thấy mức thuế tôi phải đóng theo phương án mới là công bằng (người thu nhập như tôi đóng mức này là hợp lý). - HUMAN-TRU2]]</f>
        <v>7</v>
      </c>
      <c r="AS302" t="str">
        <f t="shared" si="124"/>
        <v>Neutral</v>
      </c>
      <c r="AT302" s="32">
        <f t="shared" si="125"/>
        <v>1</v>
      </c>
      <c r="AU302">
        <f>step3_validation[[#This Row],[AI_TRU3]]</f>
        <v>5</v>
      </c>
      <c r="AV302" t="str">
        <f t="shared" si="126"/>
        <v>Neutral</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2</v>
      </c>
      <c r="AZ302">
        <f>step3_validation[[#This Row],[AI_TRU4]]</f>
        <v>6</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0</v>
      </c>
      <c r="BE302">
        <f>step3_validation[[#This Row],[AI_OUT1]]</f>
        <v>7</v>
      </c>
      <c r="BF302" t="str">
        <f t="shared" si="132"/>
        <v>Neutral</v>
      </c>
      <c r="BG302">
        <f>survey_responses[[#This Row],[Sau khi xem xét các quyền lợi và nghĩa vụ, bạn có ủng hộ và tuân thủ chính sách mới hiện nay? - HUMAN-OUT1]]</f>
        <v>7</v>
      </c>
      <c r="BH302" t="str">
        <f t="shared" si="133"/>
        <v>Neutral</v>
      </c>
      <c r="BI302" s="32">
        <f t="shared" si="134"/>
        <v>0</v>
      </c>
    </row>
    <row r="303" spans="1:61" x14ac:dyDescent="0.45">
      <c r="A303" s="30">
        <f>step3_validation[[#This Row],[Persona_ID]]</f>
        <v>302</v>
      </c>
      <c r="B303" s="31">
        <f>step3_validation[[#This Row],[Used_Seed]]</f>
        <v>12646</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29.180053897591208</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8</v>
      </c>
      <c r="R303" t="str">
        <f t="shared" si="108"/>
        <v>Support</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1</v>
      </c>
      <c r="V303">
        <f>step3_validation[[#This Row],[AI_ENF2]]</f>
        <v>7</v>
      </c>
      <c r="W303" t="str">
        <f t="shared" si="111"/>
        <v>Neutral</v>
      </c>
      <c r="X303">
        <f>survey_responses[[#This Row],[Tôi tin rằng Nhà nước, cơ quan thuế có đủ khả năng và công nghệ để phát hiện, xử lý nghiêm các hành vi trốn thuế. - HUMAN-ENF2]]</f>
        <v>7</v>
      </c>
      <c r="Y303" t="str">
        <f t="shared" si="112"/>
        <v>Neutral</v>
      </c>
      <c r="Z303" s="32">
        <f t="shared" si="113"/>
        <v>0</v>
      </c>
      <c r="AA303">
        <f>step3_validation[[#This Row],[AI_FAC1]]</f>
        <v>9</v>
      </c>
      <c r="AB303" t="str">
        <f t="shared" si="114"/>
        <v>Support</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5</v>
      </c>
      <c r="AF303">
        <f>step3_validation[[#This Row],[AI_FAC2]]</f>
        <v>8</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0</v>
      </c>
      <c r="AK303">
        <f>step3_validation[[#This Row],[AI_TRU1]]</f>
        <v>7</v>
      </c>
      <c r="AL303" t="str">
        <f t="shared" si="120"/>
        <v>Neutral</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0</v>
      </c>
      <c r="AP303">
        <f>step3_validation[[#This Row],[AI_TRU2]]</f>
        <v>6</v>
      </c>
      <c r="AQ303" t="str">
        <f t="shared" si="123"/>
        <v>Neutral</v>
      </c>
      <c r="AR303">
        <f>survey_responses[[#This Row],[Tôi thấy mức thuế tôi phải đóng theo phương án mới là công bằng (người thu nhập như tôi đóng mức này là hợp lý). - HUMAN-TRU2]]</f>
        <v>7</v>
      </c>
      <c r="AS303" t="str">
        <f t="shared" si="124"/>
        <v>Neutral</v>
      </c>
      <c r="AT303" s="32">
        <f t="shared" si="125"/>
        <v>1</v>
      </c>
      <c r="AU303">
        <f>step3_validation[[#This Row],[AI_TRU3]]</f>
        <v>5</v>
      </c>
      <c r="AV303" t="str">
        <f t="shared" si="126"/>
        <v>Neutral</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0</v>
      </c>
      <c r="AZ303">
        <f>step3_validation[[#This Row],[AI_TRU4]]</f>
        <v>4</v>
      </c>
      <c r="BA303" t="str">
        <f t="shared" si="129"/>
        <v>Oppose</v>
      </c>
      <c r="BB303">
        <f>survey_responses[[#This Row],[Tôi thấy Nhà nước đã giải thích rõ ràng, minh bạch về lý do và mục tiêu của việc sửa đổi thuế lần này. - HUMAN-TRU4]]</f>
        <v>5</v>
      </c>
      <c r="BC303" t="str">
        <f t="shared" si="130"/>
        <v>Neutral</v>
      </c>
      <c r="BD303" s="32">
        <f t="shared" si="131"/>
        <v>1</v>
      </c>
      <c r="BE303">
        <f>step3_validation[[#This Row],[AI_OUT1]]</f>
        <v>7</v>
      </c>
      <c r="BF303" t="str">
        <f t="shared" si="132"/>
        <v>Neutral</v>
      </c>
      <c r="BG303">
        <f>survey_responses[[#This Row],[Sau khi xem xét các quyền lợi và nghĩa vụ, bạn có ủng hộ và tuân thủ chính sách mới hiện nay? - HUMAN-OUT1]]</f>
        <v>7</v>
      </c>
      <c r="BH303" t="str">
        <f t="shared" si="133"/>
        <v>Neutral</v>
      </c>
      <c r="BI303" s="32">
        <f t="shared" si="134"/>
        <v>0</v>
      </c>
    </row>
    <row r="304" spans="1:61" x14ac:dyDescent="0.45">
      <c r="A304" s="30">
        <f>step3_validation[[#This Row],[Persona_ID]]</f>
        <v>303</v>
      </c>
      <c r="B304" s="31">
        <f>step3_validation[[#This Row],[Used_Seed]]</f>
        <v>12647</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24.889605446300539</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9</v>
      </c>
      <c r="R304" t="str">
        <f t="shared" si="108"/>
        <v>Support</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3</v>
      </c>
      <c r="V304">
        <f>step3_validation[[#This Row],[AI_ENF2]]</f>
        <v>8</v>
      </c>
      <c r="W304" t="str">
        <f t="shared" si="111"/>
        <v>Support</v>
      </c>
      <c r="X304">
        <f>survey_responses[[#This Row],[Tôi tin rằng Nhà nước, cơ quan thuế có đủ khả năng và công nghệ để phát hiện, xử lý nghiêm các hành vi trốn thuế. - HUMAN-ENF2]]</f>
        <v>10</v>
      </c>
      <c r="Y304" t="str">
        <f t="shared" si="112"/>
        <v>Support</v>
      </c>
      <c r="Z304" s="32">
        <f t="shared" si="113"/>
        <v>2</v>
      </c>
      <c r="AA304">
        <f>step3_validation[[#This Row],[AI_FAC1]]</f>
        <v>8</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3</v>
      </c>
      <c r="AF304">
        <f>step3_validation[[#This Row],[AI_FAC2]]</f>
        <v>9</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5</v>
      </c>
      <c r="AK304">
        <f>step3_validation[[#This Row],[AI_TRU1]]</f>
        <v>7</v>
      </c>
      <c r="AL304" t="str">
        <f t="shared" si="120"/>
        <v>Neutral</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4</v>
      </c>
      <c r="AP304">
        <f>step3_validation[[#This Row],[AI_TRU2]]</f>
        <v>5</v>
      </c>
      <c r="AQ304" t="str">
        <f t="shared" si="123"/>
        <v>Neutral</v>
      </c>
      <c r="AR304">
        <f>survey_responses[[#This Row],[Tôi thấy mức thuế tôi phải đóng theo phương án mới là công bằng (người thu nhập như tôi đóng mức này là hợp lý). - HUMAN-TRU2]]</f>
        <v>7</v>
      </c>
      <c r="AS304" t="str">
        <f t="shared" si="124"/>
        <v>Neutral</v>
      </c>
      <c r="AT304" s="32">
        <f t="shared" si="125"/>
        <v>2</v>
      </c>
      <c r="AU304">
        <f>step3_validation[[#This Row],[AI_TRU3]]</f>
        <v>6</v>
      </c>
      <c r="AV304" t="str">
        <f t="shared" si="126"/>
        <v>Neutral</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2</v>
      </c>
      <c r="AZ304">
        <f>step3_validation[[#This Row],[AI_TRU4]]</f>
        <v>4</v>
      </c>
      <c r="BA304" t="str">
        <f t="shared" si="129"/>
        <v>Oppose</v>
      </c>
      <c r="BB304">
        <f>survey_responses[[#This Row],[Tôi thấy Nhà nước đã giải thích rõ ràng, minh bạch về lý do và mục tiêu của việc sửa đổi thuế lần này. - HUMAN-TRU4]]</f>
        <v>4</v>
      </c>
      <c r="BC304" t="str">
        <f t="shared" si="130"/>
        <v>Oppose</v>
      </c>
      <c r="BD304" s="32">
        <f t="shared" si="131"/>
        <v>0</v>
      </c>
      <c r="BE304">
        <f>step3_validation[[#This Row],[AI_OUT1]]</f>
        <v>7</v>
      </c>
      <c r="BF304" t="str">
        <f t="shared" si="132"/>
        <v>Neutral</v>
      </c>
      <c r="BG304">
        <f>survey_responses[[#This Row],[Sau khi xem xét các quyền lợi và nghĩa vụ, bạn có ủng hộ và tuân thủ chính sách mới hiện nay? - HUMAN-OUT1]]</f>
        <v>5</v>
      </c>
      <c r="BH304" t="str">
        <f t="shared" si="133"/>
        <v>Neutral</v>
      </c>
      <c r="BI304" s="32">
        <f t="shared" si="134"/>
        <v>2</v>
      </c>
    </row>
    <row r="305" spans="1:61" x14ac:dyDescent="0.45">
      <c r="A305" s="30">
        <f>step3_validation[[#This Row],[Persona_ID]]</f>
        <v>304</v>
      </c>
      <c r="B305" s="31">
        <f>step3_validation[[#This Row],[Used_Seed]]</f>
        <v>12648</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7</v>
      </c>
      <c r="R305" t="str">
        <f t="shared" si="108"/>
        <v>Neutral</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3</v>
      </c>
      <c r="V305">
        <f>step3_validation[[#This Row],[AI_ENF2]]</f>
        <v>8</v>
      </c>
      <c r="W305" t="str">
        <f t="shared" si="111"/>
        <v>Support</v>
      </c>
      <c r="X305">
        <f>survey_responses[[#This Row],[Tôi tin rằng Nhà nước, cơ quan thuế có đủ khả năng và công nghệ để phát hiện, xử lý nghiêm các hành vi trốn thuế. - HUMAN-ENF2]]</f>
        <v>10</v>
      </c>
      <c r="Y305" t="str">
        <f t="shared" si="112"/>
        <v>Support</v>
      </c>
      <c r="Z305" s="32">
        <f t="shared" si="113"/>
        <v>2</v>
      </c>
      <c r="AA305">
        <f>step3_validation[[#This Row],[AI_FAC1]]</f>
        <v>6</v>
      </c>
      <c r="AB305" t="str">
        <f t="shared" si="114"/>
        <v>Neutral</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4</v>
      </c>
      <c r="AF305">
        <f>step3_validation[[#This Row],[AI_FAC2]]</f>
        <v>7</v>
      </c>
      <c r="AG305" t="str">
        <f t="shared" si="117"/>
        <v>Neutral</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3</v>
      </c>
      <c r="AK305">
        <f>step3_validation[[#This Row],[AI_TRU1]]</f>
        <v>8</v>
      </c>
      <c r="AL305" t="str">
        <f t="shared" si="120"/>
        <v>Support</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2</v>
      </c>
      <c r="AP305">
        <f>step3_validation[[#This Row],[AI_TRU2]]</f>
        <v>7</v>
      </c>
      <c r="AQ305" t="str">
        <f t="shared" si="123"/>
        <v>Neutral</v>
      </c>
      <c r="AR305">
        <f>survey_responses[[#This Row],[Tôi thấy mức thuế tôi phải đóng theo phương án mới là công bằng (người thu nhập như tôi đóng mức này là hợp lý). - HUMAN-TRU2]]</f>
        <v>10</v>
      </c>
      <c r="AS305" t="str">
        <f t="shared" si="124"/>
        <v>Support</v>
      </c>
      <c r="AT305" s="32">
        <f t="shared" si="125"/>
        <v>3</v>
      </c>
      <c r="AU305">
        <f>step3_validation[[#This Row],[AI_TRU3]]</f>
        <v>8</v>
      </c>
      <c r="AV305" t="str">
        <f t="shared" si="126"/>
        <v>Support</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2</v>
      </c>
      <c r="AZ305">
        <f>step3_validation[[#This Row],[AI_TRU4]]</f>
        <v>7</v>
      </c>
      <c r="BA305" t="str">
        <f t="shared" si="129"/>
        <v>Neutral</v>
      </c>
      <c r="BB305">
        <f>survey_responses[[#This Row],[Tôi thấy Nhà nước đã giải thích rõ ràng, minh bạch về lý do và mục tiêu của việc sửa đổi thuế lần này. - HUMAN-TRU4]]</f>
        <v>10</v>
      </c>
      <c r="BC305" t="str">
        <f t="shared" si="130"/>
        <v>Support</v>
      </c>
      <c r="BD305" s="32">
        <f t="shared" si="131"/>
        <v>3</v>
      </c>
      <c r="BE305">
        <f>step3_validation[[#This Row],[AI_OUT1]]</f>
        <v>6</v>
      </c>
      <c r="BF305" t="str">
        <f t="shared" si="132"/>
        <v>Neutral</v>
      </c>
      <c r="BG305">
        <f>survey_responses[[#This Row],[Sau khi xem xét các quyền lợi và nghĩa vụ, bạn có ủng hộ và tuân thủ chính sách mới hiện nay? - HUMAN-OUT1]]</f>
        <v>10</v>
      </c>
      <c r="BH305" t="str">
        <f t="shared" si="133"/>
        <v>Support</v>
      </c>
      <c r="BI305" s="32">
        <f t="shared" si="134"/>
        <v>4</v>
      </c>
    </row>
    <row r="306" spans="1:61" x14ac:dyDescent="0.45">
      <c r="A306" s="30">
        <f>step3_validation[[#This Row],[Persona_ID]]</f>
        <v>305</v>
      </c>
      <c r="B306" s="31">
        <f>step3_validation[[#This Row],[Used_Seed]]</f>
        <v>12649</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32.57063773134351</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8</v>
      </c>
      <c r="R306" t="str">
        <f t="shared" si="108"/>
        <v>Support</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1</v>
      </c>
      <c r="V306">
        <f>step3_validation[[#This Row],[AI_ENF2]]</f>
        <v>7</v>
      </c>
      <c r="W306" t="str">
        <f t="shared" si="111"/>
        <v>Neutral</v>
      </c>
      <c r="X306">
        <f>survey_responses[[#This Row],[Tôi tin rằng Nhà nước, cơ quan thuế có đủ khả năng và công nghệ để phát hiện, xử lý nghiêm các hành vi trốn thuế. - HUMAN-ENF2]]</f>
        <v>9</v>
      </c>
      <c r="Y306" t="str">
        <f t="shared" si="112"/>
        <v>Support</v>
      </c>
      <c r="Z306" s="32">
        <f t="shared" si="113"/>
        <v>2</v>
      </c>
      <c r="AA306">
        <f>step3_validation[[#This Row],[AI_FAC1]]</f>
        <v>9</v>
      </c>
      <c r="AB306" t="str">
        <f t="shared" si="114"/>
        <v>Support</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1</v>
      </c>
      <c r="AF306">
        <f>step3_validation[[#This Row],[AI_FAC2]]</f>
        <v>8</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2</v>
      </c>
      <c r="AK306">
        <f>step3_validation[[#This Row],[AI_TRU1]]</f>
        <v>9</v>
      </c>
      <c r="AL306" t="str">
        <f t="shared" si="120"/>
        <v>Support</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4</v>
      </c>
      <c r="AP306">
        <f>step3_validation[[#This Row],[AI_TRU2]]</f>
        <v>8</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2">
        <f t="shared" si="125"/>
        <v>5</v>
      </c>
      <c r="AU306">
        <f>step3_validation[[#This Row],[AI_TRU3]]</f>
        <v>9</v>
      </c>
      <c r="AV306" t="str">
        <f t="shared" si="126"/>
        <v>Support</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0</v>
      </c>
      <c r="AZ306">
        <f>step3_validation[[#This Row],[AI_TRU4]]</f>
        <v>8</v>
      </c>
      <c r="BA306" t="str">
        <f t="shared" si="129"/>
        <v>Support</v>
      </c>
      <c r="BB306">
        <f>survey_responses[[#This Row],[Tôi thấy Nhà nước đã giải thích rõ ràng, minh bạch về lý do và mục tiêu của việc sửa đổi thuế lần này. - HUMAN-TRU4]]</f>
        <v>3</v>
      </c>
      <c r="BC306" t="str">
        <f t="shared" si="130"/>
        <v>Oppose</v>
      </c>
      <c r="BD306" s="32">
        <f t="shared" si="131"/>
        <v>5</v>
      </c>
      <c r="BE306">
        <f>step3_validation[[#This Row],[AI_OUT1]]</f>
        <v>9</v>
      </c>
      <c r="BF306" t="str">
        <f t="shared" si="132"/>
        <v>Support</v>
      </c>
      <c r="BG306">
        <f>survey_responses[[#This Row],[Sau khi xem xét các quyền lợi và nghĩa vụ, bạn có ủng hộ và tuân thủ chính sách mới hiện nay? - HUMAN-OUT1]]</f>
        <v>4</v>
      </c>
      <c r="BH306" t="str">
        <f t="shared" si="133"/>
        <v>Oppose</v>
      </c>
      <c r="BI306" s="32">
        <f t="shared" si="134"/>
        <v>5</v>
      </c>
    </row>
    <row r="307" spans="1:61" x14ac:dyDescent="0.45">
      <c r="A307" s="30">
        <f>step3_validation[[#This Row],[Persona_ID]]</f>
        <v>306</v>
      </c>
      <c r="B307" s="31">
        <f>step3_validation[[#This Row],[Used_Seed]]</f>
        <v>12650</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67.890443679752039</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7</v>
      </c>
      <c r="R307" t="str">
        <f t="shared" si="108"/>
        <v>Neutral</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4</v>
      </c>
      <c r="V307">
        <f>step3_validation[[#This Row],[AI_ENF2]]</f>
        <v>8</v>
      </c>
      <c r="W307" t="str">
        <f t="shared" si="111"/>
        <v>Support</v>
      </c>
      <c r="X307">
        <f>survey_responses[[#This Row],[Tôi tin rằng Nhà nước, cơ quan thuế có đủ khả năng và công nghệ để phát hiện, xử lý nghiêm các hành vi trốn thuế. - HUMAN-ENF2]]</f>
        <v>8</v>
      </c>
      <c r="Y307" t="str">
        <f t="shared" si="112"/>
        <v>Support</v>
      </c>
      <c r="Z307" s="32">
        <f t="shared" si="113"/>
        <v>0</v>
      </c>
      <c r="AA307">
        <f>step3_validation[[#This Row],[AI_FAC1]]</f>
        <v>7</v>
      </c>
      <c r="AB307" t="str">
        <f t="shared" si="114"/>
        <v>Neutral</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1</v>
      </c>
      <c r="AF307">
        <f>step3_validation[[#This Row],[AI_FAC2]]</f>
        <v>8</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4</v>
      </c>
      <c r="AK307">
        <f>step3_validation[[#This Row],[AI_TRU1]]</f>
        <v>7</v>
      </c>
      <c r="AL307" t="str">
        <f t="shared" si="120"/>
        <v>Neutral</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3</v>
      </c>
      <c r="AP307">
        <f>step3_validation[[#This Row],[AI_TRU2]]</f>
        <v>8</v>
      </c>
      <c r="AQ307" t="str">
        <f t="shared" si="123"/>
        <v>Support</v>
      </c>
      <c r="AR307">
        <f>survey_responses[[#This Row],[Tôi thấy mức thuế tôi phải đóng theo phương án mới là công bằng (người thu nhập như tôi đóng mức này là hợp lý). - HUMAN-TRU2]]</f>
        <v>3</v>
      </c>
      <c r="AS307" t="str">
        <f t="shared" si="124"/>
        <v>Oppose</v>
      </c>
      <c r="AT307" s="32">
        <f t="shared" si="125"/>
        <v>5</v>
      </c>
      <c r="AU307">
        <f>step3_validation[[#This Row],[AI_TRU3]]</f>
        <v>7</v>
      </c>
      <c r="AV307" t="str">
        <f t="shared" si="126"/>
        <v>Neutral</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0</v>
      </c>
      <c r="AZ307">
        <f>step3_validation[[#This Row],[AI_TRU4]]</f>
        <v>8</v>
      </c>
      <c r="BA307" t="str">
        <f t="shared" si="129"/>
        <v>Support</v>
      </c>
      <c r="BB307">
        <f>survey_responses[[#This Row],[Tôi thấy Nhà nước đã giải thích rõ ràng, minh bạch về lý do và mục tiêu của việc sửa đổi thuế lần này. - HUMAN-TRU4]]</f>
        <v>5</v>
      </c>
      <c r="BC307" t="str">
        <f t="shared" si="130"/>
        <v>Neutral</v>
      </c>
      <c r="BD307" s="32">
        <f t="shared" si="131"/>
        <v>3</v>
      </c>
      <c r="BE307">
        <f>step3_validation[[#This Row],[AI_OUT1]]</f>
        <v>7</v>
      </c>
      <c r="BF307" t="str">
        <f t="shared" si="132"/>
        <v>Neutral</v>
      </c>
      <c r="BG307">
        <f>survey_responses[[#This Row],[Sau khi xem xét các quyền lợi và nghĩa vụ, bạn có ủng hộ và tuân thủ chính sách mới hiện nay? - HUMAN-OUT1]]</f>
        <v>5</v>
      </c>
      <c r="BH307" t="str">
        <f t="shared" si="133"/>
        <v>Neutral</v>
      </c>
      <c r="BI307" s="32">
        <f t="shared" si="134"/>
        <v>2</v>
      </c>
    </row>
    <row r="308" spans="1:61" x14ac:dyDescent="0.45">
      <c r="A308" s="30">
        <f>step3_validation[[#This Row],[Persona_ID]]</f>
        <v>307</v>
      </c>
      <c r="B308" s="31">
        <f>step3_validation[[#This Row],[Used_Seed]]</f>
        <v>12651</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12.333176127212651</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7</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5</v>
      </c>
      <c r="V308">
        <f>step3_validation[[#This Row],[AI_ENF2]]</f>
        <v>7</v>
      </c>
      <c r="W308" t="str">
        <f t="shared" si="111"/>
        <v>Neutral</v>
      </c>
      <c r="X308">
        <f>survey_responses[[#This Row],[Tôi tin rằng Nhà nước, cơ quan thuế có đủ khả năng và công nghệ để phát hiện, xử lý nghiêm các hành vi trốn thuế. - HUMAN-ENF2]]</f>
        <v>2</v>
      </c>
      <c r="Y308" t="str">
        <f t="shared" si="112"/>
        <v>Oppose</v>
      </c>
      <c r="Z308" s="32">
        <f t="shared" si="113"/>
        <v>5</v>
      </c>
      <c r="AA308">
        <f>step3_validation[[#This Row],[AI_FAC1]]</f>
        <v>8</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6</v>
      </c>
      <c r="AF308">
        <f>step3_validation[[#This Row],[AI_FAC2]]</f>
        <v>9</v>
      </c>
      <c r="AG308" t="str">
        <f t="shared" si="117"/>
        <v>Support</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8</v>
      </c>
      <c r="AK308">
        <f>step3_validation[[#This Row],[AI_TRU1]]</f>
        <v>7</v>
      </c>
      <c r="AL308" t="str">
        <f t="shared" si="120"/>
        <v>Neutral</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5</v>
      </c>
      <c r="AP308">
        <f>step3_validation[[#This Row],[AI_TRU2]]</f>
        <v>7</v>
      </c>
      <c r="AQ308" t="str">
        <f t="shared" si="123"/>
        <v>Neutral</v>
      </c>
      <c r="AR308">
        <f>survey_responses[[#This Row],[Tôi thấy mức thuế tôi phải đóng theo phương án mới là công bằng (người thu nhập như tôi đóng mức này là hợp lý). - HUMAN-TRU2]]</f>
        <v>2</v>
      </c>
      <c r="AS308" t="str">
        <f t="shared" si="124"/>
        <v>Oppose</v>
      </c>
      <c r="AT308" s="32">
        <f t="shared" si="125"/>
        <v>5</v>
      </c>
      <c r="AU308">
        <f>step3_validation[[#This Row],[AI_TRU3]]</f>
        <v>8</v>
      </c>
      <c r="AV308" t="str">
        <f t="shared" si="126"/>
        <v>Support</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6</v>
      </c>
      <c r="AZ308">
        <f>step3_validation[[#This Row],[AI_TRU4]]</f>
        <v>7</v>
      </c>
      <c r="BA308" t="str">
        <f t="shared" si="129"/>
        <v>Neutral</v>
      </c>
      <c r="BB308">
        <f>survey_responses[[#This Row],[Tôi thấy Nhà nước đã giải thích rõ ràng, minh bạch về lý do và mục tiêu của việc sửa đổi thuế lần này. - HUMAN-TRU4]]</f>
        <v>2</v>
      </c>
      <c r="BC308" t="str">
        <f t="shared" si="130"/>
        <v>Oppose</v>
      </c>
      <c r="BD308" s="32">
        <f t="shared" si="131"/>
        <v>5</v>
      </c>
      <c r="BE308">
        <f>step3_validation[[#This Row],[AI_OUT1]]</f>
        <v>8</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6</v>
      </c>
    </row>
    <row r="309" spans="1:61" x14ac:dyDescent="0.45">
      <c r="A309" s="30">
        <f>step3_validation[[#This Row],[Persona_ID]]</f>
        <v>308</v>
      </c>
      <c r="B309" s="31">
        <f>step3_validation[[#This Row],[Used_Seed]]</f>
        <v>12652</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219.2113405072491</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7</v>
      </c>
      <c r="R309" t="str">
        <f t="shared" si="108"/>
        <v>Neutral</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3</v>
      </c>
      <c r="V309">
        <f>step3_validation[[#This Row],[AI_ENF2]]</f>
        <v>6</v>
      </c>
      <c r="W309" t="str">
        <f t="shared" si="111"/>
        <v>Neutral</v>
      </c>
      <c r="X309">
        <f>survey_responses[[#This Row],[Tôi tin rằng Nhà nước, cơ quan thuế có đủ khả năng và công nghệ để phát hiện, xử lý nghiêm các hành vi trốn thuế. - HUMAN-ENF2]]</f>
        <v>8</v>
      </c>
      <c r="Y309" t="str">
        <f t="shared" si="112"/>
        <v>Support</v>
      </c>
      <c r="Z309" s="32">
        <f t="shared" si="113"/>
        <v>2</v>
      </c>
      <c r="AA309">
        <f>step3_validation[[#This Row],[AI_FAC1]]</f>
        <v>4</v>
      </c>
      <c r="AB309" t="str">
        <f t="shared" si="114"/>
        <v>Oppose</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4</v>
      </c>
      <c r="AF309">
        <f>step3_validation[[#This Row],[AI_FAC2]]</f>
        <v>8</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0</v>
      </c>
      <c r="AK309">
        <f>step3_validation[[#This Row],[AI_TRU1]]</f>
        <v>6</v>
      </c>
      <c r="AL309" t="str">
        <f t="shared" si="120"/>
        <v>Neutral</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4</v>
      </c>
      <c r="AP309">
        <f>step3_validation[[#This Row],[AI_TRU2]]</f>
        <v>7</v>
      </c>
      <c r="AQ309" t="str">
        <f t="shared" si="123"/>
        <v>Neutral</v>
      </c>
      <c r="AR309">
        <f>survey_responses[[#This Row],[Tôi thấy mức thuế tôi phải đóng theo phương án mới là công bằng (người thu nhập như tôi đóng mức này là hợp lý). - HUMAN-TRU2]]</f>
        <v>10</v>
      </c>
      <c r="AS309" t="str">
        <f t="shared" si="124"/>
        <v>Support</v>
      </c>
      <c r="AT309" s="32">
        <f t="shared" si="125"/>
        <v>3</v>
      </c>
      <c r="AU309">
        <f>step3_validation[[#This Row],[AI_TRU3]]</f>
        <v>5</v>
      </c>
      <c r="AV309" t="str">
        <f t="shared" si="126"/>
        <v>Neutral</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1</v>
      </c>
      <c r="AZ309">
        <f>step3_validation[[#This Row],[AI_TRU4]]</f>
        <v>8</v>
      </c>
      <c r="BA309" t="str">
        <f t="shared" si="129"/>
        <v>Support</v>
      </c>
      <c r="BB309">
        <f>survey_responses[[#This Row],[Tôi thấy Nhà nước đã giải thích rõ ràng, minh bạch về lý do và mục tiêu của việc sửa đổi thuế lần này. - HUMAN-TRU4]]</f>
        <v>8</v>
      </c>
      <c r="BC309" t="str">
        <f t="shared" si="130"/>
        <v>Support</v>
      </c>
      <c r="BD309" s="32">
        <f t="shared" si="131"/>
        <v>0</v>
      </c>
      <c r="BE309">
        <f>step3_validation[[#This Row],[AI_OUT1]]</f>
        <v>9</v>
      </c>
      <c r="BF309" t="str">
        <f t="shared" si="132"/>
        <v>Support</v>
      </c>
      <c r="BG309">
        <f>survey_responses[[#This Row],[Sau khi xem xét các quyền lợi và nghĩa vụ, bạn có ủng hộ và tuân thủ chính sách mới hiện nay? - HUMAN-OUT1]]</f>
        <v>8</v>
      </c>
      <c r="BH309" t="str">
        <f t="shared" si="133"/>
        <v>Support</v>
      </c>
      <c r="BI309" s="32">
        <f t="shared" si="134"/>
        <v>1</v>
      </c>
    </row>
    <row r="310" spans="1:61" x14ac:dyDescent="0.45">
      <c r="A310" s="30">
        <f>step3_validation[[#This Row],[Persona_ID]]</f>
        <v>309</v>
      </c>
      <c r="B310" s="31">
        <f>step3_validation[[#This Row],[Used_Seed]]</f>
        <v>12653</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57.593945901295918</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8</v>
      </c>
      <c r="R310" t="str">
        <f t="shared" si="108"/>
        <v>Support</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2</v>
      </c>
      <c r="V310">
        <f>step3_validation[[#This Row],[AI_ENF2]]</f>
        <v>9</v>
      </c>
      <c r="W310" t="str">
        <f t="shared" si="111"/>
        <v>Support</v>
      </c>
      <c r="X310">
        <f>survey_responses[[#This Row],[Tôi tin rằng Nhà nước, cơ quan thuế có đủ khả năng và công nghệ để phát hiện, xử lý nghiêm các hành vi trốn thuế. - HUMAN-ENF2]]</f>
        <v>10</v>
      </c>
      <c r="Y310" t="str">
        <f t="shared" si="112"/>
        <v>Support</v>
      </c>
      <c r="Z310" s="32">
        <f t="shared" si="113"/>
        <v>1</v>
      </c>
      <c r="AA310">
        <f>step3_validation[[#This Row],[AI_FAC1]]</f>
        <v>7</v>
      </c>
      <c r="AB310" t="str">
        <f t="shared" si="114"/>
        <v>Neutral</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3</v>
      </c>
      <c r="AF310">
        <f>step3_validation[[#This Row],[AI_FAC2]]</f>
        <v>6</v>
      </c>
      <c r="AG310" t="str">
        <f t="shared" si="117"/>
        <v>Neutral</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4</v>
      </c>
      <c r="AK310">
        <f>step3_validation[[#This Row],[AI_TRU1]]</f>
        <v>8</v>
      </c>
      <c r="AL310" t="str">
        <f t="shared" si="120"/>
        <v>Support</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2</v>
      </c>
      <c r="AP310">
        <f>step3_validation[[#This Row],[AI_TRU2]]</f>
        <v>7</v>
      </c>
      <c r="AQ310" t="str">
        <f t="shared" si="123"/>
        <v>Neutral</v>
      </c>
      <c r="AR310">
        <f>survey_responses[[#This Row],[Tôi thấy mức thuế tôi phải đóng theo phương án mới là công bằng (người thu nhập như tôi đóng mức này là hợp lý). - HUMAN-TRU2]]</f>
        <v>9</v>
      </c>
      <c r="AS310" t="str">
        <f t="shared" si="124"/>
        <v>Support</v>
      </c>
      <c r="AT310" s="32">
        <f t="shared" si="125"/>
        <v>2</v>
      </c>
      <c r="AU310">
        <f>step3_validation[[#This Row],[AI_TRU3]]</f>
        <v>6</v>
      </c>
      <c r="AV310" t="str">
        <f t="shared" si="126"/>
        <v>Neutral</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3</v>
      </c>
      <c r="AZ310">
        <f>step3_validation[[#This Row],[AI_TRU4]]</f>
        <v>5</v>
      </c>
      <c r="BA310" t="str">
        <f t="shared" si="129"/>
        <v>Neutral</v>
      </c>
      <c r="BB310">
        <f>survey_responses[[#This Row],[Tôi thấy Nhà nước đã giải thích rõ ràng, minh bạch về lý do và mục tiêu của việc sửa đổi thuế lần này. - HUMAN-TRU4]]</f>
        <v>10</v>
      </c>
      <c r="BC310" t="str">
        <f t="shared" si="130"/>
        <v>Support</v>
      </c>
      <c r="BD310" s="32">
        <f t="shared" si="131"/>
        <v>5</v>
      </c>
      <c r="BE310">
        <f>step3_validation[[#This Row],[AI_OUT1]]</f>
        <v>7</v>
      </c>
      <c r="BF310" t="str">
        <f t="shared" si="132"/>
        <v>Neutral</v>
      </c>
      <c r="BG310">
        <f>survey_responses[[#This Row],[Sau khi xem xét các quyền lợi và nghĩa vụ, bạn có ủng hộ và tuân thủ chính sách mới hiện nay? - HUMAN-OUT1]]</f>
        <v>10</v>
      </c>
      <c r="BH310" t="str">
        <f t="shared" si="133"/>
        <v>Support</v>
      </c>
      <c r="BI310" s="32">
        <f t="shared" si="134"/>
        <v>3</v>
      </c>
    </row>
    <row r="311" spans="1:61" x14ac:dyDescent="0.45">
      <c r="A311" s="30">
        <f>step3_validation[[#This Row],[Persona_ID]]</f>
        <v>310</v>
      </c>
      <c r="B311" s="31">
        <f>step3_validation[[#This Row],[Used_Seed]]</f>
        <v>12654</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20.941939360557114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8</v>
      </c>
      <c r="R311" t="str">
        <f t="shared" si="108"/>
        <v>Support</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1</v>
      </c>
      <c r="V311">
        <f>step3_validation[[#This Row],[AI_ENF2]]</f>
        <v>7</v>
      </c>
      <c r="W311" t="str">
        <f t="shared" si="111"/>
        <v>Neutral</v>
      </c>
      <c r="X311">
        <f>survey_responses[[#This Row],[Tôi tin rằng Nhà nước, cơ quan thuế có đủ khả năng và công nghệ để phát hiện, xử lý nghiêm các hành vi trốn thuế. - HUMAN-ENF2]]</f>
        <v>7</v>
      </c>
      <c r="Y311" t="str">
        <f t="shared" si="112"/>
        <v>Neutral</v>
      </c>
      <c r="Z311" s="32">
        <f t="shared" si="113"/>
        <v>0</v>
      </c>
      <c r="AA311">
        <f>step3_validation[[#This Row],[AI_FAC1]]</f>
        <v>9</v>
      </c>
      <c r="AB311" t="str">
        <f t="shared" si="114"/>
        <v>Support</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4</v>
      </c>
      <c r="AF311">
        <f>step3_validation[[#This Row],[AI_FAC2]]</f>
        <v>7</v>
      </c>
      <c r="AG311" t="str">
        <f t="shared" si="117"/>
        <v>Neutral</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1</v>
      </c>
      <c r="AK311">
        <f>step3_validation[[#This Row],[AI_TRU1]]</f>
        <v>8</v>
      </c>
      <c r="AL311" t="str">
        <f t="shared" si="120"/>
        <v>Support</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0</v>
      </c>
      <c r="AP311">
        <f>step3_validation[[#This Row],[AI_TRU2]]</f>
        <v>7</v>
      </c>
      <c r="AQ311" t="str">
        <f t="shared" si="123"/>
        <v>Neutral</v>
      </c>
      <c r="AR311">
        <f>survey_responses[[#This Row],[Tôi thấy mức thuế tôi phải đóng theo phương án mới là công bằng (người thu nhập như tôi đóng mức này là hợp lý). - HUMAN-TRU2]]</f>
        <v>9</v>
      </c>
      <c r="AS311" t="str">
        <f t="shared" si="124"/>
        <v>Support</v>
      </c>
      <c r="AT311" s="32">
        <f t="shared" si="125"/>
        <v>2</v>
      </c>
      <c r="AU311">
        <f>step3_validation[[#This Row],[AI_TRU3]]</f>
        <v>8</v>
      </c>
      <c r="AV311" t="str">
        <f t="shared" si="126"/>
        <v>Support</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1</v>
      </c>
      <c r="AZ311">
        <f>step3_validation[[#This Row],[AI_TRU4]]</f>
        <v>6</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3</v>
      </c>
      <c r="BE311">
        <f>step3_validation[[#This Row],[AI_OUT1]]</f>
        <v>7</v>
      </c>
      <c r="BF311" t="str">
        <f t="shared" si="132"/>
        <v>Neutral</v>
      </c>
      <c r="BG311">
        <f>survey_responses[[#This Row],[Sau khi xem xét các quyền lợi và nghĩa vụ, bạn có ủng hộ và tuân thủ chính sách mới hiện nay? - HUMAN-OUT1]]</f>
        <v>10</v>
      </c>
      <c r="BH311" t="str">
        <f t="shared" si="133"/>
        <v>Support</v>
      </c>
      <c r="BI311" s="32">
        <f t="shared" si="134"/>
        <v>3</v>
      </c>
    </row>
    <row r="312" spans="1:61" x14ac:dyDescent="0.45">
      <c r="A312" s="30">
        <f>step3_validation[[#This Row],[Persona_ID]]</f>
        <v>311</v>
      </c>
      <c r="B312" s="31">
        <f>step3_validation[[#This Row],[Used_Seed]]</f>
        <v>12655</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16.669150897098412</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7</v>
      </c>
      <c r="R312" t="str">
        <f t="shared" si="108"/>
        <v>Neutral</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1</v>
      </c>
      <c r="V312">
        <f>step3_validation[[#This Row],[AI_ENF2]]</f>
        <v>8</v>
      </c>
      <c r="W312" t="str">
        <f t="shared" si="111"/>
        <v>Support</v>
      </c>
      <c r="X312">
        <f>survey_responses[[#This Row],[Tôi tin rằng Nhà nước, cơ quan thuế có đủ khả năng và công nghệ để phát hiện, xử lý nghiêm các hành vi trốn thuế. - HUMAN-ENF2]]</f>
        <v>5</v>
      </c>
      <c r="Y312" t="str">
        <f t="shared" si="112"/>
        <v>Neutral</v>
      </c>
      <c r="Z312" s="32">
        <f t="shared" si="113"/>
        <v>3</v>
      </c>
      <c r="AA312">
        <f>step3_validation[[#This Row],[AI_FAC1]]</f>
        <v>6</v>
      </c>
      <c r="AB312" t="str">
        <f t="shared" si="114"/>
        <v>Neutral</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2</v>
      </c>
      <c r="AF312">
        <f>step3_validation[[#This Row],[AI_FAC2]]</f>
        <v>9</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2</v>
      </c>
      <c r="AK312">
        <f>step3_validation[[#This Row],[AI_TRU1]]</f>
        <v>7</v>
      </c>
      <c r="AL312" t="str">
        <f t="shared" si="120"/>
        <v>Neutral</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2</v>
      </c>
      <c r="AP312">
        <f>step3_validation[[#This Row],[AI_TRU2]]</f>
        <v>8</v>
      </c>
      <c r="AQ312" t="str">
        <f t="shared" si="123"/>
        <v>Support</v>
      </c>
      <c r="AR312">
        <f>survey_responses[[#This Row],[Tôi thấy mức thuế tôi phải đóng theo phương án mới là công bằng (người thu nhập như tôi đóng mức này là hợp lý). - HUMAN-TRU2]]</f>
        <v>6</v>
      </c>
      <c r="AS312" t="str">
        <f t="shared" si="124"/>
        <v>Neutral</v>
      </c>
      <c r="AT312" s="32">
        <f t="shared" si="125"/>
        <v>2</v>
      </c>
      <c r="AU312">
        <f>step3_validation[[#This Row],[AI_TRU3]]</f>
        <v>6</v>
      </c>
      <c r="AV312" t="str">
        <f t="shared" si="126"/>
        <v>Neutral</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0</v>
      </c>
      <c r="AZ312">
        <f>step3_validation[[#This Row],[AI_TRU4]]</f>
        <v>5</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2">
        <f t="shared" si="131"/>
        <v>2</v>
      </c>
      <c r="BE312">
        <f>step3_validation[[#This Row],[AI_OUT1]]</f>
        <v>7</v>
      </c>
      <c r="BF312" t="str">
        <f t="shared" si="132"/>
        <v>Neutral</v>
      </c>
      <c r="BG312">
        <f>survey_responses[[#This Row],[Sau khi xem xét các quyền lợi và nghĩa vụ, bạn có ủng hộ và tuân thủ chính sách mới hiện nay? - HUMAN-OUT1]]</f>
        <v>7</v>
      </c>
      <c r="BH312" t="str">
        <f t="shared" si="133"/>
        <v>Neutral</v>
      </c>
      <c r="BI312" s="32">
        <f t="shared" si="134"/>
        <v>0</v>
      </c>
    </row>
    <row r="313" spans="1:61" x14ac:dyDescent="0.45">
      <c r="A313" s="30">
        <f>step3_validation[[#This Row],[Persona_ID]]</f>
        <v>312</v>
      </c>
      <c r="B313" s="31">
        <f>step3_validation[[#This Row],[Used_Seed]]</f>
        <v>12656</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21.162094279206197</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6</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2</v>
      </c>
      <c r="V313">
        <f>step3_validation[[#This Row],[AI_ENF2]]</f>
        <v>8</v>
      </c>
      <c r="W313" t="str">
        <f t="shared" si="111"/>
        <v>Support</v>
      </c>
      <c r="X313">
        <f>survey_responses[[#This Row],[Tôi tin rằng Nhà nước, cơ quan thuế có đủ khả năng và công nghệ để phát hiện, xử lý nghiêm các hành vi trốn thuế. - HUMAN-ENF2]]</f>
        <v>9</v>
      </c>
      <c r="Y313" t="str">
        <f t="shared" si="112"/>
        <v>Support</v>
      </c>
      <c r="Z313" s="32">
        <f t="shared" si="113"/>
        <v>1</v>
      </c>
      <c r="AA313">
        <f>step3_validation[[#This Row],[AI_FAC1]]</f>
        <v>7</v>
      </c>
      <c r="AB313" t="str">
        <f t="shared" si="114"/>
        <v>Neutral</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3</v>
      </c>
      <c r="AF313">
        <f>step3_validation[[#This Row],[AI_FAC2]]</f>
        <v>8</v>
      </c>
      <c r="AG313" t="str">
        <f t="shared" si="117"/>
        <v>Support</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2</v>
      </c>
      <c r="AK313">
        <f>step3_validation[[#This Row],[AI_TRU1]]</f>
        <v>7</v>
      </c>
      <c r="AL313" t="str">
        <f t="shared" si="120"/>
        <v>Neutral</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1</v>
      </c>
      <c r="AP313">
        <f>step3_validation[[#This Row],[AI_TRU2]]</f>
        <v>8</v>
      </c>
      <c r="AQ313" t="str">
        <f t="shared" si="123"/>
        <v>Support</v>
      </c>
      <c r="AR313">
        <f>survey_responses[[#This Row],[Tôi thấy mức thuế tôi phải đóng theo phương án mới là công bằng (người thu nhập như tôi đóng mức này là hợp lý). - HUMAN-TRU2]]</f>
        <v>9</v>
      </c>
      <c r="AS313" t="str">
        <f t="shared" si="124"/>
        <v>Support</v>
      </c>
      <c r="AT313" s="32">
        <f t="shared" si="125"/>
        <v>1</v>
      </c>
      <c r="AU313">
        <f>step3_validation[[#This Row],[AI_TRU3]]</f>
        <v>7</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1</v>
      </c>
      <c r="AZ313">
        <f>step3_validation[[#This Row],[AI_TRU4]]</f>
        <v>8</v>
      </c>
      <c r="BA313" t="str">
        <f t="shared" si="129"/>
        <v>Support</v>
      </c>
      <c r="BB313">
        <f>survey_responses[[#This Row],[Tôi thấy Nhà nước đã giải thích rõ ràng, minh bạch về lý do và mục tiêu của việc sửa đổi thuế lần này. - HUMAN-TRU4]]</f>
        <v>8</v>
      </c>
      <c r="BC313" t="str">
        <f t="shared" si="130"/>
        <v>Support</v>
      </c>
      <c r="BD313" s="32">
        <f t="shared" si="131"/>
        <v>0</v>
      </c>
      <c r="BE313">
        <f>step3_validation[[#This Row],[AI_OUT1]]</f>
        <v>6</v>
      </c>
      <c r="BF313" t="str">
        <f t="shared" si="132"/>
        <v>Neutral</v>
      </c>
      <c r="BG313">
        <f>survey_responses[[#This Row],[Sau khi xem xét các quyền lợi và nghĩa vụ, bạn có ủng hộ và tuân thủ chính sách mới hiện nay? - HUMAN-OUT1]]</f>
        <v>10</v>
      </c>
      <c r="BH313" t="str">
        <f t="shared" si="133"/>
        <v>Support</v>
      </c>
      <c r="BI313" s="32">
        <f t="shared" si="134"/>
        <v>4</v>
      </c>
    </row>
    <row r="314" spans="1:61" x14ac:dyDescent="0.45">
      <c r="A314" s="30">
        <f>step3_validation[[#This Row],[Persona_ID]]</f>
        <v>313</v>
      </c>
      <c r="B314" s="31">
        <f>step3_validation[[#This Row],[Used_Seed]]</f>
        <v>12657</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16.672525263306586</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7</v>
      </c>
      <c r="R314" t="str">
        <f t="shared" si="108"/>
        <v>Neutral</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1</v>
      </c>
      <c r="V314">
        <f>step3_validation[[#This Row],[AI_ENF2]]</f>
        <v>6</v>
      </c>
      <c r="W314" t="str">
        <f t="shared" si="111"/>
        <v>Neutral</v>
      </c>
      <c r="X314">
        <f>survey_responses[[#This Row],[Tôi tin rằng Nhà nước, cơ quan thuế có đủ khả năng và công nghệ để phát hiện, xử lý nghiêm các hành vi trốn thuế. - HUMAN-ENF2]]</f>
        <v>6</v>
      </c>
      <c r="Y314" t="str">
        <f t="shared" si="112"/>
        <v>Neutral</v>
      </c>
      <c r="Z314" s="32">
        <f t="shared" si="113"/>
        <v>0</v>
      </c>
      <c r="AA314">
        <f>step3_validation[[#This Row],[AI_FAC1]]</f>
        <v>5</v>
      </c>
      <c r="AB314" t="str">
        <f t="shared" si="114"/>
        <v>Neutral</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2</v>
      </c>
      <c r="AF314">
        <f>step3_validation[[#This Row],[AI_FAC2]]</f>
        <v>8</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1</v>
      </c>
      <c r="AK314">
        <f>step3_validation[[#This Row],[AI_TRU1]]</f>
        <v>7</v>
      </c>
      <c r="AL314" t="str">
        <f t="shared" si="120"/>
        <v>Neutral</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0</v>
      </c>
      <c r="AP314">
        <f>step3_validation[[#This Row],[AI_TRU2]]</f>
        <v>6</v>
      </c>
      <c r="AQ314" t="str">
        <f t="shared" si="123"/>
        <v>Neutral</v>
      </c>
      <c r="AR314">
        <f>survey_responses[[#This Row],[Tôi thấy mức thuế tôi phải đóng theo phương án mới là công bằng (người thu nhập như tôi đóng mức này là hợp lý). - HUMAN-TRU2]]</f>
        <v>8</v>
      </c>
      <c r="AS314" t="str">
        <f t="shared" si="124"/>
        <v>Support</v>
      </c>
      <c r="AT314" s="32">
        <f t="shared" si="125"/>
        <v>2</v>
      </c>
      <c r="AU314">
        <f>step3_validation[[#This Row],[AI_TRU3]]</f>
        <v>5</v>
      </c>
      <c r="AV314" t="str">
        <f t="shared" si="126"/>
        <v>Neutral</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0</v>
      </c>
      <c r="AZ314">
        <f>step3_validation[[#This Row],[AI_TRU4]]</f>
        <v>4</v>
      </c>
      <c r="BA314" t="str">
        <f t="shared" si="129"/>
        <v>Oppose</v>
      </c>
      <c r="BB314">
        <f>survey_responses[[#This Row],[Tôi thấy Nhà nước đã giải thích rõ ràng, minh bạch về lý do và mục tiêu của việc sửa đổi thuế lần này. - HUMAN-TRU4]]</f>
        <v>5</v>
      </c>
      <c r="BC314" t="str">
        <f t="shared" si="130"/>
        <v>Neutral</v>
      </c>
      <c r="BD314" s="32">
        <f t="shared" si="131"/>
        <v>1</v>
      </c>
      <c r="BE314">
        <f>step3_validation[[#This Row],[AI_OUT1]]</f>
        <v>6</v>
      </c>
      <c r="BF314" t="str">
        <f t="shared" si="132"/>
        <v>Neutral</v>
      </c>
      <c r="BG314">
        <f>survey_responses[[#This Row],[Sau khi xem xét các quyền lợi và nghĩa vụ, bạn có ủng hộ và tuân thủ chính sách mới hiện nay? - HUMAN-OUT1]]</f>
        <v>8</v>
      </c>
      <c r="BH314" t="str">
        <f t="shared" si="133"/>
        <v>Support</v>
      </c>
      <c r="BI314" s="32">
        <f t="shared" si="134"/>
        <v>2</v>
      </c>
    </row>
    <row r="315" spans="1:61" x14ac:dyDescent="0.45">
      <c r="A315" s="30">
        <f>step3_validation[[#This Row],[Persona_ID]]</f>
        <v>314</v>
      </c>
      <c r="B315" s="31">
        <f>step3_validation[[#This Row],[Used_Seed]]</f>
        <v>12658</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16.853699332144384</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8</v>
      </c>
      <c r="R315" t="str">
        <f t="shared" si="108"/>
        <v>Support</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1</v>
      </c>
      <c r="V315">
        <f>step3_validation[[#This Row],[AI_ENF2]]</f>
        <v>9</v>
      </c>
      <c r="W315" t="str">
        <f t="shared" si="111"/>
        <v>Support</v>
      </c>
      <c r="X315">
        <f>survey_responses[[#This Row],[Tôi tin rằng Nhà nước, cơ quan thuế có đủ khả năng và công nghệ để phát hiện, xử lý nghiêm các hành vi trốn thuế. - HUMAN-ENF2]]</f>
        <v>8</v>
      </c>
      <c r="Y315" t="str">
        <f t="shared" si="112"/>
        <v>Support</v>
      </c>
      <c r="Z315" s="32">
        <f t="shared" si="113"/>
        <v>1</v>
      </c>
      <c r="AA315">
        <f>step3_validation[[#This Row],[AI_FAC1]]</f>
        <v>7</v>
      </c>
      <c r="AB315" t="str">
        <f t="shared" si="114"/>
        <v>Neutral</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1</v>
      </c>
      <c r="AF315">
        <f>step3_validation[[#This Row],[AI_FAC2]]</f>
        <v>8</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0</v>
      </c>
      <c r="AK315">
        <f>step3_validation[[#This Row],[AI_TRU1]]</f>
        <v>7</v>
      </c>
      <c r="AL315" t="str">
        <f t="shared" si="120"/>
        <v>Neutral</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2</v>
      </c>
      <c r="AP315">
        <f>step3_validation[[#This Row],[AI_TRU2]]</f>
        <v>8</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2">
        <f t="shared" si="125"/>
        <v>0</v>
      </c>
      <c r="AU315">
        <f>step3_validation[[#This Row],[AI_TRU3]]</f>
        <v>7</v>
      </c>
      <c r="AV315" t="str">
        <f t="shared" si="126"/>
        <v>Neutral</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1</v>
      </c>
      <c r="AZ315">
        <f>step3_validation[[#This Row],[AI_TRU4]]</f>
        <v>6</v>
      </c>
      <c r="BA315" t="str">
        <f t="shared" si="129"/>
        <v>Neutral</v>
      </c>
      <c r="BB315">
        <f>survey_responses[[#This Row],[Tôi thấy Nhà nước đã giải thích rõ ràng, minh bạch về lý do và mục tiêu của việc sửa đổi thuế lần này. - HUMAN-TRU4]]</f>
        <v>6</v>
      </c>
      <c r="BC315" t="str">
        <f t="shared" si="130"/>
        <v>Neutral</v>
      </c>
      <c r="BD315" s="32">
        <f t="shared" si="131"/>
        <v>0</v>
      </c>
      <c r="BE315">
        <f>step3_validation[[#This Row],[AI_OUT1]]</f>
        <v>7</v>
      </c>
      <c r="BF315" t="str">
        <f t="shared" si="132"/>
        <v>Neutral</v>
      </c>
      <c r="BG315">
        <f>survey_responses[[#This Row],[Sau khi xem xét các quyền lợi và nghĩa vụ, bạn có ủng hộ và tuân thủ chính sách mới hiện nay? - HUMAN-OUT1]]</f>
        <v>8</v>
      </c>
      <c r="BH315" t="str">
        <f t="shared" si="133"/>
        <v>Support</v>
      </c>
      <c r="BI315" s="32">
        <f t="shared" si="134"/>
        <v>1</v>
      </c>
    </row>
    <row r="316" spans="1:61" x14ac:dyDescent="0.45">
      <c r="A316" s="30">
        <f>step3_validation[[#This Row],[Persona_ID]]</f>
        <v>315</v>
      </c>
      <c r="B316" s="31">
        <f>step3_validation[[#This Row],[Used_Seed]]</f>
        <v>12659</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19.883375120681503</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8</v>
      </c>
      <c r="R316" t="str">
        <f t="shared" si="108"/>
        <v>Support</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4</v>
      </c>
      <c r="V316">
        <f>step3_validation[[#This Row],[AI_ENF2]]</f>
        <v>7</v>
      </c>
      <c r="W316" t="str">
        <f t="shared" si="111"/>
        <v>Neutral</v>
      </c>
      <c r="X316">
        <f>survey_responses[[#This Row],[Tôi tin rằng Nhà nước, cơ quan thuế có đủ khả năng và công nghệ để phát hiện, xử lý nghiêm các hành vi trốn thuế. - HUMAN-ENF2]]</f>
        <v>5</v>
      </c>
      <c r="Y316" t="str">
        <f t="shared" si="112"/>
        <v>Neutral</v>
      </c>
      <c r="Z316" s="32">
        <f t="shared" si="113"/>
        <v>2</v>
      </c>
      <c r="AA316">
        <f>step3_validation[[#This Row],[AI_FAC1]]</f>
        <v>8</v>
      </c>
      <c r="AB316" t="str">
        <f t="shared" si="114"/>
        <v>Support</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3</v>
      </c>
      <c r="AF316">
        <f>step3_validation[[#This Row],[AI_FAC2]]</f>
        <v>9</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2</v>
      </c>
      <c r="AK316">
        <f>step3_validation[[#This Row],[AI_TRU1]]</f>
        <v>8</v>
      </c>
      <c r="AL316" t="str">
        <f t="shared" si="120"/>
        <v>Support</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3</v>
      </c>
      <c r="AP316">
        <f>step3_validation[[#This Row],[AI_TRU2]]</f>
        <v>7</v>
      </c>
      <c r="AQ316" t="str">
        <f t="shared" si="123"/>
        <v>Neutral</v>
      </c>
      <c r="AR316">
        <f>survey_responses[[#This Row],[Tôi thấy mức thuế tôi phải đóng theo phương án mới là công bằng (người thu nhập như tôi đóng mức này là hợp lý). - HUMAN-TRU2]]</f>
        <v>8</v>
      </c>
      <c r="AS316" t="str">
        <f t="shared" si="124"/>
        <v>Support</v>
      </c>
      <c r="AT316" s="32">
        <f t="shared" si="125"/>
        <v>1</v>
      </c>
      <c r="AU316">
        <f>step3_validation[[#This Row],[AI_TRU3]]</f>
        <v>8</v>
      </c>
      <c r="AV316" t="str">
        <f t="shared" si="126"/>
        <v>Support</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3</v>
      </c>
      <c r="AZ316">
        <f>step3_validation[[#This Row],[AI_TRU4]]</f>
        <v>7</v>
      </c>
      <c r="BA316" t="str">
        <f t="shared" si="129"/>
        <v>Neutral</v>
      </c>
      <c r="BB316">
        <f>survey_responses[[#This Row],[Tôi thấy Nhà nước đã giải thích rõ ràng, minh bạch về lý do và mục tiêu của việc sửa đổi thuế lần này. - HUMAN-TRU4]]</f>
        <v>6</v>
      </c>
      <c r="BC316" t="str">
        <f t="shared" si="130"/>
        <v>Neutral</v>
      </c>
      <c r="BD316" s="32">
        <f t="shared" si="131"/>
        <v>1</v>
      </c>
      <c r="BE316">
        <f>step3_validation[[#This Row],[AI_OUT1]]</f>
        <v>8</v>
      </c>
      <c r="BF316" t="str">
        <f t="shared" si="132"/>
        <v>Support</v>
      </c>
      <c r="BG316">
        <f>survey_responses[[#This Row],[Sau khi xem xét các quyền lợi và nghĩa vụ, bạn có ủng hộ và tuân thủ chính sách mới hiện nay? - HUMAN-OUT1]]</f>
        <v>8</v>
      </c>
      <c r="BH316" t="str">
        <f t="shared" si="133"/>
        <v>Support</v>
      </c>
      <c r="BI316" s="32">
        <f t="shared" si="134"/>
        <v>0</v>
      </c>
    </row>
    <row r="317" spans="1:61" x14ac:dyDescent="0.45">
      <c r="A317" s="30">
        <f>step3_validation[[#This Row],[Persona_ID]]</f>
        <v>316</v>
      </c>
      <c r="B317" s="31">
        <f>step3_validation[[#This Row],[Used_Seed]]</f>
        <v>12660</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23.434193889157577</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1</v>
      </c>
      <c r="V317">
        <f>step3_validation[[#This Row],[AI_ENF2]]</f>
        <v>8</v>
      </c>
      <c r="W317" t="str">
        <f t="shared" si="111"/>
        <v>Support</v>
      </c>
      <c r="X317">
        <f>survey_responses[[#This Row],[Tôi tin rằng Nhà nước, cơ quan thuế có đủ khả năng và công nghệ để phát hiện, xử lý nghiêm các hành vi trốn thuế. - HUMAN-ENF2]]</f>
        <v>8</v>
      </c>
      <c r="Y317" t="str">
        <f t="shared" si="112"/>
        <v>Support</v>
      </c>
      <c r="Z317" s="32">
        <f t="shared" si="113"/>
        <v>0</v>
      </c>
      <c r="AA317">
        <f>step3_validation[[#This Row],[AI_FAC1]]</f>
        <v>6</v>
      </c>
      <c r="AB317" t="str">
        <f t="shared" si="114"/>
        <v>Neutral</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1</v>
      </c>
      <c r="AF317">
        <f>step3_validation[[#This Row],[AI_FAC2]]</f>
        <v>8</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2</v>
      </c>
      <c r="AK317">
        <f>step3_validation[[#This Row],[AI_TRU1]]</f>
        <v>7</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1</v>
      </c>
      <c r="AP317">
        <f>step3_validation[[#This Row],[AI_TRU2]]</f>
        <v>7</v>
      </c>
      <c r="AQ317" t="str">
        <f t="shared" si="123"/>
        <v>Neutral</v>
      </c>
      <c r="AR317">
        <f>survey_responses[[#This Row],[Tôi thấy mức thuế tôi phải đóng theo phương án mới là công bằng (người thu nhập như tôi đóng mức này là hợp lý). - HUMAN-TRU2]]</f>
        <v>7</v>
      </c>
      <c r="AS317" t="str">
        <f t="shared" si="124"/>
        <v>Neutral</v>
      </c>
      <c r="AT317" s="32">
        <f t="shared" si="125"/>
        <v>0</v>
      </c>
      <c r="AU317">
        <f>step3_validation[[#This Row],[AI_TRU3]]</f>
        <v>6</v>
      </c>
      <c r="AV317" t="str">
        <f t="shared" si="126"/>
        <v>Neutral</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0</v>
      </c>
      <c r="AZ317">
        <f>step3_validation[[#This Row],[AI_TRU4]]</f>
        <v>5</v>
      </c>
      <c r="BA317" t="str">
        <f t="shared" si="129"/>
        <v>Neutral</v>
      </c>
      <c r="BB317">
        <f>survey_responses[[#This Row],[Tôi thấy Nhà nước đã giải thích rõ ràng, minh bạch về lý do và mục tiêu của việc sửa đổi thuế lần này. - HUMAN-TRU4]]</f>
        <v>7</v>
      </c>
      <c r="BC317" t="str">
        <f t="shared" si="130"/>
        <v>Neutral</v>
      </c>
      <c r="BD317" s="32">
        <f t="shared" si="131"/>
        <v>2</v>
      </c>
      <c r="BE317">
        <f>step3_validation[[#This Row],[AI_OUT1]]</f>
        <v>7</v>
      </c>
      <c r="BF317" t="str">
        <f t="shared" si="132"/>
        <v>Neutral</v>
      </c>
      <c r="BG317">
        <f>survey_responses[[#This Row],[Sau khi xem xét các quyền lợi và nghĩa vụ, bạn có ủng hộ và tuân thủ chính sách mới hiện nay? - HUMAN-OUT1]]</f>
        <v>7</v>
      </c>
      <c r="BH317" t="str">
        <f t="shared" si="133"/>
        <v>Neutral</v>
      </c>
      <c r="BI317" s="32">
        <f t="shared" si="134"/>
        <v>0</v>
      </c>
    </row>
    <row r="318" spans="1:61" x14ac:dyDescent="0.45">
      <c r="A318" s="30">
        <f>step3_validation[[#This Row],[Persona_ID]]</f>
        <v>317</v>
      </c>
      <c r="B318" s="31">
        <f>step3_validation[[#This Row],[Used_Seed]]</f>
        <v>12661</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13.189205483468264</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7</v>
      </c>
      <c r="R318" t="str">
        <f t="shared" si="108"/>
        <v>Neutral</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0</v>
      </c>
      <c r="V318">
        <f>step3_validation[[#This Row],[AI_ENF2]]</f>
        <v>8</v>
      </c>
      <c r="W318" t="str">
        <f t="shared" si="111"/>
        <v>Support</v>
      </c>
      <c r="X318">
        <f>survey_responses[[#This Row],[Tôi tin rằng Nhà nước, cơ quan thuế có đủ khả năng và công nghệ để phát hiện, xử lý nghiêm các hành vi trốn thuế. - HUMAN-ENF2]]</f>
        <v>7</v>
      </c>
      <c r="Y318" t="str">
        <f t="shared" si="112"/>
        <v>Neutral</v>
      </c>
      <c r="Z318" s="32">
        <f t="shared" si="113"/>
        <v>1</v>
      </c>
      <c r="AA318">
        <f>step3_validation[[#This Row],[AI_FAC1]]</f>
        <v>9</v>
      </c>
      <c r="AB318" t="str">
        <f t="shared" si="114"/>
        <v>Support</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4</v>
      </c>
      <c r="AF318">
        <f>step3_validation[[#This Row],[AI_FAC2]]</f>
        <v>7</v>
      </c>
      <c r="AG318" t="str">
        <f t="shared" si="117"/>
        <v>Neutral</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1</v>
      </c>
      <c r="AK318">
        <f>step3_validation[[#This Row],[AI_TRU1]]</f>
        <v>8</v>
      </c>
      <c r="AL318" t="str">
        <f t="shared" si="120"/>
        <v>Support</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3</v>
      </c>
      <c r="AP318">
        <f>step3_validation[[#This Row],[AI_TRU2]]</f>
        <v>7</v>
      </c>
      <c r="AQ318" t="str">
        <f t="shared" si="123"/>
        <v>Neutral</v>
      </c>
      <c r="AR318">
        <f>survey_responses[[#This Row],[Tôi thấy mức thuế tôi phải đóng theo phương án mới là công bằng (người thu nhập như tôi đóng mức này là hợp lý). - HUMAN-TRU2]]</f>
        <v>8</v>
      </c>
      <c r="AS318" t="str">
        <f t="shared" si="124"/>
        <v>Support</v>
      </c>
      <c r="AT318" s="32">
        <f t="shared" si="125"/>
        <v>1</v>
      </c>
      <c r="AU318">
        <f>step3_validation[[#This Row],[AI_TRU3]]</f>
        <v>8</v>
      </c>
      <c r="AV318" t="str">
        <f t="shared" si="126"/>
        <v>Support</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3</v>
      </c>
      <c r="AZ318">
        <f>step3_validation[[#This Row],[AI_TRU4]]</f>
        <v>5</v>
      </c>
      <c r="BA318" t="str">
        <f t="shared" si="129"/>
        <v>Neutral</v>
      </c>
      <c r="BB318">
        <f>survey_responses[[#This Row],[Tôi thấy Nhà nước đã giải thích rõ ràng, minh bạch về lý do và mục tiêu của việc sửa đổi thuế lần này. - HUMAN-TRU4]]</f>
        <v>7</v>
      </c>
      <c r="BC318" t="str">
        <f t="shared" si="130"/>
        <v>Neutral</v>
      </c>
      <c r="BD318" s="32">
        <f t="shared" si="131"/>
        <v>2</v>
      </c>
      <c r="BE318">
        <f>step3_validation[[#This Row],[AI_OUT1]]</f>
        <v>8</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0</v>
      </c>
    </row>
    <row r="319" spans="1:61" x14ac:dyDescent="0.45">
      <c r="A319" s="30">
        <f>step3_validation[[#This Row],[Persona_ID]]</f>
        <v>318</v>
      </c>
      <c r="B319" s="31">
        <f>step3_validation[[#This Row],[Used_Seed]]</f>
        <v>12662</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21.746024411486641</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6</v>
      </c>
      <c r="R319" t="str">
        <f t="shared" si="108"/>
        <v>Neutral</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2</v>
      </c>
      <c r="V319">
        <f>step3_validation[[#This Row],[AI_ENF2]]</f>
        <v>5</v>
      </c>
      <c r="W319" t="str">
        <f t="shared" si="111"/>
        <v>Neutral</v>
      </c>
      <c r="X319">
        <f>survey_responses[[#This Row],[Tôi tin rằng Nhà nước, cơ quan thuế có đủ khả năng và công nghệ để phát hiện, xử lý nghiêm các hành vi trốn thuế. - HUMAN-ENF2]]</f>
        <v>4</v>
      </c>
      <c r="Y319" t="str">
        <f t="shared" si="112"/>
        <v>Oppose</v>
      </c>
      <c r="Z319" s="32">
        <f t="shared" si="113"/>
        <v>1</v>
      </c>
      <c r="AA319">
        <f>step3_validation[[#This Row],[AI_FAC1]]</f>
        <v>7</v>
      </c>
      <c r="AB319" t="str">
        <f t="shared" si="114"/>
        <v>Neutral</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1</v>
      </c>
      <c r="AF319">
        <f>step3_validation[[#This Row],[AI_FAC2]]</f>
        <v>8</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1</v>
      </c>
      <c r="AK319">
        <f>step3_validation[[#This Row],[AI_TRU1]]</f>
        <v>7</v>
      </c>
      <c r="AL319" t="str">
        <f t="shared" si="120"/>
        <v>Neutral</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2</v>
      </c>
      <c r="AP319">
        <f>step3_validation[[#This Row],[AI_TRU2]]</f>
        <v>8</v>
      </c>
      <c r="AQ319" t="str">
        <f t="shared" si="123"/>
        <v>Support</v>
      </c>
      <c r="AR319">
        <f>survey_responses[[#This Row],[Tôi thấy mức thuế tôi phải đóng theo phương án mới là công bằng (người thu nhập như tôi đóng mức này là hợp lý). - HUMAN-TRU2]]</f>
        <v>8</v>
      </c>
      <c r="AS319" t="str">
        <f t="shared" si="124"/>
        <v>Support</v>
      </c>
      <c r="AT319" s="32">
        <f t="shared" si="125"/>
        <v>0</v>
      </c>
      <c r="AU319">
        <f>step3_validation[[#This Row],[AI_TRU3]]</f>
        <v>7</v>
      </c>
      <c r="AV319" t="str">
        <f t="shared" si="126"/>
        <v>Neutral</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2</v>
      </c>
      <c r="AZ319">
        <f>step3_validation[[#This Row],[AI_TRU4]]</f>
        <v>6</v>
      </c>
      <c r="BA319" t="str">
        <f t="shared" si="129"/>
        <v>Neutral</v>
      </c>
      <c r="BB319">
        <f>survey_responses[[#This Row],[Tôi thấy Nhà nước đã giải thích rõ ràng, minh bạch về lý do và mục tiêu của việc sửa đổi thuế lần này. - HUMAN-TRU4]]</f>
        <v>5</v>
      </c>
      <c r="BC319" t="str">
        <f t="shared" si="130"/>
        <v>Neutral</v>
      </c>
      <c r="BD319" s="32">
        <f t="shared" si="131"/>
        <v>1</v>
      </c>
      <c r="BE319">
        <f>step3_validation[[#This Row],[AI_OUT1]]</f>
        <v>7</v>
      </c>
      <c r="BF319" t="str">
        <f t="shared" si="132"/>
        <v>Neutral</v>
      </c>
      <c r="BG319">
        <f>survey_responses[[#This Row],[Sau khi xem xét các quyền lợi và nghĩa vụ, bạn có ủng hộ và tuân thủ chính sách mới hiện nay? - HUMAN-OUT1]]</f>
        <v>8</v>
      </c>
      <c r="BH319" t="str">
        <f t="shared" si="133"/>
        <v>Support</v>
      </c>
      <c r="BI319" s="32">
        <f t="shared" si="134"/>
        <v>1</v>
      </c>
    </row>
    <row r="320" spans="1:61" x14ac:dyDescent="0.45">
      <c r="A320" s="30">
        <f>step3_validation[[#This Row],[Persona_ID]]</f>
        <v>319</v>
      </c>
      <c r="B320" s="31">
        <f>step3_validation[[#This Row],[Used_Seed]]</f>
        <v>12663</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15.418228397582919</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8</v>
      </c>
      <c r="R320" t="str">
        <f t="shared" si="108"/>
        <v>Support</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0</v>
      </c>
      <c r="V320">
        <f>step3_validation[[#This Row],[AI_ENF2]]</f>
        <v>7</v>
      </c>
      <c r="W320" t="str">
        <f t="shared" si="111"/>
        <v>Neutral</v>
      </c>
      <c r="X320">
        <f>survey_responses[[#This Row],[Tôi tin rằng Nhà nước, cơ quan thuế có đủ khả năng và công nghệ để phát hiện, xử lý nghiêm các hành vi trốn thuế. - HUMAN-ENF2]]</f>
        <v>8</v>
      </c>
      <c r="Y320" t="str">
        <f t="shared" si="112"/>
        <v>Support</v>
      </c>
      <c r="Z320" s="32">
        <f t="shared" si="113"/>
        <v>1</v>
      </c>
      <c r="AA320">
        <f>step3_validation[[#This Row],[AI_FAC1]]</f>
        <v>9</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1</v>
      </c>
      <c r="AF320">
        <f>step3_validation[[#This Row],[AI_FAC2]]</f>
        <v>8</v>
      </c>
      <c r="AG320" t="str">
        <f t="shared" si="117"/>
        <v>Support</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2</v>
      </c>
      <c r="AK320">
        <f>step3_validation[[#This Row],[AI_TRU1]]</f>
        <v>9</v>
      </c>
      <c r="AL320" t="str">
        <f t="shared" si="120"/>
        <v>Support</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0</v>
      </c>
      <c r="AP320">
        <f>step3_validation[[#This Row],[AI_TRU2]]</f>
        <v>7</v>
      </c>
      <c r="AQ320" t="str">
        <f t="shared" si="123"/>
        <v>Neutral</v>
      </c>
      <c r="AR320">
        <f>survey_responses[[#This Row],[Tôi thấy mức thuế tôi phải đóng theo phương án mới là công bằng (người thu nhập như tôi đóng mức này là hợp lý). - HUMAN-TRU2]]</f>
        <v>10</v>
      </c>
      <c r="AS320" t="str">
        <f t="shared" si="124"/>
        <v>Support</v>
      </c>
      <c r="AT320" s="32">
        <f t="shared" si="125"/>
        <v>3</v>
      </c>
      <c r="AU320">
        <f>step3_validation[[#This Row],[AI_TRU3]]</f>
        <v>8</v>
      </c>
      <c r="AV320" t="str">
        <f t="shared" si="126"/>
        <v>Support</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0</v>
      </c>
      <c r="AZ320">
        <f>step3_validation[[#This Row],[AI_TRU4]]</f>
        <v>6</v>
      </c>
      <c r="BA320" t="str">
        <f t="shared" si="129"/>
        <v>Neutral</v>
      </c>
      <c r="BB320">
        <f>survey_responses[[#This Row],[Tôi thấy Nhà nước đã giải thích rõ ràng, minh bạch về lý do và mục tiêu của việc sửa đổi thuế lần này. - HUMAN-TRU4]]</f>
        <v>8</v>
      </c>
      <c r="BC320" t="str">
        <f t="shared" si="130"/>
        <v>Support</v>
      </c>
      <c r="BD320" s="32">
        <f t="shared" si="131"/>
        <v>2</v>
      </c>
      <c r="BE320">
        <f>step3_validation[[#This Row],[AI_OUT1]]</f>
        <v>8</v>
      </c>
      <c r="BF320" t="str">
        <f t="shared" si="132"/>
        <v>Support</v>
      </c>
      <c r="BG320">
        <f>survey_responses[[#This Row],[Sau khi xem xét các quyền lợi và nghĩa vụ, bạn có ủng hộ và tuân thủ chính sách mới hiện nay? - HUMAN-OUT1]]</f>
        <v>10</v>
      </c>
      <c r="BH320" t="str">
        <f t="shared" si="133"/>
        <v>Support</v>
      </c>
      <c r="BI320" s="32">
        <f t="shared" si="134"/>
        <v>2</v>
      </c>
    </row>
    <row r="321" spans="1:61" x14ac:dyDescent="0.45">
      <c r="A321" s="30">
        <f>step3_validation[[#This Row],[Persona_ID]]</f>
        <v>320</v>
      </c>
      <c r="B321" s="31">
        <f>step3_validation[[#This Row],[Used_Seed]]</f>
        <v>12664</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30.473517806818467</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2</v>
      </c>
      <c r="V321">
        <f>step3_validation[[#This Row],[AI_ENF2]]</f>
        <v>8</v>
      </c>
      <c r="W321" t="str">
        <f t="shared" si="111"/>
        <v>Support</v>
      </c>
      <c r="X321">
        <f>survey_responses[[#This Row],[Tôi tin rằng Nhà nước, cơ quan thuế có đủ khả năng và công nghệ để phát hiện, xử lý nghiêm các hành vi trốn thuế. - HUMAN-ENF2]]</f>
        <v>7</v>
      </c>
      <c r="Y321" t="str">
        <f t="shared" si="112"/>
        <v>Neutral</v>
      </c>
      <c r="Z321" s="32">
        <f t="shared" si="113"/>
        <v>1</v>
      </c>
      <c r="AA321">
        <f>step3_validation[[#This Row],[AI_FAC1]]</f>
        <v>9</v>
      </c>
      <c r="AB321" t="str">
        <f t="shared" si="114"/>
        <v>Support</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2</v>
      </c>
      <c r="AF321">
        <f>step3_validation[[#This Row],[AI_FAC2]]</f>
        <v>8</v>
      </c>
      <c r="AG321" t="str">
        <f t="shared" si="117"/>
        <v>Support</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1</v>
      </c>
      <c r="AK321">
        <f>step3_validation[[#This Row],[AI_TRU1]]</f>
        <v>9</v>
      </c>
      <c r="AL321" t="str">
        <f t="shared" si="120"/>
        <v>Support</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4</v>
      </c>
      <c r="AP321">
        <f>step3_validation[[#This Row],[AI_TRU2]]</f>
        <v>7</v>
      </c>
      <c r="AQ321" t="str">
        <f t="shared" si="123"/>
        <v>Neutral</v>
      </c>
      <c r="AR321">
        <f>survey_responses[[#This Row],[Tôi thấy mức thuế tôi phải đóng theo phương án mới là công bằng (người thu nhập như tôi đóng mức này là hợp lý). - HUMAN-TRU2]]</f>
        <v>6</v>
      </c>
      <c r="AS321" t="str">
        <f t="shared" si="124"/>
        <v>Neutral</v>
      </c>
      <c r="AT321" s="32">
        <f t="shared" si="125"/>
        <v>1</v>
      </c>
      <c r="AU321">
        <f>step3_validation[[#This Row],[AI_TRU3]]</f>
        <v>8</v>
      </c>
      <c r="AV321" t="str">
        <f t="shared" si="126"/>
        <v>Support</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3</v>
      </c>
      <c r="AZ321">
        <f>step3_validation[[#This Row],[AI_TRU4]]</f>
        <v>6</v>
      </c>
      <c r="BA321" t="str">
        <f t="shared" si="129"/>
        <v>Neutral</v>
      </c>
      <c r="BB321">
        <f>survey_responses[[#This Row],[Tôi thấy Nhà nước đã giải thích rõ ràng, minh bạch về lý do và mục tiêu của việc sửa đổi thuế lần này. - HUMAN-TRU4]]</f>
        <v>7</v>
      </c>
      <c r="BC321" t="str">
        <f t="shared" si="130"/>
        <v>Neutral</v>
      </c>
      <c r="BD321" s="32">
        <f t="shared" si="131"/>
        <v>1</v>
      </c>
      <c r="BE321">
        <f>step3_validation[[#This Row],[AI_OUT1]]</f>
        <v>9</v>
      </c>
      <c r="BF321" t="str">
        <f t="shared" si="132"/>
        <v>Support</v>
      </c>
      <c r="BG321">
        <f>survey_responses[[#This Row],[Sau khi xem xét các quyền lợi và nghĩa vụ, bạn có ủng hộ và tuân thủ chính sách mới hiện nay? - HUMAN-OUT1]]</f>
        <v>7</v>
      </c>
      <c r="BH321" t="str">
        <f t="shared" si="133"/>
        <v>Neutral</v>
      </c>
      <c r="BI321" s="32">
        <f t="shared" si="134"/>
        <v>2</v>
      </c>
    </row>
    <row r="322" spans="1:61" x14ac:dyDescent="0.45">
      <c r="A322" s="30">
        <f>step3_validation[[#This Row],[Persona_ID]]</f>
        <v>321</v>
      </c>
      <c r="B322" s="31">
        <f>step3_validation[[#This Row],[Used_Seed]]</f>
        <v>12665</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16.256873801040314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7</v>
      </c>
      <c r="R322" t="str">
        <f t="shared" si="108"/>
        <v>Neutral</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1</v>
      </c>
      <c r="V322">
        <f>step3_validation[[#This Row],[AI_ENF2]]</f>
        <v>8</v>
      </c>
      <c r="W322" t="str">
        <f t="shared" si="111"/>
        <v>Support</v>
      </c>
      <c r="X322">
        <f>survey_responses[[#This Row],[Tôi tin rằng Nhà nước, cơ quan thuế có đủ khả năng và công nghệ để phát hiện, xử lý nghiêm các hành vi trốn thuế. - HUMAN-ENF2]]</f>
        <v>8</v>
      </c>
      <c r="Y322" t="str">
        <f t="shared" si="112"/>
        <v>Support</v>
      </c>
      <c r="Z322" s="32">
        <f t="shared" si="113"/>
        <v>0</v>
      </c>
      <c r="AA322">
        <f>step3_validation[[#This Row],[AI_FAC1]]</f>
        <v>9</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2</v>
      </c>
      <c r="AF322">
        <f>step3_validation[[#This Row],[AI_FAC2]]</f>
        <v>8</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1</v>
      </c>
      <c r="AK322">
        <f>step3_validation[[#This Row],[AI_TRU1]]</f>
        <v>7</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2</v>
      </c>
      <c r="AP322">
        <f>step3_validation[[#This Row],[AI_TRU2]]</f>
        <v>8</v>
      </c>
      <c r="AQ322" t="str">
        <f t="shared" si="123"/>
        <v>Support</v>
      </c>
      <c r="AR322">
        <f>survey_responses[[#This Row],[Tôi thấy mức thuế tôi phải đóng theo phương án mới là công bằng (người thu nhập như tôi đóng mức này là hợp lý). - HUMAN-TRU2]]</f>
        <v>9</v>
      </c>
      <c r="AS322" t="str">
        <f t="shared" si="124"/>
        <v>Support</v>
      </c>
      <c r="AT322" s="32">
        <f t="shared" si="125"/>
        <v>1</v>
      </c>
      <c r="AU322">
        <f>step3_validation[[#This Row],[AI_TRU3]]</f>
        <v>7</v>
      </c>
      <c r="AV322" t="str">
        <f t="shared" si="126"/>
        <v>Neutral</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0</v>
      </c>
      <c r="AZ322">
        <f>step3_validation[[#This Row],[AI_TRU4]]</f>
        <v>6</v>
      </c>
      <c r="BA322" t="str">
        <f t="shared" si="129"/>
        <v>Neutral</v>
      </c>
      <c r="BB322">
        <f>survey_responses[[#This Row],[Tôi thấy Nhà nước đã giải thích rõ ràng, minh bạch về lý do và mục tiêu của việc sửa đổi thuế lần này. - HUMAN-TRU4]]</f>
        <v>9</v>
      </c>
      <c r="BC322" t="str">
        <f t="shared" si="130"/>
        <v>Support</v>
      </c>
      <c r="BD322" s="32">
        <f t="shared" si="131"/>
        <v>3</v>
      </c>
      <c r="BE322">
        <f>step3_validation[[#This Row],[AI_OUT1]]</f>
        <v>8</v>
      </c>
      <c r="BF322" t="str">
        <f t="shared" si="132"/>
        <v>Support</v>
      </c>
      <c r="BG322">
        <f>survey_responses[[#This Row],[Sau khi xem xét các quyền lợi và nghĩa vụ, bạn có ủng hộ và tuân thủ chính sách mới hiện nay? - HUMAN-OUT1]]</f>
        <v>9</v>
      </c>
      <c r="BH322" t="str">
        <f t="shared" si="133"/>
        <v>Support</v>
      </c>
      <c r="BI322" s="32">
        <f t="shared" si="134"/>
        <v>1</v>
      </c>
    </row>
    <row r="323" spans="1:61" x14ac:dyDescent="0.45">
      <c r="A323" s="30">
        <f>step3_validation[[#This Row],[Persona_ID]]</f>
        <v>322</v>
      </c>
      <c r="B323" s="31">
        <f>step3_validation[[#This Row],[Used_Seed]]</f>
        <v>12666</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25.362896743820713</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6</v>
      </c>
      <c r="R323" t="str">
        <f t="shared" ref="R323:R386" si="135">IF(AND(Q323&gt;=1,Q323&lt;5),"Oppose",IF(AND(Q323&gt;=5,Q323&lt;8),"Neutral",IF(AND(Q323&gt;=8,Q323&lt;=10),"Support","")))</f>
        <v>Neutral</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1</v>
      </c>
      <c r="V323">
        <f>step3_validation[[#This Row],[AI_ENF2]]</f>
        <v>5</v>
      </c>
      <c r="W323" t="str">
        <f t="shared" ref="W323:W386" si="138">IF(AND(V323&gt;=1,V323&lt;5),"Oppose",IF(AND(V323&gt;=5,V323&lt;8),"Neutral",IF(AND(V323&gt;=8,V323&lt;=10),"Support","")))</f>
        <v>Neutral</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0</v>
      </c>
      <c r="AA323">
        <f>step3_validation[[#This Row],[AI_FAC1]]</f>
        <v>8</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3</v>
      </c>
      <c r="AF323">
        <f>step3_validation[[#This Row],[AI_FAC2]]</f>
        <v>7</v>
      </c>
      <c r="AG323" t="str">
        <f t="shared" ref="AG323:AG386" si="144">IF(AND(AF323&gt;=1,AF323&lt;5),"Oppose",IF(AND(AF323&gt;=5,AF323&lt;8),"Neutral",IF(AND(AF323&gt;=8,AF323&lt;=10),"Support","")))</f>
        <v>Neutral</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0</v>
      </c>
      <c r="AK323">
        <f>step3_validation[[#This Row],[AI_TRU1]]</f>
        <v>6</v>
      </c>
      <c r="AL323" t="str">
        <f t="shared" ref="AL323:AL386" si="147">IF(AND(AK323&gt;=1,AK323&lt;5),"Oppose",IF(AND(AK323&gt;=5,AK323&lt;8),"Neutral",IF(AND(AK323&gt;=8,AK323&lt;=10),"Support","")))</f>
        <v>Neutral</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1</v>
      </c>
      <c r="AP323">
        <f>step3_validation[[#This Row],[AI_TRU2]]</f>
        <v>7</v>
      </c>
      <c r="AQ323" t="str">
        <f t="shared" ref="AQ323:AQ386" si="150">IF(AND(AP323&gt;=1,AP323&lt;5),"Oppose",IF(AND(AP323&gt;=5,AP323&lt;8),"Neutral",IF(AND(AP323&gt;=8,AP323&lt;=10),"Support","")))</f>
        <v>Neutral</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0</v>
      </c>
      <c r="AU323">
        <f>step3_validation[[#This Row],[AI_TRU3]]</f>
        <v>6</v>
      </c>
      <c r="AV323" t="str">
        <f t="shared" ref="AV323:AV386" si="153">IF(AND(AU323&gt;=1,AU323&lt;5),"Oppose",IF(AND(AU323&gt;=5,AU323&lt;8),"Neutral",IF(AND(AU323&gt;=8,AU323&lt;=10),"Support","")))</f>
        <v>Neutral</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1</v>
      </c>
      <c r="AZ323">
        <f>step3_validation[[#This Row],[AI_TRU4]]</f>
        <v>5</v>
      </c>
      <c r="BA323" t="str">
        <f t="shared" ref="BA323:BA386" si="156">IF(AND(AZ323&gt;=1,AZ323&lt;5),"Oppose",IF(AND(AZ323&gt;=5,AZ323&lt;8),"Neutral",IF(AND(AZ323&gt;=8,AZ323&lt;=10),"Support","")))</f>
        <v>Neutral</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0</v>
      </c>
      <c r="BE323">
        <f>step3_validation[[#This Row],[AI_OUT1]]</f>
        <v>6</v>
      </c>
      <c r="BF323" t="str">
        <f t="shared" ref="BF323:BF386" si="159">IF(AND(BE323&gt;=1,BE323&lt;5),"Oppose",IF(AND(BE323&gt;=5,BE323&lt;8),"Neutral",IF(AND(BE323&gt;=8,BE323&lt;=10),"Support","")))</f>
        <v>Neutral</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1</v>
      </c>
    </row>
    <row r="324" spans="1:61" x14ac:dyDescent="0.45">
      <c r="A324" s="30">
        <f>step3_validation[[#This Row],[Persona_ID]]</f>
        <v>323</v>
      </c>
      <c r="B324" s="31">
        <f>step3_validation[[#This Row],[Used_Seed]]</f>
        <v>12667</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23.326446966869465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7</v>
      </c>
      <c r="R324" t="str">
        <f t="shared" si="135"/>
        <v>Neutral</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0</v>
      </c>
      <c r="V324">
        <f>step3_validation[[#This Row],[AI_ENF2]]</f>
        <v>6</v>
      </c>
      <c r="W324" t="str">
        <f t="shared" si="138"/>
        <v>Neutral</v>
      </c>
      <c r="X324">
        <f>survey_responses[[#This Row],[Tôi tin rằng Nhà nước, cơ quan thuế có đủ khả năng và công nghệ để phát hiện, xử lý nghiêm các hành vi trốn thuế. - HUMAN-ENF2]]</f>
        <v>7</v>
      </c>
      <c r="Y324" t="str">
        <f t="shared" si="139"/>
        <v>Neutral</v>
      </c>
      <c r="Z324" s="32">
        <f t="shared" si="140"/>
        <v>1</v>
      </c>
      <c r="AA324">
        <f>step3_validation[[#This Row],[AI_FAC1]]</f>
        <v>8</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0</v>
      </c>
      <c r="AF324">
        <f>step3_validation[[#This Row],[AI_FAC2]]</f>
        <v>7</v>
      </c>
      <c r="AG324" t="str">
        <f t="shared" si="144"/>
        <v>Neutral</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1</v>
      </c>
      <c r="AK324">
        <f>step3_validation[[#This Row],[AI_TRU1]]</f>
        <v>8</v>
      </c>
      <c r="AL324" t="str">
        <f t="shared" si="147"/>
        <v>Support</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2</v>
      </c>
      <c r="AP324">
        <f>step3_validation[[#This Row],[AI_TRU2]]</f>
        <v>7</v>
      </c>
      <c r="AQ324" t="str">
        <f t="shared" si="150"/>
        <v>Neutral</v>
      </c>
      <c r="AR324">
        <f>survey_responses[[#This Row],[Tôi thấy mức thuế tôi phải đóng theo phương án mới là công bằng (người thu nhập như tôi đóng mức này là hợp lý). - HUMAN-TRU2]]</f>
        <v>7</v>
      </c>
      <c r="AS324" t="str">
        <f t="shared" si="151"/>
        <v>Neutral</v>
      </c>
      <c r="AT324" s="32">
        <f t="shared" si="152"/>
        <v>0</v>
      </c>
      <c r="AU324">
        <f>step3_validation[[#This Row],[AI_TRU3]]</f>
        <v>6</v>
      </c>
      <c r="AV324" t="str">
        <f t="shared" si="153"/>
        <v>Neutral</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0</v>
      </c>
      <c r="AZ324">
        <f>step3_validation[[#This Row],[AI_TRU4]]</f>
        <v>5</v>
      </c>
      <c r="BA324" t="str">
        <f t="shared" si="156"/>
        <v>Neutral</v>
      </c>
      <c r="BB324">
        <f>survey_responses[[#This Row],[Tôi thấy Nhà nước đã giải thích rõ ràng, minh bạch về lý do và mục tiêu của việc sửa đổi thuế lần này. - HUMAN-TRU4]]</f>
        <v>7</v>
      </c>
      <c r="BC324" t="str">
        <f t="shared" si="157"/>
        <v>Neutral</v>
      </c>
      <c r="BD324" s="32">
        <f t="shared" si="158"/>
        <v>2</v>
      </c>
      <c r="BE324">
        <f>step3_validation[[#This Row],[AI_OUT1]]</f>
        <v>7</v>
      </c>
      <c r="BF324" t="str">
        <f t="shared" si="159"/>
        <v>Neutral</v>
      </c>
      <c r="BG324">
        <f>survey_responses[[#This Row],[Sau khi xem xét các quyền lợi và nghĩa vụ, bạn có ủng hộ và tuân thủ chính sách mới hiện nay? - HUMAN-OUT1]]</f>
        <v>7</v>
      </c>
      <c r="BH324" t="str">
        <f t="shared" si="160"/>
        <v>Neutral</v>
      </c>
      <c r="BI324" s="32">
        <f t="shared" si="161"/>
        <v>0</v>
      </c>
    </row>
    <row r="325" spans="1:61" x14ac:dyDescent="0.45">
      <c r="A325" s="30">
        <f>step3_validation[[#This Row],[Persona_ID]]</f>
        <v>324</v>
      </c>
      <c r="B325" s="31">
        <f>step3_validation[[#This Row],[Used_Seed]]</f>
        <v>12668</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0</v>
      </c>
      <c r="V325">
        <f>step3_validation[[#This Row],[AI_ENF2]]</f>
        <v>8</v>
      </c>
      <c r="W325" t="str">
        <f t="shared" si="138"/>
        <v>Support</v>
      </c>
      <c r="X325">
        <f>survey_responses[[#This Row],[Tôi tin rằng Nhà nước, cơ quan thuế có đủ khả năng và công nghệ để phát hiện, xử lý nghiêm các hành vi trốn thuế. - HUMAN-ENF2]]</f>
        <v>7</v>
      </c>
      <c r="Y325" t="str">
        <f t="shared" si="139"/>
        <v>Neutral</v>
      </c>
      <c r="Z325" s="32">
        <f t="shared" si="140"/>
        <v>1</v>
      </c>
      <c r="AA325">
        <f>step3_validation[[#This Row],[AI_FAC1]]</f>
        <v>6</v>
      </c>
      <c r="AB325" t="str">
        <f t="shared" si="141"/>
        <v>Neutral</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1</v>
      </c>
      <c r="AF325">
        <f>step3_validation[[#This Row],[AI_FAC2]]</f>
        <v>9</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2</v>
      </c>
      <c r="AK325">
        <f>step3_validation[[#This Row],[AI_TRU1]]</f>
        <v>7</v>
      </c>
      <c r="AL325" t="str">
        <f t="shared" si="147"/>
        <v>Neutral</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0</v>
      </c>
      <c r="AP325">
        <f>step3_validation[[#This Row],[AI_TRU2]]</f>
        <v>6</v>
      </c>
      <c r="AQ325" t="str">
        <f t="shared" si="150"/>
        <v>Neutral</v>
      </c>
      <c r="AR325">
        <f>survey_responses[[#This Row],[Tôi thấy mức thuế tôi phải đóng theo phương án mới là công bằng (người thu nhập như tôi đóng mức này là hợp lý). - HUMAN-TRU2]]</f>
        <v>7</v>
      </c>
      <c r="AS325" t="str">
        <f t="shared" si="151"/>
        <v>Neutral</v>
      </c>
      <c r="AT325" s="32">
        <f t="shared" si="152"/>
        <v>1</v>
      </c>
      <c r="AU325">
        <f>step3_validation[[#This Row],[AI_TRU3]]</f>
        <v>8</v>
      </c>
      <c r="AV325" t="str">
        <f t="shared" si="153"/>
        <v>Support</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3</v>
      </c>
      <c r="AZ325">
        <f>step3_validation[[#This Row],[AI_TRU4]]</f>
        <v>5</v>
      </c>
      <c r="BA325" t="str">
        <f t="shared" si="156"/>
        <v>Neutral</v>
      </c>
      <c r="BB325">
        <f>survey_responses[[#This Row],[Tôi thấy Nhà nước đã giải thích rõ ràng, minh bạch về lý do và mục tiêu của việc sửa đổi thuế lần này. - HUMAN-TRU4]]</f>
        <v>5</v>
      </c>
      <c r="BC325" t="str">
        <f t="shared" si="157"/>
        <v>Neutral</v>
      </c>
      <c r="BD325" s="32">
        <f t="shared" si="158"/>
        <v>0</v>
      </c>
      <c r="BE325">
        <f>step3_validation[[#This Row],[AI_OUT1]]</f>
        <v>6</v>
      </c>
      <c r="BF325" t="str">
        <f t="shared" si="159"/>
        <v>Neutral</v>
      </c>
      <c r="BG325">
        <f>survey_responses[[#This Row],[Sau khi xem xét các quyền lợi và nghĩa vụ, bạn có ủng hộ và tuân thủ chính sách mới hiện nay? - HUMAN-OUT1]]</f>
        <v>8</v>
      </c>
      <c r="BH325" t="str">
        <f t="shared" si="160"/>
        <v>Support</v>
      </c>
      <c r="BI325" s="32">
        <f t="shared" si="161"/>
        <v>2</v>
      </c>
    </row>
    <row r="326" spans="1:61" x14ac:dyDescent="0.45">
      <c r="A326" s="30">
        <f>step3_validation[[#This Row],[Persona_ID]]</f>
        <v>325</v>
      </c>
      <c r="B326" s="31">
        <f>step3_validation[[#This Row],[Used_Seed]]</f>
        <v>12669</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35.101855093697857</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7</v>
      </c>
      <c r="R326" t="str">
        <f t="shared" si="135"/>
        <v>Neutral</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5</v>
      </c>
      <c r="V326">
        <f>step3_validation[[#This Row],[AI_ENF2]]</f>
        <v>8</v>
      </c>
      <c r="W326" t="str">
        <f t="shared" si="138"/>
        <v>Support</v>
      </c>
      <c r="X326">
        <f>survey_responses[[#This Row],[Tôi tin rằng Nhà nước, cơ quan thuế có đủ khả năng và công nghệ để phát hiện, xử lý nghiêm các hành vi trốn thuế. - HUMAN-ENF2]]</f>
        <v>2</v>
      </c>
      <c r="Y326" t="str">
        <f t="shared" si="139"/>
        <v>Oppose</v>
      </c>
      <c r="Z326" s="32">
        <f t="shared" si="140"/>
        <v>6</v>
      </c>
      <c r="AA326">
        <f>step3_validation[[#This Row],[AI_FAC1]]</f>
        <v>7</v>
      </c>
      <c r="AB326" t="str">
        <f t="shared" si="141"/>
        <v>Neutral</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1</v>
      </c>
      <c r="AF326">
        <f>step3_validation[[#This Row],[AI_FAC2]]</f>
        <v>8</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1</v>
      </c>
      <c r="AK326">
        <f>step3_validation[[#This Row],[AI_TRU1]]</f>
        <v>8</v>
      </c>
      <c r="AL326" t="str">
        <f t="shared" si="147"/>
        <v>Support</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6</v>
      </c>
      <c r="AP326">
        <f>step3_validation[[#This Row],[AI_TRU2]]</f>
        <v>9</v>
      </c>
      <c r="AQ326" t="str">
        <f t="shared" si="150"/>
        <v>Support</v>
      </c>
      <c r="AR326">
        <f>survey_responses[[#This Row],[Tôi thấy mức thuế tôi phải đóng theo phương án mới là công bằng (người thu nhập như tôi đóng mức này là hợp lý). - HUMAN-TRU2]]</f>
        <v>5</v>
      </c>
      <c r="AS326" t="str">
        <f t="shared" si="151"/>
        <v>Neutral</v>
      </c>
      <c r="AT326" s="32">
        <f t="shared" si="152"/>
        <v>4</v>
      </c>
      <c r="AU326">
        <f>step3_validation[[#This Row],[AI_TRU3]]</f>
        <v>8</v>
      </c>
      <c r="AV326" t="str">
        <f t="shared" si="153"/>
        <v>Support</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3</v>
      </c>
      <c r="AZ326">
        <f>step3_validation[[#This Row],[AI_TRU4]]</f>
        <v>7</v>
      </c>
      <c r="BA326" t="str">
        <f t="shared" si="156"/>
        <v>Neutral</v>
      </c>
      <c r="BB326">
        <f>survey_responses[[#This Row],[Tôi thấy Nhà nước đã giải thích rõ ràng, minh bạch về lý do và mục tiêu của việc sửa đổi thuế lần này. - HUMAN-TRU4]]</f>
        <v>6</v>
      </c>
      <c r="BC326" t="str">
        <f t="shared" si="157"/>
        <v>Neutral</v>
      </c>
      <c r="BD326" s="32">
        <f t="shared" si="158"/>
        <v>1</v>
      </c>
      <c r="BE326">
        <f>step3_validation[[#This Row],[AI_OUT1]]</f>
        <v>8</v>
      </c>
      <c r="BF326" t="str">
        <f t="shared" si="159"/>
        <v>Support</v>
      </c>
      <c r="BG326">
        <f>survey_responses[[#This Row],[Sau khi xem xét các quyền lợi và nghĩa vụ, bạn có ủng hộ và tuân thủ chính sách mới hiện nay? - HUMAN-OUT1]]</f>
        <v>5</v>
      </c>
      <c r="BH326" t="str">
        <f t="shared" si="160"/>
        <v>Neutral</v>
      </c>
      <c r="BI326" s="32">
        <f t="shared" si="161"/>
        <v>3</v>
      </c>
    </row>
    <row r="327" spans="1:61" x14ac:dyDescent="0.45">
      <c r="A327" s="30">
        <f>step3_validation[[#This Row],[Persona_ID]]</f>
        <v>326</v>
      </c>
      <c r="B327" s="31">
        <f>step3_validation[[#This Row],[Used_Seed]]</f>
        <v>12670</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58.561444966306951</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7</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1</v>
      </c>
      <c r="V327">
        <f>step3_validation[[#This Row],[AI_ENF2]]</f>
        <v>7</v>
      </c>
      <c r="W327" t="str">
        <f t="shared" si="138"/>
        <v>Neutral</v>
      </c>
      <c r="X327">
        <f>survey_responses[[#This Row],[Tôi tin rằng Nhà nước, cơ quan thuế có đủ khả năng và công nghệ để phát hiện, xử lý nghiêm các hành vi trốn thuế. - HUMAN-ENF2]]</f>
        <v>9</v>
      </c>
      <c r="Y327" t="str">
        <f t="shared" si="139"/>
        <v>Support</v>
      </c>
      <c r="Z327" s="32">
        <f t="shared" si="140"/>
        <v>2</v>
      </c>
      <c r="AA327">
        <f>step3_validation[[#This Row],[AI_FAC1]]</f>
        <v>8</v>
      </c>
      <c r="AB327" t="str">
        <f t="shared" si="141"/>
        <v>Support</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1</v>
      </c>
      <c r="AF327">
        <f>step3_validation[[#This Row],[AI_FAC2]]</f>
        <v>8</v>
      </c>
      <c r="AG327" t="str">
        <f t="shared" si="144"/>
        <v>Support</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2</v>
      </c>
      <c r="AK327">
        <f>step3_validation[[#This Row],[AI_TRU1]]</f>
        <v>6</v>
      </c>
      <c r="AL327" t="str">
        <f t="shared" si="147"/>
        <v>Neutral</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2</v>
      </c>
      <c r="AP327">
        <f>step3_validation[[#This Row],[AI_TRU2]]</f>
        <v>6</v>
      </c>
      <c r="AQ327" t="str">
        <f t="shared" si="150"/>
        <v>Neutral</v>
      </c>
      <c r="AR327">
        <f>survey_responses[[#This Row],[Tôi thấy mức thuế tôi phải đóng theo phương án mới là công bằng (người thu nhập như tôi đóng mức này là hợp lý). - HUMAN-TRU2]]</f>
        <v>10</v>
      </c>
      <c r="AS327" t="str">
        <f t="shared" si="151"/>
        <v>Support</v>
      </c>
      <c r="AT327" s="32">
        <f t="shared" si="152"/>
        <v>4</v>
      </c>
      <c r="AU327">
        <f>step3_validation[[#This Row],[AI_TRU3]]</f>
        <v>6</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3</v>
      </c>
      <c r="AZ327">
        <f>step3_validation[[#This Row],[AI_TRU4]]</f>
        <v>6</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3</v>
      </c>
      <c r="BE327">
        <f>step3_validation[[#This Row],[AI_OUT1]]</f>
        <v>6</v>
      </c>
      <c r="BF327" t="str">
        <f t="shared" si="159"/>
        <v>Neutral</v>
      </c>
      <c r="BG327">
        <f>survey_responses[[#This Row],[Sau khi xem xét các quyền lợi và nghĩa vụ, bạn có ủng hộ và tuân thủ chính sách mới hiện nay? - HUMAN-OUT1]]</f>
        <v>10</v>
      </c>
      <c r="BH327" t="str">
        <f t="shared" si="160"/>
        <v>Support</v>
      </c>
      <c r="BI327" s="32">
        <f t="shared" si="161"/>
        <v>4</v>
      </c>
    </row>
    <row r="328" spans="1:61" x14ac:dyDescent="0.45">
      <c r="A328" s="30">
        <f>step3_validation[[#This Row],[Persona_ID]]</f>
        <v>327</v>
      </c>
      <c r="B328" s="31">
        <f>step3_validation[[#This Row],[Used_Seed]]</f>
        <v>12671</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19.035889284805496</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7</v>
      </c>
      <c r="R328" t="str">
        <f t="shared" si="135"/>
        <v>Neutral</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0</v>
      </c>
      <c r="V328">
        <f>step3_validation[[#This Row],[AI_ENF2]]</f>
        <v>8</v>
      </c>
      <c r="W328" t="str">
        <f t="shared" si="138"/>
        <v>Support</v>
      </c>
      <c r="X328">
        <f>survey_responses[[#This Row],[Tôi tin rằng Nhà nước, cơ quan thuế có đủ khả năng và công nghệ để phát hiện, xử lý nghiêm các hành vi trốn thuế. - HUMAN-ENF2]]</f>
        <v>7</v>
      </c>
      <c r="Y328" t="str">
        <f t="shared" si="139"/>
        <v>Neutral</v>
      </c>
      <c r="Z328" s="32">
        <f t="shared" si="140"/>
        <v>1</v>
      </c>
      <c r="AA328">
        <f>step3_validation[[#This Row],[AI_FAC1]]</f>
        <v>6</v>
      </c>
      <c r="AB328" t="str">
        <f t="shared" si="141"/>
        <v>Neutral</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1</v>
      </c>
      <c r="AF328">
        <f>step3_validation[[#This Row],[AI_FAC2]]</f>
        <v>8</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1</v>
      </c>
      <c r="AK328">
        <f>step3_validation[[#This Row],[AI_TRU1]]</f>
        <v>9</v>
      </c>
      <c r="AL328" t="str">
        <f t="shared" si="147"/>
        <v>Support</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2</v>
      </c>
      <c r="AP328">
        <f>step3_validation[[#This Row],[AI_TRU2]]</f>
        <v>7</v>
      </c>
      <c r="AQ328" t="str">
        <f t="shared" si="150"/>
        <v>Neutral</v>
      </c>
      <c r="AR328">
        <f>survey_responses[[#This Row],[Tôi thấy mức thuế tôi phải đóng theo phương án mới là công bằng (người thu nhập như tôi đóng mức này là hợp lý). - HUMAN-TRU2]]</f>
        <v>8</v>
      </c>
      <c r="AS328" t="str">
        <f t="shared" si="151"/>
        <v>Support</v>
      </c>
      <c r="AT328" s="32">
        <f t="shared" si="152"/>
        <v>1</v>
      </c>
      <c r="AU328">
        <f>step3_validation[[#This Row],[AI_TRU3]]</f>
        <v>6</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1</v>
      </c>
      <c r="AZ328">
        <f>step3_validation[[#This Row],[AI_TRU4]]</f>
        <v>8</v>
      </c>
      <c r="BA328" t="str">
        <f t="shared" si="156"/>
        <v>Support</v>
      </c>
      <c r="BB328">
        <f>survey_responses[[#This Row],[Tôi thấy Nhà nước đã giải thích rõ ràng, minh bạch về lý do và mục tiêu của việc sửa đổi thuế lần này. - HUMAN-TRU4]]</f>
        <v>7</v>
      </c>
      <c r="BC328" t="str">
        <f t="shared" si="157"/>
        <v>Neutral</v>
      </c>
      <c r="BD328" s="32">
        <f t="shared" si="158"/>
        <v>1</v>
      </c>
      <c r="BE328">
        <f>step3_validation[[#This Row],[AI_OUT1]]</f>
        <v>7</v>
      </c>
      <c r="BF328" t="str">
        <f t="shared" si="159"/>
        <v>Neutral</v>
      </c>
      <c r="BG328">
        <f>survey_responses[[#This Row],[Sau khi xem xét các quyền lợi và nghĩa vụ, bạn có ủng hộ và tuân thủ chính sách mới hiện nay? - HUMAN-OUT1]]</f>
        <v>8</v>
      </c>
      <c r="BH328" t="str">
        <f t="shared" si="160"/>
        <v>Support</v>
      </c>
      <c r="BI328" s="32">
        <f t="shared" si="161"/>
        <v>1</v>
      </c>
    </row>
    <row r="329" spans="1:61" x14ac:dyDescent="0.45">
      <c r="A329" s="30">
        <f>step3_validation[[#This Row],[Persona_ID]]</f>
        <v>328</v>
      </c>
      <c r="B329" s="31">
        <f>step3_validation[[#This Row],[Used_Seed]]</f>
        <v>12672</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83.392659369885664</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t="str">
        <f t="shared" si="135"/>
        <v>Support</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1</v>
      </c>
      <c r="V329">
        <f>step3_validation[[#This Row],[AI_ENF2]]</f>
        <v>9</v>
      </c>
      <c r="W329" t="str">
        <f t="shared" si="138"/>
        <v>Support</v>
      </c>
      <c r="X329">
        <f>survey_responses[[#This Row],[Tôi tin rằng Nhà nước, cơ quan thuế có đủ khả năng và công nghệ để phát hiện, xử lý nghiêm các hành vi trốn thuế. - HUMAN-ENF2]]</f>
        <v>8</v>
      </c>
      <c r="Y329" t="str">
        <f t="shared" si="139"/>
        <v>Support</v>
      </c>
      <c r="Z329" s="32">
        <f t="shared" si="140"/>
        <v>1</v>
      </c>
      <c r="AA329">
        <f>step3_validation[[#This Row],[AI_FAC1]]</f>
        <v>7</v>
      </c>
      <c r="AB329" t="str">
        <f t="shared" si="141"/>
        <v>Neutral</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2</v>
      </c>
      <c r="AF329">
        <f>step3_validation[[#This Row],[AI_FAC2]]</f>
        <v>8</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1</v>
      </c>
      <c r="AK329">
        <f>step3_validation[[#This Row],[AI_TRU1]]</f>
        <v>7</v>
      </c>
      <c r="AL329" t="str">
        <f t="shared" si="147"/>
        <v>Neutral</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2</v>
      </c>
      <c r="AP329">
        <f>step3_validation[[#This Row],[AI_TRU2]]</f>
        <v>8</v>
      </c>
      <c r="AQ329" t="str">
        <f t="shared" si="150"/>
        <v>Support</v>
      </c>
      <c r="AR329">
        <f>survey_responses[[#This Row],[Tôi thấy mức thuế tôi phải đóng theo phương án mới là công bằng (người thu nhập như tôi đóng mức này là hợp lý). - HUMAN-TRU2]]</f>
        <v>8</v>
      </c>
      <c r="AS329" t="str">
        <f t="shared" si="151"/>
        <v>Support</v>
      </c>
      <c r="AT329" s="32">
        <f t="shared" si="152"/>
        <v>0</v>
      </c>
      <c r="AU329">
        <f>step3_validation[[#This Row],[AI_TRU3]]</f>
        <v>6</v>
      </c>
      <c r="AV329" t="str">
        <f t="shared" si="153"/>
        <v>Neutral</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1</v>
      </c>
      <c r="AZ329">
        <f>step3_validation[[#This Row],[AI_TRU4]]</f>
        <v>7</v>
      </c>
      <c r="BA329" t="str">
        <f t="shared" si="156"/>
        <v>Neutral</v>
      </c>
      <c r="BB329">
        <f>survey_responses[[#This Row],[Tôi thấy Nhà nước đã giải thích rõ ràng, minh bạch về lý do và mục tiêu của việc sửa đổi thuế lần này. - HUMAN-TRU4]]</f>
        <v>7</v>
      </c>
      <c r="BC329" t="str">
        <f t="shared" si="157"/>
        <v>Neutral</v>
      </c>
      <c r="BD329" s="32">
        <f t="shared" si="158"/>
        <v>0</v>
      </c>
      <c r="BE329">
        <f>step3_validation[[#This Row],[AI_OUT1]]</f>
        <v>6</v>
      </c>
      <c r="BF329" t="str">
        <f t="shared" si="159"/>
        <v>Neutral</v>
      </c>
      <c r="BG329">
        <f>survey_responses[[#This Row],[Sau khi xem xét các quyền lợi và nghĩa vụ, bạn có ủng hộ và tuân thủ chính sách mới hiện nay? - HUMAN-OUT1]]</f>
        <v>9</v>
      </c>
      <c r="BH329" t="str">
        <f t="shared" si="160"/>
        <v>Support</v>
      </c>
      <c r="BI329" s="32">
        <f t="shared" si="161"/>
        <v>3</v>
      </c>
    </row>
    <row r="330" spans="1:61" x14ac:dyDescent="0.45">
      <c r="A330" s="30">
        <f>step3_validation[[#This Row],[Persona_ID]]</f>
        <v>329</v>
      </c>
      <c r="B330" s="31">
        <f>step3_validation[[#This Row],[Used_Seed]]</f>
        <v>12673</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13.491123587526593</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8</v>
      </c>
      <c r="R330" t="str">
        <f t="shared" si="135"/>
        <v>Support</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1</v>
      </c>
      <c r="V330">
        <f>step3_validation[[#This Row],[AI_ENF2]]</f>
        <v>7</v>
      </c>
      <c r="W330" t="str">
        <f t="shared" si="138"/>
        <v>Neutral</v>
      </c>
      <c r="X330">
        <f>survey_responses[[#This Row],[Tôi tin rằng Nhà nước, cơ quan thuế có đủ khả năng và công nghệ để phát hiện, xử lý nghiêm các hành vi trốn thuế. - HUMAN-ENF2]]</f>
        <v>7</v>
      </c>
      <c r="Y330" t="str">
        <f t="shared" si="139"/>
        <v>Neutral</v>
      </c>
      <c r="Z330" s="32">
        <f t="shared" si="140"/>
        <v>0</v>
      </c>
      <c r="AA330">
        <f>step3_validation[[#This Row],[AI_FAC1]]</f>
        <v>9</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0</v>
      </c>
      <c r="AF330">
        <f>step3_validation[[#This Row],[AI_FAC2]]</f>
        <v>8</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1</v>
      </c>
      <c r="AK330">
        <f>step3_validation[[#This Row],[AI_TRU1]]</f>
        <v>7</v>
      </c>
      <c r="AL330" t="str">
        <f t="shared" si="147"/>
        <v>Neutral</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2</v>
      </c>
      <c r="AP330">
        <f>step3_validation[[#This Row],[AI_TRU2]]</f>
        <v>8</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2">
        <f t="shared" si="152"/>
        <v>1</v>
      </c>
      <c r="AU330">
        <f>step3_validation[[#This Row],[AI_TRU3]]</f>
        <v>7</v>
      </c>
      <c r="AV330" t="str">
        <f t="shared" si="153"/>
        <v>Neutral</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2</v>
      </c>
      <c r="AZ330">
        <f>step3_validation[[#This Row],[AI_TRU4]]</f>
        <v>6</v>
      </c>
      <c r="BA330" t="str">
        <f t="shared" si="156"/>
        <v>Neutral</v>
      </c>
      <c r="BB330">
        <f>survey_responses[[#This Row],[Tôi thấy Nhà nước đã giải thích rõ ràng, minh bạch về lý do và mục tiêu của việc sửa đổi thuế lần này. - HUMAN-TRU4]]</f>
        <v>6</v>
      </c>
      <c r="BC330" t="str">
        <f t="shared" si="157"/>
        <v>Neutral</v>
      </c>
      <c r="BD330" s="32">
        <f t="shared" si="158"/>
        <v>0</v>
      </c>
      <c r="BE330">
        <f>step3_validation[[#This Row],[AI_OUT1]]</f>
        <v>8</v>
      </c>
      <c r="BF330" t="str">
        <f t="shared" si="159"/>
        <v>Support</v>
      </c>
      <c r="BG330">
        <f>survey_responses[[#This Row],[Sau khi xem xét các quyền lợi và nghĩa vụ, bạn có ủng hộ và tuân thủ chính sách mới hiện nay? - HUMAN-OUT1]]</f>
        <v>9</v>
      </c>
      <c r="BH330" t="str">
        <f t="shared" si="160"/>
        <v>Support</v>
      </c>
      <c r="BI330" s="32">
        <f t="shared" si="161"/>
        <v>1</v>
      </c>
    </row>
    <row r="331" spans="1:61" x14ac:dyDescent="0.45">
      <c r="A331" s="30">
        <f>step3_validation[[#This Row],[Persona_ID]]</f>
        <v>330</v>
      </c>
      <c r="B331" s="31">
        <f>step3_validation[[#This Row],[Used_Seed]]</f>
        <v>12674</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13.455637584605176</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4</v>
      </c>
      <c r="V331">
        <f>step3_validation[[#This Row],[AI_ENF2]]</f>
        <v>8</v>
      </c>
      <c r="W331" t="str">
        <f t="shared" si="138"/>
        <v>Support</v>
      </c>
      <c r="X331">
        <f>survey_responses[[#This Row],[Tôi tin rằng Nhà nước, cơ quan thuế có đủ khả năng và công nghệ để phát hiện, xử lý nghiêm các hành vi trốn thuế. - HUMAN-ENF2]]</f>
        <v>3</v>
      </c>
      <c r="Y331" t="str">
        <f t="shared" si="139"/>
        <v>Oppose</v>
      </c>
      <c r="Z331" s="32">
        <f t="shared" si="140"/>
        <v>5</v>
      </c>
      <c r="AA331">
        <f>step3_validation[[#This Row],[AI_FAC1]]</f>
        <v>9</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4</v>
      </c>
      <c r="AF331">
        <f>step3_validation[[#This Row],[AI_FAC2]]</f>
        <v>8</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2</v>
      </c>
      <c r="AK331">
        <f>step3_validation[[#This Row],[AI_TRU1]]</f>
        <v>9</v>
      </c>
      <c r="AL331" t="str">
        <f t="shared" si="147"/>
        <v>Support</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5</v>
      </c>
      <c r="AP331">
        <f>step3_validation[[#This Row],[AI_TRU2]]</f>
        <v>7</v>
      </c>
      <c r="AQ331" t="str">
        <f t="shared" si="150"/>
        <v>Neutral</v>
      </c>
      <c r="AR331">
        <f>survey_responses[[#This Row],[Tôi thấy mức thuế tôi phải đóng theo phương án mới là công bằng (người thu nhập như tôi đóng mức này là hợp lý). - HUMAN-TRU2]]</f>
        <v>5</v>
      </c>
      <c r="AS331" t="str">
        <f t="shared" si="151"/>
        <v>Neutral</v>
      </c>
      <c r="AT331" s="32">
        <f t="shared" si="152"/>
        <v>2</v>
      </c>
      <c r="AU331">
        <f>step3_validation[[#This Row],[AI_TRU3]]</f>
        <v>6</v>
      </c>
      <c r="AV331" t="str">
        <f t="shared" si="153"/>
        <v>Neutral</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1</v>
      </c>
      <c r="AZ331">
        <f>step3_validation[[#This Row],[AI_TRU4]]</f>
        <v>5</v>
      </c>
      <c r="BA331" t="str">
        <f t="shared" si="156"/>
        <v>Neutral</v>
      </c>
      <c r="BB331">
        <f>survey_responses[[#This Row],[Tôi thấy Nhà nước đã giải thích rõ ràng, minh bạch về lý do và mục tiêu của việc sửa đổi thuế lần này. - HUMAN-TRU4]]</f>
        <v>5</v>
      </c>
      <c r="BC331" t="str">
        <f t="shared" si="157"/>
        <v>Neutral</v>
      </c>
      <c r="BD331" s="32">
        <f t="shared" si="158"/>
        <v>0</v>
      </c>
      <c r="BE331">
        <f>step3_validation[[#This Row],[AI_OUT1]]</f>
        <v>7</v>
      </c>
      <c r="BF331" t="str">
        <f t="shared" si="159"/>
        <v>Neutral</v>
      </c>
      <c r="BG331">
        <f>survey_responses[[#This Row],[Sau khi xem xét các quyền lợi và nghĩa vụ, bạn có ủng hộ và tuân thủ chính sách mới hiện nay? - HUMAN-OUT1]]</f>
        <v>5</v>
      </c>
      <c r="BH331" t="str">
        <f t="shared" si="160"/>
        <v>Neutral</v>
      </c>
      <c r="BI331" s="32">
        <f t="shared" si="161"/>
        <v>2</v>
      </c>
    </row>
    <row r="332" spans="1:61" x14ac:dyDescent="0.45">
      <c r="A332" s="30">
        <f>step3_validation[[#This Row],[Persona_ID]]</f>
        <v>331</v>
      </c>
      <c r="B332" s="31">
        <f>step3_validation[[#This Row],[Used_Seed]]</f>
        <v>12675</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26.633126491530575</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8</v>
      </c>
      <c r="R332" t="str">
        <f t="shared" si="135"/>
        <v>Support</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4</v>
      </c>
      <c r="V332">
        <f>step3_validation[[#This Row],[AI_ENF2]]</f>
        <v>7</v>
      </c>
      <c r="W332" t="str">
        <f t="shared" si="138"/>
        <v>Neutral</v>
      </c>
      <c r="X332">
        <f>survey_responses[[#This Row],[Tôi tin rằng Nhà nước, cơ quan thuế có đủ khả năng và công nghệ để phát hiện, xử lý nghiêm các hành vi trốn thuế. - HUMAN-ENF2]]</f>
        <v>4</v>
      </c>
      <c r="Y332" t="str">
        <f t="shared" si="139"/>
        <v>Oppose</v>
      </c>
      <c r="Z332" s="32">
        <f t="shared" si="140"/>
        <v>3</v>
      </c>
      <c r="AA332">
        <f>step3_validation[[#This Row],[AI_FAC1]]</f>
        <v>8</v>
      </c>
      <c r="AB332" t="str">
        <f t="shared" si="141"/>
        <v>Support</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3</v>
      </c>
      <c r="AF332">
        <f>step3_validation[[#This Row],[AI_FAC2]]</f>
        <v>9</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3</v>
      </c>
      <c r="AK332">
        <f>step3_validation[[#This Row],[AI_TRU1]]</f>
        <v>7</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3</v>
      </c>
      <c r="AP332">
        <f>step3_validation[[#This Row],[AI_TRU2]]</f>
        <v>8</v>
      </c>
      <c r="AQ332" t="str">
        <f t="shared" si="150"/>
        <v>Support</v>
      </c>
      <c r="AR332">
        <f>survey_responses[[#This Row],[Tôi thấy mức thuế tôi phải đóng theo phương án mới là công bằng (người thu nhập như tôi đóng mức này là hợp lý). - HUMAN-TRU2]]</f>
        <v>5</v>
      </c>
      <c r="AS332" t="str">
        <f t="shared" si="151"/>
        <v>Neutral</v>
      </c>
      <c r="AT332" s="32">
        <f t="shared" si="152"/>
        <v>3</v>
      </c>
      <c r="AU332">
        <f>step3_validation[[#This Row],[AI_TRU3]]</f>
        <v>6</v>
      </c>
      <c r="AV332" t="str">
        <f t="shared" si="153"/>
        <v>Neutral</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3</v>
      </c>
      <c r="AZ332">
        <f>step3_validation[[#This Row],[AI_TRU4]]</f>
        <v>7</v>
      </c>
      <c r="BA332" t="str">
        <f t="shared" si="156"/>
        <v>Neutral</v>
      </c>
      <c r="BB332">
        <f>survey_responses[[#This Row],[Tôi thấy Nhà nước đã giải thích rõ ràng, minh bạch về lý do và mục tiêu của việc sửa đổi thuế lần này. - HUMAN-TRU4]]</f>
        <v>4</v>
      </c>
      <c r="BC332" t="str">
        <f t="shared" si="157"/>
        <v>Oppose</v>
      </c>
      <c r="BD332" s="32">
        <f t="shared" si="158"/>
        <v>3</v>
      </c>
      <c r="BE332">
        <f>step3_validation[[#This Row],[AI_OUT1]]</f>
        <v>7</v>
      </c>
      <c r="BF332" t="str">
        <f t="shared" si="159"/>
        <v>Neutral</v>
      </c>
      <c r="BG332">
        <f>survey_responses[[#This Row],[Sau khi xem xét các quyền lợi và nghĩa vụ, bạn có ủng hộ và tuân thủ chính sách mới hiện nay? - HUMAN-OUT1]]</f>
        <v>5</v>
      </c>
      <c r="BH332" t="str">
        <f t="shared" si="160"/>
        <v>Neutral</v>
      </c>
      <c r="BI332" s="32">
        <f t="shared" si="161"/>
        <v>2</v>
      </c>
    </row>
    <row r="333" spans="1:61" x14ac:dyDescent="0.45">
      <c r="A333" s="30">
        <f>step3_validation[[#This Row],[Persona_ID]]</f>
        <v>332</v>
      </c>
      <c r="B333" s="31">
        <f>step3_validation[[#This Row],[Used_Seed]]</f>
        <v>12676</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21.494607292331743</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8</v>
      </c>
      <c r="R333" t="str">
        <f t="shared" si="135"/>
        <v>Support</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1</v>
      </c>
      <c r="V333">
        <f>step3_validation[[#This Row],[AI_ENF2]]</f>
        <v>9</v>
      </c>
      <c r="W333" t="str">
        <f t="shared" si="138"/>
        <v>Support</v>
      </c>
      <c r="X333">
        <f>survey_responses[[#This Row],[Tôi tin rằng Nhà nước, cơ quan thuế có đủ khả năng và công nghệ để phát hiện, xử lý nghiêm các hành vi trốn thuế. - HUMAN-ENF2]]</f>
        <v>7</v>
      </c>
      <c r="Y333" t="str">
        <f t="shared" si="139"/>
        <v>Neutral</v>
      </c>
      <c r="Z333" s="32">
        <f t="shared" si="140"/>
        <v>2</v>
      </c>
      <c r="AA333">
        <f>step3_validation[[#This Row],[AI_FAC1]]</f>
        <v>7</v>
      </c>
      <c r="AB333" t="str">
        <f t="shared" si="141"/>
        <v>Neutral</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2</v>
      </c>
      <c r="AF333">
        <f>step3_validation[[#This Row],[AI_FAC2]]</f>
        <v>8</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1</v>
      </c>
      <c r="AK333">
        <f>step3_validation[[#This Row],[AI_TRU1]]</f>
        <v>7</v>
      </c>
      <c r="AL333" t="str">
        <f t="shared" si="147"/>
        <v>Neutral</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1</v>
      </c>
      <c r="AP333">
        <f>step3_validation[[#This Row],[AI_TRU2]]</f>
        <v>6</v>
      </c>
      <c r="AQ333" t="str">
        <f t="shared" si="150"/>
        <v>Neutral</v>
      </c>
      <c r="AR333">
        <f>survey_responses[[#This Row],[Tôi thấy mức thuế tôi phải đóng theo phương án mới là công bằng (người thu nhập như tôi đóng mức này là hợp lý). - HUMAN-TRU2]]</f>
        <v>9</v>
      </c>
      <c r="AS333" t="str">
        <f t="shared" si="151"/>
        <v>Support</v>
      </c>
      <c r="AT333" s="32">
        <f t="shared" si="152"/>
        <v>3</v>
      </c>
      <c r="AU333">
        <f>step3_validation[[#This Row],[AI_TRU3]]</f>
        <v>5</v>
      </c>
      <c r="AV333" t="str">
        <f t="shared" si="153"/>
        <v>Neutral</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2</v>
      </c>
      <c r="AZ333">
        <f>step3_validation[[#This Row],[AI_TRU4]]</f>
        <v>6</v>
      </c>
      <c r="BA333" t="str">
        <f t="shared" si="156"/>
        <v>Neutral</v>
      </c>
      <c r="BB333">
        <f>survey_responses[[#This Row],[Tôi thấy Nhà nước đã giải thích rõ ràng, minh bạch về lý do và mục tiêu của việc sửa đổi thuế lần này. - HUMAN-TRU4]]</f>
        <v>9</v>
      </c>
      <c r="BC333" t="str">
        <f t="shared" si="157"/>
        <v>Support</v>
      </c>
      <c r="BD333" s="32">
        <f t="shared" si="158"/>
        <v>3</v>
      </c>
      <c r="BE333">
        <f>step3_validation[[#This Row],[AI_OUT1]]</f>
        <v>7</v>
      </c>
      <c r="BF333" t="str">
        <f t="shared" si="159"/>
        <v>Neutral</v>
      </c>
      <c r="BG333">
        <f>survey_responses[[#This Row],[Sau khi xem xét các quyền lợi và nghĩa vụ, bạn có ủng hộ và tuân thủ chính sách mới hiện nay? - HUMAN-OUT1]]</f>
        <v>9</v>
      </c>
      <c r="BH333" t="str">
        <f t="shared" si="160"/>
        <v>Support</v>
      </c>
      <c r="BI333" s="32">
        <f t="shared" si="161"/>
        <v>2</v>
      </c>
    </row>
    <row r="334" spans="1:61" x14ac:dyDescent="0.45">
      <c r="A334" s="30">
        <f>step3_validation[[#This Row],[Persona_ID]]</f>
        <v>333</v>
      </c>
      <c r="B334" s="31">
        <f>step3_validation[[#This Row],[Used_Seed]]</f>
        <v>12677</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86.95655635314948</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8</v>
      </c>
      <c r="R334" t="str">
        <f t="shared" si="135"/>
        <v>Support</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2</v>
      </c>
      <c r="V334">
        <f>step3_validation[[#This Row],[AI_ENF2]]</f>
        <v>9</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2">
        <f t="shared" si="140"/>
        <v>3</v>
      </c>
      <c r="AA334">
        <f>step3_validation[[#This Row],[AI_FAC1]]</f>
        <v>7</v>
      </c>
      <c r="AB334" t="str">
        <f t="shared" si="141"/>
        <v>Neutral</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1</v>
      </c>
      <c r="AF334">
        <f>step3_validation[[#This Row],[AI_FAC2]]</f>
        <v>8</v>
      </c>
      <c r="AG334" t="str">
        <f t="shared" si="144"/>
        <v>Support</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0</v>
      </c>
      <c r="AK334">
        <f>step3_validation[[#This Row],[AI_TRU1]]</f>
        <v>6</v>
      </c>
      <c r="AL334" t="str">
        <f t="shared" si="147"/>
        <v>Neutral</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0</v>
      </c>
      <c r="AP334">
        <f>step3_validation[[#This Row],[AI_TRU2]]</f>
        <v>7</v>
      </c>
      <c r="AQ334" t="str">
        <f t="shared" si="150"/>
        <v>Neutral</v>
      </c>
      <c r="AR334">
        <f>survey_responses[[#This Row],[Tôi thấy mức thuế tôi phải đóng theo phương án mới là công bằng (người thu nhập như tôi đóng mức này là hợp lý). - HUMAN-TRU2]]</f>
        <v>7</v>
      </c>
      <c r="AS334" t="str">
        <f t="shared" si="151"/>
        <v>Neutral</v>
      </c>
      <c r="AT334" s="32">
        <f t="shared" si="152"/>
        <v>0</v>
      </c>
      <c r="AU334">
        <f>step3_validation[[#This Row],[AI_TRU3]]</f>
        <v>5</v>
      </c>
      <c r="AV334" t="str">
        <f t="shared" si="153"/>
        <v>Neutral</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1</v>
      </c>
      <c r="AZ334">
        <f>step3_validation[[#This Row],[AI_TRU4]]</f>
        <v>6</v>
      </c>
      <c r="BA334" t="str">
        <f t="shared" si="156"/>
        <v>Neutral</v>
      </c>
      <c r="BB334">
        <f>survey_responses[[#This Row],[Tôi thấy Nhà nước đã giải thích rõ ràng, minh bạch về lý do và mục tiêu của việc sửa đổi thuế lần này. - HUMAN-TRU4]]</f>
        <v>7</v>
      </c>
      <c r="BC334" t="str">
        <f t="shared" si="157"/>
        <v>Neutral</v>
      </c>
      <c r="BD334" s="32">
        <f t="shared" si="158"/>
        <v>1</v>
      </c>
      <c r="BE334">
        <f>step3_validation[[#This Row],[AI_OUT1]]</f>
        <v>7</v>
      </c>
      <c r="BF334" t="str">
        <f t="shared" si="159"/>
        <v>Neutral</v>
      </c>
      <c r="BG334">
        <f>survey_responses[[#This Row],[Sau khi xem xét các quyền lợi và nghĩa vụ, bạn có ủng hộ và tuân thủ chính sách mới hiện nay? - HUMAN-OUT1]]</f>
        <v>7</v>
      </c>
      <c r="BH334" t="str">
        <f t="shared" si="160"/>
        <v>Neutral</v>
      </c>
      <c r="BI334" s="32">
        <f t="shared" si="161"/>
        <v>0</v>
      </c>
    </row>
    <row r="335" spans="1:61" x14ac:dyDescent="0.45">
      <c r="A335" s="30">
        <f>step3_validation[[#This Row],[Persona_ID]]</f>
        <v>334</v>
      </c>
      <c r="B335" s="31">
        <f>step3_validation[[#This Row],[Used_Seed]]</f>
        <v>12678</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143.22514320672158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8</v>
      </c>
      <c r="R335" t="str">
        <f t="shared" si="135"/>
        <v>Support</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6</v>
      </c>
      <c r="V335">
        <f>step3_validation[[#This Row],[AI_ENF2]]</f>
        <v>7</v>
      </c>
      <c r="W335" t="str">
        <f t="shared" si="138"/>
        <v>Neutral</v>
      </c>
      <c r="X335">
        <f>survey_responses[[#This Row],[Tôi tin rằng Nhà nước, cơ quan thuế có đủ khả năng và công nghệ để phát hiện, xử lý nghiêm các hành vi trốn thuế. - HUMAN-ENF2]]</f>
        <v>2</v>
      </c>
      <c r="Y335" t="str">
        <f t="shared" si="139"/>
        <v>Oppose</v>
      </c>
      <c r="Z335" s="32">
        <f t="shared" si="140"/>
        <v>5</v>
      </c>
      <c r="AA335">
        <f>step3_validation[[#This Row],[AI_FAC1]]</f>
        <v>9</v>
      </c>
      <c r="AB335" t="str">
        <f t="shared" si="141"/>
        <v>Support</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6</v>
      </c>
      <c r="AF335">
        <f>step3_validation[[#This Row],[AI_FAC2]]</f>
        <v>8</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3</v>
      </c>
      <c r="AK335">
        <f>step3_validation[[#This Row],[AI_TRU1]]</f>
        <v>9</v>
      </c>
      <c r="AL335" t="str">
        <f t="shared" si="147"/>
        <v>Support</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8</v>
      </c>
      <c r="AP335">
        <f>step3_validation[[#This Row],[AI_TRU2]]</f>
        <v>8</v>
      </c>
      <c r="AQ335" t="str">
        <f t="shared" si="150"/>
        <v>Support</v>
      </c>
      <c r="AR335">
        <f>survey_responses[[#This Row],[Tôi thấy mức thuế tôi phải đóng theo phương án mới là công bằng (người thu nhập như tôi đóng mức này là hợp lý). - HUMAN-TRU2]]</f>
        <v>1</v>
      </c>
      <c r="AS335" t="str">
        <f t="shared" si="151"/>
        <v>Oppose</v>
      </c>
      <c r="AT335" s="32">
        <f t="shared" si="152"/>
        <v>7</v>
      </c>
      <c r="AU335">
        <f>step3_validation[[#This Row],[AI_TRU3]]</f>
        <v>9</v>
      </c>
      <c r="AV335" t="str">
        <f t="shared" si="153"/>
        <v>Support</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8</v>
      </c>
      <c r="AZ335">
        <f>step3_validation[[#This Row],[AI_TRU4]]</f>
        <v>7</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2">
        <f t="shared" si="158"/>
        <v>4</v>
      </c>
      <c r="BE335">
        <f>step3_validation[[#This Row],[AI_OUT1]]</f>
        <v>9</v>
      </c>
      <c r="BF335" t="str">
        <f t="shared" si="159"/>
        <v>Support</v>
      </c>
      <c r="BG335">
        <f>survey_responses[[#This Row],[Sau khi xem xét các quyền lợi và nghĩa vụ, bạn có ủng hộ và tuân thủ chính sách mới hiện nay? - HUMAN-OUT1]]</f>
        <v>1</v>
      </c>
      <c r="BH335" t="str">
        <f t="shared" si="160"/>
        <v>Oppose</v>
      </c>
      <c r="BI335" s="32">
        <f t="shared" si="161"/>
        <v>8</v>
      </c>
    </row>
    <row r="336" spans="1:61" x14ac:dyDescent="0.45">
      <c r="A336" s="30">
        <f>step3_validation[[#This Row],[Persona_ID]]</f>
        <v>335</v>
      </c>
      <c r="B336" s="31">
        <f>step3_validation[[#This Row],[Used_Seed]]</f>
        <v>12679</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14.806608746231747</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8</v>
      </c>
      <c r="R336" t="str">
        <f t="shared" si="135"/>
        <v>Support</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1</v>
      </c>
      <c r="V336">
        <f>step3_validation[[#This Row],[AI_ENF2]]</f>
        <v>7</v>
      </c>
      <c r="W336" t="str">
        <f t="shared" si="138"/>
        <v>Neutral</v>
      </c>
      <c r="X336">
        <f>survey_responses[[#This Row],[Tôi tin rằng Nhà nước, cơ quan thuế có đủ khả năng và công nghệ để phát hiện, xử lý nghiêm các hành vi trốn thuế. - HUMAN-ENF2]]</f>
        <v>7</v>
      </c>
      <c r="Y336" t="str">
        <f t="shared" si="139"/>
        <v>Neutral</v>
      </c>
      <c r="Z336" s="32">
        <f t="shared" si="140"/>
        <v>0</v>
      </c>
      <c r="AA336">
        <f>step3_validation[[#This Row],[AI_FAC1]]</f>
        <v>7</v>
      </c>
      <c r="AB336" t="str">
        <f t="shared" si="141"/>
        <v>Neutral</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1</v>
      </c>
      <c r="AF336">
        <f>step3_validation[[#This Row],[AI_FAC2]]</f>
        <v>8</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2</v>
      </c>
      <c r="AK336">
        <f>step3_validation[[#This Row],[AI_TRU1]]</f>
        <v>8</v>
      </c>
      <c r="AL336" t="str">
        <f t="shared" si="147"/>
        <v>Support</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1</v>
      </c>
      <c r="AP336">
        <f>step3_validation[[#This Row],[AI_TRU2]]</f>
        <v>7</v>
      </c>
      <c r="AQ336" t="str">
        <f t="shared" si="150"/>
        <v>Neutral</v>
      </c>
      <c r="AR336">
        <f>survey_responses[[#This Row],[Tôi thấy mức thuế tôi phải đóng theo phương án mới là công bằng (người thu nhập như tôi đóng mức này là hợp lý). - HUMAN-TRU2]]</f>
        <v>10</v>
      </c>
      <c r="AS336" t="str">
        <f t="shared" si="151"/>
        <v>Support</v>
      </c>
      <c r="AT336" s="32">
        <f t="shared" si="152"/>
        <v>3</v>
      </c>
      <c r="AU336">
        <f>step3_validation[[#This Row],[AI_TRU3]]</f>
        <v>0</v>
      </c>
      <c r="AV336" t="str">
        <f t="shared" si="153"/>
        <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8</v>
      </c>
      <c r="AZ336">
        <f>step3_validation[[#This Row],[AI_TRU4]]</f>
        <v>0</v>
      </c>
      <c r="BA336" t="str">
        <f t="shared" si="156"/>
        <v/>
      </c>
      <c r="BB336">
        <f>survey_responses[[#This Row],[Tôi thấy Nhà nước đã giải thích rõ ràng, minh bạch về lý do và mục tiêu của việc sửa đổi thuế lần này. - HUMAN-TRU4]]</f>
        <v>8</v>
      </c>
      <c r="BC336" t="str">
        <f t="shared" si="157"/>
        <v>Support</v>
      </c>
      <c r="BD336" s="32">
        <f t="shared" si="158"/>
        <v>8</v>
      </c>
      <c r="BE336">
        <f>step3_validation[[#This Row],[AI_OUT1]]</f>
        <v>0</v>
      </c>
      <c r="BF336" t="str">
        <f t="shared" si="159"/>
        <v/>
      </c>
      <c r="BG336">
        <f>survey_responses[[#This Row],[Sau khi xem xét các quyền lợi và nghĩa vụ, bạn có ủng hộ và tuân thủ chính sách mới hiện nay? - HUMAN-OUT1]]</f>
        <v>10</v>
      </c>
      <c r="BH336" t="str">
        <f t="shared" si="160"/>
        <v>Support</v>
      </c>
      <c r="BI336" s="32">
        <f t="shared" si="161"/>
        <v>10</v>
      </c>
    </row>
    <row r="337" spans="1:61" x14ac:dyDescent="0.45">
      <c r="A337" s="30">
        <f>step3_validation[[#This Row],[Persona_ID]]</f>
        <v>336</v>
      </c>
      <c r="B337" s="31">
        <f>step3_validation[[#This Row],[Used_Seed]]</f>
        <v>12680</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20.793069406099796</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7</v>
      </c>
      <c r="R337" t="str">
        <f t="shared" si="135"/>
        <v>Neutral</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3</v>
      </c>
      <c r="V337">
        <f>step3_validation[[#This Row],[AI_ENF2]]</f>
        <v>8</v>
      </c>
      <c r="W337" t="str">
        <f t="shared" si="138"/>
        <v>Support</v>
      </c>
      <c r="X337">
        <f>survey_responses[[#This Row],[Tôi tin rằng Nhà nước, cơ quan thuế có đủ khả năng và công nghệ để phát hiện, xử lý nghiêm các hành vi trốn thuế. - HUMAN-ENF2]]</f>
        <v>5</v>
      </c>
      <c r="Y337" t="str">
        <f t="shared" si="139"/>
        <v>Neutral</v>
      </c>
      <c r="Z337" s="32">
        <f t="shared" si="140"/>
        <v>3</v>
      </c>
      <c r="AA337">
        <f>step3_validation[[#This Row],[AI_FAC1]]</f>
        <v>6</v>
      </c>
      <c r="AB337" t="str">
        <f t="shared" si="141"/>
        <v>Neutral</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1</v>
      </c>
      <c r="AF337">
        <f>step3_validation[[#This Row],[AI_FAC2]]</f>
        <v>9</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3</v>
      </c>
      <c r="AK337">
        <f>step3_validation[[#This Row],[AI_TRU1]]</f>
        <v>8</v>
      </c>
      <c r="AL337" t="str">
        <f t="shared" si="147"/>
        <v>Support</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3</v>
      </c>
      <c r="AP337">
        <f>step3_validation[[#This Row],[AI_TRU2]]</f>
        <v>7</v>
      </c>
      <c r="AQ337" t="str">
        <f t="shared" si="150"/>
        <v>Neutral</v>
      </c>
      <c r="AR337">
        <f>survey_responses[[#This Row],[Tôi thấy mức thuế tôi phải đóng theo phương án mới là công bằng (người thu nhập như tôi đóng mức này là hợp lý). - HUMAN-TRU2]]</f>
        <v>6</v>
      </c>
      <c r="AS337" t="str">
        <f t="shared" si="151"/>
        <v>Neutral</v>
      </c>
      <c r="AT337" s="32">
        <f t="shared" si="152"/>
        <v>1</v>
      </c>
      <c r="AU337">
        <f>step3_validation[[#This Row],[AI_TRU3]]</f>
        <v>6</v>
      </c>
      <c r="AV337" t="str">
        <f t="shared" si="153"/>
        <v>Neutral</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1</v>
      </c>
      <c r="AZ337">
        <f>step3_validation[[#This Row],[AI_TRU4]]</f>
        <v>8</v>
      </c>
      <c r="BA337" t="str">
        <f t="shared" si="156"/>
        <v>Support</v>
      </c>
      <c r="BB337">
        <f>survey_responses[[#This Row],[Tôi thấy Nhà nước đã giải thích rõ ràng, minh bạch về lý do và mục tiêu của việc sửa đổi thuế lần này. - HUMAN-TRU4]]</f>
        <v>5</v>
      </c>
      <c r="BC337" t="str">
        <f t="shared" si="157"/>
        <v>Neutral</v>
      </c>
      <c r="BD337" s="32">
        <f t="shared" si="158"/>
        <v>3</v>
      </c>
      <c r="BE337">
        <f>step3_validation[[#This Row],[AI_OUT1]]</f>
        <v>5</v>
      </c>
      <c r="BF337" t="str">
        <f t="shared" si="159"/>
        <v>Neutral</v>
      </c>
      <c r="BG337">
        <f>survey_responses[[#This Row],[Sau khi xem xét các quyền lợi và nghĩa vụ, bạn có ủng hộ và tuân thủ chính sách mới hiện nay? - HUMAN-OUT1]]</f>
        <v>6</v>
      </c>
      <c r="BH337" t="str">
        <f t="shared" si="160"/>
        <v>Neutral</v>
      </c>
      <c r="BI337" s="32">
        <f t="shared" si="161"/>
        <v>1</v>
      </c>
    </row>
    <row r="338" spans="1:61" x14ac:dyDescent="0.45">
      <c r="A338" s="30">
        <f>step3_validation[[#This Row],[Persona_ID]]</f>
        <v>337</v>
      </c>
      <c r="B338" s="31">
        <f>step3_validation[[#This Row],[Used_Seed]]</f>
        <v>12681</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26.515504121593221</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7</v>
      </c>
      <c r="R338" t="str">
        <f t="shared" si="135"/>
        <v>Neutral</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0</v>
      </c>
      <c r="V338">
        <f>step3_validation[[#This Row],[AI_ENF2]]</f>
        <v>8</v>
      </c>
      <c r="W338" t="str">
        <f t="shared" si="138"/>
        <v>Support</v>
      </c>
      <c r="X338">
        <f>survey_responses[[#This Row],[Tôi tin rằng Nhà nước, cơ quan thuế có đủ khả năng và công nghệ để phát hiện, xử lý nghiêm các hành vi trốn thuế. - HUMAN-ENF2]]</f>
        <v>8</v>
      </c>
      <c r="Y338" t="str">
        <f t="shared" si="139"/>
        <v>Support</v>
      </c>
      <c r="Z338" s="32">
        <f t="shared" si="140"/>
        <v>0</v>
      </c>
      <c r="AA338">
        <f>step3_validation[[#This Row],[AI_FAC1]]</f>
        <v>9</v>
      </c>
      <c r="AB338" t="str">
        <f t="shared" si="141"/>
        <v>Support</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2</v>
      </c>
      <c r="AF338">
        <f>step3_validation[[#This Row],[AI_FAC2]]</f>
        <v>8</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1</v>
      </c>
      <c r="AK338">
        <f>step3_validation[[#This Row],[AI_TRU1]]</f>
        <v>8</v>
      </c>
      <c r="AL338" t="str">
        <f t="shared" si="147"/>
        <v>Support</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2</v>
      </c>
      <c r="AP338">
        <f>step3_validation[[#This Row],[AI_TRU2]]</f>
        <v>9</v>
      </c>
      <c r="AQ338" t="str">
        <f t="shared" si="150"/>
        <v>Support</v>
      </c>
      <c r="AR338">
        <f>survey_responses[[#This Row],[Tôi thấy mức thuế tôi phải đóng theo phương án mới là công bằng (người thu nhập như tôi đóng mức này là hợp lý). - HUMAN-TRU2]]</f>
        <v>8</v>
      </c>
      <c r="AS338" t="str">
        <f t="shared" si="151"/>
        <v>Support</v>
      </c>
      <c r="AT338" s="32">
        <f t="shared" si="152"/>
        <v>1</v>
      </c>
      <c r="AU338">
        <f>step3_validation[[#This Row],[AI_TRU3]]</f>
        <v>8</v>
      </c>
      <c r="AV338" t="str">
        <f t="shared" si="153"/>
        <v>Support</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2</v>
      </c>
      <c r="AZ338">
        <f>step3_validation[[#This Row],[AI_TRU4]]</f>
        <v>7</v>
      </c>
      <c r="BA338" t="str">
        <f t="shared" si="156"/>
        <v>Neutral</v>
      </c>
      <c r="BB338">
        <f>survey_responses[[#This Row],[Tôi thấy Nhà nước đã giải thích rõ ràng, minh bạch về lý do và mục tiêu của việc sửa đổi thuế lần này. - HUMAN-TRU4]]</f>
        <v>8</v>
      </c>
      <c r="BC338" t="str">
        <f t="shared" si="157"/>
        <v>Support</v>
      </c>
      <c r="BD338" s="32">
        <f t="shared" si="158"/>
        <v>1</v>
      </c>
      <c r="BE338">
        <f>step3_validation[[#This Row],[AI_OUT1]]</f>
        <v>8</v>
      </c>
      <c r="BF338" t="str">
        <f t="shared" si="159"/>
        <v>Support</v>
      </c>
      <c r="BG338">
        <f>survey_responses[[#This Row],[Sau khi xem xét các quyền lợi và nghĩa vụ, bạn có ủng hộ và tuân thủ chính sách mới hiện nay? - HUMAN-OUT1]]</f>
        <v>8</v>
      </c>
      <c r="BH338" t="str">
        <f t="shared" si="160"/>
        <v>Support</v>
      </c>
      <c r="BI338" s="32">
        <f t="shared" si="161"/>
        <v>0</v>
      </c>
    </row>
    <row r="339" spans="1:61" x14ac:dyDescent="0.45">
      <c r="A339" s="30">
        <f>step3_validation[[#This Row],[Persona_ID]]</f>
        <v>338</v>
      </c>
      <c r="B339" s="31">
        <f>step3_validation[[#This Row],[Used_Seed]]</f>
        <v>12682</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13.586592018886273</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1</v>
      </c>
      <c r="V339">
        <f>step3_validation[[#This Row],[AI_ENF2]]</f>
        <v>8</v>
      </c>
      <c r="W339" t="str">
        <f t="shared" si="138"/>
        <v>Support</v>
      </c>
      <c r="X339">
        <f>survey_responses[[#This Row],[Tôi tin rằng Nhà nước, cơ quan thuế có đủ khả năng và công nghệ để phát hiện, xử lý nghiêm các hành vi trốn thuế. - HUMAN-ENF2]]</f>
        <v>8</v>
      </c>
      <c r="Y339" t="str">
        <f t="shared" si="139"/>
        <v>Support</v>
      </c>
      <c r="Z339" s="32">
        <f t="shared" si="140"/>
        <v>0</v>
      </c>
      <c r="AA339">
        <f>step3_validation[[#This Row],[AI_FAC1]]</f>
        <v>9</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0</v>
      </c>
      <c r="AF339">
        <f>step3_validation[[#This Row],[AI_FAC2]]</f>
        <v>8</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1</v>
      </c>
      <c r="AK339">
        <f>step3_validation[[#This Row],[AI_TRU1]]</f>
        <v>7</v>
      </c>
      <c r="AL339" t="str">
        <f t="shared" si="147"/>
        <v>Neutral</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1</v>
      </c>
      <c r="AP339">
        <f>step3_validation[[#This Row],[AI_TRU2]]</f>
        <v>6</v>
      </c>
      <c r="AQ339" t="str">
        <f t="shared" si="150"/>
        <v>Neutral</v>
      </c>
      <c r="AR339">
        <f>survey_responses[[#This Row],[Tôi thấy mức thuế tôi phải đóng theo phương án mới là công bằng (người thu nhập như tôi đóng mức này là hợp lý). - HUMAN-TRU2]]</f>
        <v>9</v>
      </c>
      <c r="AS339" t="str">
        <f t="shared" si="151"/>
        <v>Support</v>
      </c>
      <c r="AT339" s="32">
        <f t="shared" si="152"/>
        <v>3</v>
      </c>
      <c r="AU339">
        <f>step3_validation[[#This Row],[AI_TRU3]]</f>
        <v>7</v>
      </c>
      <c r="AV339" t="str">
        <f t="shared" si="153"/>
        <v>Neutral</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3</v>
      </c>
      <c r="AZ339">
        <f>step3_validation[[#This Row],[AI_TRU4]]</f>
        <v>6</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3</v>
      </c>
      <c r="BE339">
        <f>step3_validation[[#This Row],[AI_OUT1]]</f>
        <v>7</v>
      </c>
      <c r="BF339" t="str">
        <f t="shared" si="159"/>
        <v>Neutral</v>
      </c>
      <c r="BG339">
        <f>survey_responses[[#This Row],[Sau khi xem xét các quyền lợi và nghĩa vụ, bạn có ủng hộ và tuân thủ chính sách mới hiện nay? - HUMAN-OUT1]]</f>
        <v>10</v>
      </c>
      <c r="BH339" t="str">
        <f t="shared" si="160"/>
        <v>Support</v>
      </c>
      <c r="BI339" s="32">
        <f t="shared" si="161"/>
        <v>3</v>
      </c>
    </row>
    <row r="340" spans="1:61" x14ac:dyDescent="0.45">
      <c r="A340" s="30">
        <f>step3_validation[[#This Row],[Persona_ID]]</f>
        <v>339</v>
      </c>
      <c r="B340" s="31">
        <f>step3_validation[[#This Row],[Used_Seed]]</f>
        <v>12683</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14.936353682077161</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8</v>
      </c>
      <c r="R340" t="str">
        <f t="shared" si="135"/>
        <v>Support</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1</v>
      </c>
      <c r="V340">
        <f>step3_validation[[#This Row],[AI_ENF2]]</f>
        <v>7</v>
      </c>
      <c r="W340" t="str">
        <f t="shared" si="138"/>
        <v>Neutral</v>
      </c>
      <c r="X340">
        <f>survey_responses[[#This Row],[Tôi tin rằng Nhà nước, cơ quan thuế có đủ khả năng và công nghệ để phát hiện, xử lý nghiêm các hành vi trốn thuế. - HUMAN-ENF2]]</f>
        <v>7</v>
      </c>
      <c r="Y340" t="str">
        <f t="shared" si="139"/>
        <v>Neutral</v>
      </c>
      <c r="Z340" s="32">
        <f t="shared" si="140"/>
        <v>0</v>
      </c>
      <c r="AA340">
        <f>step3_validation[[#This Row],[AI_FAC1]]</f>
        <v>9</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1</v>
      </c>
      <c r="AF340">
        <f>step3_validation[[#This Row],[AI_FAC2]]</f>
        <v>8</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0</v>
      </c>
      <c r="AK340">
        <f>step3_validation[[#This Row],[AI_TRU1]]</f>
        <v>6</v>
      </c>
      <c r="AL340" t="str">
        <f t="shared" si="147"/>
        <v>Neutral</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0</v>
      </c>
      <c r="AP340">
        <f>step3_validation[[#This Row],[AI_TRU2]]</f>
        <v>7</v>
      </c>
      <c r="AQ340" t="str">
        <f t="shared" si="150"/>
        <v>Neutral</v>
      </c>
      <c r="AR340">
        <f>survey_responses[[#This Row],[Tôi thấy mức thuế tôi phải đóng theo phương án mới là công bằng (người thu nhập như tôi đóng mức này là hợp lý). - HUMAN-TRU2]]</f>
        <v>7</v>
      </c>
      <c r="AS340" t="str">
        <f t="shared" si="151"/>
        <v>Neutral</v>
      </c>
      <c r="AT340" s="32">
        <f t="shared" si="152"/>
        <v>0</v>
      </c>
      <c r="AU340">
        <f>step3_validation[[#This Row],[AI_TRU3]]</f>
        <v>6</v>
      </c>
      <c r="AV340" t="str">
        <f t="shared" si="153"/>
        <v>Neutral</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0</v>
      </c>
      <c r="AZ340">
        <f>step3_validation[[#This Row],[AI_TRU4]]</f>
        <v>7</v>
      </c>
      <c r="BA340" t="str">
        <f t="shared" si="156"/>
        <v>Neutral</v>
      </c>
      <c r="BB340">
        <f>survey_responses[[#This Row],[Tôi thấy Nhà nước đã giải thích rõ ràng, minh bạch về lý do và mục tiêu của việc sửa đổi thuế lần này. - HUMAN-TRU4]]</f>
        <v>6</v>
      </c>
      <c r="BC340" t="str">
        <f t="shared" si="157"/>
        <v>Neutral</v>
      </c>
      <c r="BD340" s="32">
        <f t="shared" si="158"/>
        <v>1</v>
      </c>
      <c r="BE340">
        <f>step3_validation[[#This Row],[AI_OUT1]]</f>
        <v>7</v>
      </c>
      <c r="BF340" t="str">
        <f t="shared" si="159"/>
        <v>Neutral</v>
      </c>
      <c r="BG340">
        <f>survey_responses[[#This Row],[Sau khi xem xét các quyền lợi và nghĩa vụ, bạn có ủng hộ và tuân thủ chính sách mới hiện nay? - HUMAN-OUT1]]</f>
        <v>7</v>
      </c>
      <c r="BH340" t="str">
        <f t="shared" si="160"/>
        <v>Neutral</v>
      </c>
      <c r="BI340" s="32">
        <f t="shared" si="161"/>
        <v>0</v>
      </c>
    </row>
    <row r="341" spans="1:61" x14ac:dyDescent="0.45">
      <c r="A341" s="30">
        <f>step3_validation[[#This Row],[Persona_ID]]</f>
        <v>340</v>
      </c>
      <c r="B341" s="31">
        <f>step3_validation[[#This Row],[Used_Seed]]</f>
        <v>12684</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16.718147872687155</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t="str">
        <f t="shared" si="135"/>
        <v>Neutral</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0</v>
      </c>
      <c r="V341">
        <f>step3_validation[[#This Row],[AI_ENF2]]</f>
        <v>8</v>
      </c>
      <c r="W341" t="str">
        <f t="shared" si="138"/>
        <v>Support</v>
      </c>
      <c r="X341">
        <f>survey_responses[[#This Row],[Tôi tin rằng Nhà nước, cơ quan thuế có đủ khả năng và công nghệ để phát hiện, xử lý nghiêm các hành vi trốn thuế. - HUMAN-ENF2]]</f>
        <v>8</v>
      </c>
      <c r="Y341" t="str">
        <f t="shared" si="139"/>
        <v>Support</v>
      </c>
      <c r="Z341" s="32">
        <f t="shared" si="140"/>
        <v>0</v>
      </c>
      <c r="AA341">
        <f>step3_validation[[#This Row],[AI_FAC1]]</f>
        <v>6</v>
      </c>
      <c r="AB341" t="str">
        <f t="shared" si="141"/>
        <v>Neutral</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2</v>
      </c>
      <c r="AF341">
        <f>step3_validation[[#This Row],[AI_FAC2]]</f>
        <v>7</v>
      </c>
      <c r="AG341" t="str">
        <f t="shared" si="144"/>
        <v>Neutral</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1</v>
      </c>
      <c r="AK341">
        <f>step3_validation[[#This Row],[AI_TRU1]]</f>
        <v>8</v>
      </c>
      <c r="AL341" t="str">
        <f t="shared" si="147"/>
        <v>Support</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3</v>
      </c>
      <c r="AP341">
        <f>step3_validation[[#This Row],[AI_TRU2]]</f>
        <v>7</v>
      </c>
      <c r="AQ341" t="str">
        <f t="shared" si="150"/>
        <v>Neutral</v>
      </c>
      <c r="AR341">
        <f>survey_responses[[#This Row],[Tôi thấy mức thuế tôi phải đóng theo phương án mới là công bằng (người thu nhập như tôi đóng mức này là hợp lý). - HUMAN-TRU2]]</f>
        <v>8</v>
      </c>
      <c r="AS341" t="str">
        <f t="shared" si="151"/>
        <v>Support</v>
      </c>
      <c r="AT341" s="32">
        <f t="shared" si="152"/>
        <v>1</v>
      </c>
      <c r="AU341">
        <f>step3_validation[[#This Row],[AI_TRU3]]</f>
        <v>7</v>
      </c>
      <c r="AV341" t="str">
        <f t="shared" si="153"/>
        <v>Neutral</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2</v>
      </c>
      <c r="AZ341">
        <f>step3_validation[[#This Row],[AI_TRU4]]</f>
        <v>6</v>
      </c>
      <c r="BA341" t="str">
        <f t="shared" si="156"/>
        <v>Neutral</v>
      </c>
      <c r="BB341">
        <f>survey_responses[[#This Row],[Tôi thấy Nhà nước đã giải thích rõ ràng, minh bạch về lý do và mục tiêu của việc sửa đổi thuế lần này. - HUMAN-TRU4]]</f>
        <v>8</v>
      </c>
      <c r="BC341" t="str">
        <f t="shared" si="157"/>
        <v>Support</v>
      </c>
      <c r="BD341" s="32">
        <f t="shared" si="158"/>
        <v>2</v>
      </c>
      <c r="BE341">
        <f>step3_validation[[#This Row],[AI_OUT1]]</f>
        <v>8</v>
      </c>
      <c r="BF341" t="str">
        <f t="shared" si="159"/>
        <v>Support</v>
      </c>
      <c r="BG341">
        <f>survey_responses[[#This Row],[Sau khi xem xét các quyền lợi và nghĩa vụ, bạn có ủng hộ và tuân thủ chính sách mới hiện nay? - HUMAN-OUT1]]</f>
        <v>8</v>
      </c>
      <c r="BH341" t="str">
        <f t="shared" si="160"/>
        <v>Support</v>
      </c>
      <c r="BI341" s="32">
        <f t="shared" si="161"/>
        <v>0</v>
      </c>
    </row>
    <row r="342" spans="1:61" x14ac:dyDescent="0.45">
      <c r="A342" s="30">
        <f>step3_validation[[#This Row],[Persona_ID]]</f>
        <v>341</v>
      </c>
      <c r="B342" s="31">
        <f>step3_validation[[#This Row],[Used_Seed]]</f>
        <v>12685</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7</v>
      </c>
      <c r="R342" t="str">
        <f t="shared" si="135"/>
        <v>Neutral</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1</v>
      </c>
      <c r="V342">
        <f>step3_validation[[#This Row],[AI_ENF2]]</f>
        <v>8</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2">
        <f t="shared" si="140"/>
        <v>0</v>
      </c>
      <c r="AA342">
        <f>step3_validation[[#This Row],[AI_FAC1]]</f>
        <v>6</v>
      </c>
      <c r="AB342" t="str">
        <f t="shared" si="141"/>
        <v>Neutral</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2</v>
      </c>
      <c r="AF342">
        <f>step3_validation[[#This Row],[AI_FAC2]]</f>
        <v>9</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0</v>
      </c>
      <c r="AK342">
        <f>step3_validation[[#This Row],[AI_TRU1]]</f>
        <v>5</v>
      </c>
      <c r="AL342" t="str">
        <f t="shared" si="147"/>
        <v>Neutral</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3</v>
      </c>
      <c r="AP342">
        <f>step3_validation[[#This Row],[AI_TRU2]]</f>
        <v>7</v>
      </c>
      <c r="AQ342" t="str">
        <f t="shared" si="150"/>
        <v>Neutral</v>
      </c>
      <c r="AR342">
        <f>survey_responses[[#This Row],[Tôi thấy mức thuế tôi phải đóng theo phương án mới là công bằng (người thu nhập như tôi đóng mức này là hợp lý). - HUMAN-TRU2]]</f>
        <v>8</v>
      </c>
      <c r="AS342" t="str">
        <f t="shared" si="151"/>
        <v>Support</v>
      </c>
      <c r="AT342" s="32">
        <f t="shared" si="152"/>
        <v>1</v>
      </c>
      <c r="AU342">
        <f>step3_validation[[#This Row],[AI_TRU3]]</f>
        <v>6</v>
      </c>
      <c r="AV342" t="str">
        <f t="shared" si="153"/>
        <v>Neutral</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1</v>
      </c>
      <c r="AZ342">
        <f>step3_validation[[#This Row],[AI_TRU4]]</f>
        <v>7</v>
      </c>
      <c r="BA342" t="str">
        <f t="shared" si="156"/>
        <v>Neutral</v>
      </c>
      <c r="BB342">
        <f>survey_responses[[#This Row],[Tôi thấy Nhà nước đã giải thích rõ ràng, minh bạch về lý do và mục tiêu của việc sửa đổi thuế lần này. - HUMAN-TRU4]]</f>
        <v>7</v>
      </c>
      <c r="BC342" t="str">
        <f t="shared" si="157"/>
        <v>Neutral</v>
      </c>
      <c r="BD342" s="32">
        <f t="shared" si="158"/>
        <v>0</v>
      </c>
      <c r="BE342">
        <f>step3_validation[[#This Row],[AI_OUT1]]</f>
        <v>6</v>
      </c>
      <c r="BF342" t="str">
        <f t="shared" si="159"/>
        <v>Neutral</v>
      </c>
      <c r="BG342">
        <f>survey_responses[[#This Row],[Sau khi xem xét các quyền lợi và nghĩa vụ, bạn có ủng hộ và tuân thủ chính sách mới hiện nay? - HUMAN-OUT1]]</f>
        <v>8</v>
      </c>
      <c r="BH342" t="str">
        <f t="shared" si="160"/>
        <v>Support</v>
      </c>
      <c r="BI342" s="32">
        <f t="shared" si="161"/>
        <v>2</v>
      </c>
    </row>
    <row r="343" spans="1:61" x14ac:dyDescent="0.45">
      <c r="A343" s="30">
        <f>step3_validation[[#This Row],[Persona_ID]]</f>
        <v>342</v>
      </c>
      <c r="B343" s="31">
        <f>step3_validation[[#This Row],[Used_Seed]]</f>
        <v>12686</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2</v>
      </c>
      <c r="V343">
        <f>step3_validation[[#This Row],[AI_ENF2]]</f>
        <v>8</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2">
        <f t="shared" si="140"/>
        <v>3</v>
      </c>
      <c r="AA343">
        <f>step3_validation[[#This Row],[AI_FAC1]]</f>
        <v>6</v>
      </c>
      <c r="AB343" t="str">
        <f t="shared" si="141"/>
        <v>Neutral</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0</v>
      </c>
      <c r="AF343">
        <f>step3_validation[[#This Row],[AI_FAC2]]</f>
        <v>8</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1</v>
      </c>
      <c r="AK343">
        <f>step3_validation[[#This Row],[AI_TRU1]]</f>
        <v>7</v>
      </c>
      <c r="AL343" t="str">
        <f t="shared" si="147"/>
        <v>Neutral</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2</v>
      </c>
      <c r="AP343">
        <f>step3_validation[[#This Row],[AI_TRU2]]</f>
        <v>6</v>
      </c>
      <c r="AQ343" t="str">
        <f t="shared" si="150"/>
        <v>Neutral</v>
      </c>
      <c r="AR343">
        <f>survey_responses[[#This Row],[Tôi thấy mức thuế tôi phải đóng theo phương án mới là công bằng (người thu nhập như tôi đóng mức này là hợp lý). - HUMAN-TRU2]]</f>
        <v>8</v>
      </c>
      <c r="AS343" t="str">
        <f t="shared" si="151"/>
        <v>Support</v>
      </c>
      <c r="AT343" s="32">
        <f t="shared" si="152"/>
        <v>2</v>
      </c>
      <c r="AU343">
        <f>step3_validation[[#This Row],[AI_TRU3]]</f>
        <v>7</v>
      </c>
      <c r="AV343" t="str">
        <f t="shared" si="153"/>
        <v>Neutral</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1</v>
      </c>
      <c r="AZ343">
        <f>step3_validation[[#This Row],[AI_TRU4]]</f>
        <v>5</v>
      </c>
      <c r="BA343" t="str">
        <f t="shared" si="156"/>
        <v>Neutral</v>
      </c>
      <c r="BB343">
        <f>survey_responses[[#This Row],[Tôi thấy Nhà nước đã giải thích rõ ràng, minh bạch về lý do và mục tiêu của việc sửa đổi thuế lần này. - HUMAN-TRU4]]</f>
        <v>6</v>
      </c>
      <c r="BC343" t="str">
        <f t="shared" si="157"/>
        <v>Neutral</v>
      </c>
      <c r="BD343" s="32">
        <f t="shared" si="158"/>
        <v>1</v>
      </c>
      <c r="BE343">
        <f>step3_validation[[#This Row],[AI_OUT1]]</f>
        <v>6</v>
      </c>
      <c r="BF343" t="str">
        <f t="shared" si="159"/>
        <v>Neutral</v>
      </c>
      <c r="BG343">
        <f>survey_responses[[#This Row],[Sau khi xem xét các quyền lợi và nghĩa vụ, bạn có ủng hộ và tuân thủ chính sách mới hiện nay? - HUMAN-OUT1]]</f>
        <v>7</v>
      </c>
      <c r="BH343" t="str">
        <f t="shared" si="160"/>
        <v>Neutral</v>
      </c>
      <c r="BI343" s="32">
        <f t="shared" si="161"/>
        <v>1</v>
      </c>
    </row>
    <row r="344" spans="1:61" x14ac:dyDescent="0.45">
      <c r="A344" s="30">
        <f>step3_validation[[#This Row],[Persona_ID]]</f>
        <v>343</v>
      </c>
      <c r="B344" s="31">
        <f>step3_validation[[#This Row],[Used_Seed]]</f>
        <v>12687</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15.381319407352597</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9</v>
      </c>
      <c r="R344" t="str">
        <f t="shared" si="135"/>
        <v>Support</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2</v>
      </c>
      <c r="V344">
        <f>step3_validation[[#This Row],[AI_ENF2]]</f>
        <v>8</v>
      </c>
      <c r="W344" t="str">
        <f t="shared" si="138"/>
        <v>Support</v>
      </c>
      <c r="X344">
        <f>survey_responses[[#This Row],[Tôi tin rằng Nhà nước, cơ quan thuế có đủ khả năng và công nghệ để phát hiện, xử lý nghiêm các hành vi trốn thuế. - HUMAN-ENF2]]</f>
        <v>7</v>
      </c>
      <c r="Y344" t="str">
        <f t="shared" si="139"/>
        <v>Neutral</v>
      </c>
      <c r="Z344" s="32">
        <f t="shared" si="140"/>
        <v>1</v>
      </c>
      <c r="AA344">
        <f>step3_validation[[#This Row],[AI_FAC1]]</f>
        <v>9</v>
      </c>
      <c r="AB344" t="str">
        <f t="shared" si="141"/>
        <v>Support</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1</v>
      </c>
      <c r="AF344">
        <f>step3_validation[[#This Row],[AI_FAC2]]</f>
        <v>8</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1</v>
      </c>
      <c r="AK344">
        <f>step3_validation[[#This Row],[AI_TRU1]]</f>
        <v>9</v>
      </c>
      <c r="AL344" t="str">
        <f t="shared" si="147"/>
        <v>Support</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1</v>
      </c>
      <c r="AP344">
        <f>step3_validation[[#This Row],[AI_TRU2]]</f>
        <v>7</v>
      </c>
      <c r="AQ344" t="str">
        <f t="shared" si="150"/>
        <v>Neutral</v>
      </c>
      <c r="AR344">
        <f>survey_responses[[#This Row],[Tôi thấy mức thuế tôi phải đóng theo phương án mới là công bằng (người thu nhập như tôi đóng mức này là hợp lý). - HUMAN-TRU2]]</f>
        <v>8</v>
      </c>
      <c r="AS344" t="str">
        <f t="shared" si="151"/>
        <v>Support</v>
      </c>
      <c r="AT344" s="32">
        <f t="shared" si="152"/>
        <v>1</v>
      </c>
      <c r="AU344">
        <f>step3_validation[[#This Row],[AI_TRU3]]</f>
        <v>8</v>
      </c>
      <c r="AV344" t="str">
        <f t="shared" si="153"/>
        <v>Support</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0</v>
      </c>
      <c r="AZ344">
        <f>step3_validation[[#This Row],[AI_TRU4]]</f>
        <v>7</v>
      </c>
      <c r="BA344" t="str">
        <f t="shared" si="156"/>
        <v>Neutral</v>
      </c>
      <c r="BB344">
        <f>survey_responses[[#This Row],[Tôi thấy Nhà nước đã giải thích rõ ràng, minh bạch về lý do và mục tiêu của việc sửa đổi thuế lần này. - HUMAN-TRU4]]</f>
        <v>7</v>
      </c>
      <c r="BC344" t="str">
        <f t="shared" si="157"/>
        <v>Neutral</v>
      </c>
      <c r="BD344" s="32">
        <f t="shared" si="158"/>
        <v>0</v>
      </c>
      <c r="BE344">
        <f>step3_validation[[#This Row],[AI_OUT1]]</f>
        <v>8</v>
      </c>
      <c r="BF344" t="str">
        <f t="shared" si="159"/>
        <v>Support</v>
      </c>
      <c r="BG344">
        <f>survey_responses[[#This Row],[Sau khi xem xét các quyền lợi và nghĩa vụ, bạn có ủng hộ và tuân thủ chính sách mới hiện nay? - HUMAN-OUT1]]</f>
        <v>8</v>
      </c>
      <c r="BH344" t="str">
        <f t="shared" si="160"/>
        <v>Support</v>
      </c>
      <c r="BI344" s="32">
        <f t="shared" si="161"/>
        <v>0</v>
      </c>
    </row>
    <row r="345" spans="1:61" x14ac:dyDescent="0.45">
      <c r="A345" s="30">
        <f>step3_validation[[#This Row],[Persona_ID]]</f>
        <v>344</v>
      </c>
      <c r="B345" s="31">
        <f>step3_validation[[#This Row],[Used_Seed]]</f>
        <v>12688</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67.320076132262471</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7</v>
      </c>
      <c r="R345" t="str">
        <f t="shared" si="135"/>
        <v>Neutral</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0</v>
      </c>
      <c r="V345">
        <f>step3_validation[[#This Row],[AI_ENF2]]</f>
        <v>8</v>
      </c>
      <c r="W345" t="str">
        <f t="shared" si="138"/>
        <v>Support</v>
      </c>
      <c r="X345">
        <f>survey_responses[[#This Row],[Tôi tin rằng Nhà nước, cơ quan thuế có đủ khả năng và công nghệ để phát hiện, xử lý nghiêm các hành vi trốn thuế. - HUMAN-ENF2]]</f>
        <v>7</v>
      </c>
      <c r="Y345" t="str">
        <f t="shared" si="139"/>
        <v>Neutral</v>
      </c>
      <c r="Z345" s="32">
        <f t="shared" si="140"/>
        <v>1</v>
      </c>
      <c r="AA345">
        <f>step3_validation[[#This Row],[AI_FAC1]]</f>
        <v>9</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4</v>
      </c>
      <c r="AF345">
        <f>step3_validation[[#This Row],[AI_FAC2]]</f>
        <v>8</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0</v>
      </c>
      <c r="AK345">
        <f>step3_validation[[#This Row],[AI_TRU1]]</f>
        <v>7</v>
      </c>
      <c r="AL345" t="str">
        <f t="shared" si="147"/>
        <v>Neutral</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1</v>
      </c>
      <c r="AP345">
        <f>step3_validation[[#This Row],[AI_TRU2]]</f>
        <v>6</v>
      </c>
      <c r="AQ345" t="str">
        <f t="shared" si="150"/>
        <v>Neutral</v>
      </c>
      <c r="AR345">
        <f>survey_responses[[#This Row],[Tôi thấy mức thuế tôi phải đóng theo phương án mới là công bằng (người thu nhập như tôi đóng mức này là hợp lý). - HUMAN-TRU2]]</f>
        <v>5</v>
      </c>
      <c r="AS345" t="str">
        <f t="shared" si="151"/>
        <v>Neutral</v>
      </c>
      <c r="AT345" s="32">
        <f t="shared" si="152"/>
        <v>1</v>
      </c>
      <c r="AU345">
        <f>step3_validation[[#This Row],[AI_TRU3]]</f>
        <v>6</v>
      </c>
      <c r="AV345" t="str">
        <f t="shared" si="153"/>
        <v>Neutral</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1</v>
      </c>
      <c r="AZ345">
        <f>step3_validation[[#This Row],[AI_TRU4]]</f>
        <v>5</v>
      </c>
      <c r="BA345" t="str">
        <f t="shared" si="156"/>
        <v>Neutral</v>
      </c>
      <c r="BB345">
        <f>survey_responses[[#This Row],[Tôi thấy Nhà nước đã giải thích rõ ràng, minh bạch về lý do và mục tiêu của việc sửa đổi thuế lần này. - HUMAN-TRU4]]</f>
        <v>6</v>
      </c>
      <c r="BC345" t="str">
        <f t="shared" si="157"/>
        <v>Neutral</v>
      </c>
      <c r="BD345" s="32">
        <f t="shared" si="158"/>
        <v>1</v>
      </c>
      <c r="BE345">
        <f>step3_validation[[#This Row],[AI_OUT1]]</f>
        <v>6</v>
      </c>
      <c r="BF345" t="str">
        <f t="shared" si="159"/>
        <v>Neutral</v>
      </c>
      <c r="BG345">
        <f>survey_responses[[#This Row],[Sau khi xem xét các quyền lợi và nghĩa vụ, bạn có ủng hộ và tuân thủ chính sách mới hiện nay? - HUMAN-OUT1]]</f>
        <v>5</v>
      </c>
      <c r="BH345" t="str">
        <f t="shared" si="160"/>
        <v>Neutral</v>
      </c>
      <c r="BI345" s="32">
        <f t="shared" si="161"/>
        <v>1</v>
      </c>
    </row>
    <row r="346" spans="1:61" x14ac:dyDescent="0.45">
      <c r="A346" s="30">
        <f>step3_validation[[#This Row],[Persona_ID]]</f>
        <v>345</v>
      </c>
      <c r="B346" s="31">
        <f>step3_validation[[#This Row],[Used_Seed]]</f>
        <v>12689</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12.069918907792498</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8</v>
      </c>
      <c r="R346" t="str">
        <f t="shared" si="135"/>
        <v>Support</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1</v>
      </c>
      <c r="V346">
        <f>step3_validation[[#This Row],[AI_ENF2]]</f>
        <v>9</v>
      </c>
      <c r="W346" t="str">
        <f t="shared" si="138"/>
        <v>Support</v>
      </c>
      <c r="X346">
        <f>survey_responses[[#This Row],[Tôi tin rằng Nhà nước, cơ quan thuế có đủ khả năng và công nghệ để phát hiện, xử lý nghiêm các hành vi trốn thuế. - HUMAN-ENF2]]</f>
        <v>7</v>
      </c>
      <c r="Y346" t="str">
        <f t="shared" si="139"/>
        <v>Neutral</v>
      </c>
      <c r="Z346" s="32">
        <f t="shared" si="140"/>
        <v>2</v>
      </c>
      <c r="AA346">
        <f>step3_validation[[#This Row],[AI_FAC1]]</f>
        <v>7</v>
      </c>
      <c r="AB346" t="str">
        <f t="shared" si="141"/>
        <v>Neutral</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2</v>
      </c>
      <c r="AF346">
        <f>step3_validation[[#This Row],[AI_FAC2]]</f>
        <v>8</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0</v>
      </c>
      <c r="AK346">
        <f>step3_validation[[#This Row],[AI_TRU1]]</f>
        <v>7</v>
      </c>
      <c r="AL346" t="str">
        <f t="shared" si="147"/>
        <v>Neutral</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0</v>
      </c>
      <c r="AP346">
        <f>step3_validation[[#This Row],[AI_TRU2]]</f>
        <v>8</v>
      </c>
      <c r="AQ346" t="str">
        <f t="shared" si="150"/>
        <v>Support</v>
      </c>
      <c r="AR346">
        <f>survey_responses[[#This Row],[Tôi thấy mức thuế tôi phải đóng theo phương án mới là công bằng (người thu nhập như tôi đóng mức này là hợp lý). - HUMAN-TRU2]]</f>
        <v>7</v>
      </c>
      <c r="AS346" t="str">
        <f t="shared" si="151"/>
        <v>Neutral</v>
      </c>
      <c r="AT346" s="32">
        <f t="shared" si="152"/>
        <v>1</v>
      </c>
      <c r="AU346">
        <f>step3_validation[[#This Row],[AI_TRU3]]</f>
        <v>7</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1</v>
      </c>
      <c r="AZ346">
        <f>step3_validation[[#This Row],[AI_TRU4]]</f>
        <v>6</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1</v>
      </c>
      <c r="BE346">
        <f>step3_validation[[#This Row],[AI_OUT1]]</f>
        <v>7</v>
      </c>
      <c r="BF346" t="str">
        <f t="shared" si="159"/>
        <v>Neutral</v>
      </c>
      <c r="BG346">
        <f>survey_responses[[#This Row],[Sau khi xem xét các quyền lợi và nghĩa vụ, bạn có ủng hộ và tuân thủ chính sách mới hiện nay? - HUMAN-OUT1]]</f>
        <v>7</v>
      </c>
      <c r="BH346" t="str">
        <f t="shared" si="160"/>
        <v>Neutral</v>
      </c>
      <c r="BI346" s="32">
        <f t="shared" si="161"/>
        <v>0</v>
      </c>
    </row>
    <row r="347" spans="1:61" x14ac:dyDescent="0.45">
      <c r="A347" s="30">
        <f>step3_validation[[#This Row],[Persona_ID]]</f>
        <v>346</v>
      </c>
      <c r="B347" s="31">
        <f>step3_validation[[#This Row],[Used_Seed]]</f>
        <v>12690</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28.869904376097207</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8</v>
      </c>
      <c r="R347" t="str">
        <f t="shared" si="135"/>
        <v>Support</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1</v>
      </c>
      <c r="V347">
        <f>step3_validation[[#This Row],[AI_ENF2]]</f>
        <v>7</v>
      </c>
      <c r="W347" t="str">
        <f t="shared" si="138"/>
        <v>Neutral</v>
      </c>
      <c r="X347">
        <f>survey_responses[[#This Row],[Tôi tin rằng Nhà nước, cơ quan thuế có đủ khả năng và công nghệ để phát hiện, xử lý nghiêm các hành vi trốn thuế. - HUMAN-ENF2]]</f>
        <v>8</v>
      </c>
      <c r="Y347" t="str">
        <f t="shared" si="139"/>
        <v>Support</v>
      </c>
      <c r="Z347" s="32">
        <f t="shared" si="140"/>
        <v>1</v>
      </c>
      <c r="AA347">
        <f>step3_validation[[#This Row],[AI_FAC1]]</f>
        <v>6</v>
      </c>
      <c r="AB347" t="str">
        <f t="shared" si="141"/>
        <v>Neutral</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2</v>
      </c>
      <c r="AF347">
        <f>step3_validation[[#This Row],[AI_FAC2]]</f>
        <v>8</v>
      </c>
      <c r="AG347" t="str">
        <f t="shared" si="144"/>
        <v>Support</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1</v>
      </c>
      <c r="AK347">
        <f>step3_validation[[#This Row],[AI_TRU1]]</f>
        <v>7</v>
      </c>
      <c r="AL347" t="str">
        <f t="shared" si="147"/>
        <v>Neutral</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0</v>
      </c>
      <c r="AP347">
        <f>step3_validation[[#This Row],[AI_TRU2]]</f>
        <v>8</v>
      </c>
      <c r="AQ347" t="str">
        <f t="shared" si="150"/>
        <v>Support</v>
      </c>
      <c r="AR347">
        <f>survey_responses[[#This Row],[Tôi thấy mức thuế tôi phải đóng theo phương án mới là công bằng (người thu nhập như tôi đóng mức này là hợp lý). - HUMAN-TRU2]]</f>
        <v>8</v>
      </c>
      <c r="AS347" t="str">
        <f t="shared" si="151"/>
        <v>Support</v>
      </c>
      <c r="AT347" s="32">
        <f t="shared" si="152"/>
        <v>0</v>
      </c>
      <c r="AU347">
        <f>step3_validation[[#This Row],[AI_TRU3]]</f>
        <v>6</v>
      </c>
      <c r="AV347" t="str">
        <f t="shared" si="153"/>
        <v>Neutral</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1</v>
      </c>
      <c r="AZ347">
        <f>step3_validation[[#This Row],[AI_TRU4]]</f>
        <v>5</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2">
        <f t="shared" si="158"/>
        <v>2</v>
      </c>
      <c r="BE347">
        <f>step3_validation[[#This Row],[AI_OUT1]]</f>
        <v>6</v>
      </c>
      <c r="BF347" t="str">
        <f t="shared" si="159"/>
        <v>Neutral</v>
      </c>
      <c r="BG347">
        <f>survey_responses[[#This Row],[Sau khi xem xét các quyền lợi và nghĩa vụ, bạn có ủng hộ và tuân thủ chính sách mới hiện nay? - HUMAN-OUT1]]</f>
        <v>8</v>
      </c>
      <c r="BH347" t="str">
        <f t="shared" si="160"/>
        <v>Support</v>
      </c>
      <c r="BI347" s="32">
        <f t="shared" si="161"/>
        <v>2</v>
      </c>
    </row>
    <row r="348" spans="1:61" x14ac:dyDescent="0.45">
      <c r="A348" s="30">
        <f>step3_validation[[#This Row],[Persona_ID]]</f>
        <v>347</v>
      </c>
      <c r="B348" s="31">
        <f>step3_validation[[#This Row],[Used_Seed]]</f>
        <v>12691</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18.18328571339428</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8</v>
      </c>
      <c r="R348" t="str">
        <f t="shared" si="135"/>
        <v>Support</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0</v>
      </c>
      <c r="V348">
        <f>step3_validation[[#This Row],[AI_ENF2]]</f>
        <v>9</v>
      </c>
      <c r="W348" t="str">
        <f t="shared" si="138"/>
        <v>Support</v>
      </c>
      <c r="X348">
        <f>survey_responses[[#This Row],[Tôi tin rằng Nhà nước, cơ quan thuế có đủ khả năng và công nghệ để phát hiện, xử lý nghiêm các hành vi trốn thuế. - HUMAN-ENF2]]</f>
        <v>8</v>
      </c>
      <c r="Y348" t="str">
        <f t="shared" si="139"/>
        <v>Support</v>
      </c>
      <c r="Z348" s="32">
        <f t="shared" si="140"/>
        <v>1</v>
      </c>
      <c r="AA348">
        <f>step3_validation[[#This Row],[AI_FAC1]]</f>
        <v>7</v>
      </c>
      <c r="AB348" t="str">
        <f t="shared" si="141"/>
        <v>Neutral</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0</v>
      </c>
      <c r="AF348">
        <f>step3_validation[[#This Row],[AI_FAC2]]</f>
        <v>8</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0</v>
      </c>
      <c r="AK348">
        <f>step3_validation[[#This Row],[AI_TRU1]]</f>
        <v>7</v>
      </c>
      <c r="AL348" t="str">
        <f t="shared" si="147"/>
        <v>Neutral</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1</v>
      </c>
      <c r="AP348">
        <f>step3_validation[[#This Row],[AI_TRU2]]</f>
        <v>8</v>
      </c>
      <c r="AQ348" t="str">
        <f t="shared" si="150"/>
        <v>Support</v>
      </c>
      <c r="AR348">
        <f>survey_responses[[#This Row],[Tôi thấy mức thuế tôi phải đóng theo phương án mới là công bằng (người thu nhập như tôi đóng mức này là hợp lý). - HUMAN-TRU2]]</f>
        <v>8</v>
      </c>
      <c r="AS348" t="str">
        <f t="shared" si="151"/>
        <v>Support</v>
      </c>
      <c r="AT348" s="32">
        <f t="shared" si="152"/>
        <v>0</v>
      </c>
      <c r="AU348">
        <f>step3_validation[[#This Row],[AI_TRU3]]</f>
        <v>7</v>
      </c>
      <c r="AV348" t="str">
        <f t="shared" si="153"/>
        <v>Neutral</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1</v>
      </c>
      <c r="AZ348">
        <f>step3_validation[[#This Row],[AI_TRU4]]</f>
        <v>6</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0</v>
      </c>
      <c r="BE348">
        <f>step3_validation[[#This Row],[AI_OUT1]]</f>
        <v>8</v>
      </c>
      <c r="BF348" t="str">
        <f t="shared" si="159"/>
        <v>Support</v>
      </c>
      <c r="BG348">
        <f>survey_responses[[#This Row],[Sau khi xem xét các quyền lợi và nghĩa vụ, bạn có ủng hộ và tuân thủ chính sách mới hiện nay? - HUMAN-OUT1]]</f>
        <v>8</v>
      </c>
      <c r="BH348" t="str">
        <f t="shared" si="160"/>
        <v>Support</v>
      </c>
      <c r="BI348" s="32">
        <f t="shared" si="161"/>
        <v>0</v>
      </c>
    </row>
    <row r="349" spans="1:61" x14ac:dyDescent="0.45">
      <c r="A349" s="30">
        <f>step3_validation[[#This Row],[Persona_ID]]</f>
        <v>348</v>
      </c>
      <c r="B349" s="31">
        <f>step3_validation[[#This Row],[Used_Seed]]</f>
        <v>12692</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21.829935364779054</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1</v>
      </c>
      <c r="V349">
        <f>step3_validation[[#This Row],[AI_ENF2]]</f>
        <v>8</v>
      </c>
      <c r="W349" t="str">
        <f t="shared" si="138"/>
        <v>Support</v>
      </c>
      <c r="X349">
        <f>survey_responses[[#This Row],[Tôi tin rằng Nhà nước, cơ quan thuế có đủ khả năng và công nghệ để phát hiện, xử lý nghiêm các hành vi trốn thuế. - HUMAN-ENF2]]</f>
        <v>8</v>
      </c>
      <c r="Y349" t="str">
        <f t="shared" si="139"/>
        <v>Support</v>
      </c>
      <c r="Z349" s="32">
        <f t="shared" si="140"/>
        <v>0</v>
      </c>
      <c r="AA349">
        <f>step3_validation[[#This Row],[AI_FAC1]]</f>
        <v>6</v>
      </c>
      <c r="AB349" t="str">
        <f t="shared" si="141"/>
        <v>Neutral</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1</v>
      </c>
      <c r="AF349">
        <f>step3_validation[[#This Row],[AI_FAC2]]</f>
        <v>9</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2</v>
      </c>
      <c r="AK349">
        <f>step3_validation[[#This Row],[AI_TRU1]]</f>
        <v>8</v>
      </c>
      <c r="AL349" t="str">
        <f t="shared" si="147"/>
        <v>Support</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2</v>
      </c>
      <c r="AP349">
        <f>step3_validation[[#This Row],[AI_TRU2]]</f>
        <v>7</v>
      </c>
      <c r="AQ349" t="str">
        <f t="shared" si="150"/>
        <v>Neutral</v>
      </c>
      <c r="AR349">
        <f>survey_responses[[#This Row],[Tôi thấy mức thuế tôi phải đóng theo phương án mới là công bằng (người thu nhập như tôi đóng mức này là hợp lý). - HUMAN-TRU2]]</f>
        <v>7</v>
      </c>
      <c r="AS349" t="str">
        <f t="shared" si="151"/>
        <v>Neutral</v>
      </c>
      <c r="AT349" s="32">
        <f t="shared" si="152"/>
        <v>0</v>
      </c>
      <c r="AU349">
        <f>step3_validation[[#This Row],[AI_TRU3]]</f>
        <v>6</v>
      </c>
      <c r="AV349" t="str">
        <f t="shared" si="153"/>
        <v>Neutral</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0</v>
      </c>
      <c r="AZ349">
        <f>step3_validation[[#This Row],[AI_TRU4]]</f>
        <v>7</v>
      </c>
      <c r="BA349" t="str">
        <f t="shared" si="156"/>
        <v>Neutral</v>
      </c>
      <c r="BB349">
        <f>survey_responses[[#This Row],[Tôi thấy Nhà nước đã giải thích rõ ràng, minh bạch về lý do và mục tiêu của việc sửa đổi thuế lần này. - HUMAN-TRU4]]</f>
        <v>6</v>
      </c>
      <c r="BC349" t="str">
        <f t="shared" si="157"/>
        <v>Neutral</v>
      </c>
      <c r="BD349" s="32">
        <f t="shared" si="158"/>
        <v>1</v>
      </c>
      <c r="BE349">
        <f>step3_validation[[#This Row],[AI_OUT1]]</f>
        <v>8</v>
      </c>
      <c r="BF349" t="str">
        <f t="shared" si="159"/>
        <v>Support</v>
      </c>
      <c r="BG349">
        <f>survey_responses[[#This Row],[Sau khi xem xét các quyền lợi và nghĩa vụ, bạn có ủng hộ và tuân thủ chính sách mới hiện nay? - HUMAN-OUT1]]</f>
        <v>7</v>
      </c>
      <c r="BH349" t="str">
        <f t="shared" si="160"/>
        <v>Neutral</v>
      </c>
      <c r="BI349" s="32">
        <f t="shared" si="161"/>
        <v>1</v>
      </c>
    </row>
    <row r="350" spans="1:61" x14ac:dyDescent="0.45">
      <c r="A350" s="30">
        <f>step3_validation[[#This Row],[Persona_ID]]</f>
        <v>349</v>
      </c>
      <c r="B350" s="31">
        <f>step3_validation[[#This Row],[Used_Seed]]</f>
        <v>12693</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18.940736922102833</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3</v>
      </c>
      <c r="V350">
        <f>step3_validation[[#This Row],[AI_ENF2]]</f>
        <v>8</v>
      </c>
      <c r="W350" t="str">
        <f t="shared" si="138"/>
        <v>Support</v>
      </c>
      <c r="X350">
        <f>survey_responses[[#This Row],[Tôi tin rằng Nhà nước, cơ quan thuế có đủ khả năng và công nghệ để phát hiện, xử lý nghiêm các hành vi trốn thuế. - HUMAN-ENF2]]</f>
        <v>4</v>
      </c>
      <c r="Y350" t="str">
        <f t="shared" si="139"/>
        <v>Oppose</v>
      </c>
      <c r="Z350" s="32">
        <f t="shared" si="140"/>
        <v>4</v>
      </c>
      <c r="AA350">
        <f>step3_validation[[#This Row],[AI_FAC1]]</f>
        <v>6</v>
      </c>
      <c r="AB350" t="str">
        <f t="shared" si="141"/>
        <v>Neutral</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1</v>
      </c>
      <c r="AF350">
        <f>step3_validation[[#This Row],[AI_FAC2]]</f>
        <v>8</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1</v>
      </c>
      <c r="AK350">
        <f>step3_validation[[#This Row],[AI_TRU1]]</f>
        <v>9</v>
      </c>
      <c r="AL350" t="str">
        <f t="shared" si="147"/>
        <v>Support</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4</v>
      </c>
      <c r="AP350">
        <f>step3_validation[[#This Row],[AI_TRU2]]</f>
        <v>7</v>
      </c>
      <c r="AQ350" t="str">
        <f t="shared" si="150"/>
        <v>Neutral</v>
      </c>
      <c r="AR350">
        <f>survey_responses[[#This Row],[Tôi thấy mức thuế tôi phải đóng theo phương án mới là công bằng (người thu nhập như tôi đóng mức này là hợp lý). - HUMAN-TRU2]]</f>
        <v>6</v>
      </c>
      <c r="AS350" t="str">
        <f t="shared" si="151"/>
        <v>Neutral</v>
      </c>
      <c r="AT350" s="32">
        <f t="shared" si="152"/>
        <v>1</v>
      </c>
      <c r="AU350">
        <f>step3_validation[[#This Row],[AI_TRU3]]</f>
        <v>8</v>
      </c>
      <c r="AV350" t="str">
        <f t="shared" si="153"/>
        <v>Support</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2</v>
      </c>
      <c r="AZ350">
        <f>step3_validation[[#This Row],[AI_TRU4]]</f>
        <v>6</v>
      </c>
      <c r="BA350" t="str">
        <f t="shared" si="156"/>
        <v>Neutral</v>
      </c>
      <c r="BB350">
        <f>survey_responses[[#This Row],[Tôi thấy Nhà nước đã giải thích rõ ràng, minh bạch về lý do và mục tiêu của việc sửa đổi thuế lần này. - HUMAN-TRU4]]</f>
        <v>6</v>
      </c>
      <c r="BC350" t="str">
        <f t="shared" si="157"/>
        <v>Neutral</v>
      </c>
      <c r="BD350" s="32">
        <f t="shared" si="158"/>
        <v>0</v>
      </c>
      <c r="BE350">
        <f>step3_validation[[#This Row],[AI_OUT1]]</f>
        <v>9</v>
      </c>
      <c r="BF350" t="str">
        <f t="shared" si="159"/>
        <v>Support</v>
      </c>
      <c r="BG350">
        <f>survey_responses[[#This Row],[Sau khi xem xét các quyền lợi và nghĩa vụ, bạn có ủng hộ và tuân thủ chính sách mới hiện nay? - HUMAN-OUT1]]</f>
        <v>6</v>
      </c>
      <c r="BH350" t="str">
        <f t="shared" si="160"/>
        <v>Neutral</v>
      </c>
      <c r="BI350" s="32">
        <f t="shared" si="161"/>
        <v>3</v>
      </c>
    </row>
    <row r="351" spans="1:61" x14ac:dyDescent="0.45">
      <c r="A351" s="30">
        <f>step3_validation[[#This Row],[Persona_ID]]</f>
        <v>350</v>
      </c>
      <c r="B351" s="31">
        <f>step3_validation[[#This Row],[Used_Seed]]</f>
        <v>12694</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25.591899975098052</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7</v>
      </c>
      <c r="R351" t="str">
        <f t="shared" si="135"/>
        <v>Neutral</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0</v>
      </c>
      <c r="V351">
        <f>step3_validation[[#This Row],[AI_ENF2]]</f>
        <v>8</v>
      </c>
      <c r="W351" t="str">
        <f t="shared" si="138"/>
        <v>Support</v>
      </c>
      <c r="X351">
        <f>survey_responses[[#This Row],[Tôi tin rằng Nhà nước, cơ quan thuế có đủ khả năng và công nghệ để phát hiện, xử lý nghiêm các hành vi trốn thuế. - HUMAN-ENF2]]</f>
        <v>7</v>
      </c>
      <c r="Y351" t="str">
        <f t="shared" si="139"/>
        <v>Neutral</v>
      </c>
      <c r="Z351" s="32">
        <f t="shared" si="140"/>
        <v>1</v>
      </c>
      <c r="AA351">
        <f>step3_validation[[#This Row],[AI_FAC1]]</f>
        <v>6</v>
      </c>
      <c r="AB351" t="str">
        <f t="shared" si="141"/>
        <v>Neutral</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2</v>
      </c>
      <c r="AF351">
        <f>step3_validation[[#This Row],[AI_FAC2]]</f>
        <v>8</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0</v>
      </c>
      <c r="AK351">
        <f>step3_validation[[#This Row],[AI_TRU1]]</f>
        <v>6</v>
      </c>
      <c r="AL351" t="str">
        <f t="shared" si="147"/>
        <v>Neutral</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1</v>
      </c>
      <c r="AP351">
        <f>step3_validation[[#This Row],[AI_TRU2]]</f>
        <v>7</v>
      </c>
      <c r="AQ351" t="str">
        <f t="shared" si="150"/>
        <v>Neutral</v>
      </c>
      <c r="AR351">
        <f>survey_responses[[#This Row],[Tôi thấy mức thuế tôi phải đóng theo phương án mới là công bằng (người thu nhập như tôi đóng mức này là hợp lý). - HUMAN-TRU2]]</f>
        <v>7</v>
      </c>
      <c r="AS351" t="str">
        <f t="shared" si="151"/>
        <v>Neutral</v>
      </c>
      <c r="AT351" s="32">
        <f t="shared" si="152"/>
        <v>0</v>
      </c>
      <c r="AU351">
        <f>step3_validation[[#This Row],[AI_TRU3]]</f>
        <v>5</v>
      </c>
      <c r="AV351" t="str">
        <f t="shared" si="153"/>
        <v>Neutral</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3</v>
      </c>
      <c r="AZ351">
        <f>step3_validation[[#This Row],[AI_TRU4]]</f>
        <v>4</v>
      </c>
      <c r="BA351" t="str">
        <f t="shared" si="156"/>
        <v>Oppose</v>
      </c>
      <c r="BB351">
        <f>survey_responses[[#This Row],[Tôi thấy Nhà nước đã giải thích rõ ràng, minh bạch về lý do và mục tiêu của việc sửa đổi thuế lần này. - HUMAN-TRU4]]</f>
        <v>7</v>
      </c>
      <c r="BC351" t="str">
        <f t="shared" si="157"/>
        <v>Neutral</v>
      </c>
      <c r="BD351" s="32">
        <f t="shared" si="158"/>
        <v>3</v>
      </c>
      <c r="BE351">
        <f>step3_validation[[#This Row],[AI_OUT1]]</f>
        <v>5</v>
      </c>
      <c r="BF351" t="str">
        <f t="shared" si="159"/>
        <v>Neutral</v>
      </c>
      <c r="BG351">
        <f>survey_responses[[#This Row],[Sau khi xem xét các quyền lợi và nghĩa vụ, bạn có ủng hộ và tuân thủ chính sách mới hiện nay? - HUMAN-OUT1]]</f>
        <v>8</v>
      </c>
      <c r="BH351" t="str">
        <f t="shared" si="160"/>
        <v>Support</v>
      </c>
      <c r="BI351" s="32">
        <f t="shared" si="161"/>
        <v>3</v>
      </c>
    </row>
    <row r="352" spans="1:61" x14ac:dyDescent="0.45">
      <c r="A352" s="30">
        <f>step3_validation[[#This Row],[Persona_ID]]</f>
        <v>351</v>
      </c>
      <c r="B352" s="31">
        <f>step3_validation[[#This Row],[Used_Seed]]</f>
        <v>12695</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35.271364870345501</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t="str">
        <f t="shared" si="135"/>
        <v>Neutral</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8</v>
      </c>
      <c r="W352" t="str">
        <f t="shared" si="138"/>
        <v>Support</v>
      </c>
      <c r="X352">
        <f>survey_responses[[#This Row],[Tôi tin rằng Nhà nước, cơ quan thuế có đủ khả năng và công nghệ để phát hiện, xử lý nghiêm các hành vi trốn thuế. - HUMAN-ENF2]]</f>
        <v>8</v>
      </c>
      <c r="Y352" t="str">
        <f t="shared" si="139"/>
        <v>Support</v>
      </c>
      <c r="Z352" s="32">
        <f t="shared" si="140"/>
        <v>0</v>
      </c>
      <c r="AA352">
        <f>step3_validation[[#This Row],[AI_FAC1]]</f>
        <v>9</v>
      </c>
      <c r="AB352" t="str">
        <f t="shared" si="141"/>
        <v>Support</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3</v>
      </c>
      <c r="AF352">
        <f>step3_validation[[#This Row],[AI_FAC2]]</f>
        <v>8</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1</v>
      </c>
      <c r="AK352">
        <f>step3_validation[[#This Row],[AI_TRU1]]</f>
        <v>7</v>
      </c>
      <c r="AL352" t="str">
        <f t="shared" si="147"/>
        <v>Neutral</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1</v>
      </c>
      <c r="AP352">
        <f>step3_validation[[#This Row],[AI_TRU2]]</f>
        <v>8</v>
      </c>
      <c r="AQ352" t="str">
        <f t="shared" si="150"/>
        <v>Support</v>
      </c>
      <c r="AR352">
        <f>survey_responses[[#This Row],[Tôi thấy mức thuế tôi phải đóng theo phương án mới là công bằng (người thu nhập như tôi đóng mức này là hợp lý). - HUMAN-TRU2]]</f>
        <v>7</v>
      </c>
      <c r="AS352" t="str">
        <f t="shared" si="151"/>
        <v>Neutral</v>
      </c>
      <c r="AT352" s="32">
        <f t="shared" si="152"/>
        <v>1</v>
      </c>
      <c r="AU352">
        <f>step3_validation[[#This Row],[AI_TRU3]]</f>
        <v>6</v>
      </c>
      <c r="AV352" t="str">
        <f t="shared" si="153"/>
        <v>Neutral</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1</v>
      </c>
      <c r="AZ352">
        <f>step3_validation[[#This Row],[AI_TRU4]]</f>
        <v>7</v>
      </c>
      <c r="BA352" t="str">
        <f t="shared" si="156"/>
        <v>Neutral</v>
      </c>
      <c r="BB352">
        <f>survey_responses[[#This Row],[Tôi thấy Nhà nước đã giải thích rõ ràng, minh bạch về lý do và mục tiêu của việc sửa đổi thuế lần này. - HUMAN-TRU4]]</f>
        <v>7</v>
      </c>
      <c r="BC352" t="str">
        <f t="shared" si="157"/>
        <v>Neutral</v>
      </c>
      <c r="BD352" s="32">
        <f t="shared" si="158"/>
        <v>0</v>
      </c>
      <c r="BE352">
        <f>step3_validation[[#This Row],[AI_OUT1]]</f>
        <v>8</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1</v>
      </c>
    </row>
    <row r="353" spans="1:61" x14ac:dyDescent="0.45">
      <c r="A353" s="30">
        <f>step3_validation[[#This Row],[Persona_ID]]</f>
        <v>352</v>
      </c>
      <c r="B353" s="31">
        <f>step3_validation[[#This Row],[Used_Seed]]</f>
        <v>12696</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27.965344578082892</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8</v>
      </c>
      <c r="R353" t="str">
        <f t="shared" si="135"/>
        <v>Support</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2</v>
      </c>
      <c r="V353">
        <f>step3_validation[[#This Row],[AI_ENF2]]</f>
        <v>7</v>
      </c>
      <c r="W353" t="str">
        <f t="shared" si="138"/>
        <v>Neutral</v>
      </c>
      <c r="X353">
        <f>survey_responses[[#This Row],[Tôi tin rằng Nhà nước, cơ quan thuế có đủ khả năng và công nghệ để phát hiện, xử lý nghiêm các hành vi trốn thuế. - HUMAN-ENF2]]</f>
        <v>6</v>
      </c>
      <c r="Y353" t="str">
        <f t="shared" si="139"/>
        <v>Neutral</v>
      </c>
      <c r="Z353" s="32">
        <f t="shared" si="140"/>
        <v>1</v>
      </c>
      <c r="AA353">
        <f>step3_validation[[#This Row],[AI_FAC1]]</f>
        <v>6</v>
      </c>
      <c r="AB353" t="str">
        <f t="shared" si="141"/>
        <v>Neutral</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2</v>
      </c>
      <c r="AF353">
        <f>step3_validation[[#This Row],[AI_FAC2]]</f>
        <v>8</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1</v>
      </c>
      <c r="AK353">
        <f>step3_validation[[#This Row],[AI_TRU1]]</f>
        <v>7</v>
      </c>
      <c r="AL353" t="str">
        <f t="shared" si="147"/>
        <v>Neutral</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0</v>
      </c>
      <c r="AP353">
        <f>step3_validation[[#This Row],[AI_TRU2]]</f>
        <v>6</v>
      </c>
      <c r="AQ353" t="str">
        <f t="shared" si="150"/>
        <v>Neutral</v>
      </c>
      <c r="AR353">
        <f>survey_responses[[#This Row],[Tôi thấy mức thuế tôi phải đóng theo phương án mới là công bằng (người thu nhập như tôi đóng mức này là hợp lý). - HUMAN-TRU2]]</f>
        <v>7</v>
      </c>
      <c r="AS353" t="str">
        <f t="shared" si="151"/>
        <v>Neutral</v>
      </c>
      <c r="AT353" s="32">
        <f t="shared" si="152"/>
        <v>1</v>
      </c>
      <c r="AU353">
        <f>step3_validation[[#This Row],[AI_TRU3]]</f>
        <v>5</v>
      </c>
      <c r="AV353" t="str">
        <f t="shared" si="153"/>
        <v>Neutral</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0</v>
      </c>
      <c r="AZ353">
        <f>step3_validation[[#This Row],[AI_TRU4]]</f>
        <v>6</v>
      </c>
      <c r="BA353" t="str">
        <f t="shared" si="156"/>
        <v>Neutral</v>
      </c>
      <c r="BB353">
        <f>survey_responses[[#This Row],[Tôi thấy Nhà nước đã giải thích rõ ràng, minh bạch về lý do và mục tiêu của việc sửa đổi thuế lần này. - HUMAN-TRU4]]</f>
        <v>6</v>
      </c>
      <c r="BC353" t="str">
        <f t="shared" si="157"/>
        <v>Neutral</v>
      </c>
      <c r="BD353" s="32">
        <f t="shared" si="158"/>
        <v>0</v>
      </c>
      <c r="BE353">
        <f>step3_validation[[#This Row],[AI_OUT1]]</f>
        <v>7</v>
      </c>
      <c r="BF353" t="str">
        <f t="shared" si="159"/>
        <v>Neutral</v>
      </c>
      <c r="BG353">
        <f>survey_responses[[#This Row],[Sau khi xem xét các quyền lợi và nghĩa vụ, bạn có ủng hộ và tuân thủ chính sách mới hiện nay? - HUMAN-OUT1]]</f>
        <v>7</v>
      </c>
      <c r="BH353" t="str">
        <f t="shared" si="160"/>
        <v>Neutral</v>
      </c>
      <c r="BI353" s="32">
        <f t="shared" si="161"/>
        <v>0</v>
      </c>
    </row>
    <row r="354" spans="1:61" x14ac:dyDescent="0.45">
      <c r="A354" s="30">
        <f>step3_validation[[#This Row],[Persona_ID]]</f>
        <v>353</v>
      </c>
      <c r="B354" s="31">
        <f>step3_validation[[#This Row],[Used_Seed]]</f>
        <v>12697</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84.867868707700836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0</v>
      </c>
      <c r="V354">
        <f>step3_validation[[#This Row],[AI_ENF2]]</f>
        <v>7</v>
      </c>
      <c r="W354" t="str">
        <f t="shared" si="138"/>
        <v>Neutral</v>
      </c>
      <c r="X354">
        <f>survey_responses[[#This Row],[Tôi tin rằng Nhà nước, cơ quan thuế có đủ khả năng và công nghệ để phát hiện, xử lý nghiêm các hành vi trốn thuế. - HUMAN-ENF2]]</f>
        <v>7</v>
      </c>
      <c r="Y354" t="str">
        <f t="shared" si="139"/>
        <v>Neutral</v>
      </c>
      <c r="Z354" s="32">
        <f t="shared" si="140"/>
        <v>0</v>
      </c>
      <c r="AA354">
        <f>step3_validation[[#This Row],[AI_FAC1]]</f>
        <v>8</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0</v>
      </c>
      <c r="AF354">
        <f>step3_validation[[#This Row],[AI_FAC2]]</f>
        <v>7</v>
      </c>
      <c r="AG354" t="str">
        <f t="shared" si="144"/>
        <v>Neutral</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1</v>
      </c>
      <c r="AK354">
        <f>step3_validation[[#This Row],[AI_TRU1]]</f>
        <v>6</v>
      </c>
      <c r="AL354" t="str">
        <f t="shared" si="147"/>
        <v>Neutral</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0</v>
      </c>
      <c r="AP354">
        <f>step3_validation[[#This Row],[AI_TRU2]]</f>
        <v>7</v>
      </c>
      <c r="AQ354" t="str">
        <f t="shared" si="150"/>
        <v>Neutral</v>
      </c>
      <c r="AR354">
        <f>survey_responses[[#This Row],[Tôi thấy mức thuế tôi phải đóng theo phương án mới là công bằng (người thu nhập như tôi đóng mức này là hợp lý). - HUMAN-TRU2]]</f>
        <v>7</v>
      </c>
      <c r="AS354" t="str">
        <f t="shared" si="151"/>
        <v>Neutral</v>
      </c>
      <c r="AT354" s="32">
        <f t="shared" si="152"/>
        <v>0</v>
      </c>
      <c r="AU354">
        <f>step3_validation[[#This Row],[AI_TRU3]]</f>
        <v>6</v>
      </c>
      <c r="AV354" t="str">
        <f t="shared" si="153"/>
        <v>Neutral</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1</v>
      </c>
      <c r="AZ354">
        <f>step3_validation[[#This Row],[AI_TRU4]]</f>
        <v>5</v>
      </c>
      <c r="BA354" t="str">
        <f t="shared" si="156"/>
        <v>Neutral</v>
      </c>
      <c r="BB354">
        <f>survey_responses[[#This Row],[Tôi thấy Nhà nước đã giải thích rõ ràng, minh bạch về lý do và mục tiêu của việc sửa đổi thuế lần này. - HUMAN-TRU4]]</f>
        <v>7</v>
      </c>
      <c r="BC354" t="str">
        <f t="shared" si="157"/>
        <v>Neutral</v>
      </c>
      <c r="BD354" s="32">
        <f t="shared" si="158"/>
        <v>2</v>
      </c>
      <c r="BE354">
        <f>step3_validation[[#This Row],[AI_OUT1]]</f>
        <v>6</v>
      </c>
      <c r="BF354" t="str">
        <f t="shared" si="159"/>
        <v>Neutral</v>
      </c>
      <c r="BG354">
        <f>survey_responses[[#This Row],[Sau khi xem xét các quyền lợi và nghĩa vụ, bạn có ủng hộ và tuân thủ chính sách mới hiện nay? - HUMAN-OUT1]]</f>
        <v>7</v>
      </c>
      <c r="BH354" t="str">
        <f t="shared" si="160"/>
        <v>Neutral</v>
      </c>
      <c r="BI354" s="32">
        <f t="shared" si="161"/>
        <v>1</v>
      </c>
    </row>
    <row r="355" spans="1:61" x14ac:dyDescent="0.45">
      <c r="A355" s="30">
        <f>step3_validation[[#This Row],[Persona_ID]]</f>
        <v>354</v>
      </c>
      <c r="B355" s="31">
        <f>step3_validation[[#This Row],[Used_Seed]]</f>
        <v>12698</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13.292739428794732</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6</v>
      </c>
      <c r="R355" t="str">
        <f t="shared" si="135"/>
        <v>Neutral</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3</v>
      </c>
      <c r="V355">
        <f>step3_validation[[#This Row],[AI_ENF2]]</f>
        <v>7</v>
      </c>
      <c r="W355" t="str">
        <f t="shared" si="138"/>
        <v>Neutral</v>
      </c>
      <c r="X355">
        <f>survey_responses[[#This Row],[Tôi tin rằng Nhà nước, cơ quan thuế có đủ khả năng và công nghệ để phát hiện, xử lý nghiêm các hành vi trốn thuế. - HUMAN-ENF2]]</f>
        <v>9</v>
      </c>
      <c r="Y355" t="str">
        <f t="shared" si="139"/>
        <v>Support</v>
      </c>
      <c r="Z355" s="32">
        <f t="shared" si="140"/>
        <v>2</v>
      </c>
      <c r="AA355">
        <f>step3_validation[[#This Row],[AI_FAC1]]</f>
        <v>6</v>
      </c>
      <c r="AB355" t="str">
        <f t="shared" si="141"/>
        <v>Neutral</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4</v>
      </c>
      <c r="AF355">
        <f>step3_validation[[#This Row],[AI_FAC2]]</f>
        <v>6</v>
      </c>
      <c r="AG355" t="str">
        <f t="shared" si="144"/>
        <v>Neutral</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4</v>
      </c>
      <c r="AK355">
        <f>step3_validation[[#This Row],[AI_TRU1]]</f>
        <v>6</v>
      </c>
      <c r="AL355" t="str">
        <f t="shared" si="147"/>
        <v>Neutral</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3</v>
      </c>
      <c r="AP355">
        <f>step3_validation[[#This Row],[AI_TRU2]]</f>
        <v>7</v>
      </c>
      <c r="AQ355" t="str">
        <f t="shared" si="150"/>
        <v>Neutral</v>
      </c>
      <c r="AR355">
        <f>survey_responses[[#This Row],[Tôi thấy mức thuế tôi phải đóng theo phương án mới là công bằng (người thu nhập như tôi đóng mức này là hợp lý). - HUMAN-TRU2]]</f>
        <v>10</v>
      </c>
      <c r="AS355" t="str">
        <f t="shared" si="151"/>
        <v>Support</v>
      </c>
      <c r="AT355" s="32">
        <f t="shared" si="152"/>
        <v>3</v>
      </c>
      <c r="AU355">
        <f>step3_validation[[#This Row],[AI_TRU3]]</f>
        <v>6</v>
      </c>
      <c r="AV355" t="str">
        <f t="shared" si="153"/>
        <v>Neutral</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2</v>
      </c>
      <c r="AZ355">
        <f>step3_validation[[#This Row],[AI_TRU4]]</f>
        <v>5</v>
      </c>
      <c r="BA355" t="str">
        <f t="shared" si="156"/>
        <v>Neutral</v>
      </c>
      <c r="BB355">
        <f>survey_responses[[#This Row],[Tôi thấy Nhà nước đã giải thích rõ ràng, minh bạch về lý do và mục tiêu của việc sửa đổi thuế lần này. - HUMAN-TRU4]]</f>
        <v>8</v>
      </c>
      <c r="BC355" t="str">
        <f t="shared" si="157"/>
        <v>Support</v>
      </c>
      <c r="BD355" s="32">
        <f t="shared" si="158"/>
        <v>3</v>
      </c>
      <c r="BE355">
        <f>step3_validation[[#This Row],[AI_OUT1]]</f>
        <v>6</v>
      </c>
      <c r="BF355" t="str">
        <f t="shared" si="159"/>
        <v>Neutral</v>
      </c>
      <c r="BG355">
        <f>survey_responses[[#This Row],[Sau khi xem xét các quyền lợi và nghĩa vụ, bạn có ủng hộ và tuân thủ chính sách mới hiện nay? - HUMAN-OUT1]]</f>
        <v>9</v>
      </c>
      <c r="BH355" t="str">
        <f t="shared" si="160"/>
        <v>Support</v>
      </c>
      <c r="BI355" s="32">
        <f t="shared" si="161"/>
        <v>3</v>
      </c>
    </row>
    <row r="356" spans="1:61" x14ac:dyDescent="0.45">
      <c r="A356" s="30">
        <f>step3_validation[[#This Row],[Persona_ID]]</f>
        <v>355</v>
      </c>
      <c r="B356" s="31">
        <f>step3_validation[[#This Row],[Used_Seed]]</f>
        <v>12699</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12.502771161707546</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8</v>
      </c>
      <c r="R356" t="str">
        <f t="shared" si="135"/>
        <v>Support</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1</v>
      </c>
      <c r="V356">
        <f>step3_validation[[#This Row],[AI_ENF2]]</f>
        <v>9</v>
      </c>
      <c r="W356" t="str">
        <f t="shared" si="138"/>
        <v>Support</v>
      </c>
      <c r="X356">
        <f>survey_responses[[#This Row],[Tôi tin rằng Nhà nước, cơ quan thuế có đủ khả năng và công nghệ để phát hiện, xử lý nghiêm các hành vi trốn thuế. - HUMAN-ENF2]]</f>
        <v>8</v>
      </c>
      <c r="Y356" t="str">
        <f t="shared" si="139"/>
        <v>Support</v>
      </c>
      <c r="Z356" s="32">
        <f t="shared" si="140"/>
        <v>1</v>
      </c>
      <c r="AA356">
        <f>step3_validation[[#This Row],[AI_FAC1]]</f>
        <v>8</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0</v>
      </c>
      <c r="AF356">
        <f>step3_validation[[#This Row],[AI_FAC2]]</f>
        <v>7</v>
      </c>
      <c r="AG356" t="str">
        <f t="shared" si="144"/>
        <v>Neutral</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2</v>
      </c>
      <c r="AK356">
        <f>step3_validation[[#This Row],[AI_TRU1]]</f>
        <v>8</v>
      </c>
      <c r="AL356" t="str">
        <f t="shared" si="147"/>
        <v>Support</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0</v>
      </c>
      <c r="AP356">
        <f>step3_validation[[#This Row],[AI_TRU2]]</f>
        <v>9</v>
      </c>
      <c r="AQ356" t="str">
        <f t="shared" si="150"/>
        <v>Support</v>
      </c>
      <c r="AR356">
        <f>survey_responses[[#This Row],[Tôi thấy mức thuế tôi phải đóng theo phương án mới là công bằng (người thu nhập như tôi đóng mức này là hợp lý). - HUMAN-TRU2]]</f>
        <v>10</v>
      </c>
      <c r="AS356" t="str">
        <f t="shared" si="151"/>
        <v>Support</v>
      </c>
      <c r="AT356" s="32">
        <f t="shared" si="152"/>
        <v>1</v>
      </c>
      <c r="AU356">
        <f>step3_validation[[#This Row],[AI_TRU3]]</f>
        <v>8</v>
      </c>
      <c r="AV356" t="str">
        <f t="shared" si="153"/>
        <v>Support</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0</v>
      </c>
      <c r="AZ356">
        <f>step3_validation[[#This Row],[AI_TRU4]]</f>
        <v>6</v>
      </c>
      <c r="BA356" t="str">
        <f t="shared" si="156"/>
        <v>Neutral</v>
      </c>
      <c r="BB356">
        <f>survey_responses[[#This Row],[Tôi thấy Nhà nước đã giải thích rõ ràng, minh bạch về lý do và mục tiêu của việc sửa đổi thuế lần này. - HUMAN-TRU4]]</f>
        <v>8</v>
      </c>
      <c r="BC356" t="str">
        <f t="shared" si="157"/>
        <v>Support</v>
      </c>
      <c r="BD356" s="32">
        <f t="shared" si="158"/>
        <v>2</v>
      </c>
      <c r="BE356">
        <f>step3_validation[[#This Row],[AI_OUT1]]</f>
        <v>8</v>
      </c>
      <c r="BF356" t="str">
        <f t="shared" si="159"/>
        <v>Support</v>
      </c>
      <c r="BG356">
        <f>survey_responses[[#This Row],[Sau khi xem xét các quyền lợi và nghĩa vụ, bạn có ủng hộ và tuân thủ chính sách mới hiện nay? - HUMAN-OUT1]]</f>
        <v>9</v>
      </c>
      <c r="BH356" t="str">
        <f t="shared" si="160"/>
        <v>Support</v>
      </c>
      <c r="BI356" s="32">
        <f t="shared" si="161"/>
        <v>1</v>
      </c>
    </row>
    <row r="357" spans="1:61" x14ac:dyDescent="0.45">
      <c r="A357" s="30">
        <f>step3_validation[[#This Row],[Persona_ID]]</f>
        <v>356</v>
      </c>
      <c r="B357" s="31">
        <f>step3_validation[[#This Row],[Used_Seed]]</f>
        <v>12700</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15.742557486937738</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7</v>
      </c>
      <c r="R357" t="str">
        <f t="shared" si="135"/>
        <v>Neutral</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0</v>
      </c>
      <c r="V357">
        <f>step3_validation[[#This Row],[AI_ENF2]]</f>
        <v>8</v>
      </c>
      <c r="W357" t="str">
        <f t="shared" si="138"/>
        <v>Support</v>
      </c>
      <c r="X357">
        <f>survey_responses[[#This Row],[Tôi tin rằng Nhà nước, cơ quan thuế có đủ khả năng và công nghệ để phát hiện, xử lý nghiêm các hành vi trốn thuế. - HUMAN-ENF2]]</f>
        <v>7</v>
      </c>
      <c r="Y357" t="str">
        <f t="shared" si="139"/>
        <v>Neutral</v>
      </c>
      <c r="Z357" s="32">
        <f t="shared" si="140"/>
        <v>1</v>
      </c>
      <c r="AA357">
        <f>step3_validation[[#This Row],[AI_FAC1]]</f>
        <v>6</v>
      </c>
      <c r="AB357" t="str">
        <f t="shared" si="141"/>
        <v>Neutral</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2</v>
      </c>
      <c r="AF357">
        <f>step3_validation[[#This Row],[AI_FAC2]]</f>
        <v>9</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1</v>
      </c>
      <c r="AK357">
        <f>step3_validation[[#This Row],[AI_TRU1]]</f>
        <v>8</v>
      </c>
      <c r="AL357" t="str">
        <f t="shared" si="147"/>
        <v>Support</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1</v>
      </c>
      <c r="AP357">
        <f>step3_validation[[#This Row],[AI_TRU2]]</f>
        <v>9</v>
      </c>
      <c r="AQ357" t="str">
        <f t="shared" si="150"/>
        <v>Support</v>
      </c>
      <c r="AR357">
        <f>survey_responses[[#This Row],[Tôi thấy mức thuế tôi phải đóng theo phương án mới là công bằng (người thu nhập như tôi đóng mức này là hợp lý). - HUMAN-TRU2]]</f>
        <v>10</v>
      </c>
      <c r="AS357" t="str">
        <f t="shared" si="151"/>
        <v>Support</v>
      </c>
      <c r="AT357" s="32">
        <f t="shared" si="152"/>
        <v>1</v>
      </c>
      <c r="AU357">
        <f>step3_validation[[#This Row],[AI_TRU3]]</f>
        <v>7</v>
      </c>
      <c r="AV357" t="str">
        <f t="shared" si="153"/>
        <v>Neutral</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1</v>
      </c>
      <c r="AZ357">
        <f>step3_validation[[#This Row],[AI_TRU4]]</f>
        <v>6</v>
      </c>
      <c r="BA357" t="str">
        <f t="shared" si="156"/>
        <v>Neutral</v>
      </c>
      <c r="BB357">
        <f>survey_responses[[#This Row],[Tôi thấy Nhà nước đã giải thích rõ ràng, minh bạch về lý do và mục tiêu của việc sửa đổi thuế lần này. - HUMAN-TRU4]]</f>
        <v>8</v>
      </c>
      <c r="BC357" t="str">
        <f t="shared" si="157"/>
        <v>Support</v>
      </c>
      <c r="BD357" s="32">
        <f t="shared" si="158"/>
        <v>2</v>
      </c>
      <c r="BE357">
        <f>step3_validation[[#This Row],[AI_OUT1]]</f>
        <v>9</v>
      </c>
      <c r="BF357" t="str">
        <f t="shared" si="159"/>
        <v>Support</v>
      </c>
      <c r="BG357">
        <f>survey_responses[[#This Row],[Sau khi xem xét các quyền lợi và nghĩa vụ, bạn có ủng hộ và tuân thủ chính sách mới hiện nay? - HUMAN-OUT1]]</f>
        <v>10</v>
      </c>
      <c r="BH357" t="str">
        <f t="shared" si="160"/>
        <v>Support</v>
      </c>
      <c r="BI357" s="32">
        <f t="shared" si="161"/>
        <v>1</v>
      </c>
    </row>
    <row r="358" spans="1:61" x14ac:dyDescent="0.45">
      <c r="A358" s="30">
        <f>step3_validation[[#This Row],[Persona_ID]]</f>
        <v>357</v>
      </c>
      <c r="B358" s="31">
        <f>step3_validation[[#This Row],[Used_Seed]]</f>
        <v>12701</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25.957773442227086</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6</v>
      </c>
      <c r="R358" t="str">
        <f t="shared" si="135"/>
        <v>Neutral</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3</v>
      </c>
      <c r="V358">
        <f>step3_validation[[#This Row],[AI_ENF2]]</f>
        <v>8</v>
      </c>
      <c r="W358" t="str">
        <f t="shared" si="138"/>
        <v>Support</v>
      </c>
      <c r="X358">
        <f>survey_responses[[#This Row],[Tôi tin rằng Nhà nước, cơ quan thuế có đủ khả năng và công nghệ để phát hiện, xử lý nghiêm các hành vi trốn thuế. - HUMAN-ENF2]]</f>
        <v>9</v>
      </c>
      <c r="Y358" t="str">
        <f t="shared" si="139"/>
        <v>Support</v>
      </c>
      <c r="Z358" s="32">
        <f t="shared" si="140"/>
        <v>1</v>
      </c>
      <c r="AA358">
        <f>step3_validation[[#This Row],[AI_FAC1]]</f>
        <v>7</v>
      </c>
      <c r="AB358" t="str">
        <f t="shared" si="141"/>
        <v>Neutral</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1</v>
      </c>
      <c r="AF358">
        <f>step3_validation[[#This Row],[AI_FAC2]]</f>
        <v>8</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1</v>
      </c>
      <c r="AK358">
        <f>step3_validation[[#This Row],[AI_TRU1]]</f>
        <v>7</v>
      </c>
      <c r="AL358" t="str">
        <f t="shared" si="147"/>
        <v>Neutral</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1</v>
      </c>
      <c r="AP358">
        <f>step3_validation[[#This Row],[AI_TRU2]]</f>
        <v>8</v>
      </c>
      <c r="AQ358" t="str">
        <f t="shared" si="150"/>
        <v>Support</v>
      </c>
      <c r="AR358">
        <f>survey_responses[[#This Row],[Tôi thấy mức thuế tôi phải đóng theo phương án mới là công bằng (người thu nhập như tôi đóng mức này là hợp lý). - HUMAN-TRU2]]</f>
        <v>8</v>
      </c>
      <c r="AS358" t="str">
        <f t="shared" si="151"/>
        <v>Support</v>
      </c>
      <c r="AT358" s="32">
        <f t="shared" si="152"/>
        <v>0</v>
      </c>
      <c r="AU358">
        <f>step3_validation[[#This Row],[AI_TRU3]]</f>
        <v>7</v>
      </c>
      <c r="AV358" t="str">
        <f t="shared" si="153"/>
        <v>Neutral</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0</v>
      </c>
      <c r="AZ358">
        <f>step3_validation[[#This Row],[AI_TRU4]]</f>
        <v>5</v>
      </c>
      <c r="BA358" t="str">
        <f t="shared" si="156"/>
        <v>Neutral</v>
      </c>
      <c r="BB358">
        <f>survey_responses[[#This Row],[Tôi thấy Nhà nước đã giải thích rõ ràng, minh bạch về lý do và mục tiêu của việc sửa đổi thuế lần này. - HUMAN-TRU4]]</f>
        <v>7</v>
      </c>
      <c r="BC358" t="str">
        <f t="shared" si="157"/>
        <v>Neutral</v>
      </c>
      <c r="BD358" s="32">
        <f t="shared" si="158"/>
        <v>2</v>
      </c>
      <c r="BE358">
        <f>step3_validation[[#This Row],[AI_OUT1]]</f>
        <v>7</v>
      </c>
      <c r="BF358" t="str">
        <f t="shared" si="159"/>
        <v>Neutral</v>
      </c>
      <c r="BG358">
        <f>survey_responses[[#This Row],[Sau khi xem xét các quyền lợi và nghĩa vụ, bạn có ủng hộ và tuân thủ chính sách mới hiện nay? - HUMAN-OUT1]]</f>
        <v>8</v>
      </c>
      <c r="BH358" t="str">
        <f t="shared" si="160"/>
        <v>Support</v>
      </c>
      <c r="BI358" s="32">
        <f t="shared" si="161"/>
        <v>1</v>
      </c>
    </row>
    <row r="359" spans="1:61" x14ac:dyDescent="0.45">
      <c r="A359" s="30">
        <f>step3_validation[[#This Row],[Persona_ID]]</f>
        <v>358</v>
      </c>
      <c r="B359" s="31">
        <f>step3_validation[[#This Row],[Used_Seed]]</f>
        <v>12702</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15.110265671808389</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5</v>
      </c>
      <c r="R359" t="str">
        <f t="shared" si="135"/>
        <v>Neutral</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2</v>
      </c>
      <c r="V359">
        <f>step3_validation[[#This Row],[AI_ENF2]]</f>
        <v>6</v>
      </c>
      <c r="W359" t="str">
        <f t="shared" si="138"/>
        <v>Neutral</v>
      </c>
      <c r="X359">
        <f>survey_responses[[#This Row],[Tôi tin rằng Nhà nước, cơ quan thuế có đủ khả năng và công nghệ để phát hiện, xử lý nghiêm các hành vi trốn thuế. - HUMAN-ENF2]]</f>
        <v>7</v>
      </c>
      <c r="Y359" t="str">
        <f t="shared" si="139"/>
        <v>Neutral</v>
      </c>
      <c r="Z359" s="32">
        <f t="shared" si="140"/>
        <v>1</v>
      </c>
      <c r="AA359">
        <f>step3_validation[[#This Row],[AI_FAC1]]</f>
        <v>8</v>
      </c>
      <c r="AB359" t="str">
        <f t="shared" si="141"/>
        <v>Support</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1</v>
      </c>
      <c r="AF359">
        <f>step3_validation[[#This Row],[AI_FAC2]]</f>
        <v>9</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1</v>
      </c>
      <c r="AK359">
        <f>step3_validation[[#This Row],[AI_TRU1]]</f>
        <v>7</v>
      </c>
      <c r="AL359" t="str">
        <f t="shared" si="147"/>
        <v>Neutral</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0</v>
      </c>
      <c r="AP359">
        <f>step3_validation[[#This Row],[AI_TRU2]]</f>
        <v>6</v>
      </c>
      <c r="AQ359" t="str">
        <f t="shared" si="150"/>
        <v>Neutral</v>
      </c>
      <c r="AR359">
        <f>survey_responses[[#This Row],[Tôi thấy mức thuế tôi phải đóng theo phương án mới là công bằng (người thu nhập như tôi đóng mức này là hợp lý). - HUMAN-TRU2]]</f>
        <v>9</v>
      </c>
      <c r="AS359" t="str">
        <f t="shared" si="151"/>
        <v>Support</v>
      </c>
      <c r="AT359" s="32">
        <f t="shared" si="152"/>
        <v>3</v>
      </c>
      <c r="AU359">
        <f>step3_validation[[#This Row],[AI_TRU3]]</f>
        <v>8</v>
      </c>
      <c r="AV359" t="str">
        <f t="shared" si="153"/>
        <v>Support</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0</v>
      </c>
      <c r="AZ359">
        <f>step3_validation[[#This Row],[AI_TRU4]]</f>
        <v>5</v>
      </c>
      <c r="BA359" t="str">
        <f t="shared" si="156"/>
        <v>Neutral</v>
      </c>
      <c r="BB359">
        <f>survey_responses[[#This Row],[Tôi thấy Nhà nước đã giải thích rõ ràng, minh bạch về lý do và mục tiêu của việc sửa đổi thuế lần này. - HUMAN-TRU4]]</f>
        <v>8</v>
      </c>
      <c r="BC359" t="str">
        <f t="shared" si="157"/>
        <v>Support</v>
      </c>
      <c r="BD359" s="32">
        <f t="shared" si="158"/>
        <v>3</v>
      </c>
      <c r="BE359">
        <f>step3_validation[[#This Row],[AI_OUT1]]</f>
        <v>7</v>
      </c>
      <c r="BF359" t="str">
        <f t="shared" si="159"/>
        <v>Neutral</v>
      </c>
      <c r="BG359">
        <f>survey_responses[[#This Row],[Sau khi xem xét các quyền lợi và nghĩa vụ, bạn có ủng hộ và tuân thủ chính sách mới hiện nay? - HUMAN-OUT1]]</f>
        <v>8</v>
      </c>
      <c r="BH359" t="str">
        <f t="shared" si="160"/>
        <v>Support</v>
      </c>
      <c r="BI359" s="32">
        <f t="shared" si="161"/>
        <v>1</v>
      </c>
    </row>
    <row r="360" spans="1:61" x14ac:dyDescent="0.45">
      <c r="A360" s="30">
        <f>step3_validation[[#This Row],[Persona_ID]]</f>
        <v>359</v>
      </c>
      <c r="B360" s="31">
        <f>step3_validation[[#This Row],[Used_Seed]]</f>
        <v>12703</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18.218602068343287</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3</v>
      </c>
      <c r="V360">
        <f>step3_validation[[#This Row],[AI_ENF2]]</f>
        <v>8</v>
      </c>
      <c r="W360" t="str">
        <f t="shared" si="138"/>
        <v>Support</v>
      </c>
      <c r="X360">
        <f>survey_responses[[#This Row],[Tôi tin rằng Nhà nước, cơ quan thuế có đủ khả năng và công nghệ để phát hiện, xử lý nghiêm các hành vi trốn thuế. - HUMAN-ENF2]]</f>
        <v>5</v>
      </c>
      <c r="Y360" t="str">
        <f t="shared" si="139"/>
        <v>Neutral</v>
      </c>
      <c r="Z360" s="32">
        <f t="shared" si="140"/>
        <v>3</v>
      </c>
      <c r="AA360">
        <f>step3_validation[[#This Row],[AI_FAC1]]</f>
        <v>6</v>
      </c>
      <c r="AB360" t="str">
        <f t="shared" si="141"/>
        <v>Neutral</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0</v>
      </c>
      <c r="AF360">
        <f>step3_validation[[#This Row],[AI_FAC2]]</f>
        <v>8</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1</v>
      </c>
      <c r="AK360">
        <f>step3_validation[[#This Row],[AI_TRU1]]</f>
        <v>7</v>
      </c>
      <c r="AL360" t="str">
        <f t="shared" si="147"/>
        <v>Neutral</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0</v>
      </c>
      <c r="AP360">
        <f>step3_validation[[#This Row],[AI_TRU2]]</f>
        <v>6</v>
      </c>
      <c r="AQ360" t="str">
        <f t="shared" si="150"/>
        <v>Neutral</v>
      </c>
      <c r="AR360">
        <f>survey_responses[[#This Row],[Tôi thấy mức thuế tôi phải đóng theo phương án mới là công bằng (người thu nhập như tôi đóng mức này là hợp lý). - HUMAN-TRU2]]</f>
        <v>6</v>
      </c>
      <c r="AS360" t="str">
        <f t="shared" si="151"/>
        <v>Neutral</v>
      </c>
      <c r="AT360" s="32">
        <f t="shared" si="152"/>
        <v>0</v>
      </c>
      <c r="AU360">
        <f>step3_validation[[#This Row],[AI_TRU3]]</f>
        <v>5</v>
      </c>
      <c r="AV360" t="str">
        <f t="shared" si="153"/>
        <v>Neutral</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1</v>
      </c>
      <c r="AZ360">
        <f>step3_validation[[#This Row],[AI_TRU4]]</f>
        <v>6</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0</v>
      </c>
      <c r="BE360">
        <f>step3_validation[[#This Row],[AI_OUT1]]</f>
        <v>7</v>
      </c>
      <c r="BF360" t="str">
        <f t="shared" si="159"/>
        <v>Neutral</v>
      </c>
      <c r="BG360">
        <f>survey_responses[[#This Row],[Sau khi xem xét các quyền lợi và nghĩa vụ, bạn có ủng hộ và tuân thủ chính sách mới hiện nay? - HUMAN-OUT1]]</f>
        <v>7</v>
      </c>
      <c r="BH360" t="str">
        <f t="shared" si="160"/>
        <v>Neutral</v>
      </c>
      <c r="BI360" s="32">
        <f t="shared" si="161"/>
        <v>0</v>
      </c>
    </row>
    <row r="361" spans="1:61" x14ac:dyDescent="0.45">
      <c r="A361" s="30">
        <f>step3_validation[[#This Row],[Persona_ID]]</f>
        <v>360</v>
      </c>
      <c r="B361" s="31">
        <f>step3_validation[[#This Row],[Used_Seed]]</f>
        <v>12704</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18.514557326781983</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7</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2</v>
      </c>
      <c r="V361">
        <f>step3_validation[[#This Row],[AI_ENF2]]</f>
        <v>8</v>
      </c>
      <c r="W361" t="str">
        <f t="shared" si="138"/>
        <v>Support</v>
      </c>
      <c r="X361">
        <f>survey_responses[[#This Row],[Tôi tin rằng Nhà nước, cơ quan thuế có đủ khả năng và công nghệ để phát hiện, xử lý nghiêm các hành vi trốn thuế. - HUMAN-ENF2]]</f>
        <v>8</v>
      </c>
      <c r="Y361" t="str">
        <f t="shared" si="139"/>
        <v>Support</v>
      </c>
      <c r="Z361" s="32">
        <f t="shared" si="140"/>
        <v>0</v>
      </c>
      <c r="AA361">
        <f>step3_validation[[#This Row],[AI_FAC1]]</f>
        <v>6</v>
      </c>
      <c r="AB361" t="str">
        <f t="shared" si="141"/>
        <v>Neutral</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2</v>
      </c>
      <c r="AF361">
        <f>step3_validation[[#This Row],[AI_FAC2]]</f>
        <v>7</v>
      </c>
      <c r="AG361" t="str">
        <f t="shared" si="144"/>
        <v>Neutral</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1</v>
      </c>
      <c r="AK361">
        <f>step3_validation[[#This Row],[AI_TRU1]]</f>
        <v>6</v>
      </c>
      <c r="AL361" t="str">
        <f t="shared" si="147"/>
        <v>Neutral</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1</v>
      </c>
      <c r="AP361">
        <f>step3_validation[[#This Row],[AI_TRU2]]</f>
        <v>8</v>
      </c>
      <c r="AQ361" t="str">
        <f t="shared" si="150"/>
        <v>Support</v>
      </c>
      <c r="AR361">
        <f>survey_responses[[#This Row],[Tôi thấy mức thuế tôi phải đóng theo phương án mới là công bằng (người thu nhập như tôi đóng mức này là hợp lý). - HUMAN-TRU2]]</f>
        <v>7</v>
      </c>
      <c r="AS361" t="str">
        <f t="shared" si="151"/>
        <v>Neutral</v>
      </c>
      <c r="AT361" s="32">
        <f t="shared" si="152"/>
        <v>1</v>
      </c>
      <c r="AU361">
        <f>step3_validation[[#This Row],[AI_TRU3]]</f>
        <v>5</v>
      </c>
      <c r="AV361" t="str">
        <f t="shared" si="153"/>
        <v>Neutral</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1</v>
      </c>
      <c r="AZ361">
        <f>step3_validation[[#This Row],[AI_TRU4]]</f>
        <v>6</v>
      </c>
      <c r="BA361" t="str">
        <f t="shared" si="156"/>
        <v>Neutral</v>
      </c>
      <c r="BB361">
        <f>survey_responses[[#This Row],[Tôi thấy Nhà nước đã giải thích rõ ràng, minh bạch về lý do và mục tiêu của việc sửa đổi thuế lần này. - HUMAN-TRU4]]</f>
        <v>7</v>
      </c>
      <c r="BC361" t="str">
        <f t="shared" si="157"/>
        <v>Neutral</v>
      </c>
      <c r="BD361" s="32">
        <f t="shared" si="158"/>
        <v>1</v>
      </c>
      <c r="BE361">
        <f>step3_validation[[#This Row],[AI_OUT1]]</f>
        <v>7</v>
      </c>
      <c r="BF361" t="str">
        <f t="shared" si="159"/>
        <v>Neutral</v>
      </c>
      <c r="BG361">
        <f>survey_responses[[#This Row],[Sau khi xem xét các quyền lợi và nghĩa vụ, bạn có ủng hộ và tuân thủ chính sách mới hiện nay? - HUMAN-OUT1]]</f>
        <v>8</v>
      </c>
      <c r="BH361" t="str">
        <f t="shared" si="160"/>
        <v>Support</v>
      </c>
      <c r="BI361" s="32">
        <f t="shared" si="161"/>
        <v>1</v>
      </c>
    </row>
    <row r="362" spans="1:61" x14ac:dyDescent="0.45">
      <c r="A362" s="30">
        <f>step3_validation[[#This Row],[Persona_ID]]</f>
        <v>361</v>
      </c>
      <c r="B362" s="31">
        <f>step3_validation[[#This Row],[Used_Seed]]</f>
        <v>12705</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6</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1</v>
      </c>
      <c r="V362">
        <f>step3_validation[[#This Row],[AI_ENF2]]</f>
        <v>7</v>
      </c>
      <c r="W362" t="str">
        <f t="shared" si="138"/>
        <v>Neutral</v>
      </c>
      <c r="X362">
        <f>survey_responses[[#This Row],[Tôi tin rằng Nhà nước, cơ quan thuế có đủ khả năng và công nghệ để phát hiện, xử lý nghiêm các hành vi trốn thuế. - HUMAN-ENF2]]</f>
        <v>7</v>
      </c>
      <c r="Y362" t="str">
        <f t="shared" si="139"/>
        <v>Neutral</v>
      </c>
      <c r="Z362" s="32">
        <f t="shared" si="140"/>
        <v>0</v>
      </c>
      <c r="AA362">
        <f>step3_validation[[#This Row],[AI_FAC1]]</f>
        <v>7</v>
      </c>
      <c r="AB362" t="str">
        <f t="shared" si="141"/>
        <v>Neutral</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1</v>
      </c>
      <c r="AF362">
        <f>step3_validation[[#This Row],[AI_FAC2]]</f>
        <v>8</v>
      </c>
      <c r="AG362" t="str">
        <f t="shared" si="144"/>
        <v>Support</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1</v>
      </c>
      <c r="AK362">
        <f>step3_validation[[#This Row],[AI_TRU1]]</f>
        <v>5</v>
      </c>
      <c r="AL362" t="str">
        <f t="shared" si="147"/>
        <v>Neutral</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2</v>
      </c>
      <c r="AP362">
        <f>step3_validation[[#This Row],[AI_TRU2]]</f>
        <v>6</v>
      </c>
      <c r="AQ362" t="str">
        <f t="shared" si="150"/>
        <v>Neutral</v>
      </c>
      <c r="AR362">
        <f>survey_responses[[#This Row],[Tôi thấy mức thuế tôi phải đóng theo phương án mới là công bằng (người thu nhập như tôi đóng mức này là hợp lý). - HUMAN-TRU2]]</f>
        <v>10</v>
      </c>
      <c r="AS362" t="str">
        <f t="shared" si="151"/>
        <v>Support</v>
      </c>
      <c r="AT362" s="32">
        <f t="shared" si="152"/>
        <v>4</v>
      </c>
      <c r="AU362">
        <f>step3_validation[[#This Row],[AI_TRU3]]</f>
        <v>4</v>
      </c>
      <c r="AV362" t="str">
        <f t="shared" si="153"/>
        <v>Oppose</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4</v>
      </c>
      <c r="AZ362">
        <f>step3_validation[[#This Row],[AI_TRU4]]</f>
        <v>5</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3</v>
      </c>
      <c r="BE362">
        <f>step3_validation[[#This Row],[AI_OUT1]]</f>
        <v>6</v>
      </c>
      <c r="BF362" t="str">
        <f t="shared" si="159"/>
        <v>Neutral</v>
      </c>
      <c r="BG362">
        <f>survey_responses[[#This Row],[Sau khi xem xét các quyền lợi và nghĩa vụ, bạn có ủng hộ và tuân thủ chính sách mới hiện nay? - HUMAN-OUT1]]</f>
        <v>10</v>
      </c>
      <c r="BH362" t="str">
        <f t="shared" si="160"/>
        <v>Support</v>
      </c>
      <c r="BI362" s="32">
        <f t="shared" si="161"/>
        <v>4</v>
      </c>
    </row>
    <row r="363" spans="1:61" x14ac:dyDescent="0.45">
      <c r="A363" s="30">
        <f>step3_validation[[#This Row],[Persona_ID]]</f>
        <v>362</v>
      </c>
      <c r="B363" s="31">
        <f>step3_validation[[#This Row],[Used_Seed]]</f>
        <v>12706</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16.270761270443494</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7</v>
      </c>
      <c r="R363" t="str">
        <f t="shared" si="135"/>
        <v>Neutral</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4</v>
      </c>
      <c r="V363">
        <f>step3_validation[[#This Row],[AI_ENF2]]</f>
        <v>9</v>
      </c>
      <c r="W363" t="str">
        <f t="shared" si="138"/>
        <v>Support</v>
      </c>
      <c r="X363">
        <f>survey_responses[[#This Row],[Tôi tin rằng Nhà nước, cơ quan thuế có đủ khả năng và công nghệ để phát hiện, xử lý nghiêm các hành vi trốn thuế. - HUMAN-ENF2]]</f>
        <v>3</v>
      </c>
      <c r="Y363" t="str">
        <f t="shared" si="139"/>
        <v>Oppose</v>
      </c>
      <c r="Z363" s="32">
        <f t="shared" si="140"/>
        <v>6</v>
      </c>
      <c r="AA363">
        <f>step3_validation[[#This Row],[AI_FAC1]]</f>
        <v>8</v>
      </c>
      <c r="AB363" t="str">
        <f t="shared" si="141"/>
        <v>Support</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3</v>
      </c>
      <c r="AF363">
        <f>step3_validation[[#This Row],[AI_FAC2]]</f>
        <v>9</v>
      </c>
      <c r="AG363" t="str">
        <f t="shared" si="144"/>
        <v>Support</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3</v>
      </c>
      <c r="AK363">
        <f>step3_validation[[#This Row],[AI_TRU1]]</f>
        <v>8</v>
      </c>
      <c r="AL363" t="str">
        <f t="shared" si="147"/>
        <v>Support</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3</v>
      </c>
      <c r="AP363">
        <f>step3_validation[[#This Row],[AI_TRU2]]</f>
        <v>9</v>
      </c>
      <c r="AQ363" t="str">
        <f t="shared" si="150"/>
        <v>Support</v>
      </c>
      <c r="AR363">
        <f>survey_responses[[#This Row],[Tôi thấy mức thuế tôi phải đóng theo phương án mới là công bằng (người thu nhập như tôi đóng mức này là hợp lý). - HUMAN-TRU2]]</f>
        <v>6</v>
      </c>
      <c r="AS363" t="str">
        <f t="shared" si="151"/>
        <v>Neutral</v>
      </c>
      <c r="AT363" s="32">
        <f t="shared" si="152"/>
        <v>3</v>
      </c>
      <c r="AU363">
        <f>step3_validation[[#This Row],[AI_TRU3]]</f>
        <v>7</v>
      </c>
      <c r="AV363" t="str">
        <f t="shared" si="153"/>
        <v>Neutral</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3</v>
      </c>
      <c r="AZ363">
        <f>step3_validation[[#This Row],[AI_TRU4]]</f>
        <v>8</v>
      </c>
      <c r="BA363" t="str">
        <f t="shared" si="156"/>
        <v>Support</v>
      </c>
      <c r="BB363">
        <f>survey_responses[[#This Row],[Tôi thấy Nhà nước đã giải thích rõ ràng, minh bạch về lý do và mục tiêu của việc sửa đổi thuế lần này. - HUMAN-TRU4]]</f>
        <v>6</v>
      </c>
      <c r="BC363" t="str">
        <f t="shared" si="157"/>
        <v>Neutral</v>
      </c>
      <c r="BD363" s="32">
        <f t="shared" si="158"/>
        <v>2</v>
      </c>
      <c r="BE363">
        <f>step3_validation[[#This Row],[AI_OUT1]]</f>
        <v>8</v>
      </c>
      <c r="BF363" t="str">
        <f t="shared" si="159"/>
        <v>Support</v>
      </c>
      <c r="BG363">
        <f>survey_responses[[#This Row],[Sau khi xem xét các quyền lợi và nghĩa vụ, bạn có ủng hộ và tuân thủ chính sách mới hiện nay? - HUMAN-OUT1]]</f>
        <v>6</v>
      </c>
      <c r="BH363" t="str">
        <f t="shared" si="160"/>
        <v>Neutral</v>
      </c>
      <c r="BI363" s="32">
        <f t="shared" si="161"/>
        <v>2</v>
      </c>
    </row>
    <row r="364" spans="1:61" x14ac:dyDescent="0.45">
      <c r="A364" s="30">
        <f>step3_validation[[#This Row],[Persona_ID]]</f>
        <v>363</v>
      </c>
      <c r="B364" s="31">
        <f>step3_validation[[#This Row],[Used_Seed]]</f>
        <v>12707</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25.836097824113111</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t="str">
        <f t="shared" si="135"/>
        <v>Neutral</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1</v>
      </c>
      <c r="V364">
        <f>step3_validation[[#This Row],[AI_ENF2]]</f>
        <v>8</v>
      </c>
      <c r="W364" t="str">
        <f t="shared" si="138"/>
        <v>Support</v>
      </c>
      <c r="X364">
        <f>survey_responses[[#This Row],[Tôi tin rằng Nhà nước, cơ quan thuế có đủ khả năng và công nghệ để phát hiện, xử lý nghiêm các hành vi trốn thuế. - HUMAN-ENF2]]</f>
        <v>8</v>
      </c>
      <c r="Y364" t="str">
        <f t="shared" si="139"/>
        <v>Support</v>
      </c>
      <c r="Z364" s="32">
        <f t="shared" si="140"/>
        <v>0</v>
      </c>
      <c r="AA364">
        <f>step3_validation[[#This Row],[AI_FAC1]]</f>
        <v>9</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4</v>
      </c>
      <c r="AF364">
        <f>step3_validation[[#This Row],[AI_FAC2]]</f>
        <v>7</v>
      </c>
      <c r="AG364" t="str">
        <f t="shared" si="144"/>
        <v>Neutral</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0</v>
      </c>
      <c r="AK364">
        <f>step3_validation[[#This Row],[AI_TRU1]]</f>
        <v>8</v>
      </c>
      <c r="AL364" t="str">
        <f t="shared" si="147"/>
        <v>Support</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3</v>
      </c>
      <c r="AP364">
        <f>step3_validation[[#This Row],[AI_TRU2]]</f>
        <v>6</v>
      </c>
      <c r="AQ364" t="str">
        <f t="shared" si="150"/>
        <v>Neutral</v>
      </c>
      <c r="AR364">
        <f>survey_responses[[#This Row],[Tôi thấy mức thuế tôi phải đóng theo phương án mới là công bằng (người thu nhập như tôi đóng mức này là hợp lý). - HUMAN-TRU2]]</f>
        <v>8</v>
      </c>
      <c r="AS364" t="str">
        <f t="shared" si="151"/>
        <v>Support</v>
      </c>
      <c r="AT364" s="32">
        <f t="shared" si="152"/>
        <v>2</v>
      </c>
      <c r="AU364">
        <f>step3_validation[[#This Row],[AI_TRU3]]</f>
        <v>9</v>
      </c>
      <c r="AV364" t="str">
        <f t="shared" si="153"/>
        <v>Support</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4</v>
      </c>
      <c r="AZ364">
        <f>step3_validation[[#This Row],[AI_TRU4]]</f>
        <v>7</v>
      </c>
      <c r="BA364" t="str">
        <f t="shared" si="156"/>
        <v>Neutral</v>
      </c>
      <c r="BB364">
        <f>survey_responses[[#This Row],[Tôi thấy Nhà nước đã giải thích rõ ràng, minh bạch về lý do và mục tiêu của việc sửa đổi thuế lần này. - HUMAN-TRU4]]</f>
        <v>7</v>
      </c>
      <c r="BC364" t="str">
        <f t="shared" si="157"/>
        <v>Neutral</v>
      </c>
      <c r="BD364" s="32">
        <f t="shared" si="158"/>
        <v>0</v>
      </c>
      <c r="BE364">
        <f>step3_validation[[#This Row],[AI_OUT1]]</f>
        <v>8</v>
      </c>
      <c r="BF364" t="str">
        <f t="shared" si="159"/>
        <v>Support</v>
      </c>
      <c r="BG364">
        <f>survey_responses[[#This Row],[Sau khi xem xét các quyền lợi và nghĩa vụ, bạn có ủng hộ và tuân thủ chính sách mới hiện nay? - HUMAN-OUT1]]</f>
        <v>8</v>
      </c>
      <c r="BH364" t="str">
        <f t="shared" si="160"/>
        <v>Support</v>
      </c>
      <c r="BI364" s="32">
        <f t="shared" si="161"/>
        <v>0</v>
      </c>
    </row>
    <row r="365" spans="1:61" x14ac:dyDescent="0.45">
      <c r="A365" s="30">
        <f>step3_validation[[#This Row],[Persona_ID]]</f>
        <v>364</v>
      </c>
      <c r="B365" s="31">
        <f>step3_validation[[#This Row],[Used_Seed]]</f>
        <v>12708</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18.182181126099756</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8</v>
      </c>
      <c r="R365" t="str">
        <f t="shared" si="135"/>
        <v>Support</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4</v>
      </c>
      <c r="V365">
        <f>step3_validation[[#This Row],[AI_ENF2]]</f>
        <v>9</v>
      </c>
      <c r="W365" t="str">
        <f t="shared" si="138"/>
        <v>Support</v>
      </c>
      <c r="X365">
        <f>survey_responses[[#This Row],[Tôi tin rằng Nhà nước, cơ quan thuế có đủ khả năng và công nghệ để phát hiện, xử lý nghiêm các hành vi trốn thuế. - HUMAN-ENF2]]</f>
        <v>5</v>
      </c>
      <c r="Y365" t="str">
        <f t="shared" si="139"/>
        <v>Neutral</v>
      </c>
      <c r="Z365" s="32">
        <f t="shared" si="140"/>
        <v>4</v>
      </c>
      <c r="AA365">
        <f>step3_validation[[#This Row],[AI_FAC1]]</f>
        <v>7</v>
      </c>
      <c r="AB365" t="str">
        <f t="shared" si="141"/>
        <v>Neutral</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2</v>
      </c>
      <c r="AF365">
        <f>step3_validation[[#This Row],[AI_FAC2]]</f>
        <v>8</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1</v>
      </c>
      <c r="AK365">
        <f>step3_validation[[#This Row],[AI_TRU1]]</f>
        <v>7</v>
      </c>
      <c r="AL365" t="str">
        <f t="shared" si="147"/>
        <v>Neutral</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2</v>
      </c>
      <c r="AP365">
        <f>step3_validation[[#This Row],[AI_TRU2]]</f>
        <v>8</v>
      </c>
      <c r="AQ365" t="str">
        <f t="shared" si="150"/>
        <v>Support</v>
      </c>
      <c r="AR365">
        <f>survey_responses[[#This Row],[Tôi thấy mức thuế tôi phải đóng theo phương án mới là công bằng (người thu nhập như tôi đóng mức này là hợp lý). - HUMAN-TRU2]]</f>
        <v>7</v>
      </c>
      <c r="AS365" t="str">
        <f t="shared" si="151"/>
        <v>Neutral</v>
      </c>
      <c r="AT365" s="32">
        <f t="shared" si="152"/>
        <v>1</v>
      </c>
      <c r="AU365">
        <f>step3_validation[[#This Row],[AI_TRU3]]</f>
        <v>7</v>
      </c>
      <c r="AV365" t="str">
        <f t="shared" si="153"/>
        <v>Neutral</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2</v>
      </c>
      <c r="AZ365">
        <f>step3_validation[[#This Row],[AI_TRU4]]</f>
        <v>6</v>
      </c>
      <c r="BA365" t="str">
        <f t="shared" si="156"/>
        <v>Neutral</v>
      </c>
      <c r="BB365">
        <f>survey_responses[[#This Row],[Tôi thấy Nhà nước đã giải thích rõ ràng, minh bạch về lý do và mục tiêu của việc sửa đổi thuế lần này. - HUMAN-TRU4]]</f>
        <v>6</v>
      </c>
      <c r="BC365" t="str">
        <f t="shared" si="157"/>
        <v>Neutral</v>
      </c>
      <c r="BD365" s="32">
        <f t="shared" si="158"/>
        <v>0</v>
      </c>
      <c r="BE365">
        <f>step3_validation[[#This Row],[AI_OUT1]]</f>
        <v>7</v>
      </c>
      <c r="BF365" t="str">
        <f t="shared" si="159"/>
        <v>Neutral</v>
      </c>
      <c r="BG365">
        <f>survey_responses[[#This Row],[Sau khi xem xét các quyền lợi và nghĩa vụ, bạn có ủng hộ và tuân thủ chính sách mới hiện nay? - HUMAN-OUT1]]</f>
        <v>7</v>
      </c>
      <c r="BH365" t="str">
        <f t="shared" si="160"/>
        <v>Neutral</v>
      </c>
      <c r="BI365" s="32">
        <f t="shared" si="161"/>
        <v>0</v>
      </c>
    </row>
    <row r="366" spans="1:61" x14ac:dyDescent="0.45">
      <c r="A366" s="30">
        <f>step3_validation[[#This Row],[Persona_ID]]</f>
        <v>365</v>
      </c>
      <c r="B366" s="31">
        <f>step3_validation[[#This Row],[Used_Seed]]</f>
        <v>12709</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46.942828274849099</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6</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3</v>
      </c>
      <c r="V366">
        <f>step3_validation[[#This Row],[AI_ENF2]]</f>
        <v>7</v>
      </c>
      <c r="W366" t="str">
        <f t="shared" si="138"/>
        <v>Neutral</v>
      </c>
      <c r="X366">
        <f>survey_responses[[#This Row],[Tôi tin rằng Nhà nước, cơ quan thuế có đủ khả năng và công nghệ để phát hiện, xử lý nghiêm các hành vi trốn thuế. - HUMAN-ENF2]]</f>
        <v>9</v>
      </c>
      <c r="Y366" t="str">
        <f t="shared" si="139"/>
        <v>Support</v>
      </c>
      <c r="Z366" s="32">
        <f t="shared" si="140"/>
        <v>2</v>
      </c>
      <c r="AA366">
        <f>step3_validation[[#This Row],[AI_FAC1]]</f>
        <v>6</v>
      </c>
      <c r="AB366" t="str">
        <f t="shared" si="141"/>
        <v>Neutral</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2</v>
      </c>
      <c r="AF366">
        <f>step3_validation[[#This Row],[AI_FAC2]]</f>
        <v>7</v>
      </c>
      <c r="AG366" t="str">
        <f t="shared" si="144"/>
        <v>Neutral</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2</v>
      </c>
      <c r="AK366">
        <f>step3_validation[[#This Row],[AI_TRU1]]</f>
        <v>6</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3</v>
      </c>
      <c r="AP366">
        <f>step3_validation[[#This Row],[AI_TRU2]]</f>
        <v>8</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2">
        <f t="shared" si="152"/>
        <v>1</v>
      </c>
      <c r="AU366">
        <f>step3_validation[[#This Row],[AI_TRU3]]</f>
        <v>7</v>
      </c>
      <c r="AV366" t="str">
        <f t="shared" si="153"/>
        <v>Neutral</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0</v>
      </c>
      <c r="AZ366">
        <f>step3_validation[[#This Row],[AI_TRU4]]</f>
        <v>5</v>
      </c>
      <c r="BA366" t="str">
        <f t="shared" si="156"/>
        <v>Neutral</v>
      </c>
      <c r="BB366">
        <f>survey_responses[[#This Row],[Tôi thấy Nhà nước đã giải thích rõ ràng, minh bạch về lý do và mục tiêu của việc sửa đổi thuế lần này. - HUMAN-TRU4]]</f>
        <v>7</v>
      </c>
      <c r="BC366" t="str">
        <f t="shared" si="157"/>
        <v>Neutral</v>
      </c>
      <c r="BD366" s="32">
        <f t="shared" si="158"/>
        <v>2</v>
      </c>
      <c r="BE366">
        <f>step3_validation[[#This Row],[AI_OUT1]]</f>
        <v>7</v>
      </c>
      <c r="BF366" t="str">
        <f t="shared" si="159"/>
        <v>Neutral</v>
      </c>
      <c r="BG366">
        <f>survey_responses[[#This Row],[Sau khi xem xét các quyền lợi và nghĩa vụ, bạn có ủng hộ và tuân thủ chính sách mới hiện nay? - HUMAN-OUT1]]</f>
        <v>7</v>
      </c>
      <c r="BH366" t="str">
        <f t="shared" si="160"/>
        <v>Neutral</v>
      </c>
      <c r="BI366" s="32">
        <f t="shared" si="161"/>
        <v>0</v>
      </c>
    </row>
    <row r="367" spans="1:61" x14ac:dyDescent="0.45">
      <c r="A367" s="30">
        <f>step3_validation[[#This Row],[Persona_ID]]</f>
        <v>366</v>
      </c>
      <c r="B367" s="31">
        <f>step3_validation[[#This Row],[Used_Seed]]</f>
        <v>12710</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68.883594394844124</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7</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0</v>
      </c>
      <c r="V367">
        <f>step3_validation[[#This Row],[AI_ENF2]]</f>
        <v>8</v>
      </c>
      <c r="W367" t="str">
        <f t="shared" si="138"/>
        <v>Support</v>
      </c>
      <c r="X367">
        <f>survey_responses[[#This Row],[Tôi tin rằng Nhà nước, cơ quan thuế có đủ khả năng và công nghệ để phát hiện, xử lý nghiêm các hành vi trốn thuế. - HUMAN-ENF2]]</f>
        <v>8</v>
      </c>
      <c r="Y367" t="str">
        <f t="shared" si="139"/>
        <v>Support</v>
      </c>
      <c r="Z367" s="32">
        <f t="shared" si="140"/>
        <v>0</v>
      </c>
      <c r="AA367">
        <f>step3_validation[[#This Row],[AI_FAC1]]</f>
        <v>6</v>
      </c>
      <c r="AB367" t="str">
        <f t="shared" si="141"/>
        <v>Neutral</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2</v>
      </c>
      <c r="AF367">
        <f>step3_validation[[#This Row],[AI_FAC2]]</f>
        <v>9</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1</v>
      </c>
      <c r="AK367">
        <f>step3_validation[[#This Row],[AI_TRU1]]</f>
        <v>7</v>
      </c>
      <c r="AL367" t="str">
        <f t="shared" si="147"/>
        <v>Neutral</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2</v>
      </c>
      <c r="AP367">
        <f>step3_validation[[#This Row],[AI_TRU2]]</f>
        <v>6</v>
      </c>
      <c r="AQ367" t="str">
        <f t="shared" si="150"/>
        <v>Neutral</v>
      </c>
      <c r="AR367">
        <f>survey_responses[[#This Row],[Tôi thấy mức thuế tôi phải đóng theo phương án mới là công bằng (người thu nhập như tôi đóng mức này là hợp lý). - HUMAN-TRU2]]</f>
        <v>6</v>
      </c>
      <c r="AS367" t="str">
        <f t="shared" si="151"/>
        <v>Neutral</v>
      </c>
      <c r="AT367" s="32">
        <f t="shared" si="152"/>
        <v>0</v>
      </c>
      <c r="AU367">
        <f>step3_validation[[#This Row],[AI_TRU3]]</f>
        <v>7</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2</v>
      </c>
      <c r="AZ367">
        <f>step3_validation[[#This Row],[AI_TRU4]]</f>
        <v>6</v>
      </c>
      <c r="BA367" t="str">
        <f t="shared" si="156"/>
        <v>Neutral</v>
      </c>
      <c r="BB367">
        <f>survey_responses[[#This Row],[Tôi thấy Nhà nước đã giải thích rõ ràng, minh bạch về lý do và mục tiêu của việc sửa đổi thuế lần này. - HUMAN-TRU4]]</f>
        <v>6</v>
      </c>
      <c r="BC367" t="str">
        <f t="shared" si="157"/>
        <v>Neutral</v>
      </c>
      <c r="BD367" s="32">
        <f t="shared" si="158"/>
        <v>0</v>
      </c>
      <c r="BE367">
        <f>step3_validation[[#This Row],[AI_OUT1]]</f>
        <v>5</v>
      </c>
      <c r="BF367" t="str">
        <f t="shared" si="159"/>
        <v>Neutral</v>
      </c>
      <c r="BG367">
        <f>survey_responses[[#This Row],[Sau khi xem xét các quyền lợi và nghĩa vụ, bạn có ủng hộ và tuân thủ chính sách mới hiện nay? - HUMAN-OUT1]]</f>
        <v>6</v>
      </c>
      <c r="BH367" t="str">
        <f t="shared" si="160"/>
        <v>Neutral</v>
      </c>
      <c r="BI367" s="32">
        <f t="shared" si="161"/>
        <v>1</v>
      </c>
    </row>
    <row r="368" spans="1:61" x14ac:dyDescent="0.45">
      <c r="A368" s="30">
        <f>step3_validation[[#This Row],[Persona_ID]]</f>
        <v>367</v>
      </c>
      <c r="B368" s="31">
        <f>step3_validation[[#This Row],[Used_Seed]]</f>
        <v>12711</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16.818679472200255</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6</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2</v>
      </c>
      <c r="V368">
        <f>step3_validation[[#This Row],[AI_ENF2]]</f>
        <v>6</v>
      </c>
      <c r="W368" t="str">
        <f t="shared" si="138"/>
        <v>Neutral</v>
      </c>
      <c r="X368">
        <f>survey_responses[[#This Row],[Tôi tin rằng Nhà nước, cơ quan thuế có đủ khả năng và công nghệ để phát hiện, xử lý nghiêm các hành vi trốn thuế. - HUMAN-ENF2]]</f>
        <v>9</v>
      </c>
      <c r="Y368" t="str">
        <f t="shared" si="139"/>
        <v>Support</v>
      </c>
      <c r="Z368" s="32">
        <f t="shared" si="140"/>
        <v>3</v>
      </c>
      <c r="AA368">
        <f>step3_validation[[#This Row],[AI_FAC1]]</f>
        <v>7</v>
      </c>
      <c r="AB368" t="str">
        <f t="shared" si="141"/>
        <v>Neutral</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1</v>
      </c>
      <c r="AF368">
        <f>step3_validation[[#This Row],[AI_FAC2]]</f>
        <v>8</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0</v>
      </c>
      <c r="AK368">
        <f>step3_validation[[#This Row],[AI_TRU1]]</f>
        <v>5</v>
      </c>
      <c r="AL368" t="str">
        <f t="shared" si="147"/>
        <v>Neutral</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4</v>
      </c>
      <c r="AP368">
        <f>step3_validation[[#This Row],[AI_TRU2]]</f>
        <v>8</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2">
        <f t="shared" si="152"/>
        <v>2</v>
      </c>
      <c r="AU368">
        <f>step3_validation[[#This Row],[AI_TRU3]]</f>
        <v>6</v>
      </c>
      <c r="AV368" t="str">
        <f t="shared" si="153"/>
        <v>Neutral</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4</v>
      </c>
      <c r="AZ368">
        <f>step3_validation[[#This Row],[AI_TRU4]]</f>
        <v>7</v>
      </c>
      <c r="BA368" t="str">
        <f t="shared" si="156"/>
        <v>Neutral</v>
      </c>
      <c r="BB368">
        <f>survey_responses[[#This Row],[Tôi thấy Nhà nước đã giải thích rõ ràng, minh bạch về lý do và mục tiêu của việc sửa đổi thuế lần này. - HUMAN-TRU4]]</f>
        <v>9</v>
      </c>
      <c r="BC368" t="str">
        <f t="shared" si="157"/>
        <v>Support</v>
      </c>
      <c r="BD368" s="32">
        <f t="shared" si="158"/>
        <v>2</v>
      </c>
      <c r="BE368">
        <f>step3_validation[[#This Row],[AI_OUT1]]</f>
        <v>6</v>
      </c>
      <c r="BF368" t="str">
        <f t="shared" si="159"/>
        <v>Neutral</v>
      </c>
      <c r="BG368">
        <f>survey_responses[[#This Row],[Sau khi xem xét các quyền lợi và nghĩa vụ, bạn có ủng hộ và tuân thủ chính sách mới hiện nay? - HUMAN-OUT1]]</f>
        <v>10</v>
      </c>
      <c r="BH368" t="str">
        <f t="shared" si="160"/>
        <v>Support</v>
      </c>
      <c r="BI368" s="32">
        <f t="shared" si="161"/>
        <v>4</v>
      </c>
    </row>
    <row r="369" spans="1:61" x14ac:dyDescent="0.45">
      <c r="A369" s="30">
        <f>step3_validation[[#This Row],[Persona_ID]]</f>
        <v>368</v>
      </c>
      <c r="B369" s="31">
        <f>step3_validation[[#This Row],[Used_Seed]]</f>
        <v>12712</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29.223706589345699</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8</v>
      </c>
      <c r="R369" t="str">
        <f t="shared" si="135"/>
        <v>Support</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1</v>
      </c>
      <c r="V369">
        <f>step3_validation[[#This Row],[AI_ENF2]]</f>
        <v>7</v>
      </c>
      <c r="W369" t="str">
        <f t="shared" si="138"/>
        <v>Neutral</v>
      </c>
      <c r="X369">
        <f>survey_responses[[#This Row],[Tôi tin rằng Nhà nước, cơ quan thuế có đủ khả năng và công nghệ để phát hiện, xử lý nghiêm các hành vi trốn thuế. - HUMAN-ENF2]]</f>
        <v>7</v>
      </c>
      <c r="Y369" t="str">
        <f t="shared" si="139"/>
        <v>Neutral</v>
      </c>
      <c r="Z369" s="32">
        <f t="shared" si="140"/>
        <v>0</v>
      </c>
      <c r="AA369">
        <f>step3_validation[[#This Row],[AI_FAC1]]</f>
        <v>9</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1</v>
      </c>
      <c r="AF369">
        <f>step3_validation[[#This Row],[AI_FAC2]]</f>
        <v>8</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0</v>
      </c>
      <c r="AK369">
        <f>step3_validation[[#This Row],[AI_TRU1]]</f>
        <v>6</v>
      </c>
      <c r="AL369" t="str">
        <f t="shared" si="147"/>
        <v>Neutral</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0</v>
      </c>
      <c r="AP369">
        <f>step3_validation[[#This Row],[AI_TRU2]]</f>
        <v>5</v>
      </c>
      <c r="AQ369" t="str">
        <f t="shared" si="150"/>
        <v>Neutral</v>
      </c>
      <c r="AR369">
        <f>survey_responses[[#This Row],[Tôi thấy mức thuế tôi phải đóng theo phương án mới là công bằng (người thu nhập như tôi đóng mức này là hợp lý). - HUMAN-TRU2]]</f>
        <v>8</v>
      </c>
      <c r="AS369" t="str">
        <f t="shared" si="151"/>
        <v>Support</v>
      </c>
      <c r="AT369" s="32">
        <f t="shared" si="152"/>
        <v>3</v>
      </c>
      <c r="AU369">
        <f>step3_validation[[#This Row],[AI_TRU3]]</f>
        <v>4</v>
      </c>
      <c r="AV369" t="str">
        <f t="shared" si="153"/>
        <v>Oppose</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2</v>
      </c>
      <c r="AZ369">
        <f>step3_validation[[#This Row],[AI_TRU4]]</f>
        <v>5</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2">
        <f t="shared" si="158"/>
        <v>2</v>
      </c>
      <c r="BE369">
        <f>step3_validation[[#This Row],[AI_OUT1]]</f>
        <v>8</v>
      </c>
      <c r="BF369" t="str">
        <f t="shared" si="159"/>
        <v>Support</v>
      </c>
      <c r="BG369">
        <f>survey_responses[[#This Row],[Sau khi xem xét các quyền lợi và nghĩa vụ, bạn có ủng hộ và tuân thủ chính sách mới hiện nay? - HUMAN-OUT1]]</f>
        <v>8</v>
      </c>
      <c r="BH369" t="str">
        <f t="shared" si="160"/>
        <v>Support</v>
      </c>
      <c r="BI369" s="32">
        <f t="shared" si="161"/>
        <v>0</v>
      </c>
    </row>
    <row r="370" spans="1:61" x14ac:dyDescent="0.45">
      <c r="A370" s="30">
        <f>step3_validation[[#This Row],[Persona_ID]]</f>
        <v>369</v>
      </c>
      <c r="B370" s="31">
        <f>step3_validation[[#This Row],[Used_Seed]]</f>
        <v>12713</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14.334666874127459</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8</v>
      </c>
      <c r="R370" t="str">
        <f t="shared" si="135"/>
        <v>Support</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2</v>
      </c>
      <c r="V370">
        <f>step3_validation[[#This Row],[AI_ENF2]]</f>
        <v>7</v>
      </c>
      <c r="W370" t="str">
        <f t="shared" si="138"/>
        <v>Neutral</v>
      </c>
      <c r="X370">
        <f>survey_responses[[#This Row],[Tôi tin rằng Nhà nước, cơ quan thuế có đủ khả năng và công nghệ để phát hiện, xử lý nghiêm các hành vi trốn thuế. - HUMAN-ENF2]]</f>
        <v>6</v>
      </c>
      <c r="Y370" t="str">
        <f t="shared" si="139"/>
        <v>Neutral</v>
      </c>
      <c r="Z370" s="32">
        <f t="shared" si="140"/>
        <v>1</v>
      </c>
      <c r="AA370">
        <f>step3_validation[[#This Row],[AI_FAC1]]</f>
        <v>6</v>
      </c>
      <c r="AB370" t="str">
        <f t="shared" si="141"/>
        <v>Neutral</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2</v>
      </c>
      <c r="AF370">
        <f>step3_validation[[#This Row],[AI_FAC2]]</f>
        <v>8</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1</v>
      </c>
      <c r="AK370">
        <f>step3_validation[[#This Row],[AI_TRU1]]</f>
        <v>7</v>
      </c>
      <c r="AL370" t="str">
        <f t="shared" si="147"/>
        <v>Neutral</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1</v>
      </c>
      <c r="AP370">
        <f>step3_validation[[#This Row],[AI_TRU2]]</f>
        <v>7</v>
      </c>
      <c r="AQ370" t="str">
        <f t="shared" si="150"/>
        <v>Neutral</v>
      </c>
      <c r="AR370">
        <f>survey_responses[[#This Row],[Tôi thấy mức thuế tôi phải đóng theo phương án mới là công bằng (người thu nhập như tôi đóng mức này là hợp lý). - HUMAN-TRU2]]</f>
        <v>8</v>
      </c>
      <c r="AS370" t="str">
        <f t="shared" si="151"/>
        <v>Support</v>
      </c>
      <c r="AT370" s="32">
        <f t="shared" si="152"/>
        <v>1</v>
      </c>
      <c r="AU370">
        <f>step3_validation[[#This Row],[AI_TRU3]]</f>
        <v>6</v>
      </c>
      <c r="AV370" t="str">
        <f t="shared" si="153"/>
        <v>Neutral</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1</v>
      </c>
      <c r="AZ370">
        <f>step3_validation[[#This Row],[AI_TRU4]]</f>
        <v>5</v>
      </c>
      <c r="BA370" t="str">
        <f t="shared" si="156"/>
        <v>Neutral</v>
      </c>
      <c r="BB370">
        <f>survey_responses[[#This Row],[Tôi thấy Nhà nước đã giải thích rõ ràng, minh bạch về lý do và mục tiêu của việc sửa đổi thuế lần này. - HUMAN-TRU4]]</f>
        <v>7</v>
      </c>
      <c r="BC370" t="str">
        <f t="shared" si="157"/>
        <v>Neutral</v>
      </c>
      <c r="BD370" s="32">
        <f t="shared" si="158"/>
        <v>2</v>
      </c>
      <c r="BE370">
        <f>step3_validation[[#This Row],[AI_OUT1]]</f>
        <v>7</v>
      </c>
      <c r="BF370" t="str">
        <f t="shared" si="159"/>
        <v>Neutral</v>
      </c>
      <c r="BG370">
        <f>survey_responses[[#This Row],[Sau khi xem xét các quyền lợi và nghĩa vụ, bạn có ủng hộ và tuân thủ chính sách mới hiện nay? - HUMAN-OUT1]]</f>
        <v>8</v>
      </c>
      <c r="BH370" t="str">
        <f t="shared" si="160"/>
        <v>Support</v>
      </c>
      <c r="BI370" s="32">
        <f t="shared" si="161"/>
        <v>1</v>
      </c>
    </row>
    <row r="371" spans="1:61" x14ac:dyDescent="0.45">
      <c r="A371" s="30">
        <f>step3_validation[[#This Row],[Persona_ID]]</f>
        <v>370</v>
      </c>
      <c r="B371" s="31">
        <f>step3_validation[[#This Row],[Used_Seed]]</f>
        <v>12714</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18.287658310058934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8</v>
      </c>
      <c r="R371" t="str">
        <f t="shared" si="135"/>
        <v>Support</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2</v>
      </c>
      <c r="V371">
        <f>step3_validation[[#This Row],[AI_ENF2]]</f>
        <v>9</v>
      </c>
      <c r="W371" t="str">
        <f t="shared" si="138"/>
        <v>Support</v>
      </c>
      <c r="X371">
        <f>survey_responses[[#This Row],[Tôi tin rằng Nhà nước, cơ quan thuế có đủ khả năng và công nghệ để phát hiện, xử lý nghiêm các hành vi trốn thuế. - HUMAN-ENF2]]</f>
        <v>7</v>
      </c>
      <c r="Y371" t="str">
        <f t="shared" si="139"/>
        <v>Neutral</v>
      </c>
      <c r="Z371" s="32">
        <f t="shared" si="140"/>
        <v>2</v>
      </c>
      <c r="AA371">
        <f>step3_validation[[#This Row],[AI_FAC1]]</f>
        <v>8</v>
      </c>
      <c r="AB371" t="str">
        <f t="shared" si="141"/>
        <v>Support</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1</v>
      </c>
      <c r="AF371">
        <f>step3_validation[[#This Row],[AI_FAC2]]</f>
        <v>7</v>
      </c>
      <c r="AG371" t="str">
        <f t="shared" si="144"/>
        <v>Neutral</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2</v>
      </c>
      <c r="AK371">
        <f>step3_validation[[#This Row],[AI_TRU1]]</f>
        <v>8</v>
      </c>
      <c r="AL371" t="str">
        <f t="shared" si="147"/>
        <v>Support</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1</v>
      </c>
      <c r="AP371">
        <f>step3_validation[[#This Row],[AI_TRU2]]</f>
        <v>9</v>
      </c>
      <c r="AQ371" t="str">
        <f t="shared" si="150"/>
        <v>Support</v>
      </c>
      <c r="AR371">
        <f>survey_responses[[#This Row],[Tôi thấy mức thuế tôi phải đóng theo phương án mới là công bằng (người thu nhập như tôi đóng mức này là hợp lý). - HUMAN-TRU2]]</f>
        <v>9</v>
      </c>
      <c r="AS371" t="str">
        <f t="shared" si="151"/>
        <v>Support</v>
      </c>
      <c r="AT371" s="32">
        <f t="shared" si="152"/>
        <v>0</v>
      </c>
      <c r="AU371">
        <f>step3_validation[[#This Row],[AI_TRU3]]</f>
        <v>8</v>
      </c>
      <c r="AV371" t="str">
        <f t="shared" si="153"/>
        <v>Support</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1</v>
      </c>
      <c r="AZ371">
        <f>step3_validation[[#This Row],[AI_TRU4]]</f>
        <v>7</v>
      </c>
      <c r="BA371" t="str">
        <f t="shared" si="156"/>
        <v>Neutral</v>
      </c>
      <c r="BB371">
        <f>survey_responses[[#This Row],[Tôi thấy Nhà nước đã giải thích rõ ràng, minh bạch về lý do và mục tiêu của việc sửa đổi thuế lần này. - HUMAN-TRU4]]</f>
        <v>9</v>
      </c>
      <c r="BC371" t="str">
        <f t="shared" si="157"/>
        <v>Support</v>
      </c>
      <c r="BD371" s="32">
        <f t="shared" si="158"/>
        <v>2</v>
      </c>
      <c r="BE371">
        <f>step3_validation[[#This Row],[AI_OUT1]]</f>
        <v>9</v>
      </c>
      <c r="BF371" t="str">
        <f t="shared" si="159"/>
        <v>Support</v>
      </c>
      <c r="BG371">
        <f>survey_responses[[#This Row],[Sau khi xem xét các quyền lợi và nghĩa vụ, bạn có ủng hộ và tuân thủ chính sách mới hiện nay? - HUMAN-OUT1]]</f>
        <v>9</v>
      </c>
      <c r="BH371" t="str">
        <f t="shared" si="160"/>
        <v>Support</v>
      </c>
      <c r="BI371" s="32">
        <f t="shared" si="161"/>
        <v>0</v>
      </c>
    </row>
    <row r="372" spans="1:61" x14ac:dyDescent="0.45">
      <c r="A372" s="30">
        <f>step3_validation[[#This Row],[Persona_ID]]</f>
        <v>371</v>
      </c>
      <c r="B372" s="31">
        <f>step3_validation[[#This Row],[Used_Seed]]</f>
        <v>12715</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57.925657763033932</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7</v>
      </c>
      <c r="R372" t="str">
        <f t="shared" si="135"/>
        <v>Neutral</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3</v>
      </c>
      <c r="V372">
        <f>step3_validation[[#This Row],[AI_ENF2]]</f>
        <v>8</v>
      </c>
      <c r="W372" t="str">
        <f t="shared" si="138"/>
        <v>Support</v>
      </c>
      <c r="X372">
        <f>survey_responses[[#This Row],[Tôi tin rằng Nhà nước, cơ quan thuế có đủ khả năng và công nghệ để phát hiện, xử lý nghiêm các hành vi trốn thuế. - HUMAN-ENF2]]</f>
        <v>4</v>
      </c>
      <c r="Y372" t="str">
        <f t="shared" si="139"/>
        <v>Oppose</v>
      </c>
      <c r="Z372" s="32">
        <f t="shared" si="140"/>
        <v>4</v>
      </c>
      <c r="AA372">
        <f>step3_validation[[#This Row],[AI_FAC1]]</f>
        <v>6</v>
      </c>
      <c r="AB372" t="str">
        <f t="shared" si="141"/>
        <v>Neutral</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1</v>
      </c>
      <c r="AF372">
        <f>step3_validation[[#This Row],[AI_FAC2]]</f>
        <v>7</v>
      </c>
      <c r="AG372" t="str">
        <f t="shared" si="144"/>
        <v>Neutral</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2</v>
      </c>
      <c r="AK372">
        <f>step3_validation[[#This Row],[AI_TRU1]]</f>
        <v>8</v>
      </c>
      <c r="AL372" t="str">
        <f t="shared" si="147"/>
        <v>Support</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3</v>
      </c>
      <c r="AP372">
        <f>step3_validation[[#This Row],[AI_TRU2]]</f>
        <v>7</v>
      </c>
      <c r="AQ372" t="str">
        <f t="shared" si="150"/>
        <v>Neutral</v>
      </c>
      <c r="AR372">
        <f>survey_responses[[#This Row],[Tôi thấy mức thuế tôi phải đóng theo phương án mới là công bằng (người thu nhập như tôi đóng mức này là hợp lý). - HUMAN-TRU2]]</f>
        <v>4</v>
      </c>
      <c r="AS372" t="str">
        <f t="shared" si="151"/>
        <v>Oppose</v>
      </c>
      <c r="AT372" s="32">
        <f t="shared" si="152"/>
        <v>3</v>
      </c>
      <c r="AU372">
        <f>step3_validation[[#This Row],[AI_TRU3]]</f>
        <v>8</v>
      </c>
      <c r="AV372" t="str">
        <f t="shared" si="153"/>
        <v>Support</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3</v>
      </c>
      <c r="AZ372">
        <f>step3_validation[[#This Row],[AI_TRU4]]</f>
        <v>7</v>
      </c>
      <c r="BA372" t="str">
        <f t="shared" si="156"/>
        <v>Neutral</v>
      </c>
      <c r="BB372">
        <f>survey_responses[[#This Row],[Tôi thấy Nhà nước đã giải thích rõ ràng, minh bạch về lý do và mục tiêu của việc sửa đổi thuế lần này. - HUMAN-TRU4]]</f>
        <v>6</v>
      </c>
      <c r="BC372" t="str">
        <f t="shared" si="157"/>
        <v>Neutral</v>
      </c>
      <c r="BD372" s="32">
        <f t="shared" si="158"/>
        <v>1</v>
      </c>
      <c r="BE372">
        <f>step3_validation[[#This Row],[AI_OUT1]]</f>
        <v>6</v>
      </c>
      <c r="BF372" t="str">
        <f t="shared" si="159"/>
        <v>Neutral</v>
      </c>
      <c r="BG372">
        <f>survey_responses[[#This Row],[Sau khi xem xét các quyền lợi và nghĩa vụ, bạn có ủng hộ và tuân thủ chính sách mới hiện nay? - HUMAN-OUT1]]</f>
        <v>5</v>
      </c>
      <c r="BH372" t="str">
        <f t="shared" si="160"/>
        <v>Neutral</v>
      </c>
      <c r="BI372" s="32">
        <f t="shared" si="161"/>
        <v>1</v>
      </c>
    </row>
    <row r="373" spans="1:61" x14ac:dyDescent="0.45">
      <c r="A373" s="30">
        <f>step3_validation[[#This Row],[Persona_ID]]</f>
        <v>372</v>
      </c>
      <c r="B373" s="31">
        <f>step3_validation[[#This Row],[Used_Seed]]</f>
        <v>12716</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32.5114094180405</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8</v>
      </c>
      <c r="R373" t="str">
        <f t="shared" si="135"/>
        <v>Support</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2</v>
      </c>
      <c r="V373">
        <f>step3_validation[[#This Row],[AI_ENF2]]</f>
        <v>9</v>
      </c>
      <c r="W373" t="str">
        <f t="shared" si="138"/>
        <v>Support</v>
      </c>
      <c r="X373">
        <f>survey_responses[[#This Row],[Tôi tin rằng Nhà nước, cơ quan thuế có đủ khả năng và công nghệ để phát hiện, xử lý nghiêm các hành vi trốn thuế. - HUMAN-ENF2]]</f>
        <v>6</v>
      </c>
      <c r="Y373" t="str">
        <f t="shared" si="139"/>
        <v>Neutral</v>
      </c>
      <c r="Z373" s="32">
        <f t="shared" si="140"/>
        <v>3</v>
      </c>
      <c r="AA373">
        <f>step3_validation[[#This Row],[AI_FAC1]]</f>
        <v>8</v>
      </c>
      <c r="AB373" t="str">
        <f t="shared" si="141"/>
        <v>Support</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0</v>
      </c>
      <c r="AF373">
        <f>step3_validation[[#This Row],[AI_FAC2]]</f>
        <v>9</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1</v>
      </c>
      <c r="AK373">
        <f>step3_validation[[#This Row],[AI_TRU1]]</f>
        <v>7</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1</v>
      </c>
      <c r="AP373">
        <f>step3_validation[[#This Row],[AI_TRU2]]</f>
        <v>8</v>
      </c>
      <c r="AQ373" t="str">
        <f t="shared" si="150"/>
        <v>Support</v>
      </c>
      <c r="AR373">
        <f>survey_responses[[#This Row],[Tôi thấy mức thuế tôi phải đóng theo phương án mới là công bằng (người thu nhập như tôi đóng mức này là hợp lý). - HUMAN-TRU2]]</f>
        <v>7</v>
      </c>
      <c r="AS373" t="str">
        <f t="shared" si="151"/>
        <v>Neutral</v>
      </c>
      <c r="AT373" s="32">
        <f t="shared" si="152"/>
        <v>1</v>
      </c>
      <c r="AU373">
        <f>step3_validation[[#This Row],[AI_TRU3]]</f>
        <v>7</v>
      </c>
      <c r="AV373" t="str">
        <f t="shared" si="153"/>
        <v>Neutral</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2</v>
      </c>
      <c r="AZ373">
        <f>step3_validation[[#This Row],[AI_TRU4]]</f>
        <v>8</v>
      </c>
      <c r="BA373" t="str">
        <f t="shared" si="156"/>
        <v>Support</v>
      </c>
      <c r="BB373">
        <f>survey_responses[[#This Row],[Tôi thấy Nhà nước đã giải thích rõ ràng, minh bạch về lý do và mục tiêu của việc sửa đổi thuế lần này. - HUMAN-TRU4]]</f>
        <v>6</v>
      </c>
      <c r="BC373" t="str">
        <f t="shared" si="157"/>
        <v>Neutral</v>
      </c>
      <c r="BD373" s="32">
        <f t="shared" si="158"/>
        <v>2</v>
      </c>
      <c r="BE373">
        <f>step3_validation[[#This Row],[AI_OUT1]]</f>
        <v>7</v>
      </c>
      <c r="BF373" t="str">
        <f t="shared" si="159"/>
        <v>Neutral</v>
      </c>
      <c r="BG373">
        <f>survey_responses[[#This Row],[Sau khi xem xét các quyền lợi và nghĩa vụ, bạn có ủng hộ và tuân thủ chính sách mới hiện nay? - HUMAN-OUT1]]</f>
        <v>6</v>
      </c>
      <c r="BH373" t="str">
        <f t="shared" si="160"/>
        <v>Neutral</v>
      </c>
      <c r="BI373" s="32">
        <f t="shared" si="161"/>
        <v>1</v>
      </c>
    </row>
    <row r="374" spans="1:61" x14ac:dyDescent="0.45">
      <c r="A374" s="30">
        <f>step3_validation[[#This Row],[Persona_ID]]</f>
        <v>373</v>
      </c>
      <c r="B374" s="31">
        <f>step3_validation[[#This Row],[Used_Seed]]</f>
        <v>12717</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74.379603978091083</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1</v>
      </c>
      <c r="V374">
        <f>step3_validation[[#This Row],[AI_ENF2]]</f>
        <v>8</v>
      </c>
      <c r="W374" t="str">
        <f t="shared" si="138"/>
        <v>Support</v>
      </c>
      <c r="X374">
        <f>survey_responses[[#This Row],[Tôi tin rằng Nhà nước, cơ quan thuế có đủ khả năng và công nghệ để phát hiện, xử lý nghiêm các hành vi trốn thuế. - HUMAN-ENF2]]</f>
        <v>8</v>
      </c>
      <c r="Y374" t="str">
        <f t="shared" si="139"/>
        <v>Support</v>
      </c>
      <c r="Z374" s="32">
        <f t="shared" si="140"/>
        <v>0</v>
      </c>
      <c r="AA374">
        <f>step3_validation[[#This Row],[AI_FAC1]]</f>
        <v>6</v>
      </c>
      <c r="AB374" t="str">
        <f t="shared" si="141"/>
        <v>Neutral</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3</v>
      </c>
      <c r="AF374">
        <f>step3_validation[[#This Row],[AI_FAC2]]</f>
        <v>7</v>
      </c>
      <c r="AG374" t="str">
        <f t="shared" si="144"/>
        <v>Neutral</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2</v>
      </c>
      <c r="AK374">
        <f>step3_validation[[#This Row],[AI_TRU1]]</f>
        <v>8</v>
      </c>
      <c r="AL374" t="str">
        <f t="shared" si="147"/>
        <v>Support</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3</v>
      </c>
      <c r="AP374">
        <f>step3_validation[[#This Row],[AI_TRU2]]</f>
        <v>7</v>
      </c>
      <c r="AQ374" t="str">
        <f t="shared" si="150"/>
        <v>Neutral</v>
      </c>
      <c r="AR374">
        <f>survey_responses[[#This Row],[Tôi thấy mức thuế tôi phải đóng theo phương án mới là công bằng (người thu nhập như tôi đóng mức này là hợp lý). - HUMAN-TRU2]]</f>
        <v>5</v>
      </c>
      <c r="AS374" t="str">
        <f t="shared" si="151"/>
        <v>Neutral</v>
      </c>
      <c r="AT374" s="32">
        <f t="shared" si="152"/>
        <v>2</v>
      </c>
      <c r="AU374">
        <f>step3_validation[[#This Row],[AI_TRU3]]</f>
        <v>6</v>
      </c>
      <c r="AV374" t="str">
        <f t="shared" si="153"/>
        <v>Neutral</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1</v>
      </c>
      <c r="AZ374">
        <f>step3_validation[[#This Row],[AI_TRU4]]</f>
        <v>5</v>
      </c>
      <c r="BA374" t="str">
        <f t="shared" si="156"/>
        <v>Neutral</v>
      </c>
      <c r="BB374">
        <f>survey_responses[[#This Row],[Tôi thấy Nhà nước đã giải thích rõ ràng, minh bạch về lý do và mục tiêu của việc sửa đổi thuế lần này. - HUMAN-TRU4]]</f>
        <v>6</v>
      </c>
      <c r="BC374" t="str">
        <f t="shared" si="157"/>
        <v>Neutral</v>
      </c>
      <c r="BD374" s="32">
        <f t="shared" si="158"/>
        <v>1</v>
      </c>
      <c r="BE374">
        <f>step3_validation[[#This Row],[AI_OUT1]]</f>
        <v>7</v>
      </c>
      <c r="BF374" t="str">
        <f t="shared" si="159"/>
        <v>Neutral</v>
      </c>
      <c r="BG374">
        <f>survey_responses[[#This Row],[Sau khi xem xét các quyền lợi và nghĩa vụ, bạn có ủng hộ và tuân thủ chính sách mới hiện nay? - HUMAN-OUT1]]</f>
        <v>5</v>
      </c>
      <c r="BH374" t="str">
        <f t="shared" si="160"/>
        <v>Neutral</v>
      </c>
      <c r="BI374" s="32">
        <f t="shared" si="161"/>
        <v>2</v>
      </c>
    </row>
    <row r="375" spans="1:61" x14ac:dyDescent="0.45">
      <c r="A375" s="30">
        <f>step3_validation[[#This Row],[Persona_ID]]</f>
        <v>374</v>
      </c>
      <c r="B375" s="31">
        <f>step3_validation[[#This Row],[Used_Seed]]</f>
        <v>12718</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32.601505194681039</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7</v>
      </c>
      <c r="R375" t="str">
        <f t="shared" si="135"/>
        <v>Neutral</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1</v>
      </c>
      <c r="V375">
        <f>step3_validation[[#This Row],[AI_ENF2]]</f>
        <v>8</v>
      </c>
      <c r="W375" t="str">
        <f t="shared" si="138"/>
        <v>Support</v>
      </c>
      <c r="X375">
        <f>survey_responses[[#This Row],[Tôi tin rằng Nhà nước, cơ quan thuế có đủ khả năng và công nghệ để phát hiện, xử lý nghiêm các hành vi trốn thuế. - HUMAN-ENF2]]</f>
        <v>6</v>
      </c>
      <c r="Y375" t="str">
        <f t="shared" si="139"/>
        <v>Neutral</v>
      </c>
      <c r="Z375" s="32">
        <f t="shared" si="140"/>
        <v>2</v>
      </c>
      <c r="AA375">
        <f>step3_validation[[#This Row],[AI_FAC1]]</f>
        <v>6</v>
      </c>
      <c r="AB375" t="str">
        <f t="shared" si="141"/>
        <v>Neutral</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1</v>
      </c>
      <c r="AF375">
        <f>step3_validation[[#This Row],[AI_FAC2]]</f>
        <v>8</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1</v>
      </c>
      <c r="AK375">
        <f>step3_validation[[#This Row],[AI_TRU1]]</f>
        <v>7</v>
      </c>
      <c r="AL375" t="str">
        <f t="shared" si="147"/>
        <v>Neutral</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1</v>
      </c>
      <c r="AP375">
        <f>step3_validation[[#This Row],[AI_TRU2]]</f>
        <v>6</v>
      </c>
      <c r="AQ375" t="str">
        <f t="shared" si="150"/>
        <v>Neutral</v>
      </c>
      <c r="AR375">
        <f>survey_responses[[#This Row],[Tôi thấy mức thuế tôi phải đóng theo phương án mới là công bằng (người thu nhập như tôi đóng mức này là hợp lý). - HUMAN-TRU2]]</f>
        <v>6</v>
      </c>
      <c r="AS375" t="str">
        <f t="shared" si="151"/>
        <v>Neutral</v>
      </c>
      <c r="AT375" s="32">
        <f t="shared" si="152"/>
        <v>0</v>
      </c>
      <c r="AU375">
        <f>step3_validation[[#This Row],[AI_TRU3]]</f>
        <v>7</v>
      </c>
      <c r="AV375" t="str">
        <f t="shared" si="153"/>
        <v>Neutral</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1</v>
      </c>
      <c r="AZ375">
        <f>step3_validation[[#This Row],[AI_TRU4]]</f>
        <v>5</v>
      </c>
      <c r="BA375" t="str">
        <f t="shared" si="156"/>
        <v>Neutral</v>
      </c>
      <c r="BB375">
        <f>survey_responses[[#This Row],[Tôi thấy Nhà nước đã giải thích rõ ràng, minh bạch về lý do và mục tiêu của việc sửa đổi thuế lần này. - HUMAN-TRU4]]</f>
        <v>6</v>
      </c>
      <c r="BC375" t="str">
        <f t="shared" si="157"/>
        <v>Neutral</v>
      </c>
      <c r="BD375" s="32">
        <f t="shared" si="158"/>
        <v>1</v>
      </c>
      <c r="BE375">
        <f>step3_validation[[#This Row],[AI_OUT1]]</f>
        <v>8</v>
      </c>
      <c r="BF375" t="str">
        <f t="shared" si="159"/>
        <v>Support</v>
      </c>
      <c r="BG375">
        <f>survey_responses[[#This Row],[Sau khi xem xét các quyền lợi và nghĩa vụ, bạn có ủng hộ và tuân thủ chính sách mới hiện nay? - HUMAN-OUT1]]</f>
        <v>6</v>
      </c>
      <c r="BH375" t="str">
        <f t="shared" si="160"/>
        <v>Neutral</v>
      </c>
      <c r="BI375" s="32">
        <f t="shared" si="161"/>
        <v>2</v>
      </c>
    </row>
    <row r="376" spans="1:61" x14ac:dyDescent="0.45">
      <c r="A376" s="30">
        <f>step3_validation[[#This Row],[Persona_ID]]</f>
        <v>375</v>
      </c>
      <c r="B376" s="31">
        <f>step3_validation[[#This Row],[Used_Seed]]</f>
        <v>12719</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59.657926275255136</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8</v>
      </c>
      <c r="R376" t="str">
        <f t="shared" si="135"/>
        <v>Support</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0</v>
      </c>
      <c r="V376">
        <f>step3_validation[[#This Row],[AI_ENF2]]</f>
        <v>7</v>
      </c>
      <c r="W376" t="str">
        <f t="shared" si="138"/>
        <v>Neutral</v>
      </c>
      <c r="X376">
        <f>survey_responses[[#This Row],[Tôi tin rằng Nhà nước, cơ quan thuế có đủ khả năng và công nghệ để phát hiện, xử lý nghiêm các hành vi trốn thuế. - HUMAN-ENF2]]</f>
        <v>8</v>
      </c>
      <c r="Y376" t="str">
        <f t="shared" si="139"/>
        <v>Support</v>
      </c>
      <c r="Z376" s="32">
        <f t="shared" si="140"/>
        <v>1</v>
      </c>
      <c r="AA376">
        <f>step3_validation[[#This Row],[AI_FAC1]]</f>
        <v>9</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1</v>
      </c>
      <c r="AF376">
        <f>step3_validation[[#This Row],[AI_FAC2]]</f>
        <v>8</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0</v>
      </c>
      <c r="AK376">
        <f>step3_validation[[#This Row],[AI_TRU1]]</f>
        <v>9</v>
      </c>
      <c r="AL376" t="str">
        <f t="shared" si="147"/>
        <v>Support</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2</v>
      </c>
      <c r="AP376">
        <f>step3_validation[[#This Row],[AI_TRU2]]</f>
        <v>7</v>
      </c>
      <c r="AQ376" t="str">
        <f t="shared" si="150"/>
        <v>Neutral</v>
      </c>
      <c r="AR376">
        <f>survey_responses[[#This Row],[Tôi thấy mức thuế tôi phải đóng theo phương án mới là công bằng (người thu nhập như tôi đóng mức này là hợp lý). - HUMAN-TRU2]]</f>
        <v>6</v>
      </c>
      <c r="AS376" t="str">
        <f t="shared" si="151"/>
        <v>Neutral</v>
      </c>
      <c r="AT376" s="32">
        <f t="shared" si="152"/>
        <v>1</v>
      </c>
      <c r="AU376">
        <f>step3_validation[[#This Row],[AI_TRU3]]</f>
        <v>6</v>
      </c>
      <c r="AV376" t="str">
        <f t="shared" si="153"/>
        <v>Neutral</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0</v>
      </c>
      <c r="AZ376">
        <f>step3_validation[[#This Row],[AI_TRU4]]</f>
        <v>5</v>
      </c>
      <c r="BA376" t="str">
        <f t="shared" si="156"/>
        <v>Neutral</v>
      </c>
      <c r="BB376">
        <f>survey_responses[[#This Row],[Tôi thấy Nhà nước đã giải thích rõ ràng, minh bạch về lý do và mục tiêu của việc sửa đổi thuế lần này. - HUMAN-TRU4]]</f>
        <v>5</v>
      </c>
      <c r="BC376" t="str">
        <f t="shared" si="157"/>
        <v>Neutral</v>
      </c>
      <c r="BD376" s="32">
        <f t="shared" si="158"/>
        <v>0</v>
      </c>
      <c r="BE376">
        <f>step3_validation[[#This Row],[AI_OUT1]]</f>
        <v>8</v>
      </c>
      <c r="BF376" t="str">
        <f t="shared" si="159"/>
        <v>Support</v>
      </c>
      <c r="BG376">
        <f>survey_responses[[#This Row],[Sau khi xem xét các quyền lợi và nghĩa vụ, bạn có ủng hộ và tuân thủ chính sách mới hiện nay? - HUMAN-OUT1]]</f>
        <v>7</v>
      </c>
      <c r="BH376" t="str">
        <f t="shared" si="160"/>
        <v>Neutral</v>
      </c>
      <c r="BI376" s="32">
        <f t="shared" si="161"/>
        <v>1</v>
      </c>
    </row>
    <row r="377" spans="1:61" x14ac:dyDescent="0.45">
      <c r="A377" s="30">
        <f>step3_validation[[#This Row],[Persona_ID]]</f>
        <v>376</v>
      </c>
      <c r="B377" s="31">
        <f>step3_validation[[#This Row],[Used_Seed]]</f>
        <v>12720</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18.785665330489277</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8</v>
      </c>
      <c r="R377" t="str">
        <f t="shared" si="135"/>
        <v>Support</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2</v>
      </c>
      <c r="V377">
        <f>step3_validation[[#This Row],[AI_ENF2]]</f>
        <v>7</v>
      </c>
      <c r="W377" t="str">
        <f t="shared" si="138"/>
        <v>Neutral</v>
      </c>
      <c r="X377">
        <f>survey_responses[[#This Row],[Tôi tin rằng Nhà nước, cơ quan thuế có đủ khả năng và công nghệ để phát hiện, xử lý nghiêm các hành vi trốn thuế. - HUMAN-ENF2]]</f>
        <v>6</v>
      </c>
      <c r="Y377" t="str">
        <f t="shared" si="139"/>
        <v>Neutral</v>
      </c>
      <c r="Z377" s="32">
        <f t="shared" si="140"/>
        <v>1</v>
      </c>
      <c r="AA377">
        <f>step3_validation[[#This Row],[AI_FAC1]]</f>
        <v>9</v>
      </c>
      <c r="AB377" t="str">
        <f t="shared" si="141"/>
        <v>Support</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4</v>
      </c>
      <c r="AF377">
        <f>step3_validation[[#This Row],[AI_FAC2]]</f>
        <v>8</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1</v>
      </c>
      <c r="AK377">
        <f>step3_validation[[#This Row],[AI_TRU1]]</f>
        <v>9</v>
      </c>
      <c r="AL377" t="str">
        <f t="shared" si="147"/>
        <v>Support</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3</v>
      </c>
      <c r="AP377">
        <f>step3_validation[[#This Row],[AI_TRU2]]</f>
        <v>7</v>
      </c>
      <c r="AQ377" t="str">
        <f t="shared" si="150"/>
        <v>Neutral</v>
      </c>
      <c r="AR377">
        <f>survey_responses[[#This Row],[Tôi thấy mức thuế tôi phải đóng theo phương án mới là công bằng (người thu nhập như tôi đóng mức này là hợp lý). - HUMAN-TRU2]]</f>
        <v>7</v>
      </c>
      <c r="AS377" t="str">
        <f t="shared" si="151"/>
        <v>Neutral</v>
      </c>
      <c r="AT377" s="32">
        <f t="shared" si="152"/>
        <v>0</v>
      </c>
      <c r="AU377">
        <f>step3_validation[[#This Row],[AI_TRU3]]</f>
        <v>8</v>
      </c>
      <c r="AV377" t="str">
        <f t="shared" si="153"/>
        <v>Support</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3</v>
      </c>
      <c r="AZ377">
        <f>step3_validation[[#This Row],[AI_TRU4]]</f>
        <v>6</v>
      </c>
      <c r="BA377" t="str">
        <f t="shared" si="156"/>
        <v>Neutral</v>
      </c>
      <c r="BB377">
        <f>survey_responses[[#This Row],[Tôi thấy Nhà nước đã giải thích rõ ràng, minh bạch về lý do và mục tiêu của việc sửa đổi thuế lần này. - HUMAN-TRU4]]</f>
        <v>6</v>
      </c>
      <c r="BC377" t="str">
        <f t="shared" si="157"/>
        <v>Neutral</v>
      </c>
      <c r="BD377" s="32">
        <f t="shared" si="158"/>
        <v>0</v>
      </c>
      <c r="BE377">
        <f>step3_validation[[#This Row],[AI_OUT1]]</f>
        <v>8</v>
      </c>
      <c r="BF377" t="str">
        <f t="shared" si="159"/>
        <v>Support</v>
      </c>
      <c r="BG377">
        <f>survey_responses[[#This Row],[Sau khi xem xét các quyền lợi và nghĩa vụ, bạn có ủng hộ và tuân thủ chính sách mới hiện nay? - HUMAN-OUT1]]</f>
        <v>7</v>
      </c>
      <c r="BH377" t="str">
        <f t="shared" si="160"/>
        <v>Neutral</v>
      </c>
      <c r="BI377" s="32">
        <f t="shared" si="161"/>
        <v>1</v>
      </c>
    </row>
    <row r="378" spans="1:61" x14ac:dyDescent="0.45">
      <c r="A378" s="30">
        <f>step3_validation[[#This Row],[Persona_ID]]</f>
        <v>377</v>
      </c>
      <c r="B378" s="31">
        <f>step3_validation[[#This Row],[Used_Seed]]</f>
        <v>12721</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13.875214382941952</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7</v>
      </c>
      <c r="R378" t="str">
        <f t="shared" si="135"/>
        <v>Neutral</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0</v>
      </c>
      <c r="V378">
        <f>step3_validation[[#This Row],[AI_ENF2]]</f>
        <v>6</v>
      </c>
      <c r="W378" t="str">
        <f t="shared" si="138"/>
        <v>Neutral</v>
      </c>
      <c r="X378">
        <f>survey_responses[[#This Row],[Tôi tin rằng Nhà nước, cơ quan thuế có đủ khả năng và công nghệ để phát hiện, xử lý nghiêm các hành vi trốn thuế. - HUMAN-ENF2]]</f>
        <v>8</v>
      </c>
      <c r="Y378" t="str">
        <f t="shared" si="139"/>
        <v>Support</v>
      </c>
      <c r="Z378" s="32">
        <f t="shared" si="140"/>
        <v>2</v>
      </c>
      <c r="AA378">
        <f>step3_validation[[#This Row],[AI_FAC1]]</f>
        <v>8</v>
      </c>
      <c r="AB378" t="str">
        <f t="shared" si="141"/>
        <v>Support</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1</v>
      </c>
      <c r="AF378">
        <f>step3_validation[[#This Row],[AI_FAC2]]</f>
        <v>9</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2</v>
      </c>
      <c r="AK378">
        <f>step3_validation[[#This Row],[AI_TRU1]]</f>
        <v>6</v>
      </c>
      <c r="AL378" t="str">
        <f t="shared" si="147"/>
        <v>Neutral</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2</v>
      </c>
      <c r="AP378">
        <f>step3_validation[[#This Row],[AI_TRU2]]</f>
        <v>7</v>
      </c>
      <c r="AQ378" t="str">
        <f t="shared" si="150"/>
        <v>Neutral</v>
      </c>
      <c r="AR378">
        <f>survey_responses[[#This Row],[Tôi thấy mức thuế tôi phải đóng theo phương án mới là công bằng (người thu nhập như tôi đóng mức này là hợp lý). - HUMAN-TRU2]]</f>
        <v>9</v>
      </c>
      <c r="AS378" t="str">
        <f t="shared" si="151"/>
        <v>Support</v>
      </c>
      <c r="AT378" s="32">
        <f t="shared" si="152"/>
        <v>2</v>
      </c>
      <c r="AU378">
        <f>step3_validation[[#This Row],[AI_TRU3]]</f>
        <v>5</v>
      </c>
      <c r="AV378" t="str">
        <f t="shared" si="153"/>
        <v>Neutral</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2</v>
      </c>
      <c r="AZ378">
        <f>step3_validation[[#This Row],[AI_TRU4]]</f>
        <v>6</v>
      </c>
      <c r="BA378" t="str">
        <f t="shared" si="156"/>
        <v>Neutral</v>
      </c>
      <c r="BB378">
        <f>survey_responses[[#This Row],[Tôi thấy Nhà nước đã giải thích rõ ràng, minh bạch về lý do và mục tiêu của việc sửa đổi thuế lần này. - HUMAN-TRU4]]</f>
        <v>7</v>
      </c>
      <c r="BC378" t="str">
        <f t="shared" si="157"/>
        <v>Neutral</v>
      </c>
      <c r="BD378" s="32">
        <f t="shared" si="158"/>
        <v>1</v>
      </c>
      <c r="BE378">
        <f>step3_validation[[#This Row],[AI_OUT1]]</f>
        <v>7</v>
      </c>
      <c r="BF378" t="str">
        <f t="shared" si="159"/>
        <v>Neutral</v>
      </c>
      <c r="BG378">
        <f>survey_responses[[#This Row],[Sau khi xem xét các quyền lợi và nghĩa vụ, bạn có ủng hộ và tuân thủ chính sách mới hiện nay? - HUMAN-OUT1]]</f>
        <v>8</v>
      </c>
      <c r="BH378" t="str">
        <f t="shared" si="160"/>
        <v>Support</v>
      </c>
      <c r="BI378" s="32">
        <f t="shared" si="161"/>
        <v>1</v>
      </c>
    </row>
    <row r="379" spans="1:61" x14ac:dyDescent="0.45">
      <c r="A379" s="30">
        <f>step3_validation[[#This Row],[Persona_ID]]</f>
        <v>378</v>
      </c>
      <c r="B379" s="31">
        <f>step3_validation[[#This Row],[Used_Seed]]</f>
        <v>12722</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18.12689272860187</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8</v>
      </c>
      <c r="R379" t="str">
        <f t="shared" si="135"/>
        <v>Support</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2</v>
      </c>
      <c r="V379">
        <f>step3_validation[[#This Row],[AI_ENF2]]</f>
        <v>9</v>
      </c>
      <c r="W379" t="str">
        <f t="shared" si="138"/>
        <v>Support</v>
      </c>
      <c r="X379">
        <f>survey_responses[[#This Row],[Tôi tin rằng Nhà nước, cơ quan thuế có đủ khả năng và công nghệ để phát hiện, xử lý nghiêm các hành vi trốn thuế. - HUMAN-ENF2]]</f>
        <v>7</v>
      </c>
      <c r="Y379" t="str">
        <f t="shared" si="139"/>
        <v>Neutral</v>
      </c>
      <c r="Z379" s="32">
        <f t="shared" si="140"/>
        <v>2</v>
      </c>
      <c r="AA379">
        <f>step3_validation[[#This Row],[AI_FAC1]]</f>
        <v>7</v>
      </c>
      <c r="AB379" t="str">
        <f t="shared" si="141"/>
        <v>Neutral</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2</v>
      </c>
      <c r="AF379">
        <f>step3_validation[[#This Row],[AI_FAC2]]</f>
        <v>8</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0</v>
      </c>
      <c r="AK379">
        <f>step3_validation[[#This Row],[AI_TRU1]]</f>
        <v>9</v>
      </c>
      <c r="AL379" t="str">
        <f t="shared" si="147"/>
        <v>Support</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2</v>
      </c>
      <c r="AP379">
        <f>step3_validation[[#This Row],[AI_TRU2]]</f>
        <v>7</v>
      </c>
      <c r="AQ379" t="str">
        <f t="shared" si="150"/>
        <v>Neutral</v>
      </c>
      <c r="AR379">
        <f>survey_responses[[#This Row],[Tôi thấy mức thuế tôi phải đóng theo phương án mới là công bằng (người thu nhập như tôi đóng mức này là hợp lý). - HUMAN-TRU2]]</f>
        <v>7</v>
      </c>
      <c r="AS379" t="str">
        <f t="shared" si="151"/>
        <v>Neutral</v>
      </c>
      <c r="AT379" s="32">
        <f t="shared" si="152"/>
        <v>0</v>
      </c>
      <c r="AU379">
        <f>step3_validation[[#This Row],[AI_TRU3]]</f>
        <v>8</v>
      </c>
      <c r="AV379" t="str">
        <f t="shared" si="153"/>
        <v>Support</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1</v>
      </c>
      <c r="AZ379">
        <f>step3_validation[[#This Row],[AI_TRU4]]</f>
        <v>6</v>
      </c>
      <c r="BA379" t="str">
        <f t="shared" si="156"/>
        <v>Neutral</v>
      </c>
      <c r="BB379">
        <f>survey_responses[[#This Row],[Tôi thấy Nhà nước đã giải thích rõ ràng, minh bạch về lý do và mục tiêu của việc sửa đổi thuế lần này. - HUMAN-TRU4]]</f>
        <v>7</v>
      </c>
      <c r="BC379" t="str">
        <f t="shared" si="157"/>
        <v>Neutral</v>
      </c>
      <c r="BD379" s="32">
        <f t="shared" si="158"/>
        <v>1</v>
      </c>
      <c r="BE379">
        <f>step3_validation[[#This Row],[AI_OUT1]]</f>
        <v>7</v>
      </c>
      <c r="BF379" t="str">
        <f t="shared" si="159"/>
        <v>Neutral</v>
      </c>
      <c r="BG379">
        <f>survey_responses[[#This Row],[Sau khi xem xét các quyền lợi và nghĩa vụ, bạn có ủng hộ và tuân thủ chính sách mới hiện nay? - HUMAN-OUT1]]</f>
        <v>8</v>
      </c>
      <c r="BH379" t="str">
        <f t="shared" si="160"/>
        <v>Support</v>
      </c>
      <c r="BI379" s="32">
        <f t="shared" si="161"/>
        <v>1</v>
      </c>
    </row>
    <row r="380" spans="1:61" x14ac:dyDescent="0.45">
      <c r="A380" s="30">
        <f>step3_validation[[#This Row],[Persona_ID]]</f>
        <v>379</v>
      </c>
      <c r="B380" s="31">
        <f>step3_validation[[#This Row],[Used_Seed]]</f>
        <v>12723</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14.773397892892959</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7</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1</v>
      </c>
      <c r="V380">
        <f>step3_validation[[#This Row],[AI_ENF2]]</f>
        <v>8</v>
      </c>
      <c r="W380" t="str">
        <f t="shared" si="138"/>
        <v>Support</v>
      </c>
      <c r="X380">
        <f>survey_responses[[#This Row],[Tôi tin rằng Nhà nước, cơ quan thuế có đủ khả năng và công nghệ để phát hiện, xử lý nghiêm các hành vi trốn thuế. - HUMAN-ENF2]]</f>
        <v>8</v>
      </c>
      <c r="Y380" t="str">
        <f t="shared" si="139"/>
        <v>Support</v>
      </c>
      <c r="Z380" s="32">
        <f t="shared" si="140"/>
        <v>0</v>
      </c>
      <c r="AA380">
        <f>step3_validation[[#This Row],[AI_FAC1]]</f>
        <v>9</v>
      </c>
      <c r="AB380" t="str">
        <f t="shared" si="141"/>
        <v>Support</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0</v>
      </c>
      <c r="AF380">
        <f>step3_validation[[#This Row],[AI_FAC2]]</f>
        <v>8</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1</v>
      </c>
      <c r="AK380">
        <f>step3_validation[[#This Row],[AI_TRU1]]</f>
        <v>7</v>
      </c>
      <c r="AL380" t="str">
        <f t="shared" si="147"/>
        <v>Neutral</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0</v>
      </c>
      <c r="AP380">
        <f>step3_validation[[#This Row],[AI_TRU2]]</f>
        <v>8</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2">
        <f t="shared" si="152"/>
        <v>1</v>
      </c>
      <c r="AU380">
        <f>step3_validation[[#This Row],[AI_TRU3]]</f>
        <v>7</v>
      </c>
      <c r="AV380" t="str">
        <f t="shared" si="153"/>
        <v>Neutral</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0</v>
      </c>
      <c r="AZ380">
        <f>step3_validation[[#This Row],[AI_TRU4]]</f>
        <v>6</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1</v>
      </c>
      <c r="BE380">
        <f>step3_validation[[#This Row],[AI_OUT1]]</f>
        <v>8</v>
      </c>
      <c r="BF380" t="str">
        <f t="shared" si="159"/>
        <v>Support</v>
      </c>
      <c r="BG380">
        <f>survey_responses[[#This Row],[Sau khi xem xét các quyền lợi và nghĩa vụ, bạn có ủng hộ và tuân thủ chính sách mới hiện nay? - HUMAN-OUT1]]</f>
        <v>9</v>
      </c>
      <c r="BH380" t="str">
        <f t="shared" si="160"/>
        <v>Support</v>
      </c>
      <c r="BI380" s="32">
        <f t="shared" si="161"/>
        <v>1</v>
      </c>
    </row>
    <row r="381" spans="1:61" x14ac:dyDescent="0.45">
      <c r="A381" s="30">
        <f>step3_validation[[#This Row],[Persona_ID]]</f>
        <v>380</v>
      </c>
      <c r="B381" s="31">
        <f>step3_validation[[#This Row],[Used_Seed]]</f>
        <v>12724</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18.438804071098293</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t="str">
        <f t="shared" si="135"/>
        <v>Neutral</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1</v>
      </c>
      <c r="V381">
        <f>step3_validation[[#This Row],[AI_ENF2]]</f>
        <v>8</v>
      </c>
      <c r="W381" t="str">
        <f t="shared" si="138"/>
        <v>Support</v>
      </c>
      <c r="X381">
        <f>survey_responses[[#This Row],[Tôi tin rằng Nhà nước, cơ quan thuế có đủ khả năng và công nghệ để phát hiện, xử lý nghiêm các hành vi trốn thuế. - HUMAN-ENF2]]</f>
        <v>8</v>
      </c>
      <c r="Y381" t="str">
        <f t="shared" si="139"/>
        <v>Support</v>
      </c>
      <c r="Z381" s="32">
        <f t="shared" si="140"/>
        <v>0</v>
      </c>
      <c r="AA381">
        <f>step3_validation[[#This Row],[AI_FAC1]]</f>
        <v>9</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4</v>
      </c>
      <c r="AF381">
        <f>step3_validation[[#This Row],[AI_FAC2]]</f>
        <v>7</v>
      </c>
      <c r="AG381" t="str">
        <f t="shared" si="144"/>
        <v>Neutral</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1</v>
      </c>
      <c r="AK381">
        <f>step3_validation[[#This Row],[AI_TRU1]]</f>
        <v>8</v>
      </c>
      <c r="AL381" t="str">
        <f t="shared" si="147"/>
        <v>Support</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2</v>
      </c>
      <c r="AP381">
        <f>step3_validation[[#This Row],[AI_TRU2]]</f>
        <v>7</v>
      </c>
      <c r="AQ381" t="str">
        <f t="shared" si="150"/>
        <v>Neutral</v>
      </c>
      <c r="AR381">
        <f>survey_responses[[#This Row],[Tôi thấy mức thuế tôi phải đóng theo phương án mới là công bằng (người thu nhập như tôi đóng mức này là hợp lý). - HUMAN-TRU2]]</f>
        <v>9</v>
      </c>
      <c r="AS381" t="str">
        <f t="shared" si="151"/>
        <v>Support</v>
      </c>
      <c r="AT381" s="32">
        <f t="shared" si="152"/>
        <v>2</v>
      </c>
      <c r="AU381">
        <f>step3_validation[[#This Row],[AI_TRU3]]</f>
        <v>6</v>
      </c>
      <c r="AV381" t="str">
        <f t="shared" si="153"/>
        <v>Neutral</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1</v>
      </c>
      <c r="AZ381">
        <f>step3_validation[[#This Row],[AI_TRU4]]</f>
        <v>5</v>
      </c>
      <c r="BA381" t="str">
        <f t="shared" si="156"/>
        <v>Neutral</v>
      </c>
      <c r="BB381">
        <f>survey_responses[[#This Row],[Tôi thấy Nhà nước đã giải thích rõ ràng, minh bạch về lý do và mục tiêu của việc sửa đổi thuế lần này. - HUMAN-TRU4]]</f>
        <v>7</v>
      </c>
      <c r="BC381" t="str">
        <f t="shared" si="157"/>
        <v>Neutral</v>
      </c>
      <c r="BD381" s="32">
        <f t="shared" si="158"/>
        <v>2</v>
      </c>
      <c r="BE381">
        <f>step3_validation[[#This Row],[AI_OUT1]]</f>
        <v>6</v>
      </c>
      <c r="BF381" t="str">
        <f t="shared" si="159"/>
        <v>Neutral</v>
      </c>
      <c r="BG381">
        <f>survey_responses[[#This Row],[Sau khi xem xét các quyền lợi và nghĩa vụ, bạn có ủng hộ và tuân thủ chính sách mới hiện nay? - HUMAN-OUT1]]</f>
        <v>8</v>
      </c>
      <c r="BH381" t="str">
        <f t="shared" si="160"/>
        <v>Support</v>
      </c>
      <c r="BI381" s="32">
        <f t="shared" si="161"/>
        <v>2</v>
      </c>
    </row>
    <row r="382" spans="1:61" x14ac:dyDescent="0.45">
      <c r="A382" s="30">
        <f>step3_validation[[#This Row],[Persona_ID]]</f>
        <v>381</v>
      </c>
      <c r="B382" s="31">
        <f>step3_validation[[#This Row],[Used_Seed]]</f>
        <v>12725</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13.350333994675893</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7</v>
      </c>
      <c r="R382" t="str">
        <f t="shared" si="135"/>
        <v>Neutral</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2</v>
      </c>
      <c r="V382">
        <f>step3_validation[[#This Row],[AI_ENF2]]</f>
        <v>8</v>
      </c>
      <c r="W382" t="str">
        <f t="shared" si="138"/>
        <v>Support</v>
      </c>
      <c r="X382">
        <f>survey_responses[[#This Row],[Tôi tin rằng Nhà nước, cơ quan thuế có đủ khả năng và công nghệ để phát hiện, xử lý nghiêm các hành vi trốn thuế. - HUMAN-ENF2]]</f>
        <v>9</v>
      </c>
      <c r="Y382" t="str">
        <f t="shared" si="139"/>
        <v>Support</v>
      </c>
      <c r="Z382" s="32">
        <f t="shared" si="140"/>
        <v>1</v>
      </c>
      <c r="AA382">
        <f>step3_validation[[#This Row],[AI_FAC1]]</f>
        <v>6</v>
      </c>
      <c r="AB382" t="str">
        <f t="shared" si="141"/>
        <v>Neutral</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2</v>
      </c>
      <c r="AF382">
        <f>step3_validation[[#This Row],[AI_FAC2]]</f>
        <v>9</v>
      </c>
      <c r="AG382" t="str">
        <f t="shared" si="144"/>
        <v>Support</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0</v>
      </c>
      <c r="AK382">
        <f>step3_validation[[#This Row],[AI_TRU1]]</f>
        <v>7</v>
      </c>
      <c r="AL382" t="str">
        <f t="shared" si="147"/>
        <v>Neutral</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1</v>
      </c>
      <c r="AP382">
        <f>step3_validation[[#This Row],[AI_TRU2]]</f>
        <v>8</v>
      </c>
      <c r="AQ382" t="str">
        <f t="shared" si="150"/>
        <v>Support</v>
      </c>
      <c r="AR382">
        <f>survey_responses[[#This Row],[Tôi thấy mức thuế tôi phải đóng theo phương án mới là công bằng (người thu nhập như tôi đóng mức này là hợp lý). - HUMAN-TRU2]]</f>
        <v>10</v>
      </c>
      <c r="AS382" t="str">
        <f t="shared" si="151"/>
        <v>Support</v>
      </c>
      <c r="AT382" s="32">
        <f t="shared" si="152"/>
        <v>2</v>
      </c>
      <c r="AU382">
        <f>step3_validation[[#This Row],[AI_TRU3]]</f>
        <v>6</v>
      </c>
      <c r="AV382" t="str">
        <f t="shared" si="153"/>
        <v>Neutral</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2</v>
      </c>
      <c r="AZ382">
        <f>step3_validation[[#This Row],[AI_TRU4]]</f>
        <v>5</v>
      </c>
      <c r="BA382" t="str">
        <f t="shared" si="156"/>
        <v>Neutral</v>
      </c>
      <c r="BB382">
        <f>survey_responses[[#This Row],[Tôi thấy Nhà nước đã giải thích rõ ràng, minh bạch về lý do và mục tiêu của việc sửa đổi thuế lần này. - HUMAN-TRU4]]</f>
        <v>8</v>
      </c>
      <c r="BC382" t="str">
        <f t="shared" si="157"/>
        <v>Support</v>
      </c>
      <c r="BD382" s="32">
        <f t="shared" si="158"/>
        <v>3</v>
      </c>
      <c r="BE382">
        <f>step3_validation[[#This Row],[AI_OUT1]]</f>
        <v>7</v>
      </c>
      <c r="BF382" t="str">
        <f t="shared" si="159"/>
        <v>Neutral</v>
      </c>
      <c r="BG382">
        <f>survey_responses[[#This Row],[Sau khi xem xét các quyền lợi và nghĩa vụ, bạn có ủng hộ và tuân thủ chính sách mới hiện nay? - HUMAN-OUT1]]</f>
        <v>10</v>
      </c>
      <c r="BH382" t="str">
        <f t="shared" si="160"/>
        <v>Support</v>
      </c>
      <c r="BI382" s="32">
        <f t="shared" si="161"/>
        <v>3</v>
      </c>
    </row>
    <row r="383" spans="1:61" x14ac:dyDescent="0.45">
      <c r="A383" s="30">
        <f>step3_validation[[#This Row],[Persona_ID]]</f>
        <v>382</v>
      </c>
      <c r="B383" s="31">
        <f>step3_validation[[#This Row],[Used_Seed]]</f>
        <v>12726</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21.258895760174006</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9</v>
      </c>
      <c r="R383" t="str">
        <f t="shared" si="135"/>
        <v>Support</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4</v>
      </c>
      <c r="V383">
        <f>step3_validation[[#This Row],[AI_ENF2]]</f>
        <v>8</v>
      </c>
      <c r="W383" t="str">
        <f t="shared" si="138"/>
        <v>Support</v>
      </c>
      <c r="X383">
        <f>survey_responses[[#This Row],[Tôi tin rằng Nhà nước, cơ quan thuế có đủ khả năng và công nghệ để phát hiện, xử lý nghiêm các hành vi trốn thuế. - HUMAN-ENF2]]</f>
        <v>5</v>
      </c>
      <c r="Y383" t="str">
        <f t="shared" si="139"/>
        <v>Neutral</v>
      </c>
      <c r="Z383" s="32">
        <f t="shared" si="140"/>
        <v>3</v>
      </c>
      <c r="AA383">
        <f>step3_validation[[#This Row],[AI_FAC1]]</f>
        <v>7</v>
      </c>
      <c r="AB383" t="str">
        <f t="shared" si="141"/>
        <v>Neutral</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3</v>
      </c>
      <c r="AF383">
        <f>step3_validation[[#This Row],[AI_FAC2]]</f>
        <v>8</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0</v>
      </c>
      <c r="AK383">
        <f>step3_validation[[#This Row],[AI_TRU1]]</f>
        <v>7</v>
      </c>
      <c r="AL383" t="str">
        <f t="shared" si="147"/>
        <v>Neutral</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3</v>
      </c>
      <c r="AP383">
        <f>step3_validation[[#This Row],[AI_TRU2]]</f>
        <v>6</v>
      </c>
      <c r="AQ383" t="str">
        <f t="shared" si="150"/>
        <v>Neutral</v>
      </c>
      <c r="AR383">
        <f>survey_responses[[#This Row],[Tôi thấy mức thuế tôi phải đóng theo phương án mới là công bằng (người thu nhập như tôi đóng mức này là hợp lý). - HUMAN-TRU2]]</f>
        <v>8</v>
      </c>
      <c r="AS383" t="str">
        <f t="shared" si="151"/>
        <v>Support</v>
      </c>
      <c r="AT383" s="32">
        <f t="shared" si="152"/>
        <v>2</v>
      </c>
      <c r="AU383">
        <f>step3_validation[[#This Row],[AI_TRU3]]</f>
        <v>7</v>
      </c>
      <c r="AV383" t="str">
        <f t="shared" si="153"/>
        <v>Neutral</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3</v>
      </c>
      <c r="AZ383">
        <f>step3_validation[[#This Row],[AI_TRU4]]</f>
        <v>6</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2">
        <f t="shared" si="158"/>
        <v>1</v>
      </c>
      <c r="BE383">
        <f>step3_validation[[#This Row],[AI_OUT1]]</f>
        <v>8</v>
      </c>
      <c r="BF383" t="str">
        <f t="shared" si="159"/>
        <v>Support</v>
      </c>
      <c r="BG383">
        <f>survey_responses[[#This Row],[Sau khi xem xét các quyền lợi và nghĩa vụ, bạn có ủng hộ và tuân thủ chính sách mới hiện nay? - HUMAN-OUT1]]</f>
        <v>7</v>
      </c>
      <c r="BH383" t="str">
        <f t="shared" si="160"/>
        <v>Neutral</v>
      </c>
      <c r="BI383" s="32">
        <f t="shared" si="161"/>
        <v>1</v>
      </c>
    </row>
    <row r="384" spans="1:61" x14ac:dyDescent="0.45">
      <c r="A384" s="30">
        <f>step3_validation[[#This Row],[Persona_ID]]</f>
        <v>383</v>
      </c>
      <c r="B384" s="31">
        <f>step3_validation[[#This Row],[Used_Seed]]</f>
        <v>12727</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90.414380698726006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9</v>
      </c>
      <c r="R384" t="str">
        <f t="shared" si="135"/>
        <v>Support</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8</v>
      </c>
      <c r="V384">
        <f>step3_validation[[#This Row],[AI_ENF2]]</f>
        <v>8</v>
      </c>
      <c r="W384" t="str">
        <f t="shared" si="138"/>
        <v>Support</v>
      </c>
      <c r="X384">
        <f>survey_responses[[#This Row],[Tôi tin rằng Nhà nước, cơ quan thuế có đủ khả năng và công nghệ để phát hiện, xử lý nghiêm các hành vi trốn thuế. - HUMAN-ENF2]]</f>
        <v>1</v>
      </c>
      <c r="Y384" t="str">
        <f t="shared" si="139"/>
        <v>Oppose</v>
      </c>
      <c r="Z384" s="32">
        <f t="shared" si="140"/>
        <v>7</v>
      </c>
      <c r="AA384">
        <f>step3_validation[[#This Row],[AI_FAC1]]</f>
        <v>7</v>
      </c>
      <c r="AB384" t="str">
        <f t="shared" si="141"/>
        <v>Neutral</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3</v>
      </c>
      <c r="AF384">
        <f>step3_validation[[#This Row],[AI_FAC2]]</f>
        <v>8</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3</v>
      </c>
      <c r="AK384">
        <f>step3_validation[[#This Row],[AI_TRU1]]</f>
        <v>7</v>
      </c>
      <c r="AL384" t="str">
        <f t="shared" si="147"/>
        <v>Neutral</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2</v>
      </c>
      <c r="AP384">
        <f>step3_validation[[#This Row],[AI_TRU2]]</f>
        <v>8</v>
      </c>
      <c r="AQ384" t="str">
        <f t="shared" si="150"/>
        <v>Support</v>
      </c>
      <c r="AR384">
        <f>survey_responses[[#This Row],[Tôi thấy mức thuế tôi phải đóng theo phương án mới là công bằng (người thu nhập như tôi đóng mức này là hợp lý). - HUMAN-TRU2]]</f>
        <v>4</v>
      </c>
      <c r="AS384" t="str">
        <f t="shared" si="151"/>
        <v>Oppose</v>
      </c>
      <c r="AT384" s="32">
        <f t="shared" si="152"/>
        <v>4</v>
      </c>
      <c r="AU384">
        <f>step3_validation[[#This Row],[AI_TRU3]]</f>
        <v>7</v>
      </c>
      <c r="AV384" t="str">
        <f t="shared" si="153"/>
        <v>Neutral</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3</v>
      </c>
      <c r="AZ384">
        <f>step3_validation[[#This Row],[AI_TRU4]]</f>
        <v>8</v>
      </c>
      <c r="BA384" t="str">
        <f t="shared" si="156"/>
        <v>Support</v>
      </c>
      <c r="BB384">
        <f>survey_responses[[#This Row],[Tôi thấy Nhà nước đã giải thích rõ ràng, minh bạch về lý do và mục tiêu của việc sửa đổi thuế lần này. - HUMAN-TRU4]]</f>
        <v>5</v>
      </c>
      <c r="BC384" t="str">
        <f t="shared" si="157"/>
        <v>Neutral</v>
      </c>
      <c r="BD384" s="32">
        <f t="shared" si="158"/>
        <v>3</v>
      </c>
      <c r="BE384">
        <f>step3_validation[[#This Row],[AI_OUT1]]</f>
        <v>6</v>
      </c>
      <c r="BF384" t="str">
        <f t="shared" si="159"/>
        <v>Neutral</v>
      </c>
      <c r="BG384">
        <f>survey_responses[[#This Row],[Sau khi xem xét các quyền lợi và nghĩa vụ, bạn có ủng hộ và tuân thủ chính sách mới hiện nay? - HUMAN-OUT1]]</f>
        <v>3</v>
      </c>
      <c r="BH384" t="str">
        <f t="shared" si="160"/>
        <v>Oppose</v>
      </c>
      <c r="BI384" s="32">
        <f t="shared" si="161"/>
        <v>3</v>
      </c>
    </row>
    <row r="385" spans="1:61" x14ac:dyDescent="0.45">
      <c r="A385" s="30">
        <f>step3_validation[[#This Row],[Persona_ID]]</f>
        <v>384</v>
      </c>
      <c r="B385" s="31">
        <f>step3_validation[[#This Row],[Used_Seed]]</f>
        <v>12728</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7</v>
      </c>
      <c r="R385" t="str">
        <f t="shared" si="135"/>
        <v>Neutral</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0</v>
      </c>
      <c r="V385">
        <f>step3_validation[[#This Row],[AI_ENF2]]</f>
        <v>6</v>
      </c>
      <c r="W385" t="str">
        <f t="shared" si="138"/>
        <v>Neutral</v>
      </c>
      <c r="X385">
        <f>survey_responses[[#This Row],[Tôi tin rằng Nhà nước, cơ quan thuế có đủ khả năng và công nghệ để phát hiện, xử lý nghiêm các hành vi trốn thuế. - HUMAN-ENF2]]</f>
        <v>7</v>
      </c>
      <c r="Y385" t="str">
        <f t="shared" si="139"/>
        <v>Neutral</v>
      </c>
      <c r="Z385" s="32">
        <f t="shared" si="140"/>
        <v>1</v>
      </c>
      <c r="AA385">
        <f>step3_validation[[#This Row],[AI_FAC1]]</f>
        <v>8</v>
      </c>
      <c r="AB385" t="str">
        <f t="shared" si="141"/>
        <v>Support</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1</v>
      </c>
      <c r="AF385">
        <f>step3_validation[[#This Row],[AI_FAC2]]</f>
        <v>9</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0</v>
      </c>
      <c r="AK385">
        <f>step3_validation[[#This Row],[AI_TRU1]]</f>
        <v>7</v>
      </c>
      <c r="AL385" t="str">
        <f t="shared" si="147"/>
        <v>Neutral</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1</v>
      </c>
      <c r="AP385">
        <f>step3_validation[[#This Row],[AI_TRU2]]</f>
        <v>8</v>
      </c>
      <c r="AQ385" t="str">
        <f t="shared" si="150"/>
        <v>Support</v>
      </c>
      <c r="AR385">
        <f>survey_responses[[#This Row],[Tôi thấy mức thuế tôi phải đóng theo phương án mới là công bằng (người thu nhập như tôi đóng mức này là hợp lý). - HUMAN-TRU2]]</f>
        <v>10</v>
      </c>
      <c r="AS385" t="str">
        <f t="shared" si="151"/>
        <v>Support</v>
      </c>
      <c r="AT385" s="32">
        <f t="shared" si="152"/>
        <v>2</v>
      </c>
      <c r="AU385">
        <f>step3_validation[[#This Row],[AI_TRU3]]</f>
        <v>7</v>
      </c>
      <c r="AV385" t="str">
        <f t="shared" si="153"/>
        <v>Neutral</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1</v>
      </c>
      <c r="AZ385">
        <f>step3_validation[[#This Row],[AI_TRU4]]</f>
        <v>6</v>
      </c>
      <c r="BA385" t="str">
        <f t="shared" si="156"/>
        <v>Neutral</v>
      </c>
      <c r="BB385">
        <f>survey_responses[[#This Row],[Tôi thấy Nhà nước đã giải thích rõ ràng, minh bạch về lý do và mục tiêu của việc sửa đổi thuế lần này. - HUMAN-TRU4]]</f>
        <v>7</v>
      </c>
      <c r="BC385" t="str">
        <f t="shared" si="157"/>
        <v>Neutral</v>
      </c>
      <c r="BD385" s="32">
        <f t="shared" si="158"/>
        <v>1</v>
      </c>
      <c r="BE385">
        <f>step3_validation[[#This Row],[AI_OUT1]]</f>
        <v>8</v>
      </c>
      <c r="BF385" t="str">
        <f t="shared" si="159"/>
        <v>Support</v>
      </c>
      <c r="BG385">
        <f>survey_responses[[#This Row],[Sau khi xem xét các quyền lợi và nghĩa vụ, bạn có ủng hộ và tuân thủ chính sách mới hiện nay? - HUMAN-OUT1]]</f>
        <v>10</v>
      </c>
      <c r="BH385" t="str">
        <f t="shared" si="160"/>
        <v>Support</v>
      </c>
      <c r="BI385" s="32">
        <f t="shared" si="161"/>
        <v>2</v>
      </c>
    </row>
    <row r="386" spans="1:61" x14ac:dyDescent="0.45">
      <c r="A386" s="30">
        <f>step3_validation[[#This Row],[Persona_ID]]</f>
        <v>385</v>
      </c>
      <c r="B386" s="31">
        <f>step3_validation[[#This Row],[Used_Seed]]</f>
        <v>12729</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37.094163354900736</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7</v>
      </c>
      <c r="R386" t="str">
        <f t="shared" si="135"/>
        <v>Neutral</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4</v>
      </c>
      <c r="V386">
        <f>step3_validation[[#This Row],[AI_ENF2]]</f>
        <v>6</v>
      </c>
      <c r="W386" t="str">
        <f t="shared" si="138"/>
        <v>Neutral</v>
      </c>
      <c r="X386">
        <f>survey_responses[[#This Row],[Tôi tin rằng Nhà nước, cơ quan thuế có đủ khả năng và công nghệ để phát hiện, xử lý nghiêm các hành vi trốn thuế. - HUMAN-ENF2]]</f>
        <v>3</v>
      </c>
      <c r="Y386" t="str">
        <f t="shared" si="139"/>
        <v>Oppose</v>
      </c>
      <c r="Z386" s="32">
        <f t="shared" si="140"/>
        <v>3</v>
      </c>
      <c r="AA386">
        <f>step3_validation[[#This Row],[AI_FAC1]]</f>
        <v>8</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4</v>
      </c>
      <c r="AF386">
        <f>step3_validation[[#This Row],[AI_FAC2]]</f>
        <v>9</v>
      </c>
      <c r="AG386" t="str">
        <f t="shared" si="144"/>
        <v>Support</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3</v>
      </c>
      <c r="AK386">
        <f>step3_validation[[#This Row],[AI_TRU1]]</f>
        <v>7</v>
      </c>
      <c r="AL386" t="str">
        <f t="shared" si="147"/>
        <v>Neutral</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3</v>
      </c>
      <c r="AP386">
        <f>step3_validation[[#This Row],[AI_TRU2]]</f>
        <v>6</v>
      </c>
      <c r="AQ386" t="str">
        <f t="shared" si="150"/>
        <v>Neutral</v>
      </c>
      <c r="AR386">
        <f>survey_responses[[#This Row],[Tôi thấy mức thuế tôi phải đóng theo phương án mới là công bằng (người thu nhập như tôi đóng mức này là hợp lý). - HUMAN-TRU2]]</f>
        <v>5</v>
      </c>
      <c r="AS386" t="str">
        <f t="shared" si="151"/>
        <v>Neutral</v>
      </c>
      <c r="AT386" s="32">
        <f t="shared" si="152"/>
        <v>1</v>
      </c>
      <c r="AU386">
        <f>step3_validation[[#This Row],[AI_TRU3]]</f>
        <v>7</v>
      </c>
      <c r="AV386" t="str">
        <f t="shared" si="153"/>
        <v>Neutral</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3</v>
      </c>
      <c r="AZ386">
        <f>step3_validation[[#This Row],[AI_TRU4]]</f>
        <v>5</v>
      </c>
      <c r="BA386" t="str">
        <f t="shared" si="156"/>
        <v>Neutral</v>
      </c>
      <c r="BB386">
        <f>survey_responses[[#This Row],[Tôi thấy Nhà nước đã giải thích rõ ràng, minh bạch về lý do và mục tiêu của việc sửa đổi thuế lần này. - HUMAN-TRU4]]</f>
        <v>5</v>
      </c>
      <c r="BC386" t="str">
        <f t="shared" si="157"/>
        <v>Neutral</v>
      </c>
      <c r="BD386" s="32">
        <f t="shared" si="158"/>
        <v>0</v>
      </c>
      <c r="BE386">
        <f>step3_validation[[#This Row],[AI_OUT1]]</f>
        <v>6</v>
      </c>
      <c r="BF386" t="str">
        <f t="shared" si="159"/>
        <v>Neutral</v>
      </c>
      <c r="BG386">
        <f>survey_responses[[#This Row],[Sau khi xem xét các quyền lợi và nghĩa vụ, bạn có ủng hộ và tuân thủ chính sách mới hiện nay? - HUMAN-OUT1]]</f>
        <v>5</v>
      </c>
      <c r="BH386" t="str">
        <f t="shared" si="160"/>
        <v>Neutral</v>
      </c>
      <c r="BI386" s="32">
        <f t="shared" si="161"/>
        <v>1</v>
      </c>
    </row>
    <row r="387" spans="1:61" x14ac:dyDescent="0.45">
      <c r="A387" s="30">
        <f>step3_validation[[#This Row],[Persona_ID]]</f>
        <v>386</v>
      </c>
      <c r="B387" s="31">
        <f>step3_validation[[#This Row],[Used_Seed]]</f>
        <v>12730</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29.255482617924837</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1</v>
      </c>
      <c r="V387">
        <f>step3_validation[[#This Row],[AI_ENF2]]</f>
        <v>6</v>
      </c>
      <c r="W387" t="str">
        <f t="shared" ref="W387:W404" si="165">IF(AND(V387&gt;=1,V387&lt;5),"Oppose",IF(AND(V387&gt;=5,V387&lt;8),"Neutral",IF(AND(V387&gt;=8,V387&lt;=10),"Support","")))</f>
        <v>Neutral</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2</v>
      </c>
      <c r="AA387">
        <f>step3_validation[[#This Row],[AI_FAC1]]</f>
        <v>7</v>
      </c>
      <c r="AB387" t="str">
        <f t="shared" ref="AB387:AB404" si="168">IF(AND(AA387&gt;=1,AA387&lt;5),"Oppose",IF(AND(AA387&gt;=5,AA387&lt;8),"Neutral",IF(AND(AA387&gt;=8,AA387&lt;=10),"Support","")))</f>
        <v>Neutral</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2</v>
      </c>
      <c r="AF387">
        <f>step3_validation[[#This Row],[AI_FAC2]]</f>
        <v>5</v>
      </c>
      <c r="AG387" t="str">
        <f t="shared" ref="AG387:AG404" si="171">IF(AND(AF387&gt;=1,AF387&lt;5),"Oppose",IF(AND(AF387&gt;=5,AF387&lt;8),"Neutral",IF(AND(AF387&gt;=8,AF387&lt;=10),"Support","")))</f>
        <v>Neutral</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3</v>
      </c>
      <c r="AK387">
        <f>step3_validation[[#This Row],[AI_TRU1]]</f>
        <v>8</v>
      </c>
      <c r="AL387" t="str">
        <f t="shared" ref="AL387:AL404" si="174">IF(AND(AK387&gt;=1,AK387&lt;5),"Oppose",IF(AND(AK387&gt;=5,AK387&lt;8),"Neutral",IF(AND(AK387&gt;=8,AK387&lt;=10),"Support","")))</f>
        <v>Support</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1</v>
      </c>
      <c r="AP387">
        <f>step3_validation[[#This Row],[AI_TRU2]]</f>
        <v>4</v>
      </c>
      <c r="AQ387" t="str">
        <f t="shared" ref="AQ387:AQ404" si="177">IF(AND(AP387&gt;=1,AP387&lt;5),"Oppose",IF(AND(AP387&gt;=5,AP387&lt;8),"Neutral",IF(AND(AP387&gt;=8,AP387&lt;=10),"Support","")))</f>
        <v>Oppose</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4</v>
      </c>
      <c r="AU387">
        <f>step3_validation[[#This Row],[AI_TRU3]]</f>
        <v>6</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1</v>
      </c>
      <c r="AZ387">
        <f>step3_validation[[#This Row],[AI_TRU4]]</f>
        <v>5</v>
      </c>
      <c r="BA387" t="str">
        <f t="shared" ref="BA387:BA404" si="183">IF(AND(AZ387&gt;=1,AZ387&lt;5),"Oppose",IF(AND(AZ387&gt;=5,AZ387&lt;8),"Neutral",IF(AND(AZ387&gt;=8,AZ387&lt;=10),"Support","")))</f>
        <v>Neutral</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2</v>
      </c>
      <c r="BE387">
        <f>step3_validation[[#This Row],[AI_OUT1]]</f>
        <v>7</v>
      </c>
      <c r="BF387" t="str">
        <f t="shared" ref="BF387:BF404" si="186">IF(AND(BE387&gt;=1,BE387&lt;5),"Oppose",IF(AND(BE387&gt;=5,BE387&lt;8),"Neutral",IF(AND(BE387&gt;=8,BE387&lt;=10),"Support","")))</f>
        <v>Neutral</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12731</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55.697175084285476</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2</v>
      </c>
      <c r="V388">
        <f>step3_validation[[#This Row],[AI_ENF2]]</f>
        <v>8</v>
      </c>
      <c r="W388" t="str">
        <f t="shared" si="165"/>
        <v>Support</v>
      </c>
      <c r="X388">
        <f>survey_responses[[#This Row],[Tôi tin rằng Nhà nước, cơ quan thuế có đủ khả năng và công nghệ để phát hiện, xử lý nghiêm các hành vi trốn thuế. - HUMAN-ENF2]]</f>
        <v>5</v>
      </c>
      <c r="Y388" t="str">
        <f t="shared" si="166"/>
        <v>Neutral</v>
      </c>
      <c r="Z388" s="32">
        <f t="shared" si="167"/>
        <v>3</v>
      </c>
      <c r="AA388">
        <f>step3_validation[[#This Row],[AI_FAC1]]</f>
        <v>9</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4</v>
      </c>
      <c r="AF388">
        <f>step3_validation[[#This Row],[AI_FAC2]]</f>
        <v>8</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3</v>
      </c>
      <c r="AK388">
        <f>step3_validation[[#This Row],[AI_TRU1]]</f>
        <v>9</v>
      </c>
      <c r="AL388" t="str">
        <f t="shared" si="174"/>
        <v>Support</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4</v>
      </c>
      <c r="AP388">
        <f>step3_validation[[#This Row],[AI_TRU2]]</f>
        <v>8</v>
      </c>
      <c r="AQ388" t="str">
        <f t="shared" si="177"/>
        <v>Support</v>
      </c>
      <c r="AR388">
        <f>survey_responses[[#This Row],[Tôi thấy mức thuế tôi phải đóng theo phương án mới là công bằng (người thu nhập như tôi đóng mức này là hợp lý). - HUMAN-TRU2]]</f>
        <v>5</v>
      </c>
      <c r="AS388" t="str">
        <f t="shared" si="178"/>
        <v>Neutral</v>
      </c>
      <c r="AT388" s="32">
        <f t="shared" si="179"/>
        <v>3</v>
      </c>
      <c r="AU388">
        <f>step3_validation[[#This Row],[AI_TRU3]]</f>
        <v>7</v>
      </c>
      <c r="AV388" t="str">
        <f t="shared" si="180"/>
        <v>Neutral</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2</v>
      </c>
      <c r="AZ388">
        <f>step3_validation[[#This Row],[AI_TRU4]]</f>
        <v>8</v>
      </c>
      <c r="BA388" t="str">
        <f t="shared" si="183"/>
        <v>Support</v>
      </c>
      <c r="BB388">
        <f>survey_responses[[#This Row],[Tôi thấy Nhà nước đã giải thích rõ ràng, minh bạch về lý do và mục tiêu của việc sửa đổi thuế lần này. - HUMAN-TRU4]]</f>
        <v>5</v>
      </c>
      <c r="BC388" t="str">
        <f t="shared" si="184"/>
        <v>Neutral</v>
      </c>
      <c r="BD388" s="32">
        <f t="shared" si="185"/>
        <v>3</v>
      </c>
      <c r="BE388">
        <f>step3_validation[[#This Row],[AI_OUT1]]</f>
        <v>9</v>
      </c>
      <c r="BF388" t="str">
        <f t="shared" si="186"/>
        <v>Support</v>
      </c>
      <c r="BG388">
        <f>survey_responses[[#This Row],[Sau khi xem xét các quyền lợi và nghĩa vụ, bạn có ủng hộ và tuân thủ chính sách mới hiện nay? - HUMAN-OUT1]]</f>
        <v>5</v>
      </c>
      <c r="BH388" t="str">
        <f t="shared" si="187"/>
        <v>Neutral</v>
      </c>
      <c r="BI388" s="32">
        <f t="shared" si="188"/>
        <v>4</v>
      </c>
    </row>
    <row r="389" spans="1:61" x14ac:dyDescent="0.45">
      <c r="A389" s="30">
        <f>step3_validation[[#This Row],[Persona_ID]]</f>
        <v>388</v>
      </c>
      <c r="B389" s="31">
        <f>step3_validation[[#This Row],[Used_Seed]]</f>
        <v>12732</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15.020886174324577</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6</v>
      </c>
      <c r="R389" t="str">
        <f t="shared" si="162"/>
        <v>Neutral</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1</v>
      </c>
      <c r="V389">
        <f>step3_validation[[#This Row],[AI_ENF2]]</f>
        <v>7</v>
      </c>
      <c r="W389" t="str">
        <f t="shared" si="165"/>
        <v>Neutral</v>
      </c>
      <c r="X389">
        <f>survey_responses[[#This Row],[Tôi tin rằng Nhà nước, cơ quan thuế có đủ khả năng và công nghệ để phát hiện, xử lý nghiêm các hành vi trốn thuế. - HUMAN-ENF2]]</f>
        <v>7</v>
      </c>
      <c r="Y389" t="str">
        <f t="shared" si="166"/>
        <v>Neutral</v>
      </c>
      <c r="Z389" s="32">
        <f t="shared" si="167"/>
        <v>0</v>
      </c>
      <c r="AA389">
        <f>step3_validation[[#This Row],[AI_FAC1]]</f>
        <v>8</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3</v>
      </c>
      <c r="AF389">
        <f>step3_validation[[#This Row],[AI_FAC2]]</f>
        <v>9</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1</v>
      </c>
      <c r="AK389">
        <f>step3_validation[[#This Row],[AI_TRU1]]</f>
        <v>7</v>
      </c>
      <c r="AL389" t="str">
        <f t="shared" si="174"/>
        <v>Neutral</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1</v>
      </c>
      <c r="AP389">
        <f>step3_validation[[#This Row],[AI_TRU2]]</f>
        <v>8</v>
      </c>
      <c r="AQ389" t="str">
        <f t="shared" si="177"/>
        <v>Support</v>
      </c>
      <c r="AR389">
        <f>survey_responses[[#This Row],[Tôi thấy mức thuế tôi phải đóng theo phương án mới là công bằng (người thu nhập như tôi đóng mức này là hợp lý). - HUMAN-TRU2]]</f>
        <v>8</v>
      </c>
      <c r="AS389" t="str">
        <f t="shared" si="178"/>
        <v>Support</v>
      </c>
      <c r="AT389" s="32">
        <f t="shared" si="179"/>
        <v>0</v>
      </c>
      <c r="AU389">
        <f>step3_validation[[#This Row],[AI_TRU3]]</f>
        <v>6</v>
      </c>
      <c r="AV389" t="str">
        <f t="shared" si="180"/>
        <v>Neutral</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1</v>
      </c>
      <c r="AZ389">
        <f>step3_validation[[#This Row],[AI_TRU4]]</f>
        <v>5</v>
      </c>
      <c r="BA389" t="str">
        <f t="shared" si="183"/>
        <v>Neutral</v>
      </c>
      <c r="BB389">
        <f>survey_responses[[#This Row],[Tôi thấy Nhà nước đã giải thích rõ ràng, minh bạch về lý do và mục tiêu của việc sửa đổi thuế lần này. - HUMAN-TRU4]]</f>
        <v>5</v>
      </c>
      <c r="BC389" t="str">
        <f t="shared" si="184"/>
        <v>Neutral</v>
      </c>
      <c r="BD389" s="32">
        <f t="shared" si="185"/>
        <v>0</v>
      </c>
      <c r="BE389">
        <f>step3_validation[[#This Row],[AI_OUT1]]</f>
        <v>7</v>
      </c>
      <c r="BF389" t="str">
        <f t="shared" si="186"/>
        <v>Neutral</v>
      </c>
      <c r="BG389">
        <f>survey_responses[[#This Row],[Sau khi xem xét các quyền lợi và nghĩa vụ, bạn có ủng hộ và tuân thủ chính sách mới hiện nay? - HUMAN-OUT1]]</f>
        <v>8</v>
      </c>
      <c r="BH389" t="str">
        <f t="shared" si="187"/>
        <v>Support</v>
      </c>
      <c r="BI389" s="32">
        <f t="shared" si="188"/>
        <v>1</v>
      </c>
    </row>
    <row r="390" spans="1:61" x14ac:dyDescent="0.45">
      <c r="A390" s="30">
        <f>step3_validation[[#This Row],[Persona_ID]]</f>
        <v>389</v>
      </c>
      <c r="B390" s="31">
        <f>step3_validation[[#This Row],[Used_Seed]]</f>
        <v>12733</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21.98653578409694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8</v>
      </c>
      <c r="R390" t="str">
        <f t="shared" si="162"/>
        <v>Support</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2</v>
      </c>
      <c r="V390">
        <f>step3_validation[[#This Row],[AI_ENF2]]</f>
        <v>7</v>
      </c>
      <c r="W390" t="str">
        <f t="shared" si="165"/>
        <v>Neutral</v>
      </c>
      <c r="X390">
        <f>survey_responses[[#This Row],[Tôi tin rằng Nhà nước, cơ quan thuế có đủ khả năng và công nghệ để phát hiện, xử lý nghiêm các hành vi trốn thuế. - HUMAN-ENF2]]</f>
        <v>8</v>
      </c>
      <c r="Y390" t="str">
        <f t="shared" si="166"/>
        <v>Support</v>
      </c>
      <c r="Z390" s="32">
        <f t="shared" si="167"/>
        <v>1</v>
      </c>
      <c r="AA390">
        <f>step3_validation[[#This Row],[AI_FAC1]]</f>
        <v>6</v>
      </c>
      <c r="AB390" t="str">
        <f t="shared" si="168"/>
        <v>Neutral</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1</v>
      </c>
      <c r="AF390">
        <f>step3_validation[[#This Row],[AI_FAC2]]</f>
        <v>7</v>
      </c>
      <c r="AG390" t="str">
        <f t="shared" si="171"/>
        <v>Neutral</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1</v>
      </c>
      <c r="AK390">
        <f>step3_validation[[#This Row],[AI_TRU1]]</f>
        <v>8</v>
      </c>
      <c r="AL390" t="str">
        <f t="shared" si="174"/>
        <v>Support</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2</v>
      </c>
      <c r="AP390">
        <f>step3_validation[[#This Row],[AI_TRU2]]</f>
        <v>6</v>
      </c>
      <c r="AQ390" t="str">
        <f t="shared" si="177"/>
        <v>Neutral</v>
      </c>
      <c r="AR390">
        <f>survey_responses[[#This Row],[Tôi thấy mức thuế tôi phải đóng theo phương án mới là công bằng (người thu nhập như tôi đóng mức này là hợp lý). - HUMAN-TRU2]]</f>
        <v>8</v>
      </c>
      <c r="AS390" t="str">
        <f t="shared" si="178"/>
        <v>Support</v>
      </c>
      <c r="AT390" s="32">
        <f t="shared" si="179"/>
        <v>2</v>
      </c>
      <c r="AU390">
        <f>step3_validation[[#This Row],[AI_TRU3]]</f>
        <v>7</v>
      </c>
      <c r="AV390" t="str">
        <f t="shared" si="180"/>
        <v>Neutral</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2</v>
      </c>
      <c r="AZ390">
        <f>step3_validation[[#This Row],[AI_TRU4]]</f>
        <v>5</v>
      </c>
      <c r="BA390" t="str">
        <f t="shared" si="183"/>
        <v>Neutral</v>
      </c>
      <c r="BB390">
        <f>survey_responses[[#This Row],[Tôi thấy Nhà nước đã giải thích rõ ràng, minh bạch về lý do và mục tiêu của việc sửa đổi thuế lần này. - HUMAN-TRU4]]</f>
        <v>5</v>
      </c>
      <c r="BC390" t="str">
        <f t="shared" si="184"/>
        <v>Neutral</v>
      </c>
      <c r="BD390" s="32">
        <f t="shared" si="185"/>
        <v>0</v>
      </c>
      <c r="BE390">
        <f>step3_validation[[#This Row],[AI_OUT1]]</f>
        <v>6</v>
      </c>
      <c r="BF390" t="str">
        <f t="shared" si="186"/>
        <v>Neutral</v>
      </c>
      <c r="BG390">
        <f>survey_responses[[#This Row],[Sau khi xem xét các quyền lợi và nghĩa vụ, bạn có ủng hộ và tuân thủ chính sách mới hiện nay? - HUMAN-OUT1]]</f>
        <v>8</v>
      </c>
      <c r="BH390" t="str">
        <f t="shared" si="187"/>
        <v>Support</v>
      </c>
      <c r="BI390" s="32">
        <f t="shared" si="188"/>
        <v>2</v>
      </c>
    </row>
    <row r="391" spans="1:61" x14ac:dyDescent="0.45">
      <c r="A391" s="30">
        <f>step3_validation[[#This Row],[Persona_ID]]</f>
        <v>390</v>
      </c>
      <c r="B391" s="31">
        <f>step3_validation[[#This Row],[Used_Seed]]</f>
        <v>12734</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35.315906845948973</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7</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3</v>
      </c>
      <c r="V391">
        <f>step3_validation[[#This Row],[AI_ENF2]]</f>
        <v>6</v>
      </c>
      <c r="W391" t="str">
        <f t="shared" si="165"/>
        <v>Neutral</v>
      </c>
      <c r="X391">
        <f>survey_responses[[#This Row],[Tôi tin rằng Nhà nước, cơ quan thuế có đủ khả năng và công nghệ để phát hiện, xử lý nghiêm các hành vi trốn thuế. - HUMAN-ENF2]]</f>
        <v>10</v>
      </c>
      <c r="Y391" t="str">
        <f t="shared" si="166"/>
        <v>Support</v>
      </c>
      <c r="Z391" s="32">
        <f t="shared" si="167"/>
        <v>4</v>
      </c>
      <c r="AA391">
        <f>step3_validation[[#This Row],[AI_FAC1]]</f>
        <v>4</v>
      </c>
      <c r="AB391" t="str">
        <f t="shared" si="168"/>
        <v>Oppose</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1</v>
      </c>
      <c r="AF391">
        <f>step3_validation[[#This Row],[AI_FAC2]]</f>
        <v>8</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1</v>
      </c>
      <c r="AK391">
        <f>step3_validation[[#This Row],[AI_TRU1]]</f>
        <v>7</v>
      </c>
      <c r="AL391" t="str">
        <f t="shared" si="174"/>
        <v>Neutral</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0</v>
      </c>
      <c r="AP391">
        <f>step3_validation[[#This Row],[AI_TRU2]]</f>
        <v>6</v>
      </c>
      <c r="AQ391" t="str">
        <f t="shared" si="177"/>
        <v>Neutral</v>
      </c>
      <c r="AR391">
        <f>survey_responses[[#This Row],[Tôi thấy mức thuế tôi phải đóng theo phương án mới là công bằng (người thu nhập như tôi đóng mức này là hợp lý). - HUMAN-TRU2]]</f>
        <v>8</v>
      </c>
      <c r="AS391" t="str">
        <f t="shared" si="178"/>
        <v>Support</v>
      </c>
      <c r="AT391" s="32">
        <f t="shared" si="179"/>
        <v>2</v>
      </c>
      <c r="AU391">
        <f>step3_validation[[#This Row],[AI_TRU3]]</f>
        <v>7</v>
      </c>
      <c r="AV391" t="str">
        <f t="shared" si="180"/>
        <v>Neutral</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2</v>
      </c>
      <c r="AZ391">
        <f>step3_validation[[#This Row],[AI_TRU4]]</f>
        <v>6</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1</v>
      </c>
      <c r="BE391">
        <f>step3_validation[[#This Row],[AI_OUT1]]</f>
        <v>6</v>
      </c>
      <c r="BF391" t="str">
        <f t="shared" si="186"/>
        <v>Neutral</v>
      </c>
      <c r="BG391">
        <f>survey_responses[[#This Row],[Sau khi xem xét các quyền lợi và nghĩa vụ, bạn có ủng hộ và tuân thủ chính sách mới hiện nay? - HUMAN-OUT1]]</f>
        <v>8</v>
      </c>
      <c r="BH391" t="str">
        <f t="shared" si="187"/>
        <v>Support</v>
      </c>
      <c r="BI391" s="32">
        <f t="shared" si="188"/>
        <v>2</v>
      </c>
    </row>
    <row r="392" spans="1:61" x14ac:dyDescent="0.45">
      <c r="A392" s="30">
        <f>step3_validation[[#This Row],[Persona_ID]]</f>
        <v>391</v>
      </c>
      <c r="B392" s="31">
        <f>step3_validation[[#This Row],[Used_Seed]]</f>
        <v>12735</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13.913131000062391</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7</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3</v>
      </c>
      <c r="V392">
        <f>step3_validation[[#This Row],[AI_ENF2]]</f>
        <v>6</v>
      </c>
      <c r="W392" t="str">
        <f t="shared" si="165"/>
        <v>Neutral</v>
      </c>
      <c r="X392">
        <f>survey_responses[[#This Row],[Tôi tin rằng Nhà nước, cơ quan thuế có đủ khả năng và công nghệ để phát hiện, xử lý nghiêm các hành vi trốn thuế. - HUMAN-ENF2]]</f>
        <v>5</v>
      </c>
      <c r="Y392" t="str">
        <f t="shared" si="166"/>
        <v>Neutral</v>
      </c>
      <c r="Z392" s="32">
        <f t="shared" si="167"/>
        <v>1</v>
      </c>
      <c r="AA392">
        <f>step3_validation[[#This Row],[AI_FAC1]]</f>
        <v>8</v>
      </c>
      <c r="AB392" t="str">
        <f t="shared" si="168"/>
        <v>Support</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1</v>
      </c>
      <c r="AF392">
        <f>step3_validation[[#This Row],[AI_FAC2]]</f>
        <v>7</v>
      </c>
      <c r="AG392" t="str">
        <f t="shared" si="171"/>
        <v>Neutral</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0</v>
      </c>
      <c r="AK392">
        <f>step3_validation[[#This Row],[AI_TRU1]]</f>
        <v>6</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1</v>
      </c>
      <c r="AP392">
        <f>step3_validation[[#This Row],[AI_TRU2]]</f>
        <v>5</v>
      </c>
      <c r="AQ392" t="str">
        <f t="shared" si="177"/>
        <v>Neutral</v>
      </c>
      <c r="AR392">
        <f>survey_responses[[#This Row],[Tôi thấy mức thuế tôi phải đóng theo phương án mới là công bằng (người thu nhập như tôi đóng mức này là hợp lý). - HUMAN-TRU2]]</f>
        <v>7</v>
      </c>
      <c r="AS392" t="str">
        <f t="shared" si="178"/>
        <v>Neutral</v>
      </c>
      <c r="AT392" s="32">
        <f t="shared" si="179"/>
        <v>2</v>
      </c>
      <c r="AU392">
        <f>step3_validation[[#This Row],[AI_TRU3]]</f>
        <v>6</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1</v>
      </c>
      <c r="AZ392">
        <f>step3_validation[[#This Row],[AI_TRU4]]</f>
        <v>5</v>
      </c>
      <c r="BA392" t="str">
        <f t="shared" si="183"/>
        <v>Neutral</v>
      </c>
      <c r="BB392">
        <f>survey_responses[[#This Row],[Tôi thấy Nhà nước đã giải thích rõ ràng, minh bạch về lý do và mục tiêu của việc sửa đổi thuế lần này. - HUMAN-TRU4]]</f>
        <v>5</v>
      </c>
      <c r="BC392" t="str">
        <f t="shared" si="184"/>
        <v>Neutral</v>
      </c>
      <c r="BD392" s="32">
        <f t="shared" si="185"/>
        <v>0</v>
      </c>
      <c r="BE392">
        <f>step3_validation[[#This Row],[AI_OUT1]]</f>
        <v>7</v>
      </c>
      <c r="BF392" t="str">
        <f t="shared" si="186"/>
        <v>Neutral</v>
      </c>
      <c r="BG392">
        <f>survey_responses[[#This Row],[Sau khi xem xét các quyền lợi và nghĩa vụ, bạn có ủng hộ và tuân thủ chính sách mới hiện nay? - HUMAN-OUT1]]</f>
        <v>7</v>
      </c>
      <c r="BH392" t="str">
        <f t="shared" si="187"/>
        <v>Neutral</v>
      </c>
      <c r="BI392" s="32">
        <f t="shared" si="188"/>
        <v>0</v>
      </c>
    </row>
    <row r="393" spans="1:61" x14ac:dyDescent="0.45">
      <c r="A393" s="30">
        <f>step3_validation[[#This Row],[Persona_ID]]</f>
        <v>392</v>
      </c>
      <c r="B393" s="31">
        <f>step3_validation[[#This Row],[Used_Seed]]</f>
        <v>12736</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134.44292884597559</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8</v>
      </c>
      <c r="R393" t="str">
        <f t="shared" si="162"/>
        <v>Support</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6</v>
      </c>
      <c r="V393">
        <f>step3_validation[[#This Row],[AI_ENF2]]</f>
        <v>9</v>
      </c>
      <c r="W393" t="str">
        <f t="shared" si="165"/>
        <v>Support</v>
      </c>
      <c r="X393">
        <f>survey_responses[[#This Row],[Tôi tin rằng Nhà nước, cơ quan thuế có đủ khả năng và công nghệ để phát hiện, xử lý nghiêm các hành vi trốn thuế. - HUMAN-ENF2]]</f>
        <v>3</v>
      </c>
      <c r="Y393" t="str">
        <f t="shared" si="166"/>
        <v>Oppose</v>
      </c>
      <c r="Z393" s="32">
        <f t="shared" si="167"/>
        <v>6</v>
      </c>
      <c r="AA393">
        <f>step3_validation[[#This Row],[AI_FAC1]]</f>
        <v>7</v>
      </c>
      <c r="AB393" t="str">
        <f t="shared" si="168"/>
        <v>Neutral</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4</v>
      </c>
      <c r="AF393">
        <f>step3_validation[[#This Row],[AI_FAC2]]</f>
        <v>8</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2</v>
      </c>
      <c r="AK393">
        <f>step3_validation[[#This Row],[AI_TRU1]]</f>
        <v>9</v>
      </c>
      <c r="AL393" t="str">
        <f t="shared" si="174"/>
        <v>Support</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4</v>
      </c>
      <c r="AP393">
        <f>step3_validation[[#This Row],[AI_TRU2]]</f>
        <v>7</v>
      </c>
      <c r="AQ393" t="str">
        <f t="shared" si="177"/>
        <v>Neutral</v>
      </c>
      <c r="AR393">
        <f>survey_responses[[#This Row],[Tôi thấy mức thuế tôi phải đóng theo phương án mới là công bằng (người thu nhập như tôi đóng mức này là hợp lý). - HUMAN-TRU2]]</f>
        <v>5</v>
      </c>
      <c r="AS393" t="str">
        <f t="shared" si="178"/>
        <v>Neutral</v>
      </c>
      <c r="AT393" s="32">
        <f t="shared" si="179"/>
        <v>2</v>
      </c>
      <c r="AU393">
        <f>step3_validation[[#This Row],[AI_TRU3]]</f>
        <v>6</v>
      </c>
      <c r="AV393" t="str">
        <f t="shared" si="180"/>
        <v>Neutral</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1</v>
      </c>
      <c r="AZ393">
        <f>step3_validation[[#This Row],[AI_TRU4]]</f>
        <v>7</v>
      </c>
      <c r="BA393" t="str">
        <f t="shared" si="183"/>
        <v>Neutral</v>
      </c>
      <c r="BB393">
        <f>survey_responses[[#This Row],[Tôi thấy Nhà nước đã giải thích rõ ràng, minh bạch về lý do và mục tiêu của việc sửa đổi thuế lần này. - HUMAN-TRU4]]</f>
        <v>5</v>
      </c>
      <c r="BC393" t="str">
        <f t="shared" si="184"/>
        <v>Neutral</v>
      </c>
      <c r="BD393" s="32">
        <f t="shared" si="185"/>
        <v>2</v>
      </c>
      <c r="BE393">
        <f>step3_validation[[#This Row],[AI_OUT1]]</f>
        <v>8</v>
      </c>
      <c r="BF393" t="str">
        <f t="shared" si="186"/>
        <v>Support</v>
      </c>
      <c r="BG393">
        <f>survey_responses[[#This Row],[Sau khi xem xét các quyền lợi và nghĩa vụ, bạn có ủng hộ và tuân thủ chính sách mới hiện nay? - HUMAN-OUT1]]</f>
        <v>5</v>
      </c>
      <c r="BH393" t="str">
        <f t="shared" si="187"/>
        <v>Neutral</v>
      </c>
      <c r="BI393" s="32">
        <f t="shared" si="188"/>
        <v>3</v>
      </c>
    </row>
    <row r="394" spans="1:61" x14ac:dyDescent="0.45">
      <c r="A394" s="30">
        <f>step3_validation[[#This Row],[Persona_ID]]</f>
        <v>393</v>
      </c>
      <c r="B394" s="31">
        <f>step3_validation[[#This Row],[Used_Seed]]</f>
        <v>12737</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24.670203317883299</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8</v>
      </c>
      <c r="R394" t="str">
        <f t="shared" si="162"/>
        <v>Support</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1</v>
      </c>
      <c r="V394">
        <f>step3_validation[[#This Row],[AI_ENF2]]</f>
        <v>8</v>
      </c>
      <c r="W394" t="str">
        <f t="shared" si="165"/>
        <v>Support</v>
      </c>
      <c r="X394">
        <f>survey_responses[[#This Row],[Tôi tin rằng Nhà nước, cơ quan thuế có đủ khả năng và công nghệ để phát hiện, xử lý nghiêm các hành vi trốn thuế. - HUMAN-ENF2]]</f>
        <v>7</v>
      </c>
      <c r="Y394" t="str">
        <f t="shared" si="166"/>
        <v>Neutral</v>
      </c>
      <c r="Z394" s="32">
        <f t="shared" si="167"/>
        <v>1</v>
      </c>
      <c r="AA394">
        <f>step3_validation[[#This Row],[AI_FAC1]]</f>
        <v>8</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3</v>
      </c>
      <c r="AF394">
        <f>step3_validation[[#This Row],[AI_FAC2]]</f>
        <v>7</v>
      </c>
      <c r="AG394" t="str">
        <f t="shared" si="171"/>
        <v>Neutral</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1</v>
      </c>
      <c r="AK394">
        <f>step3_validation[[#This Row],[AI_TRU1]]</f>
        <v>7</v>
      </c>
      <c r="AL394" t="str">
        <f t="shared" si="174"/>
        <v>Neutral</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0</v>
      </c>
      <c r="AP394">
        <f>step3_validation[[#This Row],[AI_TRU2]]</f>
        <v>6</v>
      </c>
      <c r="AQ394" t="str">
        <f t="shared" si="177"/>
        <v>Neutral</v>
      </c>
      <c r="AR394">
        <f>survey_responses[[#This Row],[Tôi thấy mức thuế tôi phải đóng theo phương án mới là công bằng (người thu nhập như tôi đóng mức này là hợp lý). - HUMAN-TRU2]]</f>
        <v>7</v>
      </c>
      <c r="AS394" t="str">
        <f t="shared" si="178"/>
        <v>Neutral</v>
      </c>
      <c r="AT394" s="32">
        <f t="shared" si="179"/>
        <v>1</v>
      </c>
      <c r="AU394">
        <f>step3_validation[[#This Row],[AI_TRU3]]</f>
        <v>6</v>
      </c>
      <c r="AV394" t="str">
        <f t="shared" si="180"/>
        <v>Neutral</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1</v>
      </c>
      <c r="AZ394">
        <f>step3_validation[[#This Row],[AI_TRU4]]</f>
        <v>5</v>
      </c>
      <c r="BA394" t="str">
        <f t="shared" si="183"/>
        <v>Neutral</v>
      </c>
      <c r="BB394">
        <f>survey_responses[[#This Row],[Tôi thấy Nhà nước đã giải thích rõ ràng, minh bạch về lý do và mục tiêu của việc sửa đổi thuế lần này. - HUMAN-TRU4]]</f>
        <v>6</v>
      </c>
      <c r="BC394" t="str">
        <f t="shared" si="184"/>
        <v>Neutral</v>
      </c>
      <c r="BD394" s="32">
        <f t="shared" si="185"/>
        <v>1</v>
      </c>
      <c r="BE394">
        <f>step3_validation[[#This Row],[AI_OUT1]]</f>
        <v>7</v>
      </c>
      <c r="BF394" t="str">
        <f t="shared" si="186"/>
        <v>Neutral</v>
      </c>
      <c r="BG394">
        <f>survey_responses[[#This Row],[Sau khi xem xét các quyền lợi và nghĩa vụ, bạn có ủng hộ và tuân thủ chính sách mới hiện nay? - HUMAN-OUT1]]</f>
        <v>7</v>
      </c>
      <c r="BH394" t="str">
        <f t="shared" si="187"/>
        <v>Neutral</v>
      </c>
      <c r="BI394" s="32">
        <f t="shared" si="188"/>
        <v>0</v>
      </c>
    </row>
    <row r="395" spans="1:61" x14ac:dyDescent="0.45">
      <c r="A395" s="30">
        <f>step3_validation[[#This Row],[Persona_ID]]</f>
        <v>394</v>
      </c>
      <c r="B395" s="31">
        <f>step3_validation[[#This Row],[Used_Seed]]</f>
        <v>12738</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t="str">
        <f t="shared" si="162"/>
        <v>Neutral</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2</v>
      </c>
      <c r="V395">
        <f>step3_validation[[#This Row],[AI_ENF2]]</f>
        <v>8</v>
      </c>
      <c r="W395" t="str">
        <f t="shared" si="165"/>
        <v>Support</v>
      </c>
      <c r="X395">
        <f>survey_responses[[#This Row],[Tôi tin rằng Nhà nước, cơ quan thuế có đủ khả năng và công nghệ để phát hiện, xử lý nghiêm các hành vi trốn thuế. - HUMAN-ENF2]]</f>
        <v>9</v>
      </c>
      <c r="Y395" t="str">
        <f t="shared" si="166"/>
        <v>Support</v>
      </c>
      <c r="Z395" s="32">
        <f t="shared" si="167"/>
        <v>1</v>
      </c>
      <c r="AA395">
        <f>step3_validation[[#This Row],[AI_FAC1]]</f>
        <v>9</v>
      </c>
      <c r="AB395" t="str">
        <f t="shared" si="168"/>
        <v>Support</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0</v>
      </c>
      <c r="AF395">
        <f>step3_validation[[#This Row],[AI_FAC2]]</f>
        <v>7</v>
      </c>
      <c r="AG395" t="str">
        <f t="shared" si="171"/>
        <v>Neutral</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0</v>
      </c>
      <c r="AK395">
        <f>step3_validation[[#This Row],[AI_TRU1]]</f>
        <v>8</v>
      </c>
      <c r="AL395" t="str">
        <f t="shared" si="174"/>
        <v>Support</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0</v>
      </c>
      <c r="AP395">
        <f>step3_validation[[#This Row],[AI_TRU2]]</f>
        <v>6</v>
      </c>
      <c r="AQ395" t="str">
        <f t="shared" si="177"/>
        <v>Neutral</v>
      </c>
      <c r="AR395">
        <f>survey_responses[[#This Row],[Tôi thấy mức thuế tôi phải đóng theo phương án mới là công bằng (người thu nhập như tôi đóng mức này là hợp lý). - HUMAN-TRU2]]</f>
        <v>6</v>
      </c>
      <c r="AS395" t="str">
        <f t="shared" si="178"/>
        <v>Neutral</v>
      </c>
      <c r="AT395" s="32">
        <f t="shared" si="179"/>
        <v>0</v>
      </c>
      <c r="AU395">
        <f>step3_validation[[#This Row],[AI_TRU3]]</f>
        <v>7</v>
      </c>
      <c r="AV395" t="str">
        <f t="shared" si="180"/>
        <v>Neutral</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1</v>
      </c>
      <c r="AZ395">
        <f>step3_validation[[#This Row],[AI_TRU4]]</f>
        <v>6</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4</v>
      </c>
      <c r="BE395">
        <f>step3_validation[[#This Row],[AI_OUT1]]</f>
        <v>8</v>
      </c>
      <c r="BF395" t="str">
        <f t="shared" si="186"/>
        <v>Support</v>
      </c>
      <c r="BG395">
        <f>survey_responses[[#This Row],[Sau khi xem xét các quyền lợi và nghĩa vụ, bạn có ủng hộ và tuân thủ chính sách mới hiện nay? - HUMAN-OUT1]]</f>
        <v>10</v>
      </c>
      <c r="BH395" t="str">
        <f t="shared" si="187"/>
        <v>Support</v>
      </c>
      <c r="BI395" s="32">
        <f t="shared" si="188"/>
        <v>2</v>
      </c>
    </row>
    <row r="396" spans="1:61" x14ac:dyDescent="0.45">
      <c r="A396" s="30">
        <f>step3_validation[[#This Row],[Persona_ID]]</f>
        <v>395</v>
      </c>
      <c r="B396" s="31">
        <f>step3_validation[[#This Row],[Used_Seed]]</f>
        <v>12739</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36.801474328622469</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t="str">
        <f t="shared" si="162"/>
        <v>Neutral</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0</v>
      </c>
      <c r="V396">
        <f>step3_validation[[#This Row],[AI_ENF2]]</f>
        <v>8</v>
      </c>
      <c r="W396" t="str">
        <f t="shared" si="165"/>
        <v>Support</v>
      </c>
      <c r="X396">
        <f>survey_responses[[#This Row],[Tôi tin rằng Nhà nước, cơ quan thuế có đủ khả năng và công nghệ để phát hiện, xử lý nghiêm các hành vi trốn thuế. - HUMAN-ENF2]]</f>
        <v>7</v>
      </c>
      <c r="Y396" t="str">
        <f t="shared" si="166"/>
        <v>Neutral</v>
      </c>
      <c r="Z396" s="32">
        <f t="shared" si="167"/>
        <v>1</v>
      </c>
      <c r="AA396">
        <f>step3_validation[[#This Row],[AI_FAC1]]</f>
        <v>6</v>
      </c>
      <c r="AB396" t="str">
        <f t="shared" si="168"/>
        <v>Neutral</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1</v>
      </c>
      <c r="AF396">
        <f>step3_validation[[#This Row],[AI_FAC2]]</f>
        <v>8</v>
      </c>
      <c r="AG396" t="str">
        <f t="shared" si="171"/>
        <v>Support</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1</v>
      </c>
      <c r="AK396">
        <f>step3_validation[[#This Row],[AI_TRU1]]</f>
        <v>7</v>
      </c>
      <c r="AL396" t="str">
        <f t="shared" si="174"/>
        <v>Neutral</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2</v>
      </c>
      <c r="AP396">
        <f>step3_validation[[#This Row],[AI_TRU2]]</f>
        <v>6</v>
      </c>
      <c r="AQ396" t="str">
        <f t="shared" si="177"/>
        <v>Neutral</v>
      </c>
      <c r="AR396">
        <f>survey_responses[[#This Row],[Tôi thấy mức thuế tôi phải đóng theo phương án mới là công bằng (người thu nhập như tôi đóng mức này là hợp lý). - HUMAN-TRU2]]</f>
        <v>6</v>
      </c>
      <c r="AS396" t="str">
        <f t="shared" si="178"/>
        <v>Neutral</v>
      </c>
      <c r="AT396" s="32">
        <f t="shared" si="179"/>
        <v>0</v>
      </c>
      <c r="AU396">
        <f>step3_validation[[#This Row],[AI_TRU3]]</f>
        <v>5</v>
      </c>
      <c r="AV396" t="str">
        <f t="shared" si="180"/>
        <v>Neutral</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0</v>
      </c>
      <c r="AZ396">
        <f>step3_validation[[#This Row],[AI_TRU4]]</f>
        <v>4</v>
      </c>
      <c r="BA396" t="str">
        <f t="shared" si="183"/>
        <v>Oppose</v>
      </c>
      <c r="BB396">
        <f>survey_responses[[#This Row],[Tôi thấy Nhà nước đã giải thích rõ ràng, minh bạch về lý do và mục tiêu của việc sửa đổi thuế lần này. - HUMAN-TRU4]]</f>
        <v>6</v>
      </c>
      <c r="BC396" t="str">
        <f t="shared" si="184"/>
        <v>Neutral</v>
      </c>
      <c r="BD396" s="32">
        <f t="shared" si="185"/>
        <v>2</v>
      </c>
      <c r="BE396">
        <f>step3_validation[[#This Row],[AI_OUT1]]</f>
        <v>6</v>
      </c>
      <c r="BF396" t="str">
        <f t="shared" si="186"/>
        <v>Neutral</v>
      </c>
      <c r="BG396">
        <f>survey_responses[[#This Row],[Sau khi xem xét các quyền lợi và nghĩa vụ, bạn có ủng hộ và tuân thủ chính sách mới hiện nay? - HUMAN-OUT1]]</f>
        <v>6</v>
      </c>
      <c r="BH396" t="str">
        <f t="shared" si="187"/>
        <v>Neutral</v>
      </c>
      <c r="BI396" s="32">
        <f t="shared" si="188"/>
        <v>0</v>
      </c>
    </row>
    <row r="397" spans="1:61" x14ac:dyDescent="0.45">
      <c r="A397" s="30">
        <f>step3_validation[[#This Row],[Persona_ID]]</f>
        <v>396</v>
      </c>
      <c r="B397" s="31">
        <f>step3_validation[[#This Row],[Used_Seed]]</f>
        <v>12740</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28.414981546846931</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8</v>
      </c>
      <c r="R397" t="str">
        <f t="shared" si="162"/>
        <v>Support</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6</v>
      </c>
      <c r="V397">
        <f>step3_validation[[#This Row],[AI_ENF2]]</f>
        <v>9</v>
      </c>
      <c r="W397" t="str">
        <f t="shared" si="165"/>
        <v>Support</v>
      </c>
      <c r="X397">
        <f>survey_responses[[#This Row],[Tôi tin rằng Nhà nước, cơ quan thuế có đủ khả năng và công nghệ để phát hiện, xử lý nghiêm các hành vi trốn thuế. - HUMAN-ENF2]]</f>
        <v>2</v>
      </c>
      <c r="Y397" t="str">
        <f t="shared" si="166"/>
        <v>Oppose</v>
      </c>
      <c r="Z397" s="32">
        <f t="shared" si="167"/>
        <v>7</v>
      </c>
      <c r="AA397">
        <f>step3_validation[[#This Row],[AI_FAC1]]</f>
        <v>7</v>
      </c>
      <c r="AB397" t="str">
        <f t="shared" si="168"/>
        <v>Neutral</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3</v>
      </c>
      <c r="AF397">
        <f>step3_validation[[#This Row],[AI_FAC2]]</f>
        <v>8</v>
      </c>
      <c r="AG397" t="str">
        <f t="shared" si="171"/>
        <v>Support</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3</v>
      </c>
      <c r="AK397">
        <f>step3_validation[[#This Row],[AI_TRU1]]</f>
        <v>9</v>
      </c>
      <c r="AL397" t="str">
        <f t="shared" si="174"/>
        <v>Support</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4</v>
      </c>
      <c r="AP397">
        <f>step3_validation[[#This Row],[AI_TRU2]]</f>
        <v>8</v>
      </c>
      <c r="AQ397" t="str">
        <f t="shared" si="177"/>
        <v>Support</v>
      </c>
      <c r="AR397">
        <f>survey_responses[[#This Row],[Tôi thấy mức thuế tôi phải đóng theo phương án mới là công bằng (người thu nhập như tôi đóng mức này là hợp lý). - HUMAN-TRU2]]</f>
        <v>3</v>
      </c>
      <c r="AS397" t="str">
        <f t="shared" si="178"/>
        <v>Oppose</v>
      </c>
      <c r="AT397" s="32">
        <f t="shared" si="179"/>
        <v>5</v>
      </c>
      <c r="AU397">
        <f>step3_validation[[#This Row],[AI_TRU3]]</f>
        <v>7</v>
      </c>
      <c r="AV397" t="str">
        <f t="shared" si="180"/>
        <v>Neutral</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2</v>
      </c>
      <c r="AZ397">
        <f>step3_validation[[#This Row],[AI_TRU4]]</f>
        <v>9</v>
      </c>
      <c r="BA397" t="str">
        <f t="shared" si="183"/>
        <v>Support</v>
      </c>
      <c r="BB397">
        <f>survey_responses[[#This Row],[Tôi thấy Nhà nước đã giải thích rõ ràng, minh bạch về lý do và mục tiêu của việc sửa đổi thuế lần này. - HUMAN-TRU4]]</f>
        <v>5</v>
      </c>
      <c r="BC397" t="str">
        <f t="shared" si="184"/>
        <v>Neutral</v>
      </c>
      <c r="BD397" s="32">
        <f t="shared" si="185"/>
        <v>4</v>
      </c>
      <c r="BE397">
        <f>step3_validation[[#This Row],[AI_OUT1]]</f>
        <v>8</v>
      </c>
      <c r="BF397" t="str">
        <f t="shared" si="186"/>
        <v>Support</v>
      </c>
      <c r="BG397">
        <f>survey_responses[[#This Row],[Sau khi xem xét các quyền lợi và nghĩa vụ, bạn có ủng hộ và tuân thủ chính sách mới hiện nay? - HUMAN-OUT1]]</f>
        <v>5</v>
      </c>
      <c r="BH397" t="str">
        <f t="shared" si="187"/>
        <v>Neutral</v>
      </c>
      <c r="BI397" s="32">
        <f t="shared" si="188"/>
        <v>3</v>
      </c>
    </row>
    <row r="398" spans="1:61" x14ac:dyDescent="0.45">
      <c r="A398" s="30">
        <f>step3_validation[[#This Row],[Persona_ID]]</f>
        <v>397</v>
      </c>
      <c r="B398" s="31">
        <f>step3_validation[[#This Row],[Used_Seed]]</f>
        <v>12741</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25.252540362353248</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8</v>
      </c>
      <c r="R398" t="str">
        <f t="shared" si="162"/>
        <v>Support</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0</v>
      </c>
      <c r="V398">
        <f>step3_validation[[#This Row],[AI_ENF2]]</f>
        <v>7</v>
      </c>
      <c r="W398" t="str">
        <f t="shared" si="165"/>
        <v>Neutral</v>
      </c>
      <c r="X398">
        <f>survey_responses[[#This Row],[Tôi tin rằng Nhà nước, cơ quan thuế có đủ khả năng và công nghệ để phát hiện, xử lý nghiêm các hành vi trốn thuế. - HUMAN-ENF2]]</f>
        <v>8</v>
      </c>
      <c r="Y398" t="str">
        <f t="shared" si="166"/>
        <v>Support</v>
      </c>
      <c r="Z398" s="32">
        <f t="shared" si="167"/>
        <v>1</v>
      </c>
      <c r="AA398">
        <f>step3_validation[[#This Row],[AI_FAC1]]</f>
        <v>6</v>
      </c>
      <c r="AB398" t="str">
        <f t="shared" si="168"/>
        <v>Neutral</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1</v>
      </c>
      <c r="AF398">
        <f>step3_validation[[#This Row],[AI_FAC2]]</f>
        <v>7</v>
      </c>
      <c r="AG398" t="str">
        <f t="shared" si="171"/>
        <v>Neutral</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0</v>
      </c>
      <c r="AK398">
        <f>step3_validation[[#This Row],[AI_TRU1]]</f>
        <v>8</v>
      </c>
      <c r="AL398" t="str">
        <f t="shared" si="174"/>
        <v>Support</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1</v>
      </c>
      <c r="AP398">
        <f>step3_validation[[#This Row],[AI_TRU2]]</f>
        <v>5</v>
      </c>
      <c r="AQ398" t="str">
        <f t="shared" si="177"/>
        <v>Neutral</v>
      </c>
      <c r="AR398">
        <f>survey_responses[[#This Row],[Tôi thấy mức thuế tôi phải đóng theo phương án mới là công bằng (người thu nhập như tôi đóng mức này là hợp lý). - HUMAN-TRU2]]</f>
        <v>8</v>
      </c>
      <c r="AS398" t="str">
        <f t="shared" si="178"/>
        <v>Support</v>
      </c>
      <c r="AT398" s="32">
        <f t="shared" si="179"/>
        <v>3</v>
      </c>
      <c r="AU398">
        <f>step3_validation[[#This Row],[AI_TRU3]]</f>
        <v>7</v>
      </c>
      <c r="AV398" t="str">
        <f t="shared" si="180"/>
        <v>Neutral</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0</v>
      </c>
      <c r="AZ398">
        <f>step3_validation[[#This Row],[AI_TRU4]]</f>
        <v>5</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2">
        <f t="shared" si="185"/>
        <v>3</v>
      </c>
      <c r="BE398">
        <f>step3_validation[[#This Row],[AI_OUT1]]</f>
        <v>7</v>
      </c>
      <c r="BF398" t="str">
        <f t="shared" si="186"/>
        <v>Neutral</v>
      </c>
      <c r="BG398">
        <f>survey_responses[[#This Row],[Sau khi xem xét các quyền lợi và nghĩa vụ, bạn có ủng hộ và tuân thủ chính sách mới hiện nay? - HUMAN-OUT1]]</f>
        <v>8</v>
      </c>
      <c r="BH398" t="str">
        <f t="shared" si="187"/>
        <v>Support</v>
      </c>
      <c r="BI398" s="32">
        <f t="shared" si="188"/>
        <v>1</v>
      </c>
    </row>
    <row r="399" spans="1:61" x14ac:dyDescent="0.45">
      <c r="A399" s="30">
        <f>step3_validation[[#This Row],[Persona_ID]]</f>
        <v>398</v>
      </c>
      <c r="B399" s="31">
        <f>step3_validation[[#This Row],[Used_Seed]]</f>
        <v>12742</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2</v>
      </c>
      <c r="V399">
        <f>step3_validation[[#This Row],[AI_ENF2]]</f>
        <v>8</v>
      </c>
      <c r="W399" t="str">
        <f t="shared" si="165"/>
        <v>Support</v>
      </c>
      <c r="X399">
        <f>survey_responses[[#This Row],[Tôi tin rằng Nhà nước, cơ quan thuế có đủ khả năng và công nghệ để phát hiện, xử lý nghiêm các hành vi trốn thuế. - HUMAN-ENF2]]</f>
        <v>9</v>
      </c>
      <c r="Y399" t="str">
        <f t="shared" si="166"/>
        <v>Support</v>
      </c>
      <c r="Z399" s="32">
        <f t="shared" si="167"/>
        <v>1</v>
      </c>
      <c r="AA399">
        <f>step3_validation[[#This Row],[AI_FAC1]]</f>
        <v>6</v>
      </c>
      <c r="AB399" t="str">
        <f t="shared" si="168"/>
        <v>Neutral</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2</v>
      </c>
      <c r="AF399">
        <f>step3_validation[[#This Row],[AI_FAC2]]</f>
        <v>8</v>
      </c>
      <c r="AG399" t="str">
        <f t="shared" si="171"/>
        <v>Support</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1</v>
      </c>
      <c r="AK399">
        <f>step3_validation[[#This Row],[AI_TRU1]]</f>
        <v>9</v>
      </c>
      <c r="AL399" t="str">
        <f t="shared" si="174"/>
        <v>Support</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2</v>
      </c>
      <c r="AP399">
        <f>step3_validation[[#This Row],[AI_TRU2]]</f>
        <v>7</v>
      </c>
      <c r="AQ399" t="str">
        <f t="shared" si="177"/>
        <v>Neutral</v>
      </c>
      <c r="AR399">
        <f>survey_responses[[#This Row],[Tôi thấy mức thuế tôi phải đóng theo phương án mới là công bằng (người thu nhập như tôi đóng mức này là hợp lý). - HUMAN-TRU2]]</f>
        <v>9</v>
      </c>
      <c r="AS399" t="str">
        <f t="shared" si="178"/>
        <v>Support</v>
      </c>
      <c r="AT399" s="32">
        <f t="shared" si="179"/>
        <v>2</v>
      </c>
      <c r="AU399">
        <f>step3_validation[[#This Row],[AI_TRU3]]</f>
        <v>6</v>
      </c>
      <c r="AV399" t="str">
        <f t="shared" si="180"/>
        <v>Neutral</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2</v>
      </c>
      <c r="AZ399">
        <f>step3_validation[[#This Row],[AI_TRU4]]</f>
        <v>5</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2">
        <f t="shared" si="185"/>
        <v>3</v>
      </c>
      <c r="BE399">
        <f>step3_validation[[#This Row],[AI_OUT1]]</f>
        <v>3</v>
      </c>
      <c r="BF399" t="str">
        <f t="shared" si="186"/>
        <v>Oppose</v>
      </c>
      <c r="BG399">
        <f>survey_responses[[#This Row],[Sau khi xem xét các quyền lợi và nghĩa vụ, bạn có ủng hộ và tuân thủ chính sách mới hiện nay? - HUMAN-OUT1]]</f>
        <v>8</v>
      </c>
      <c r="BH399" t="str">
        <f t="shared" si="187"/>
        <v>Support</v>
      </c>
      <c r="BI399" s="32">
        <f t="shared" si="188"/>
        <v>5</v>
      </c>
    </row>
    <row r="400" spans="1:61" x14ac:dyDescent="0.45">
      <c r="A400" s="30">
        <f>step3_validation[[#This Row],[Persona_ID]]</f>
        <v>399</v>
      </c>
      <c r="B400" s="31">
        <f>step3_validation[[#This Row],[Used_Seed]]</f>
        <v>12743</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24.811244643832339</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5</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2</v>
      </c>
      <c r="V400">
        <f>step3_validation[[#This Row],[AI_ENF2]]</f>
        <v>6</v>
      </c>
      <c r="W400" t="str">
        <f t="shared" si="165"/>
        <v>Neutral</v>
      </c>
      <c r="X400">
        <f>survey_responses[[#This Row],[Tôi tin rằng Nhà nước, cơ quan thuế có đủ khả năng và công nghệ để phát hiện, xử lý nghiêm các hành vi trốn thuế. - HUMAN-ENF2]]</f>
        <v>7</v>
      </c>
      <c r="Y400" t="str">
        <f t="shared" si="166"/>
        <v>Neutral</v>
      </c>
      <c r="Z400" s="32">
        <f t="shared" si="167"/>
        <v>1</v>
      </c>
      <c r="AA400">
        <f>step3_validation[[#This Row],[AI_FAC1]]</f>
        <v>7</v>
      </c>
      <c r="AB400" t="str">
        <f t="shared" si="168"/>
        <v>Neutral</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2</v>
      </c>
      <c r="AF400">
        <f>step3_validation[[#This Row],[AI_FAC2]]</f>
        <v>0</v>
      </c>
      <c r="AG400" t="str">
        <f t="shared" si="171"/>
        <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8</v>
      </c>
      <c r="AK400">
        <f>step3_validation[[#This Row],[AI_TRU1]]</f>
        <v>0</v>
      </c>
      <c r="AL400" t="str">
        <f t="shared" si="174"/>
        <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7</v>
      </c>
      <c r="AP400">
        <f>step3_validation[[#This Row],[AI_TRU2]]</f>
        <v>0</v>
      </c>
      <c r="AQ400" t="str">
        <f t="shared" si="177"/>
        <v/>
      </c>
      <c r="AR400">
        <f>survey_responses[[#This Row],[Tôi thấy mức thuế tôi phải đóng theo phương án mới là công bằng (người thu nhập như tôi đóng mức này là hợp lý). - HUMAN-TRU2]]</f>
        <v>8</v>
      </c>
      <c r="AS400" t="str">
        <f t="shared" si="178"/>
        <v>Support</v>
      </c>
      <c r="AT400" s="32">
        <f t="shared" si="179"/>
        <v>8</v>
      </c>
      <c r="AU400">
        <f>step3_validation[[#This Row],[AI_TRU3]]</f>
        <v>0</v>
      </c>
      <c r="AV400" t="str">
        <f t="shared" si="180"/>
        <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6</v>
      </c>
      <c r="AZ400">
        <f>step3_validation[[#This Row],[AI_TRU4]]</f>
        <v>0</v>
      </c>
      <c r="BA400" t="str">
        <f t="shared" si="183"/>
        <v/>
      </c>
      <c r="BB400">
        <f>survey_responses[[#This Row],[Tôi thấy Nhà nước đã giải thích rõ ràng, minh bạch về lý do và mục tiêu của việc sửa đổi thuế lần này. - HUMAN-TRU4]]</f>
        <v>6</v>
      </c>
      <c r="BC400" t="str">
        <f t="shared" si="184"/>
        <v>Neutral</v>
      </c>
      <c r="BD400" s="32">
        <f t="shared" si="185"/>
        <v>6</v>
      </c>
      <c r="BE400">
        <f>step3_validation[[#This Row],[AI_OUT1]]</f>
        <v>0</v>
      </c>
      <c r="BF400" t="str">
        <f t="shared" si="186"/>
        <v/>
      </c>
      <c r="BG400">
        <f>survey_responses[[#This Row],[Sau khi xem xét các quyền lợi và nghĩa vụ, bạn có ủng hộ và tuân thủ chính sách mới hiện nay? - HUMAN-OUT1]]</f>
        <v>8</v>
      </c>
      <c r="BH400" t="str">
        <f t="shared" si="187"/>
        <v>Support</v>
      </c>
      <c r="BI400" s="32">
        <f t="shared" si="188"/>
        <v>8</v>
      </c>
    </row>
    <row r="401" spans="1:61" x14ac:dyDescent="0.45">
      <c r="A401" s="30">
        <f>step3_validation[[#This Row],[Persona_ID]]</f>
        <v>400</v>
      </c>
      <c r="B401" s="31">
        <f>step3_validation[[#This Row],[Used_Seed]]</f>
        <v>12744</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37.311246644564896</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8</v>
      </c>
      <c r="R401" t="str">
        <f t="shared" si="162"/>
        <v>Support</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0</v>
      </c>
      <c r="V401">
        <f>step3_validation[[#This Row],[AI_ENF2]]</f>
        <v>9</v>
      </c>
      <c r="W401" t="str">
        <f t="shared" si="165"/>
        <v>Support</v>
      </c>
      <c r="X401">
        <f>survey_responses[[#This Row],[Tôi tin rằng Nhà nước, cơ quan thuế có đủ khả năng và công nghệ để phát hiện, xử lý nghiêm các hành vi trốn thuế. - HUMAN-ENF2]]</f>
        <v>9</v>
      </c>
      <c r="Y401" t="str">
        <f t="shared" si="166"/>
        <v>Support</v>
      </c>
      <c r="Z401" s="32">
        <f t="shared" si="167"/>
        <v>0</v>
      </c>
      <c r="AA401">
        <f>step3_validation[[#This Row],[AI_FAC1]]</f>
        <v>7</v>
      </c>
      <c r="AB401" t="str">
        <f t="shared" si="168"/>
        <v>Neutral</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1</v>
      </c>
      <c r="AF401">
        <f>step3_validation[[#This Row],[AI_FAC2]]</f>
        <v>8</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0</v>
      </c>
      <c r="AK401">
        <f>step3_validation[[#This Row],[AI_TRU1]]</f>
        <v>7</v>
      </c>
      <c r="AL401" t="str">
        <f t="shared" si="174"/>
        <v>Neutral</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0</v>
      </c>
      <c r="AP401">
        <f>step3_validation[[#This Row],[AI_TRU2]]</f>
        <v>8</v>
      </c>
      <c r="AQ401" t="str">
        <f t="shared" si="177"/>
        <v>Support</v>
      </c>
      <c r="AR401">
        <f>survey_responses[[#This Row],[Tôi thấy mức thuế tôi phải đóng theo phương án mới là công bằng (người thu nhập như tôi đóng mức này là hợp lý). - HUMAN-TRU2]]</f>
        <v>7</v>
      </c>
      <c r="AS401" t="str">
        <f t="shared" si="178"/>
        <v>Neutral</v>
      </c>
      <c r="AT401" s="32">
        <f t="shared" si="179"/>
        <v>1</v>
      </c>
      <c r="AU401">
        <f>step3_validation[[#This Row],[AI_TRU3]]</f>
        <v>7</v>
      </c>
      <c r="AV401" t="str">
        <f t="shared" si="180"/>
        <v>Neutral</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0</v>
      </c>
      <c r="AZ401">
        <f>step3_validation[[#This Row],[AI_TRU4]]</f>
        <v>6</v>
      </c>
      <c r="BA401" t="str">
        <f t="shared" si="183"/>
        <v>Neutral</v>
      </c>
      <c r="BB401">
        <f>survey_responses[[#This Row],[Tôi thấy Nhà nước đã giải thích rõ ràng, minh bạch về lý do và mục tiêu của việc sửa đổi thuế lần này. - HUMAN-TRU4]]</f>
        <v>7</v>
      </c>
      <c r="BC401" t="str">
        <f t="shared" si="184"/>
        <v>Neutral</v>
      </c>
      <c r="BD401" s="32">
        <f t="shared" si="185"/>
        <v>1</v>
      </c>
      <c r="BE401">
        <f>step3_validation[[#This Row],[AI_OUT1]]</f>
        <v>8</v>
      </c>
      <c r="BF401" t="str">
        <f t="shared" si="186"/>
        <v>Support</v>
      </c>
      <c r="BG401">
        <f>survey_responses[[#This Row],[Sau khi xem xét các quyền lợi và nghĩa vụ, bạn có ủng hộ và tuân thủ chính sách mới hiện nay? - HUMAN-OUT1]]</f>
        <v>8</v>
      </c>
      <c r="BH401" t="str">
        <f t="shared" si="187"/>
        <v>Support</v>
      </c>
      <c r="BI401" s="32">
        <f t="shared" si="188"/>
        <v>0</v>
      </c>
    </row>
    <row r="402" spans="1:61" x14ac:dyDescent="0.45">
      <c r="A402" s="30">
        <f>step3_validation[[#This Row],[Persona_ID]]</f>
        <v>401</v>
      </c>
      <c r="B402" s="31">
        <f>step3_validation[[#This Row],[Used_Seed]]</f>
        <v>12745</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13.230576735736584</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8</v>
      </c>
      <c r="R402" t="str">
        <f t="shared" si="162"/>
        <v>Support</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4</v>
      </c>
      <c r="V402">
        <f>step3_validation[[#This Row],[AI_ENF2]]</f>
        <v>9</v>
      </c>
      <c r="W402" t="str">
        <f t="shared" si="165"/>
        <v>Support</v>
      </c>
      <c r="X402">
        <f>survey_responses[[#This Row],[Tôi tin rằng Nhà nước, cơ quan thuế có đủ khả năng và công nghệ để phát hiện, xử lý nghiêm các hành vi trốn thuế. - HUMAN-ENF2]]</f>
        <v>4</v>
      </c>
      <c r="Y402" t="str">
        <f t="shared" si="166"/>
        <v>Oppose</v>
      </c>
      <c r="Z402" s="32">
        <f t="shared" si="167"/>
        <v>5</v>
      </c>
      <c r="AA402">
        <f>step3_validation[[#This Row],[AI_FAC1]]</f>
        <v>8</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5</v>
      </c>
      <c r="AF402">
        <f>step3_validation[[#This Row],[AI_FAC2]]</f>
        <v>7</v>
      </c>
      <c r="AG402" t="str">
        <f t="shared" si="171"/>
        <v>Neutral</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2</v>
      </c>
      <c r="AK402">
        <f>step3_validation[[#This Row],[AI_TRU1]]</f>
        <v>8</v>
      </c>
      <c r="AL402" t="str">
        <f t="shared" si="174"/>
        <v>Support</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3</v>
      </c>
      <c r="AP402">
        <f>step3_validation[[#This Row],[AI_TRU2]]</f>
        <v>6</v>
      </c>
      <c r="AQ402" t="str">
        <f t="shared" si="177"/>
        <v>Neutral</v>
      </c>
      <c r="AR402">
        <f>survey_responses[[#This Row],[Tôi thấy mức thuế tôi phải đóng theo phương án mới là công bằng (người thu nhập như tôi đóng mức này là hợp lý). - HUMAN-TRU2]]</f>
        <v>2</v>
      </c>
      <c r="AS402" t="str">
        <f t="shared" si="178"/>
        <v>Oppose</v>
      </c>
      <c r="AT402" s="32">
        <f t="shared" si="179"/>
        <v>4</v>
      </c>
      <c r="AU402">
        <f>step3_validation[[#This Row],[AI_TRU3]]</f>
        <v>7</v>
      </c>
      <c r="AV402" t="str">
        <f t="shared" si="180"/>
        <v>Neutral</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5</v>
      </c>
      <c r="AZ402">
        <f>step3_validation[[#This Row],[AI_TRU4]]</f>
        <v>6</v>
      </c>
      <c r="BA402" t="str">
        <f t="shared" si="183"/>
        <v>Neutral</v>
      </c>
      <c r="BB402">
        <f>survey_responses[[#This Row],[Tôi thấy Nhà nước đã giải thích rõ ràng, minh bạch về lý do và mục tiêu của việc sửa đổi thuế lần này. - HUMAN-TRU4]]</f>
        <v>5</v>
      </c>
      <c r="BC402" t="str">
        <f t="shared" si="184"/>
        <v>Neutral</v>
      </c>
      <c r="BD402" s="32">
        <f t="shared" si="185"/>
        <v>1</v>
      </c>
      <c r="BE402">
        <f>step3_validation[[#This Row],[AI_OUT1]]</f>
        <v>7</v>
      </c>
      <c r="BF402" t="str">
        <f t="shared" si="186"/>
        <v>Neutral</v>
      </c>
      <c r="BG402">
        <f>survey_responses[[#This Row],[Sau khi xem xét các quyền lợi và nghĩa vụ, bạn có ủng hộ và tuân thủ chính sách mới hiện nay? - HUMAN-OUT1]]</f>
        <v>2</v>
      </c>
      <c r="BH402" t="str">
        <f t="shared" si="187"/>
        <v>Oppose</v>
      </c>
      <c r="BI402" s="32">
        <f t="shared" si="188"/>
        <v>5</v>
      </c>
    </row>
    <row r="403" spans="1:61" x14ac:dyDescent="0.45">
      <c r="A403" s="30">
        <f>step3_validation[[#This Row],[Persona_ID]]</f>
        <v>402</v>
      </c>
      <c r="B403" s="31">
        <f>step3_validation[[#This Row],[Used_Seed]]</f>
        <v>12746</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223.22624100216419</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3</v>
      </c>
      <c r="R403" t="str">
        <f t="shared" si="162"/>
        <v>Oppose</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4</v>
      </c>
      <c r="V403">
        <f>step3_validation[[#This Row],[AI_ENF2]]</f>
        <v>4</v>
      </c>
      <c r="W403" t="str">
        <f t="shared" si="165"/>
        <v>Oppose</v>
      </c>
      <c r="X403">
        <f>survey_responses[[#This Row],[Tôi tin rằng Nhà nước, cơ quan thuế có đủ khả năng và công nghệ để phát hiện, xử lý nghiêm các hành vi trốn thuế. - HUMAN-ENF2]]</f>
        <v>7</v>
      </c>
      <c r="Y403" t="str">
        <f t="shared" si="166"/>
        <v>Neutral</v>
      </c>
      <c r="Z403" s="32">
        <f t="shared" si="167"/>
        <v>3</v>
      </c>
      <c r="AA403">
        <f>step3_validation[[#This Row],[AI_FAC1]]</f>
        <v>5</v>
      </c>
      <c r="AB403" t="str">
        <f t="shared" si="168"/>
        <v>Neutral</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1</v>
      </c>
      <c r="AF403">
        <f>step3_validation[[#This Row],[AI_FAC2]]</f>
        <v>6</v>
      </c>
      <c r="AG403" t="str">
        <f t="shared" si="171"/>
        <v>Neutral</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0</v>
      </c>
      <c r="AK403">
        <f>step3_validation[[#This Row],[AI_TRU1]]</f>
        <v>4</v>
      </c>
      <c r="AL403" t="str">
        <f t="shared" si="174"/>
        <v>Oppose</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1</v>
      </c>
      <c r="AP403">
        <f>step3_validation[[#This Row],[AI_TRU2]]</f>
        <v>7</v>
      </c>
      <c r="AQ403" t="str">
        <f t="shared" si="177"/>
        <v>Neutral</v>
      </c>
      <c r="AR403">
        <f>survey_responses[[#This Row],[Tôi thấy mức thuế tôi phải đóng theo phương án mới là công bằng (người thu nhập như tôi đóng mức này là hợp lý). - HUMAN-TRU2]]</f>
        <v>4</v>
      </c>
      <c r="AS403" t="str">
        <f t="shared" si="178"/>
        <v>Oppose</v>
      </c>
      <c r="AT403" s="32">
        <f t="shared" si="179"/>
        <v>3</v>
      </c>
      <c r="AU403">
        <f>step3_validation[[#This Row],[AI_TRU3]]</f>
        <v>4</v>
      </c>
      <c r="AV403" t="str">
        <f t="shared" si="180"/>
        <v>Oppose</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1</v>
      </c>
      <c r="AZ403">
        <f>step3_validation[[#This Row],[AI_TRU4]]</f>
        <v>5</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2">
        <f t="shared" si="185"/>
        <v>0</v>
      </c>
      <c r="BE403">
        <f>step3_validation[[#This Row],[AI_OUT1]]</f>
        <v>6</v>
      </c>
      <c r="BF403" t="str">
        <f t="shared" si="186"/>
        <v>Neutral</v>
      </c>
      <c r="BG403">
        <f>survey_responses[[#This Row],[Sau khi xem xét các quyền lợi và nghĩa vụ, bạn có ủng hộ và tuân thủ chính sách mới hiện nay? - HUMAN-OUT1]]</f>
        <v>5</v>
      </c>
      <c r="BH403" t="str">
        <f t="shared" si="187"/>
        <v>Neutral</v>
      </c>
      <c r="BI403" s="32">
        <f t="shared" si="188"/>
        <v>1</v>
      </c>
    </row>
    <row r="404" spans="1:61" x14ac:dyDescent="0.45">
      <c r="A404" s="30">
        <f>step3_validation[[#This Row],[Persona_ID]]</f>
        <v>403</v>
      </c>
      <c r="B404" s="31">
        <f>step3_validation[[#This Row],[Used_Seed]]</f>
        <v>12747</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29.431749745655683</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8</v>
      </c>
      <c r="R404" t="str">
        <f t="shared" si="162"/>
        <v>Support</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1</v>
      </c>
      <c r="V404">
        <f>step3_validation[[#This Row],[AI_ENF2]]</f>
        <v>7</v>
      </c>
      <c r="W404" t="str">
        <f t="shared" si="165"/>
        <v>Neutral</v>
      </c>
      <c r="X404">
        <f>survey_responses[[#This Row],[Tôi tin rằng Nhà nước, cơ quan thuế có đủ khả năng và công nghệ để phát hiện, xử lý nghiêm các hành vi trốn thuế. - HUMAN-ENF2]]</f>
        <v>7</v>
      </c>
      <c r="Y404" t="str">
        <f t="shared" si="166"/>
        <v>Neutral</v>
      </c>
      <c r="Z404" s="32">
        <f t="shared" si="167"/>
        <v>0</v>
      </c>
      <c r="AA404">
        <f>step3_validation[[#This Row],[AI_FAC1]]</f>
        <v>6</v>
      </c>
      <c r="AB404" t="str">
        <f t="shared" si="168"/>
        <v>Neutral</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1</v>
      </c>
      <c r="AF404">
        <f>step3_validation[[#This Row],[AI_FAC2]]</f>
        <v>5</v>
      </c>
      <c r="AG404" t="str">
        <f t="shared" si="171"/>
        <v>Neutral</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2</v>
      </c>
      <c r="AK404">
        <f>step3_validation[[#This Row],[AI_TRU1]]</f>
        <v>7</v>
      </c>
      <c r="AL404" t="str">
        <f t="shared" si="174"/>
        <v>Neutral</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0</v>
      </c>
      <c r="AP404">
        <f>step3_validation[[#This Row],[AI_TRU2]]</f>
        <v>8</v>
      </c>
      <c r="AQ404" t="str">
        <f t="shared" si="177"/>
        <v>Support</v>
      </c>
      <c r="AR404">
        <f>survey_responses[[#This Row],[Tôi thấy mức thuế tôi phải đóng theo phương án mới là công bằng (người thu nhập như tôi đóng mức này là hợp lý). - HUMAN-TRU2]]</f>
        <v>7</v>
      </c>
      <c r="AS404" t="str">
        <f t="shared" si="178"/>
        <v>Neutral</v>
      </c>
      <c r="AT404" s="32">
        <f t="shared" si="179"/>
        <v>1</v>
      </c>
      <c r="AU404">
        <f>step3_validation[[#This Row],[AI_TRU3]]</f>
        <v>6</v>
      </c>
      <c r="AV404" t="str">
        <f t="shared" si="180"/>
        <v>Neutral</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1</v>
      </c>
      <c r="AZ404">
        <f>step3_validation[[#This Row],[AI_TRU4]]</f>
        <v>5</v>
      </c>
      <c r="BA404" t="str">
        <f t="shared" si="183"/>
        <v>Neutral</v>
      </c>
      <c r="BB404">
        <f>survey_responses[[#This Row],[Tôi thấy Nhà nước đã giải thích rõ ràng, minh bạch về lý do và mục tiêu của việc sửa đổi thuế lần này. - HUMAN-TRU4]]</f>
        <v>7</v>
      </c>
      <c r="BC404" t="str">
        <f t="shared" si="184"/>
        <v>Neutral</v>
      </c>
      <c r="BD404" s="32">
        <f t="shared" si="185"/>
        <v>2</v>
      </c>
      <c r="BE404">
        <f>step3_validation[[#This Row],[AI_OUT1]]</f>
        <v>7</v>
      </c>
      <c r="BF404" t="str">
        <f t="shared" si="186"/>
        <v>Neutral</v>
      </c>
      <c r="BG404">
        <f>survey_responses[[#This Row],[Sau khi xem xét các quyền lợi và nghĩa vụ, bạn có ủng hộ và tuân thủ chính sách mới hiện nay? - HUMAN-OUT1]]</f>
        <v>7</v>
      </c>
      <c r="BH404" t="str">
        <f t="shared" si="187"/>
        <v>Neutral</v>
      </c>
      <c r="BI404" s="32">
        <f t="shared" si="188"/>
        <v>0</v>
      </c>
    </row>
    <row r="405" spans="1:61" x14ac:dyDescent="0.45">
      <c r="U405">
        <f>AVERAGE(U2:U404)</f>
        <v>1.8833746898263026</v>
      </c>
      <c r="Z405">
        <f>AVERAGE(Z2:Z404)</f>
        <v>1.8660049627791564</v>
      </c>
      <c r="AE405">
        <f>AVERAGE(AE2:AE404)</f>
        <v>2.4466501240694791</v>
      </c>
      <c r="AJ405">
        <f>AVERAGE(AJ2:AJ404)</f>
        <v>1.7196029776674937</v>
      </c>
      <c r="AO405">
        <f>AVERAGE(AO2:AO404)</f>
        <v>1.9950372208436724</v>
      </c>
      <c r="AT405">
        <f>AVERAGE(AT2:AT404)</f>
        <v>2.0868486352357318</v>
      </c>
      <c r="AY405">
        <f>AVERAGE(AY2:AY404)</f>
        <v>2.1091811414392061</v>
      </c>
      <c r="BD405">
        <f>AVERAGE(BD2:BD404)</f>
        <v>1.8188585607940446</v>
      </c>
      <c r="BI405">
        <f>AVERAGE(BI2:BI404)</f>
        <v>1.8560794044665012</v>
      </c>
    </row>
    <row r="406" spans="1:61" x14ac:dyDescent="0.45">
      <c r="Q406" t="s">
        <v>1</v>
      </c>
      <c r="R406">
        <f>COUNTIF($R$2:$R$404,"Oppose")</f>
        <v>3</v>
      </c>
      <c r="S406" t="s">
        <v>1</v>
      </c>
      <c r="T406">
        <f>COUNTIF($T$2:$T$404,"Oppose")</f>
        <v>55</v>
      </c>
      <c r="V406" t="s">
        <v>1</v>
      </c>
      <c r="W406">
        <f>COUNTIF($W$2:$W$404,"Oppose")</f>
        <v>1</v>
      </c>
      <c r="X406" t="s">
        <v>1</v>
      </c>
      <c r="Y406">
        <f>COUNTIF($Y$2:$Y$404,"Oppose")</f>
        <v>45</v>
      </c>
      <c r="AA406" t="s">
        <v>1</v>
      </c>
      <c r="AB406">
        <f>COUNTIF($AB$2:$AB$404,"Oppose")</f>
        <v>5</v>
      </c>
      <c r="AC406" t="s">
        <v>1</v>
      </c>
      <c r="AD406">
        <f>COUNTIF($AD$2:$AD$404,"Oppose")</f>
        <v>83</v>
      </c>
      <c r="AF406" t="s">
        <v>1</v>
      </c>
      <c r="AG406">
        <f>COUNTIF($AG$2:$AG$404,"Oppose")</f>
        <v>3</v>
      </c>
      <c r="AH406" t="s">
        <v>1</v>
      </c>
      <c r="AI406">
        <f>COUNTIF($AI$2:$AI$404,"Oppose")</f>
        <v>21</v>
      </c>
      <c r="AK406" t="s">
        <v>1</v>
      </c>
      <c r="AL406">
        <f>COUNTIF($AL$2:$AL$404,"Oppose")</f>
        <v>3</v>
      </c>
      <c r="AM406" t="s">
        <v>1</v>
      </c>
      <c r="AN406">
        <f>COUNTIF($AN$2:$AN$404,"Oppose")</f>
        <v>57</v>
      </c>
      <c r="AP406" t="s">
        <v>1</v>
      </c>
      <c r="AQ406">
        <f>COUNTIF($AQ$2:$AQ$404,"Oppose")</f>
        <v>4</v>
      </c>
      <c r="AR406" t="s">
        <v>1</v>
      </c>
      <c r="AS406">
        <f>COUNTIF($AS$2:$AS$404,"Oppose")</f>
        <v>70</v>
      </c>
      <c r="AU406" t="s">
        <v>1</v>
      </c>
      <c r="AV406">
        <f>COUNTIF($AV$2:$AV$404,"Oppose")</f>
        <v>18</v>
      </c>
      <c r="AW406" t="s">
        <v>1</v>
      </c>
      <c r="AX406">
        <f>COUNTIF($AX$2:$AX$404,"Oppose")</f>
        <v>72</v>
      </c>
      <c r="AZ406" t="s">
        <v>1</v>
      </c>
      <c r="BA406">
        <f>COUNTIF($BA$2:$BA$404,"Oppose")</f>
        <v>24</v>
      </c>
      <c r="BB406" t="s">
        <v>1</v>
      </c>
      <c r="BC406">
        <f>COUNTIF($BC$2:$BC$404,"Oppose")</f>
        <v>46</v>
      </c>
      <c r="BE406" t="s">
        <v>1</v>
      </c>
      <c r="BF406">
        <f>COUNTIF($BF$2:$BF$404,"Oppose")</f>
        <v>8</v>
      </c>
      <c r="BG406" t="s">
        <v>1</v>
      </c>
      <c r="BH406">
        <f>COUNTIF($BH$2:$BH$404,"Oppose")</f>
        <v>35</v>
      </c>
    </row>
    <row r="407" spans="1:61" x14ac:dyDescent="0.45">
      <c r="Q407" t="s">
        <v>2</v>
      </c>
      <c r="R407">
        <f>COUNTIF($R$2:$R$404,"Neutral")</f>
        <v>271</v>
      </c>
      <c r="S407" t="s">
        <v>2</v>
      </c>
      <c r="T407">
        <f>COUNTIF($T$2:$T$404,"Neutral")</f>
        <v>180</v>
      </c>
      <c r="V407" t="s">
        <v>2</v>
      </c>
      <c r="W407">
        <f>COUNTIF($W$2:$W$404,"Neutral")</f>
        <v>199</v>
      </c>
      <c r="X407" t="s">
        <v>2</v>
      </c>
      <c r="Y407">
        <f>COUNTIF($Y$2:$Y$404,"Neutral")</f>
        <v>166</v>
      </c>
      <c r="AA407" t="s">
        <v>2</v>
      </c>
      <c r="AB407">
        <f>COUNTIF($AB$2:$AB$404,"Neutral")</f>
        <v>183</v>
      </c>
      <c r="AC407" t="s">
        <v>2</v>
      </c>
      <c r="AD407">
        <f>COUNTIF($AD$2:$AD$404,"Neutral")</f>
        <v>177</v>
      </c>
      <c r="AF407" t="s">
        <v>2</v>
      </c>
      <c r="AG407">
        <f>COUNTIF($AG$2:$AG$404,"Neutral")</f>
        <v>117</v>
      </c>
      <c r="AH407" t="s">
        <v>2</v>
      </c>
      <c r="AI407">
        <f>COUNTIF($AI$2:$AI$404,"Neutral")</f>
        <v>185</v>
      </c>
      <c r="AK407" t="s">
        <v>2</v>
      </c>
      <c r="AL407">
        <f>COUNTIF($AL$2:$AL$404,"Neutral")</f>
        <v>269</v>
      </c>
      <c r="AM407" t="s">
        <v>2</v>
      </c>
      <c r="AN407">
        <f>COUNTIF($AN$2:$AN$404,"Neutral")</f>
        <v>218</v>
      </c>
      <c r="AP407" t="s">
        <v>2</v>
      </c>
      <c r="AQ407">
        <f>COUNTIF($AQ$2:$AQ$404,"Neutral")</f>
        <v>265</v>
      </c>
      <c r="AR407" t="s">
        <v>2</v>
      </c>
      <c r="AS407">
        <f>COUNTIF($AS$2:$AS$404,"Neutral")</f>
        <v>178</v>
      </c>
      <c r="AU407" t="s">
        <v>2</v>
      </c>
      <c r="AV407">
        <f>COUNTIF($AV$2:$AV$404,"Neutral")</f>
        <v>321</v>
      </c>
      <c r="AW407" t="s">
        <v>2</v>
      </c>
      <c r="AX407">
        <f>COUNTIF($AX$2:$AX$404,"Neutral")</f>
        <v>217</v>
      </c>
      <c r="AZ407" t="s">
        <v>2</v>
      </c>
      <c r="BA407">
        <f>COUNTIF($BA$2:$BA$404,"Neutral")</f>
        <v>343</v>
      </c>
      <c r="BB407" t="s">
        <v>2</v>
      </c>
      <c r="BC407">
        <f>COUNTIF($BC$2:$BC$404,"Neutral")</f>
        <v>235</v>
      </c>
      <c r="BE407" t="s">
        <v>2</v>
      </c>
      <c r="BF407">
        <f>COUNTIF($BF$2:$BF$404,"Neutral")</f>
        <v>261</v>
      </c>
      <c r="BG407" t="s">
        <v>2</v>
      </c>
      <c r="BH407">
        <f>COUNTIF($BH$2:$BH$404,"Neutral")</f>
        <v>194</v>
      </c>
    </row>
    <row r="408" spans="1:61" x14ac:dyDescent="0.45">
      <c r="Q408" t="s">
        <v>3</v>
      </c>
      <c r="R408">
        <f>COUNTIF($R$2:$R$404,"Support")</f>
        <v>129</v>
      </c>
      <c r="S408" t="s">
        <v>3</v>
      </c>
      <c r="T408">
        <f>COUNTIF($T$2:$T$404,"Support")</f>
        <v>168</v>
      </c>
      <c r="V408" t="s">
        <v>3</v>
      </c>
      <c r="W408">
        <f>COUNTIF($W$2:$W$404,"Support")</f>
        <v>203</v>
      </c>
      <c r="X408" t="s">
        <v>3</v>
      </c>
      <c r="Y408">
        <f>COUNTIF($Y$2:$Y$404,"Support")</f>
        <v>192</v>
      </c>
      <c r="AA408" t="s">
        <v>3</v>
      </c>
      <c r="AB408">
        <f>COUNTIF($AB$2:$AB$404,"Support")</f>
        <v>215</v>
      </c>
      <c r="AC408" t="s">
        <v>3</v>
      </c>
      <c r="AD408">
        <f>COUNTIF($AD$2:$AD$404,"Support")</f>
        <v>143</v>
      </c>
      <c r="AF408" t="s">
        <v>3</v>
      </c>
      <c r="AG408">
        <f>COUNTIF($AG$2:$AG$404,"Support")</f>
        <v>282</v>
      </c>
      <c r="AH408" t="s">
        <v>3</v>
      </c>
      <c r="AI408">
        <f>COUNTIF($AI$2:$AI$404,"Support")</f>
        <v>197</v>
      </c>
      <c r="AK408" t="s">
        <v>3</v>
      </c>
      <c r="AL408">
        <f>COUNTIF($AL$2:$AL$404,"Support")</f>
        <v>130</v>
      </c>
      <c r="AM408" t="s">
        <v>3</v>
      </c>
      <c r="AN408">
        <f>COUNTIF($AN$2:$AN$404,"Support")</f>
        <v>128</v>
      </c>
      <c r="AP408" t="s">
        <v>3</v>
      </c>
      <c r="AQ408">
        <f>COUNTIF($AQ$2:$AQ$404,"Support")</f>
        <v>133</v>
      </c>
      <c r="AR408" t="s">
        <v>3</v>
      </c>
      <c r="AS408">
        <f>COUNTIF($AS$2:$AS$404,"Support")</f>
        <v>155</v>
      </c>
      <c r="AU408" t="s">
        <v>3</v>
      </c>
      <c r="AV408">
        <f>COUNTIF($AV$2:$AV$404,"Support")</f>
        <v>62</v>
      </c>
      <c r="AW408" t="s">
        <v>3</v>
      </c>
      <c r="AX408">
        <f>COUNTIF($AX$2:$AX$404,"Support")</f>
        <v>114</v>
      </c>
      <c r="AZ408" t="s">
        <v>3</v>
      </c>
      <c r="BA408">
        <f>COUNTIF($BA$2:$BA$404,"Support")</f>
        <v>34</v>
      </c>
      <c r="BB408" t="s">
        <v>3</v>
      </c>
      <c r="BC408">
        <f>COUNTIF($BC$2:$BC$404,"Support")</f>
        <v>122</v>
      </c>
      <c r="BE408" t="s">
        <v>3</v>
      </c>
      <c r="BF408">
        <f>COUNTIF($BF$2:$BF$404,"Support")</f>
        <v>130</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402</v>
      </c>
      <c r="AI409">
        <f>SUM(AI406:AI408)</f>
        <v>403</v>
      </c>
      <c r="AL409">
        <f>SUM(AL406:AL408)</f>
        <v>402</v>
      </c>
      <c r="AN409">
        <f>SUM(AN406:AN408)</f>
        <v>403</v>
      </c>
      <c r="AQ409">
        <f>SUM(AQ406:AQ408)</f>
        <v>402</v>
      </c>
      <c r="AS409">
        <f>SUM(AS406:AS408)</f>
        <v>403</v>
      </c>
      <c r="AV409">
        <f>SUM(AV406:AV408)</f>
        <v>401</v>
      </c>
      <c r="AX409">
        <f>SUM(AX406:AX408)</f>
        <v>403</v>
      </c>
      <c r="BA409">
        <f>SUM(BA406:BA408)</f>
        <v>401</v>
      </c>
      <c r="BC409">
        <f>SUM(BC406:BC408)</f>
        <v>403</v>
      </c>
      <c r="BF409">
        <f>SUM(BF406:BF408)</f>
        <v>399</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E580-CC07-41BC-BAB6-F1B7293751D5}">
  <dimension ref="A1:AS405"/>
  <sheetViews>
    <sheetView topLeftCell="Z1" workbookViewId="0">
      <selection activeCell="AN2" sqref="AM2:AN2"/>
    </sheetView>
  </sheetViews>
  <sheetFormatPr defaultRowHeight="14.25" x14ac:dyDescent="0.45"/>
  <sheetData>
    <row r="1" spans="1:45" x14ac:dyDescent="0.45">
      <c r="A1" s="21" t="s">
        <v>45</v>
      </c>
      <c r="B1" s="21" t="s">
        <v>3798</v>
      </c>
      <c r="C1" s="21" t="s">
        <v>125</v>
      </c>
      <c r="D1" s="21" t="s">
        <v>3799</v>
      </c>
      <c r="E1" s="22" t="s">
        <v>48</v>
      </c>
      <c r="F1" s="22" t="s">
        <v>3800</v>
      </c>
      <c r="G1" s="22" t="s">
        <v>130</v>
      </c>
      <c r="H1" s="22" t="s">
        <v>3801</v>
      </c>
      <c r="I1" s="18" t="s">
        <v>3802</v>
      </c>
      <c r="J1" s="20" t="s">
        <v>3803</v>
      </c>
      <c r="K1" s="21" t="s">
        <v>51</v>
      </c>
      <c r="L1" s="21" t="s">
        <v>3804</v>
      </c>
      <c r="M1" s="21" t="s">
        <v>134</v>
      </c>
      <c r="N1" s="21" t="s">
        <v>3805</v>
      </c>
      <c r="O1" s="22" t="s">
        <v>54</v>
      </c>
      <c r="P1" s="22" t="s">
        <v>3806</v>
      </c>
      <c r="Q1" s="22" t="s">
        <v>138</v>
      </c>
      <c r="R1" s="22" t="s">
        <v>3807</v>
      </c>
      <c r="S1" s="18" t="s">
        <v>3808</v>
      </c>
      <c r="T1" s="22" t="s">
        <v>3809</v>
      </c>
      <c r="U1" s="21" t="s">
        <v>57</v>
      </c>
      <c r="V1" s="21" t="s">
        <v>3810</v>
      </c>
      <c r="W1" s="21" t="s">
        <v>142</v>
      </c>
      <c r="X1" s="21" t="s">
        <v>3811</v>
      </c>
      <c r="Y1" s="22" t="s">
        <v>60</v>
      </c>
      <c r="Z1" s="22" t="s">
        <v>3812</v>
      </c>
      <c r="AA1" s="22" t="s">
        <v>146</v>
      </c>
      <c r="AB1" s="22" t="s">
        <v>3813</v>
      </c>
      <c r="AC1" s="21" t="s">
        <v>63</v>
      </c>
      <c r="AD1" s="21" t="s">
        <v>3814</v>
      </c>
      <c r="AE1" s="21" t="s">
        <v>150</v>
      </c>
      <c r="AF1" s="21" t="s">
        <v>3815</v>
      </c>
      <c r="AG1" s="22" t="s">
        <v>66</v>
      </c>
      <c r="AH1" s="22" t="s">
        <v>3816</v>
      </c>
      <c r="AI1" s="22" t="s">
        <v>154</v>
      </c>
      <c r="AJ1" s="22" t="s">
        <v>155</v>
      </c>
      <c r="AK1" s="21" t="s">
        <v>3817</v>
      </c>
      <c r="AL1" s="22" t="s">
        <v>3818</v>
      </c>
      <c r="AM1" s="22" t="s">
        <v>3819</v>
      </c>
      <c r="AN1" s="22" t="s">
        <v>3820</v>
      </c>
      <c r="AO1" s="21" t="s">
        <v>69</v>
      </c>
      <c r="AP1" s="21" t="s">
        <v>3821</v>
      </c>
      <c r="AQ1" s="21" t="s">
        <v>158</v>
      </c>
      <c r="AR1" s="21" t="s">
        <v>3822</v>
      </c>
      <c r="AS1" s="21" t="s">
        <v>160</v>
      </c>
    </row>
    <row r="2" spans="1:45" x14ac:dyDescent="0.45">
      <c r="A2">
        <f>step3_validation[[#This Row],[AI_ENF1]]</f>
        <v>9</v>
      </c>
      <c r="B2">
        <f>(A2-1)/9</f>
        <v>0.88888888888888884</v>
      </c>
      <c r="C2">
        <f>[1]!survey_responses[[#This Row],[Tôi tin rằng với các quy định quản lý thuế hiện nay, hành vi gian lận hoặc trốn thuế sẽ dễ dàng bị phát hiện và xử lý nghiêm. - HUMAN-ENF1]]</f>
        <v>10</v>
      </c>
      <c r="D2">
        <f>(C2-1)/9</f>
        <v>1</v>
      </c>
      <c r="E2">
        <f>step3_validation[[#This Row],[AI_ENF2]]</f>
        <v>8</v>
      </c>
      <c r="F2">
        <f>(E2-1)/9</f>
        <v>0.77777777777777779</v>
      </c>
      <c r="G2">
        <f>[1]!survey_responses[[#This Row],[Tôi tin rằng Nhà nước, cơ quan thuế có đủ khả năng và công nghệ để phát hiện, xử lý nghiêm các hành vi trốn thuế. - HUMAN-ENF2]]</f>
        <v>8</v>
      </c>
      <c r="H2">
        <f>(G2-1)/9</f>
        <v>0.77777777777777779</v>
      </c>
      <c r="I2" s="32">
        <f>AVERAGE(B2,F2)</f>
        <v>0.83333333333333326</v>
      </c>
      <c r="J2" s="32">
        <f>AVERAGE(D2,H2)</f>
        <v>0.88888888888888884</v>
      </c>
      <c r="K2">
        <f>step3_validation[[#This Row],[AI_FAC1]]</f>
        <v>8</v>
      </c>
      <c r="L2">
        <f>(K2-1)/9</f>
        <v>0.77777777777777779</v>
      </c>
      <c r="M2">
        <f>[1]!survey_responses[[#This Row],[Các thủ tục khai báo thuế VÀ/HOẶC quy trình làm việc với cơ quan thuế đơn giản, tiện lợi, nhanh chóng hơn so với trước đây. - HUMAN-FAC1]]</f>
        <v>5</v>
      </c>
      <c r="N2">
        <f>(M2-1)/9</f>
        <v>0.44444444444444442</v>
      </c>
      <c r="O2">
        <f>step3_validation[[#This Row],[AI_FAC2]]</f>
        <v>7</v>
      </c>
      <c r="P2">
        <f>(O2-1)/9</f>
        <v>0.66666666666666663</v>
      </c>
      <c r="Q2">
        <f>[1]!survey_responses[[#This Row],[So với trước đây, tôi thấy cách tính thuế và các bậc thuế trong phương án mới đơn giản, dễ hiểu và dễ thực hiện hơn. - HUMAN-FAC2]]</f>
        <v>5</v>
      </c>
      <c r="R2">
        <f>(Q2-1)/9</f>
        <v>0.44444444444444442</v>
      </c>
      <c r="S2" s="32">
        <f>AVERAGE(L2,P2)</f>
        <v>0.72222222222222221</v>
      </c>
      <c r="T2" s="32">
        <f>AVERAGE(N2,R2)</f>
        <v>0.44444444444444442</v>
      </c>
      <c r="U2">
        <f>step3_validation[[#This Row],[AI_TRU1]]</f>
        <v>7</v>
      </c>
      <c r="V2">
        <f>(U2-1)/9</f>
        <v>0.66666666666666663</v>
      </c>
      <c r="W2">
        <f>[1]!survey_responses[[#This Row],[Tôi tin rằng Nhà nước, cơ quan thuế sẽ thực thi chính sách mới một cách khách quan, công tâm và đối xử bình đẳng với mọi người nộp thuế.  - HUMAN-TRU1]]</f>
        <v>10</v>
      </c>
      <c r="X2">
        <f>(W2-1)/9</f>
        <v>1</v>
      </c>
      <c r="Y2">
        <f>step3_validation[[#This Row],[AI_TRU2]]</f>
        <v>6</v>
      </c>
      <c r="Z2">
        <f>(Y2-1)/9</f>
        <v>0.55555555555555558</v>
      </c>
      <c r="AA2">
        <f>[1]!survey_responses[[#This Row],[Tôi thấy mức thuế tôi phải đóng theo phương án mới là công bằng (người thu nhập như tôi đóng mức này là hợp lý). - HUMAN-TRU2]]</f>
        <v>10</v>
      </c>
      <c r="AB2">
        <f>(AA2-1)/9</f>
        <v>1</v>
      </c>
      <c r="AC2">
        <f>step3_validation[[#This Row],[AI_TRU3]]</f>
        <v>7</v>
      </c>
      <c r="AD2">
        <f>(AC2-1)/9</f>
        <v>0.66666666666666663</v>
      </c>
      <c r="AE2">
        <f>[1]!survey_responses[[#This Row],[Tôi tin tưởng số tiền thuế tôi đóng sẽ được Nhà nước sử dụng hiệu quả để cải thiện dịch vụ công (y tế, đường xá...). - HUMAN-TRU3]]</f>
        <v>10</v>
      </c>
      <c r="AF2">
        <f>(AE2-1)/9</f>
        <v>1</v>
      </c>
      <c r="AG2">
        <f>step3_validation[[#This Row],[AI_TRU4]]</f>
        <v>6</v>
      </c>
      <c r="AH2">
        <f>(AG2-1)/9</f>
        <v>0.55555555555555558</v>
      </c>
      <c r="AI2">
        <f>[1]!survey_responses[[#This Row],[Tôi thấy Nhà nước đã giải thích rõ ràng, minh bạch về lý do và mục tiêu của việc sửa đổi thuế lần này. - HUMAN-TRU4]]</f>
        <v>10</v>
      </c>
      <c r="AJ2">
        <f>(AI2-1)/9</f>
        <v>1</v>
      </c>
      <c r="AK2" s="32">
        <f>AVERAGE(V2,Z2,AD2,AH2)</f>
        <v>0.61111111111111116</v>
      </c>
      <c r="AL2" s="32">
        <f>AVERAGE(X2,AB2,AF2,AJ2)</f>
        <v>1</v>
      </c>
      <c r="AM2" s="7">
        <f>(I2+S2+AK2)/3</f>
        <v>0.72222222222222221</v>
      </c>
      <c r="AN2" s="7">
        <f>(J2+T2+AL2)/3</f>
        <v>0.77777777777777768</v>
      </c>
      <c r="AO2">
        <f>step3_validation[[#This Row],[AI_OUT1]]</f>
        <v>5</v>
      </c>
      <c r="AP2">
        <f>(AO2-1)/9</f>
        <v>0.44444444444444442</v>
      </c>
      <c r="AQ2">
        <f>[1]!survey_responses[[#This Row],[Sau khi xem xét các quyền lợi và nghĩa vụ, bạn có ủng hộ và tuân thủ chính sách mới hiện nay? - HUMAN-OUT1]]</f>
        <v>10</v>
      </c>
      <c r="AR2">
        <f>(AQ2-1)/9</f>
        <v>1</v>
      </c>
      <c r="AS2" s="32">
        <f>ABS(AQ2-AO2)</f>
        <v>5</v>
      </c>
    </row>
    <row r="3" spans="1:45" x14ac:dyDescent="0.45">
      <c r="A3">
        <f>step3_validation[[#This Row],[AI_ENF1]]</f>
        <v>7</v>
      </c>
      <c r="B3">
        <f t="shared" ref="B3:B66" si="0">(A3-1)/9</f>
        <v>0.66666666666666663</v>
      </c>
      <c r="C3">
        <f>[1]!survey_responses[[#This Row],[Tôi tin rằng với các quy định quản lý thuế hiện nay, hành vi gian lận hoặc trốn thuế sẽ dễ dàng bị phát hiện và xử lý nghiêm. - HUMAN-ENF1]]</f>
        <v>8</v>
      </c>
      <c r="D3">
        <f t="shared" ref="D3:D66" si="1">(C3-1)/9</f>
        <v>0.77777777777777779</v>
      </c>
      <c r="E3">
        <f>step3_validation[[#This Row],[AI_ENF2]]</f>
        <v>8</v>
      </c>
      <c r="F3">
        <f t="shared" ref="F3:F66" si="2">(E3-1)/9</f>
        <v>0.77777777777777779</v>
      </c>
      <c r="G3">
        <f>[1]!survey_responses[[#This Row],[Tôi tin rằng Nhà nước, cơ quan thuế có đủ khả năng và công nghệ để phát hiện, xử lý nghiêm các hành vi trốn thuế. - HUMAN-ENF2]]</f>
        <v>8</v>
      </c>
      <c r="H3">
        <f t="shared" ref="H3:H66" si="3">(G3-1)/9</f>
        <v>0.77777777777777779</v>
      </c>
      <c r="I3" s="32">
        <f t="shared" ref="I3:I66" si="4">AVERAGE(B3,F3)</f>
        <v>0.72222222222222221</v>
      </c>
      <c r="J3" s="32">
        <f t="shared" ref="J3:J66" si="5">AVERAGE(D3,H3)</f>
        <v>0.77777777777777779</v>
      </c>
      <c r="K3">
        <f>step3_validation[[#This Row],[AI_FAC1]]</f>
        <v>6</v>
      </c>
      <c r="L3">
        <f t="shared" ref="L3:L66" si="6">(K3-1)/9</f>
        <v>0.55555555555555558</v>
      </c>
      <c r="M3">
        <f>[1]!survey_responses[[#This Row],[Các thủ tục khai báo thuế VÀ/HOẶC quy trình làm việc với cơ quan thuế đơn giản, tiện lợi, nhanh chóng hơn so với trước đây. - HUMAN-FAC1]]</f>
        <v>6</v>
      </c>
      <c r="N3">
        <f t="shared" ref="N3:N66" si="7">(M3-1)/9</f>
        <v>0.55555555555555558</v>
      </c>
      <c r="O3">
        <f>step3_validation[[#This Row],[AI_FAC2]]</f>
        <v>7</v>
      </c>
      <c r="P3">
        <f t="shared" ref="P3:P66" si="8">(O3-1)/9</f>
        <v>0.66666666666666663</v>
      </c>
      <c r="Q3">
        <f>[1]!survey_responses[[#This Row],[So với trước đây, tôi thấy cách tính thuế và các bậc thuế trong phương án mới đơn giản, dễ hiểu và dễ thực hiện hơn. - HUMAN-FAC2]]</f>
        <v>9</v>
      </c>
      <c r="R3">
        <f t="shared" ref="R3:R66" si="9">(Q3-1)/9</f>
        <v>0.88888888888888884</v>
      </c>
      <c r="S3" s="32">
        <f t="shared" ref="S3:S66" si="10">AVERAGE(L3,P3)</f>
        <v>0.61111111111111116</v>
      </c>
      <c r="T3" s="32">
        <f t="shared" ref="T3:T66" si="11">AVERAGE(N3,R3)</f>
        <v>0.72222222222222221</v>
      </c>
      <c r="U3">
        <f>step3_validation[[#This Row],[AI_TRU1]]</f>
        <v>8</v>
      </c>
      <c r="V3">
        <f t="shared" ref="V3:V66" si="12">(U3-1)/9</f>
        <v>0.77777777777777779</v>
      </c>
      <c r="W3">
        <f>[1]!survey_responses[[#This Row],[Tôi tin rằng Nhà nước, cơ quan thuế sẽ thực thi chính sách mới một cách khách quan, công tâm và đối xử bình đẳng với mọi người nộp thuế.  - HUMAN-TRU1]]</f>
        <v>10</v>
      </c>
      <c r="X3">
        <f t="shared" ref="X3:X66" si="13">(W3-1)/9</f>
        <v>1</v>
      </c>
      <c r="Y3">
        <f>step3_validation[[#This Row],[AI_TRU2]]</f>
        <v>7</v>
      </c>
      <c r="Z3">
        <f t="shared" ref="Z3:Z66" si="14">(Y3-1)/9</f>
        <v>0.66666666666666663</v>
      </c>
      <c r="AA3">
        <f>[1]!survey_responses[[#This Row],[Tôi thấy mức thuế tôi phải đóng theo phương án mới là công bằng (người thu nhập như tôi đóng mức này là hợp lý). - HUMAN-TRU2]]</f>
        <v>9</v>
      </c>
      <c r="AB3">
        <f t="shared" ref="AB3:AB66" si="15">(AA3-1)/9</f>
        <v>0.88888888888888884</v>
      </c>
      <c r="AC3">
        <f>step3_validation[[#This Row],[AI_TRU3]]</f>
        <v>6</v>
      </c>
      <c r="AD3">
        <f t="shared" ref="AD3:AD66" si="16">(AC3-1)/9</f>
        <v>0.55555555555555558</v>
      </c>
      <c r="AE3">
        <f>[1]!survey_responses[[#This Row],[Tôi tin tưởng số tiền thuế tôi đóng sẽ được Nhà nước sử dụng hiệu quả để cải thiện dịch vụ công (y tế, đường xá...). - HUMAN-TRU3]]</f>
        <v>8</v>
      </c>
      <c r="AF3">
        <f t="shared" ref="AF3:AF66" si="17">(AE3-1)/9</f>
        <v>0.77777777777777779</v>
      </c>
      <c r="AG3">
        <f>step3_validation[[#This Row],[AI_TRU4]]</f>
        <v>7</v>
      </c>
      <c r="AH3">
        <f t="shared" ref="AH3:AH66" si="18">(AG3-1)/9</f>
        <v>0.66666666666666663</v>
      </c>
      <c r="AI3">
        <f>[1]!survey_responses[[#This Row],[Tôi thấy Nhà nước đã giải thích rõ ràng, minh bạch về lý do và mục tiêu của việc sửa đổi thuế lần này. - HUMAN-TRU4]]</f>
        <v>9</v>
      </c>
      <c r="AJ3">
        <f t="shared" ref="AJ3:AJ66" si="19">(AI3-1)/9</f>
        <v>0.88888888888888884</v>
      </c>
      <c r="AK3" s="32">
        <f t="shared" ref="AK3:AK66" si="20">AVERAGE(V3,Z3,AD3,AH3)</f>
        <v>0.66666666666666663</v>
      </c>
      <c r="AL3" s="32">
        <f t="shared" ref="AL3:AL66" si="21">AVERAGE(X3,AB3,AF3,AJ3)</f>
        <v>0.88888888888888884</v>
      </c>
      <c r="AM3" s="7">
        <f t="shared" ref="AM3:AM66" si="22">(I3+S3+AK3)/3</f>
        <v>0.66666666666666663</v>
      </c>
      <c r="AN3" s="7">
        <f t="shared" ref="AN3:AN66" si="23">(J3+T3+AL3)/3</f>
        <v>0.79629629629629628</v>
      </c>
      <c r="AO3">
        <f>step3_validation[[#This Row],[AI_OUT1]]</f>
        <v>8</v>
      </c>
      <c r="AP3">
        <f t="shared" ref="AP3:AP66" si="24">(AO3-1)/9</f>
        <v>0.77777777777777779</v>
      </c>
      <c r="AQ3">
        <f>[1]!survey_responses[[#This Row],[Sau khi xem xét các quyền lợi và nghĩa vụ, bạn có ủng hộ và tuân thủ chính sách mới hiện nay? - HUMAN-OUT1]]</f>
        <v>10</v>
      </c>
      <c r="AR3">
        <f t="shared" ref="AR3:AR66" si="25">(AQ3-1)/9</f>
        <v>1</v>
      </c>
      <c r="AS3" s="32">
        <f t="shared" ref="AS3:AS66" si="26">ABS(AQ3-AO3)</f>
        <v>2</v>
      </c>
    </row>
    <row r="4" spans="1:45" x14ac:dyDescent="0.45">
      <c r="A4">
        <f>step3_validation[[#This Row],[AI_ENF1]]</f>
        <v>7</v>
      </c>
      <c r="B4">
        <f t="shared" si="0"/>
        <v>0.66666666666666663</v>
      </c>
      <c r="C4">
        <f>[1]!survey_responses[[#This Row],[Tôi tin rằng với các quy định quản lý thuế hiện nay, hành vi gian lận hoặc trốn thuế sẽ dễ dàng bị phát hiện và xử lý nghiêm. - HUMAN-ENF1]]</f>
        <v>6</v>
      </c>
      <c r="D4">
        <f t="shared" si="1"/>
        <v>0.55555555555555558</v>
      </c>
      <c r="E4">
        <f>step3_validation[[#This Row],[AI_ENF2]]</f>
        <v>6</v>
      </c>
      <c r="F4">
        <f t="shared" si="2"/>
        <v>0.55555555555555558</v>
      </c>
      <c r="G4">
        <f>[1]!survey_responses[[#This Row],[Tôi tin rằng Nhà nước, cơ quan thuế có đủ khả năng và công nghệ để phát hiện, xử lý nghiêm các hành vi trốn thuế. - HUMAN-ENF2]]</f>
        <v>5</v>
      </c>
      <c r="H4">
        <f t="shared" si="3"/>
        <v>0.44444444444444442</v>
      </c>
      <c r="I4" s="32">
        <f t="shared" si="4"/>
        <v>0.61111111111111116</v>
      </c>
      <c r="J4" s="32">
        <f t="shared" si="5"/>
        <v>0.5</v>
      </c>
      <c r="K4">
        <f>step3_validation[[#This Row],[AI_FAC1]]</f>
        <v>8</v>
      </c>
      <c r="L4">
        <f t="shared" si="6"/>
        <v>0.77777777777777779</v>
      </c>
      <c r="M4">
        <f>[1]!survey_responses[[#This Row],[Các thủ tục khai báo thuế VÀ/HOẶC quy trình làm việc với cơ quan thuế đơn giản, tiện lợi, nhanh chóng hơn so với trước đây. - HUMAN-FAC1]]</f>
        <v>4</v>
      </c>
      <c r="N4">
        <f t="shared" si="7"/>
        <v>0.33333333333333331</v>
      </c>
      <c r="O4">
        <f>step3_validation[[#This Row],[AI_FAC2]]</f>
        <v>7</v>
      </c>
      <c r="P4">
        <f t="shared" si="8"/>
        <v>0.66666666666666663</v>
      </c>
      <c r="Q4">
        <f>[1]!survey_responses[[#This Row],[So với trước đây, tôi thấy cách tính thuế và các bậc thuế trong phương án mới đơn giản, dễ hiểu và dễ thực hiện hơn. - HUMAN-FAC2]]</f>
        <v>5</v>
      </c>
      <c r="R4">
        <f t="shared" si="9"/>
        <v>0.44444444444444442</v>
      </c>
      <c r="S4" s="32">
        <f t="shared" si="10"/>
        <v>0.72222222222222221</v>
      </c>
      <c r="T4" s="32">
        <f t="shared" si="11"/>
        <v>0.38888888888888884</v>
      </c>
      <c r="U4">
        <f>step3_validation[[#This Row],[AI_TRU1]]</f>
        <v>8</v>
      </c>
      <c r="V4">
        <f t="shared" si="12"/>
        <v>0.77777777777777779</v>
      </c>
      <c r="W4">
        <f>[1]!survey_responses[[#This Row],[Tôi tin rằng Nhà nước, cơ quan thuế sẽ thực thi chính sách mới một cách khách quan, công tâm và đối xử bình đẳng với mọi người nộp thuế.  - HUMAN-TRU1]]</f>
        <v>4</v>
      </c>
      <c r="X4">
        <f t="shared" si="13"/>
        <v>0.33333333333333331</v>
      </c>
      <c r="Y4">
        <f>step3_validation[[#This Row],[AI_TRU2]]</f>
        <v>7</v>
      </c>
      <c r="Z4">
        <f t="shared" si="14"/>
        <v>0.66666666666666663</v>
      </c>
      <c r="AA4">
        <f>[1]!survey_responses[[#This Row],[Tôi thấy mức thuế tôi phải đóng theo phương án mới là công bằng (người thu nhập như tôi đóng mức này là hợp lý). - HUMAN-TRU2]]</f>
        <v>4</v>
      </c>
      <c r="AB4">
        <f t="shared" si="15"/>
        <v>0.33333333333333331</v>
      </c>
      <c r="AC4">
        <f>step3_validation[[#This Row],[AI_TRU3]]</f>
        <v>8</v>
      </c>
      <c r="AD4">
        <f t="shared" si="16"/>
        <v>0.77777777777777779</v>
      </c>
      <c r="AE4">
        <f>[1]!survey_responses[[#This Row],[Tôi tin tưởng số tiền thuế tôi đóng sẽ được Nhà nước sử dụng hiệu quả để cải thiện dịch vụ công (y tế, đường xá...). - HUMAN-TRU3]]</f>
        <v>4</v>
      </c>
      <c r="AF4">
        <f t="shared" si="17"/>
        <v>0.33333333333333331</v>
      </c>
      <c r="AG4">
        <f>step3_validation[[#This Row],[AI_TRU4]]</f>
        <v>7</v>
      </c>
      <c r="AH4">
        <f t="shared" si="18"/>
        <v>0.66666666666666663</v>
      </c>
      <c r="AI4">
        <f>[1]!survey_responses[[#This Row],[Tôi thấy Nhà nước đã giải thích rõ ràng, minh bạch về lý do và mục tiêu của việc sửa đổi thuế lần này. - HUMAN-TRU4]]</f>
        <v>10</v>
      </c>
      <c r="AJ4">
        <f t="shared" si="19"/>
        <v>1</v>
      </c>
      <c r="AK4" s="32">
        <f t="shared" si="20"/>
        <v>0.72222222222222221</v>
      </c>
      <c r="AL4" s="32">
        <f t="shared" si="21"/>
        <v>0.5</v>
      </c>
      <c r="AM4" s="7">
        <f t="shared" si="22"/>
        <v>0.68518518518518523</v>
      </c>
      <c r="AN4" s="7">
        <f t="shared" si="23"/>
        <v>0.46296296296296297</v>
      </c>
      <c r="AO4">
        <f>step3_validation[[#This Row],[AI_OUT1]]</f>
        <v>8</v>
      </c>
      <c r="AP4">
        <f t="shared" si="24"/>
        <v>0.77777777777777779</v>
      </c>
      <c r="AQ4">
        <f>[1]!survey_responses[[#This Row],[Sau khi xem xét các quyền lợi và nghĩa vụ, bạn có ủng hộ và tuân thủ chính sách mới hiện nay? - HUMAN-OUT1]]</f>
        <v>4</v>
      </c>
      <c r="AR4">
        <f t="shared" si="25"/>
        <v>0.33333333333333331</v>
      </c>
      <c r="AS4" s="32">
        <f t="shared" si="26"/>
        <v>4</v>
      </c>
    </row>
    <row r="5" spans="1:45" x14ac:dyDescent="0.45">
      <c r="A5">
        <f>step3_validation[[#This Row],[AI_ENF1]]</f>
        <v>7</v>
      </c>
      <c r="B5">
        <f t="shared" si="0"/>
        <v>0.66666666666666663</v>
      </c>
      <c r="C5">
        <f>[1]!survey_responses[[#This Row],[Tôi tin rằng với các quy định quản lý thuế hiện nay, hành vi gian lận hoặc trốn thuế sẽ dễ dàng bị phát hiện và xử lý nghiêm. - HUMAN-ENF1]]</f>
        <v>10</v>
      </c>
      <c r="D5">
        <f t="shared" si="1"/>
        <v>1</v>
      </c>
      <c r="E5">
        <f>step3_validation[[#This Row],[AI_ENF2]]</f>
        <v>8</v>
      </c>
      <c r="F5">
        <f t="shared" si="2"/>
        <v>0.77777777777777779</v>
      </c>
      <c r="G5">
        <f>[1]!survey_responses[[#This Row],[Tôi tin rằng Nhà nước, cơ quan thuế có đủ khả năng và công nghệ để phát hiện, xử lý nghiêm các hành vi trốn thuế. - HUMAN-ENF2]]</f>
        <v>10</v>
      </c>
      <c r="H5">
        <f t="shared" si="3"/>
        <v>1</v>
      </c>
      <c r="I5" s="32">
        <f t="shared" si="4"/>
        <v>0.72222222222222221</v>
      </c>
      <c r="J5" s="32">
        <f t="shared" si="5"/>
        <v>1</v>
      </c>
      <c r="K5">
        <f>step3_validation[[#This Row],[AI_FAC1]]</f>
        <v>8</v>
      </c>
      <c r="L5">
        <f t="shared" si="6"/>
        <v>0.77777777777777779</v>
      </c>
      <c r="M5">
        <f>[1]!survey_responses[[#This Row],[Các thủ tục khai báo thuế VÀ/HOẶC quy trình làm việc với cơ quan thuế đơn giản, tiện lợi, nhanh chóng hơn so với trước đây. - HUMAN-FAC1]]</f>
        <v>8</v>
      </c>
      <c r="N5">
        <f t="shared" si="7"/>
        <v>0.77777777777777779</v>
      </c>
      <c r="O5">
        <f>step3_validation[[#This Row],[AI_FAC2]]</f>
        <v>9</v>
      </c>
      <c r="P5">
        <f t="shared" si="8"/>
        <v>0.88888888888888884</v>
      </c>
      <c r="Q5">
        <f>[1]!survey_responses[[#This Row],[So với trước đây, tôi thấy cách tính thuế và các bậc thuế trong phương án mới đơn giản, dễ hiểu và dễ thực hiện hơn. - HUMAN-FAC2]]</f>
        <v>9</v>
      </c>
      <c r="R5">
        <f t="shared" si="9"/>
        <v>0.88888888888888884</v>
      </c>
      <c r="S5" s="32">
        <f t="shared" si="10"/>
        <v>0.83333333333333326</v>
      </c>
      <c r="T5" s="32">
        <f t="shared" si="11"/>
        <v>0.83333333333333326</v>
      </c>
      <c r="U5">
        <f>step3_validation[[#This Row],[AI_TRU1]]</f>
        <v>7</v>
      </c>
      <c r="V5">
        <f t="shared" si="12"/>
        <v>0.66666666666666663</v>
      </c>
      <c r="W5">
        <f>[1]!survey_responses[[#This Row],[Tôi tin rằng Nhà nước, cơ quan thuế sẽ thực thi chính sách mới một cách khách quan, công tâm và đối xử bình đẳng với mọi người nộp thuế.  - HUMAN-TRU1]]</f>
        <v>9</v>
      </c>
      <c r="X5">
        <f t="shared" si="13"/>
        <v>0.88888888888888884</v>
      </c>
      <c r="Y5">
        <f>step3_validation[[#This Row],[AI_TRU2]]</f>
        <v>7</v>
      </c>
      <c r="Z5">
        <f t="shared" si="14"/>
        <v>0.66666666666666663</v>
      </c>
      <c r="AA5">
        <f>[1]!survey_responses[[#This Row],[Tôi thấy mức thuế tôi phải đóng theo phương án mới là công bằng (người thu nhập như tôi đóng mức này là hợp lý). - HUMAN-TRU2]]</f>
        <v>7</v>
      </c>
      <c r="AB5">
        <f t="shared" si="15"/>
        <v>0.66666666666666663</v>
      </c>
      <c r="AC5">
        <f>step3_validation[[#This Row],[AI_TRU3]]</f>
        <v>6</v>
      </c>
      <c r="AD5">
        <f t="shared" si="16"/>
        <v>0.55555555555555558</v>
      </c>
      <c r="AE5">
        <f>[1]!survey_responses[[#This Row],[Tôi tin tưởng số tiền thuế tôi đóng sẽ được Nhà nước sử dụng hiệu quả để cải thiện dịch vụ công (y tế, đường xá...). - HUMAN-TRU3]]</f>
        <v>10</v>
      </c>
      <c r="AF5">
        <f t="shared" si="17"/>
        <v>1</v>
      </c>
      <c r="AG5">
        <f>step3_validation[[#This Row],[AI_TRU4]]</f>
        <v>7</v>
      </c>
      <c r="AH5">
        <f t="shared" si="18"/>
        <v>0.66666666666666663</v>
      </c>
      <c r="AI5">
        <f>[1]!survey_responses[[#This Row],[Tôi thấy Nhà nước đã giải thích rõ ràng, minh bạch về lý do và mục tiêu của việc sửa đổi thuế lần này. - HUMAN-TRU4]]</f>
        <v>7</v>
      </c>
      <c r="AJ5">
        <f t="shared" si="19"/>
        <v>0.66666666666666663</v>
      </c>
      <c r="AK5" s="32">
        <f t="shared" si="20"/>
        <v>0.63888888888888884</v>
      </c>
      <c r="AL5" s="32">
        <f t="shared" si="21"/>
        <v>0.80555555555555547</v>
      </c>
      <c r="AM5" s="7">
        <f t="shared" si="22"/>
        <v>0.7314814814814814</v>
      </c>
      <c r="AN5" s="7">
        <f t="shared" si="23"/>
        <v>0.87962962962962965</v>
      </c>
      <c r="AO5">
        <f>step3_validation[[#This Row],[AI_OUT1]]</f>
        <v>8</v>
      </c>
      <c r="AP5">
        <f t="shared" si="24"/>
        <v>0.77777777777777779</v>
      </c>
      <c r="AQ5">
        <f>[1]!survey_responses[[#This Row],[Sau khi xem xét các quyền lợi và nghĩa vụ, bạn có ủng hộ và tuân thủ chính sách mới hiện nay? - HUMAN-OUT1]]</f>
        <v>10</v>
      </c>
      <c r="AR5">
        <f t="shared" si="25"/>
        <v>1</v>
      </c>
      <c r="AS5" s="32">
        <f t="shared" si="26"/>
        <v>2</v>
      </c>
    </row>
    <row r="6" spans="1:45" x14ac:dyDescent="0.45">
      <c r="A6">
        <f>step3_validation[[#This Row],[AI_ENF1]]</f>
        <v>6</v>
      </c>
      <c r="B6">
        <f t="shared" si="0"/>
        <v>0.55555555555555558</v>
      </c>
      <c r="C6">
        <f>[1]!survey_responses[[#This Row],[Tôi tin rằng với các quy định quản lý thuế hiện nay, hành vi gian lận hoặc trốn thuế sẽ dễ dàng bị phát hiện và xử lý nghiêm. - HUMAN-ENF1]]</f>
        <v>9</v>
      </c>
      <c r="D6">
        <f t="shared" si="1"/>
        <v>0.88888888888888884</v>
      </c>
      <c r="E6">
        <f>step3_validation[[#This Row],[AI_ENF2]]</f>
        <v>8</v>
      </c>
      <c r="F6">
        <f t="shared" si="2"/>
        <v>0.77777777777777779</v>
      </c>
      <c r="G6">
        <f>[1]!survey_responses[[#This Row],[Tôi tin rằng Nhà nước, cơ quan thuế có đủ khả năng và công nghệ để phát hiện, xử lý nghiêm các hành vi trốn thuế. - HUMAN-ENF2]]</f>
        <v>9</v>
      </c>
      <c r="H6">
        <f t="shared" si="3"/>
        <v>0.88888888888888884</v>
      </c>
      <c r="I6" s="32">
        <f t="shared" si="4"/>
        <v>0.66666666666666674</v>
      </c>
      <c r="J6" s="32">
        <f t="shared" si="5"/>
        <v>0.88888888888888884</v>
      </c>
      <c r="K6">
        <f>step3_validation[[#This Row],[AI_FAC1]]</f>
        <v>9</v>
      </c>
      <c r="L6">
        <f t="shared" si="6"/>
        <v>0.88888888888888884</v>
      </c>
      <c r="M6">
        <f>[1]!survey_responses[[#This Row],[Các thủ tục khai báo thuế VÀ/HOẶC quy trình làm việc với cơ quan thuế đơn giản, tiện lợi, nhanh chóng hơn so với trước đây. - HUMAN-FAC1]]</f>
        <v>10</v>
      </c>
      <c r="N6">
        <f t="shared" si="7"/>
        <v>1</v>
      </c>
      <c r="O6">
        <f>step3_validation[[#This Row],[AI_FAC2]]</f>
        <v>7</v>
      </c>
      <c r="P6">
        <f t="shared" si="8"/>
        <v>0.66666666666666663</v>
      </c>
      <c r="Q6">
        <f>[1]!survey_responses[[#This Row],[So với trước đây, tôi thấy cách tính thuế và các bậc thuế trong phương án mới đơn giản, dễ hiểu và dễ thực hiện hơn. - HUMAN-FAC2]]</f>
        <v>9</v>
      </c>
      <c r="R6">
        <f t="shared" si="9"/>
        <v>0.88888888888888884</v>
      </c>
      <c r="S6" s="32">
        <f t="shared" si="10"/>
        <v>0.77777777777777768</v>
      </c>
      <c r="T6" s="32">
        <f t="shared" si="11"/>
        <v>0.94444444444444442</v>
      </c>
      <c r="U6">
        <f>step3_validation[[#This Row],[AI_TRU1]]</f>
        <v>7</v>
      </c>
      <c r="V6">
        <f t="shared" si="12"/>
        <v>0.66666666666666663</v>
      </c>
      <c r="W6">
        <f>[1]!survey_responses[[#This Row],[Tôi tin rằng Nhà nước, cơ quan thuế sẽ thực thi chính sách mới một cách khách quan, công tâm và đối xử bình đẳng với mọi người nộp thuế.  - HUMAN-TRU1]]</f>
        <v>9</v>
      </c>
      <c r="X6">
        <f t="shared" si="13"/>
        <v>0.88888888888888884</v>
      </c>
      <c r="Y6">
        <f>step3_validation[[#This Row],[AI_TRU2]]</f>
        <v>8</v>
      </c>
      <c r="Z6">
        <f t="shared" si="14"/>
        <v>0.77777777777777779</v>
      </c>
      <c r="AA6">
        <f>[1]!survey_responses[[#This Row],[Tôi thấy mức thuế tôi phải đóng theo phương án mới là công bằng (người thu nhập như tôi đóng mức này là hợp lý). - HUMAN-TRU2]]</f>
        <v>9</v>
      </c>
      <c r="AB6">
        <f t="shared" si="15"/>
        <v>0.88888888888888884</v>
      </c>
      <c r="AC6">
        <f>step3_validation[[#This Row],[AI_TRU3]]</f>
        <v>7</v>
      </c>
      <c r="AD6">
        <f t="shared" si="16"/>
        <v>0.66666666666666663</v>
      </c>
      <c r="AE6">
        <f>[1]!survey_responses[[#This Row],[Tôi tin tưởng số tiền thuế tôi đóng sẽ được Nhà nước sử dụng hiệu quả để cải thiện dịch vụ công (y tế, đường xá...). - HUMAN-TRU3]]</f>
        <v>9</v>
      </c>
      <c r="AF6">
        <f t="shared" si="17"/>
        <v>0.88888888888888884</v>
      </c>
      <c r="AG6">
        <f>step3_validation[[#This Row],[AI_TRU4]]</f>
        <v>5</v>
      </c>
      <c r="AH6">
        <f t="shared" si="18"/>
        <v>0.44444444444444442</v>
      </c>
      <c r="AI6">
        <f>[1]!survey_responses[[#This Row],[Tôi thấy Nhà nước đã giải thích rõ ràng, minh bạch về lý do và mục tiêu của việc sửa đổi thuế lần này. - HUMAN-TRU4]]</f>
        <v>9</v>
      </c>
      <c r="AJ6">
        <f t="shared" si="19"/>
        <v>0.88888888888888884</v>
      </c>
      <c r="AK6" s="32">
        <f t="shared" si="20"/>
        <v>0.63888888888888884</v>
      </c>
      <c r="AL6" s="32">
        <f t="shared" si="21"/>
        <v>0.88888888888888884</v>
      </c>
      <c r="AM6" s="7">
        <f t="shared" si="22"/>
        <v>0.69444444444444431</v>
      </c>
      <c r="AN6" s="7">
        <f t="shared" si="23"/>
        <v>0.90740740740740744</v>
      </c>
      <c r="AO6">
        <f>step3_validation[[#This Row],[AI_OUT1]]</f>
        <v>4</v>
      </c>
      <c r="AP6">
        <f t="shared" si="24"/>
        <v>0.33333333333333331</v>
      </c>
      <c r="AQ6">
        <f>[1]!survey_responses[[#This Row],[Sau khi xem xét các quyền lợi và nghĩa vụ, bạn có ủng hộ và tuân thủ chính sách mới hiện nay? - HUMAN-OUT1]]</f>
        <v>9</v>
      </c>
      <c r="AR6">
        <f t="shared" si="25"/>
        <v>0.88888888888888884</v>
      </c>
      <c r="AS6" s="32">
        <f t="shared" si="26"/>
        <v>5</v>
      </c>
    </row>
    <row r="7" spans="1:45" x14ac:dyDescent="0.45">
      <c r="A7">
        <f>step3_validation[[#This Row],[AI_ENF1]]</f>
        <v>6</v>
      </c>
      <c r="B7">
        <f t="shared" si="0"/>
        <v>0.55555555555555558</v>
      </c>
      <c r="C7">
        <f>[1]!survey_responses[[#This Row],[Tôi tin rằng với các quy định quản lý thuế hiện nay, hành vi gian lận hoặc trốn thuế sẽ dễ dàng bị phát hiện và xử lý nghiêm. - HUMAN-ENF1]]</f>
        <v>8</v>
      </c>
      <c r="D7">
        <f t="shared" si="1"/>
        <v>0.77777777777777779</v>
      </c>
      <c r="E7">
        <f>step3_validation[[#This Row],[AI_ENF2]]</f>
        <v>6</v>
      </c>
      <c r="F7">
        <f t="shared" si="2"/>
        <v>0.55555555555555558</v>
      </c>
      <c r="G7">
        <f>[1]!survey_responses[[#This Row],[Tôi tin rằng Nhà nước, cơ quan thuế có đủ khả năng và công nghệ để phát hiện, xử lý nghiêm các hành vi trốn thuế. - HUMAN-ENF2]]</f>
        <v>8</v>
      </c>
      <c r="H7">
        <f t="shared" si="3"/>
        <v>0.77777777777777779</v>
      </c>
      <c r="I7" s="32">
        <f t="shared" si="4"/>
        <v>0.55555555555555558</v>
      </c>
      <c r="J7" s="32">
        <f t="shared" si="5"/>
        <v>0.77777777777777779</v>
      </c>
      <c r="K7">
        <f>step3_validation[[#This Row],[AI_FAC1]]</f>
        <v>7</v>
      </c>
      <c r="L7">
        <f t="shared" si="6"/>
        <v>0.66666666666666663</v>
      </c>
      <c r="M7">
        <f>[1]!survey_responses[[#This Row],[Các thủ tục khai báo thuế VÀ/HOẶC quy trình làm việc với cơ quan thuế đơn giản, tiện lợi, nhanh chóng hơn so với trước đây. - HUMAN-FAC1]]</f>
        <v>5</v>
      </c>
      <c r="N7">
        <f t="shared" si="7"/>
        <v>0.44444444444444442</v>
      </c>
      <c r="O7">
        <f>step3_validation[[#This Row],[AI_FAC2]]</f>
        <v>8</v>
      </c>
      <c r="P7">
        <f t="shared" si="8"/>
        <v>0.77777777777777779</v>
      </c>
      <c r="Q7">
        <f>[1]!survey_responses[[#This Row],[So với trước đây, tôi thấy cách tính thuế và các bậc thuế trong phương án mới đơn giản, dễ hiểu và dễ thực hiện hơn. - HUMAN-FAC2]]</f>
        <v>8</v>
      </c>
      <c r="R7">
        <f t="shared" si="9"/>
        <v>0.77777777777777779</v>
      </c>
      <c r="S7" s="32">
        <f t="shared" si="10"/>
        <v>0.72222222222222221</v>
      </c>
      <c r="T7" s="32">
        <f t="shared" si="11"/>
        <v>0.61111111111111116</v>
      </c>
      <c r="U7">
        <f>step3_validation[[#This Row],[AI_TRU1]]</f>
        <v>7</v>
      </c>
      <c r="V7">
        <f t="shared" si="12"/>
        <v>0.66666666666666663</v>
      </c>
      <c r="W7">
        <f>[1]!survey_responses[[#This Row],[Tôi tin rằng Nhà nước, cơ quan thuế sẽ thực thi chính sách mới một cách khách quan, công tâm và đối xử bình đẳng với mọi người nộp thuế.  - HUMAN-TRU1]]</f>
        <v>6</v>
      </c>
      <c r="X7">
        <f t="shared" si="13"/>
        <v>0.55555555555555558</v>
      </c>
      <c r="Y7">
        <f>step3_validation[[#This Row],[AI_TRU2]]</f>
        <v>6</v>
      </c>
      <c r="Z7">
        <f t="shared" si="14"/>
        <v>0.55555555555555558</v>
      </c>
      <c r="AA7">
        <f>[1]!survey_responses[[#This Row],[Tôi thấy mức thuế tôi phải đóng theo phương án mới là công bằng (người thu nhập như tôi đóng mức này là hợp lý). - HUMAN-TRU2]]</f>
        <v>6</v>
      </c>
      <c r="AB7">
        <f t="shared" si="15"/>
        <v>0.55555555555555558</v>
      </c>
      <c r="AC7">
        <f>step3_validation[[#This Row],[AI_TRU3]]</f>
        <v>5</v>
      </c>
      <c r="AD7">
        <f t="shared" si="16"/>
        <v>0.44444444444444442</v>
      </c>
      <c r="AE7">
        <f>[1]!survey_responses[[#This Row],[Tôi tin tưởng số tiền thuế tôi đóng sẽ được Nhà nước sử dụng hiệu quả để cải thiện dịch vụ công (y tế, đường xá...). - HUMAN-TRU3]]</f>
        <v>4</v>
      </c>
      <c r="AF7">
        <f t="shared" si="17"/>
        <v>0.33333333333333331</v>
      </c>
      <c r="AG7">
        <f>step3_validation[[#This Row],[AI_TRU4]]</f>
        <v>4</v>
      </c>
      <c r="AH7">
        <f t="shared" si="18"/>
        <v>0.33333333333333331</v>
      </c>
      <c r="AI7">
        <f>[1]!survey_responses[[#This Row],[Tôi thấy Nhà nước đã giải thích rõ ràng, minh bạch về lý do và mục tiêu của việc sửa đổi thuế lần này. - HUMAN-TRU4]]</f>
        <v>5</v>
      </c>
      <c r="AJ7">
        <f t="shared" si="19"/>
        <v>0.44444444444444442</v>
      </c>
      <c r="AK7" s="32">
        <f t="shared" si="20"/>
        <v>0.5</v>
      </c>
      <c r="AL7" s="32">
        <f t="shared" si="21"/>
        <v>0.47222222222222221</v>
      </c>
      <c r="AM7" s="7">
        <f t="shared" si="22"/>
        <v>0.59259259259259256</v>
      </c>
      <c r="AN7" s="7">
        <f t="shared" si="23"/>
        <v>0.62037037037037035</v>
      </c>
      <c r="AO7">
        <f>step3_validation[[#This Row],[AI_OUT1]]</f>
        <v>5</v>
      </c>
      <c r="AP7">
        <f t="shared" si="24"/>
        <v>0.44444444444444442</v>
      </c>
      <c r="AQ7">
        <f>[1]!survey_responses[[#This Row],[Sau khi xem xét các quyền lợi và nghĩa vụ, bạn có ủng hộ và tuân thủ chính sách mới hiện nay? - HUMAN-OUT1]]</f>
        <v>6</v>
      </c>
      <c r="AR7">
        <f t="shared" si="25"/>
        <v>0.55555555555555558</v>
      </c>
      <c r="AS7" s="32">
        <f t="shared" si="26"/>
        <v>1</v>
      </c>
    </row>
    <row r="8" spans="1:45" x14ac:dyDescent="0.45">
      <c r="A8">
        <f>step3_validation[[#This Row],[AI_ENF1]]</f>
        <v>7</v>
      </c>
      <c r="B8">
        <f t="shared" si="0"/>
        <v>0.66666666666666663</v>
      </c>
      <c r="C8">
        <f>[1]!survey_responses[[#This Row],[Tôi tin rằng với các quy định quản lý thuế hiện nay, hành vi gian lận hoặc trốn thuế sẽ dễ dàng bị phát hiện và xử lý nghiêm. - HUMAN-ENF1]]</f>
        <v>5</v>
      </c>
      <c r="D8">
        <f t="shared" si="1"/>
        <v>0.44444444444444442</v>
      </c>
      <c r="E8">
        <f>step3_validation[[#This Row],[AI_ENF2]]</f>
        <v>8</v>
      </c>
      <c r="F8">
        <f t="shared" si="2"/>
        <v>0.77777777777777779</v>
      </c>
      <c r="G8">
        <f>[1]!survey_responses[[#This Row],[Tôi tin rằng Nhà nước, cơ quan thuế có đủ khả năng và công nghệ để phát hiện, xử lý nghiêm các hành vi trốn thuế. - HUMAN-ENF2]]</f>
        <v>4</v>
      </c>
      <c r="H8">
        <f t="shared" si="3"/>
        <v>0.33333333333333331</v>
      </c>
      <c r="I8" s="32">
        <f t="shared" si="4"/>
        <v>0.72222222222222221</v>
      </c>
      <c r="J8" s="32">
        <f t="shared" si="5"/>
        <v>0.38888888888888884</v>
      </c>
      <c r="K8">
        <f>step3_validation[[#This Row],[AI_FAC1]]</f>
        <v>6</v>
      </c>
      <c r="L8">
        <f t="shared" si="6"/>
        <v>0.55555555555555558</v>
      </c>
      <c r="M8">
        <f>[1]!survey_responses[[#This Row],[Các thủ tục khai báo thuế VÀ/HOẶC quy trình làm việc với cơ quan thuế đơn giản, tiện lợi, nhanh chóng hơn so với trước đây. - HUMAN-FAC1]]</f>
        <v>4</v>
      </c>
      <c r="N8">
        <f t="shared" si="7"/>
        <v>0.33333333333333331</v>
      </c>
      <c r="O8">
        <f>step3_validation[[#This Row],[AI_FAC2]]</f>
        <v>5</v>
      </c>
      <c r="P8">
        <f t="shared" si="8"/>
        <v>0.44444444444444442</v>
      </c>
      <c r="Q8">
        <f>[1]!survey_responses[[#This Row],[So với trước đây, tôi thấy cách tính thuế và các bậc thuế trong phương án mới đơn giản, dễ hiểu và dễ thực hiện hơn. - HUMAN-FAC2]]</f>
        <v>6</v>
      </c>
      <c r="R8">
        <f t="shared" si="9"/>
        <v>0.55555555555555558</v>
      </c>
      <c r="S8" s="32">
        <f t="shared" si="10"/>
        <v>0.5</v>
      </c>
      <c r="T8" s="32">
        <f t="shared" si="11"/>
        <v>0.44444444444444442</v>
      </c>
      <c r="U8">
        <f>step3_validation[[#This Row],[AI_TRU1]]</f>
        <v>8</v>
      </c>
      <c r="V8">
        <f t="shared" si="12"/>
        <v>0.77777777777777779</v>
      </c>
      <c r="W8">
        <f>[1]!survey_responses[[#This Row],[Tôi tin rằng Nhà nước, cơ quan thuế sẽ thực thi chính sách mới một cách khách quan, công tâm và đối xử bình đẳng với mọi người nộp thuế.  - HUMAN-TRU1]]</f>
        <v>6</v>
      </c>
      <c r="X8">
        <f t="shared" si="13"/>
        <v>0.55555555555555558</v>
      </c>
      <c r="Y8">
        <f>step3_validation[[#This Row],[AI_TRU2]]</f>
        <v>6</v>
      </c>
      <c r="Z8">
        <f t="shared" si="14"/>
        <v>0.55555555555555558</v>
      </c>
      <c r="AA8">
        <f>[1]!survey_responses[[#This Row],[Tôi thấy mức thuế tôi phải đóng theo phương án mới là công bằng (người thu nhập như tôi đóng mức này là hợp lý). - HUMAN-TRU2]]</f>
        <v>7</v>
      </c>
      <c r="AB8">
        <f t="shared" si="15"/>
        <v>0.66666666666666663</v>
      </c>
      <c r="AC8">
        <f>step3_validation[[#This Row],[AI_TRU3]]</f>
        <v>7</v>
      </c>
      <c r="AD8">
        <f t="shared" si="16"/>
        <v>0.66666666666666663</v>
      </c>
      <c r="AE8">
        <f>[1]!survey_responses[[#This Row],[Tôi tin tưởng số tiền thuế tôi đóng sẽ được Nhà nước sử dụng hiệu quả để cải thiện dịch vụ công (y tế, đường xá...). - HUMAN-TRU3]]</f>
        <v>2</v>
      </c>
      <c r="AF8">
        <f t="shared" si="17"/>
        <v>0.1111111111111111</v>
      </c>
      <c r="AG8">
        <f>step3_validation[[#This Row],[AI_TRU4]]</f>
        <v>5</v>
      </c>
      <c r="AH8">
        <f t="shared" si="18"/>
        <v>0.44444444444444442</v>
      </c>
      <c r="AI8">
        <f>[1]!survey_responses[[#This Row],[Tôi thấy Nhà nước đã giải thích rõ ràng, minh bạch về lý do và mục tiêu của việc sửa đổi thuế lần này. - HUMAN-TRU4]]</f>
        <v>4</v>
      </c>
      <c r="AJ8">
        <f t="shared" si="19"/>
        <v>0.33333333333333331</v>
      </c>
      <c r="AK8" s="32">
        <f t="shared" si="20"/>
        <v>0.61111111111111116</v>
      </c>
      <c r="AL8" s="32">
        <f t="shared" si="21"/>
        <v>0.41666666666666669</v>
      </c>
      <c r="AM8" s="7">
        <f t="shared" si="22"/>
        <v>0.61111111111111116</v>
      </c>
      <c r="AN8" s="7">
        <f t="shared" si="23"/>
        <v>0.41666666666666669</v>
      </c>
      <c r="AO8">
        <f>step3_validation[[#This Row],[AI_OUT1]]</f>
        <v>7</v>
      </c>
      <c r="AP8">
        <f t="shared" si="24"/>
        <v>0.66666666666666663</v>
      </c>
      <c r="AQ8">
        <f>[1]!survey_responses[[#This Row],[Sau khi xem xét các quyền lợi và nghĩa vụ, bạn có ủng hộ và tuân thủ chính sách mới hiện nay? - HUMAN-OUT1]]</f>
        <v>4</v>
      </c>
      <c r="AR8">
        <f t="shared" si="25"/>
        <v>0.33333333333333331</v>
      </c>
      <c r="AS8" s="32">
        <f t="shared" si="26"/>
        <v>3</v>
      </c>
    </row>
    <row r="9" spans="1:45" x14ac:dyDescent="0.45">
      <c r="A9">
        <f>step3_validation[[#This Row],[AI_ENF1]]</f>
        <v>8</v>
      </c>
      <c r="B9">
        <f t="shared" si="0"/>
        <v>0.77777777777777779</v>
      </c>
      <c r="C9">
        <f>[1]!survey_responses[[#This Row],[Tôi tin rằng với các quy định quản lý thuế hiện nay, hành vi gian lận hoặc trốn thuế sẽ dễ dàng bị phát hiện và xử lý nghiêm. - HUMAN-ENF1]]</f>
        <v>1</v>
      </c>
      <c r="D9">
        <f t="shared" si="1"/>
        <v>0</v>
      </c>
      <c r="E9">
        <f>step3_validation[[#This Row],[AI_ENF2]]</f>
        <v>7</v>
      </c>
      <c r="F9">
        <f t="shared" si="2"/>
        <v>0.66666666666666663</v>
      </c>
      <c r="G9">
        <f>[1]!survey_responses[[#This Row],[Tôi tin rằng Nhà nước, cơ quan thuế có đủ khả năng và công nghệ để phát hiện, xử lý nghiêm các hành vi trốn thuế. - HUMAN-ENF2]]</f>
        <v>1</v>
      </c>
      <c r="H9">
        <f t="shared" si="3"/>
        <v>0</v>
      </c>
      <c r="I9" s="32">
        <f t="shared" si="4"/>
        <v>0.72222222222222221</v>
      </c>
      <c r="J9" s="32">
        <f t="shared" si="5"/>
        <v>0</v>
      </c>
      <c r="K9">
        <f>step3_validation[[#This Row],[AI_FAC1]]</f>
        <v>9</v>
      </c>
      <c r="L9">
        <f t="shared" si="6"/>
        <v>0.88888888888888884</v>
      </c>
      <c r="M9">
        <f>[1]!survey_responses[[#This Row],[Các thủ tục khai báo thuế VÀ/HOẶC quy trình làm việc với cơ quan thuế đơn giản, tiện lợi, nhanh chóng hơn so với trước đây. - HUMAN-FAC1]]</f>
        <v>2</v>
      </c>
      <c r="N9">
        <f t="shared" si="7"/>
        <v>0.1111111111111111</v>
      </c>
      <c r="O9">
        <f>step3_validation[[#This Row],[AI_FAC2]]</f>
        <v>8</v>
      </c>
      <c r="P9">
        <f t="shared" si="8"/>
        <v>0.77777777777777779</v>
      </c>
      <c r="Q9">
        <f>[1]!survey_responses[[#This Row],[So với trước đây, tôi thấy cách tính thuế và các bậc thuế trong phương án mới đơn giản, dễ hiểu và dễ thực hiện hơn. - HUMAN-FAC2]]</f>
        <v>3</v>
      </c>
      <c r="R9">
        <f t="shared" si="9"/>
        <v>0.22222222222222221</v>
      </c>
      <c r="S9" s="32">
        <f t="shared" si="10"/>
        <v>0.83333333333333326</v>
      </c>
      <c r="T9" s="32">
        <f t="shared" si="11"/>
        <v>0.16666666666666666</v>
      </c>
      <c r="U9">
        <f>step3_validation[[#This Row],[AI_TRU1]]</f>
        <v>7</v>
      </c>
      <c r="V9">
        <f t="shared" si="12"/>
        <v>0.66666666666666663</v>
      </c>
      <c r="W9">
        <f>[1]!survey_responses[[#This Row],[Tôi tin rằng Nhà nước, cơ quan thuế sẽ thực thi chính sách mới một cách khách quan, công tâm và đối xử bình đẳng với mọi người nộp thuế.  - HUMAN-TRU1]]</f>
        <v>6</v>
      </c>
      <c r="X9">
        <f t="shared" si="13"/>
        <v>0.55555555555555558</v>
      </c>
      <c r="Y9">
        <f>step3_validation[[#This Row],[AI_TRU2]]</f>
        <v>6</v>
      </c>
      <c r="Z9">
        <f t="shared" si="14"/>
        <v>0.55555555555555558</v>
      </c>
      <c r="AA9">
        <f>[1]!survey_responses[[#This Row],[Tôi thấy mức thuế tôi phải đóng theo phương án mới là công bằng (người thu nhập như tôi đóng mức này là hợp lý). - HUMAN-TRU2]]</f>
        <v>2</v>
      </c>
      <c r="AB9">
        <f t="shared" si="15"/>
        <v>0.1111111111111111</v>
      </c>
      <c r="AC9">
        <f>step3_validation[[#This Row],[AI_TRU3]]</f>
        <v>7</v>
      </c>
      <c r="AD9">
        <f t="shared" si="16"/>
        <v>0.66666666666666663</v>
      </c>
      <c r="AE9">
        <f>[1]!survey_responses[[#This Row],[Tôi tin tưởng số tiền thuế tôi đóng sẽ được Nhà nước sử dụng hiệu quả để cải thiện dịch vụ công (y tế, đường xá...). - HUMAN-TRU3]]</f>
        <v>7</v>
      </c>
      <c r="AF9">
        <f t="shared" si="17"/>
        <v>0.66666666666666663</v>
      </c>
      <c r="AG9">
        <f>step3_validation[[#This Row],[AI_TRU4]]</f>
        <v>6</v>
      </c>
      <c r="AH9">
        <f t="shared" si="18"/>
        <v>0.55555555555555558</v>
      </c>
      <c r="AI9">
        <f>[1]!survey_responses[[#This Row],[Tôi thấy Nhà nước đã giải thích rõ ràng, minh bạch về lý do và mục tiêu của việc sửa đổi thuế lần này. - HUMAN-TRU4]]</f>
        <v>3</v>
      </c>
      <c r="AJ9">
        <f t="shared" si="19"/>
        <v>0.22222222222222221</v>
      </c>
      <c r="AK9" s="32">
        <f t="shared" si="20"/>
        <v>0.61111111111111116</v>
      </c>
      <c r="AL9" s="32">
        <f t="shared" si="21"/>
        <v>0.38888888888888895</v>
      </c>
      <c r="AM9" s="7">
        <f t="shared" si="22"/>
        <v>0.72222222222222221</v>
      </c>
      <c r="AN9" s="7">
        <f t="shared" si="23"/>
        <v>0.1851851851851852</v>
      </c>
      <c r="AO9">
        <f>step3_validation[[#This Row],[AI_OUT1]]</f>
        <v>7</v>
      </c>
      <c r="AP9">
        <f t="shared" si="24"/>
        <v>0.66666666666666663</v>
      </c>
      <c r="AQ9">
        <f>[1]!survey_responses[[#This Row],[Sau khi xem xét các quyền lợi và nghĩa vụ, bạn có ủng hộ và tuân thủ chính sách mới hiện nay? - HUMAN-OUT1]]</f>
        <v>3</v>
      </c>
      <c r="AR9">
        <f t="shared" si="25"/>
        <v>0.22222222222222221</v>
      </c>
      <c r="AS9" s="32">
        <f t="shared" si="26"/>
        <v>4</v>
      </c>
    </row>
    <row r="10" spans="1:45" x14ac:dyDescent="0.45">
      <c r="A10">
        <f>step3_validation[[#This Row],[AI_ENF1]]</f>
        <v>7</v>
      </c>
      <c r="B10">
        <f t="shared" si="0"/>
        <v>0.66666666666666663</v>
      </c>
      <c r="C10">
        <f>[1]!survey_responses[[#This Row],[Tôi tin rằng với các quy định quản lý thuế hiện nay, hành vi gian lận hoặc trốn thuế sẽ dễ dàng bị phát hiện và xử lý nghiêm. - HUMAN-ENF1]]</f>
        <v>10</v>
      </c>
      <c r="D10">
        <f t="shared" si="1"/>
        <v>1</v>
      </c>
      <c r="E10">
        <f>step3_validation[[#This Row],[AI_ENF2]]</f>
        <v>6</v>
      </c>
      <c r="F10">
        <f t="shared" si="2"/>
        <v>0.55555555555555558</v>
      </c>
      <c r="G10">
        <f>[1]!survey_responses[[#This Row],[Tôi tin rằng Nhà nước, cơ quan thuế có đủ khả năng và công nghệ để phát hiện, xử lý nghiêm các hành vi trốn thuế. - HUMAN-ENF2]]</f>
        <v>10</v>
      </c>
      <c r="H10">
        <f t="shared" si="3"/>
        <v>1</v>
      </c>
      <c r="I10" s="32">
        <f t="shared" si="4"/>
        <v>0.61111111111111116</v>
      </c>
      <c r="J10" s="32">
        <f t="shared" si="5"/>
        <v>1</v>
      </c>
      <c r="K10">
        <f>step3_validation[[#This Row],[AI_FAC1]]</f>
        <v>8</v>
      </c>
      <c r="L10">
        <f t="shared" si="6"/>
        <v>0.77777777777777779</v>
      </c>
      <c r="M10">
        <f>[1]!survey_responses[[#This Row],[Các thủ tục khai báo thuế VÀ/HOẶC quy trình làm việc với cơ quan thuế đơn giản, tiện lợi, nhanh chóng hơn so với trước đây. - HUMAN-FAC1]]</f>
        <v>8</v>
      </c>
      <c r="N10">
        <f t="shared" si="7"/>
        <v>0.77777777777777779</v>
      </c>
      <c r="O10">
        <f>step3_validation[[#This Row],[AI_FAC2]]</f>
        <v>7</v>
      </c>
      <c r="P10">
        <f t="shared" si="8"/>
        <v>0.66666666666666663</v>
      </c>
      <c r="Q10">
        <f>[1]!survey_responses[[#This Row],[So với trước đây, tôi thấy cách tính thuế và các bậc thuế trong phương án mới đơn giản, dễ hiểu và dễ thực hiện hơn. - HUMAN-FAC2]]</f>
        <v>7</v>
      </c>
      <c r="R10">
        <f t="shared" si="9"/>
        <v>0.66666666666666663</v>
      </c>
      <c r="S10" s="32">
        <f t="shared" si="10"/>
        <v>0.72222222222222221</v>
      </c>
      <c r="T10" s="32">
        <f t="shared" si="11"/>
        <v>0.72222222222222221</v>
      </c>
      <c r="U10">
        <f>step3_validation[[#This Row],[AI_TRU1]]</f>
        <v>8</v>
      </c>
      <c r="V10">
        <f t="shared" si="12"/>
        <v>0.77777777777777779</v>
      </c>
      <c r="W10">
        <f>[1]!survey_responses[[#This Row],[Tôi tin rằng Nhà nước, cơ quan thuế sẽ thực thi chính sách mới một cách khách quan, công tâm và đối xử bình đẳng với mọi người nộp thuế.  - HUMAN-TRU1]]</f>
        <v>7</v>
      </c>
      <c r="X10">
        <f t="shared" si="13"/>
        <v>0.66666666666666663</v>
      </c>
      <c r="Y10">
        <f>step3_validation[[#This Row],[AI_TRU2]]</f>
        <v>6</v>
      </c>
      <c r="Z10">
        <f t="shared" si="14"/>
        <v>0.55555555555555558</v>
      </c>
      <c r="AA10">
        <f>[1]!survey_responses[[#This Row],[Tôi thấy mức thuế tôi phải đóng theo phương án mới là công bằng (người thu nhập như tôi đóng mức này là hợp lý). - HUMAN-TRU2]]</f>
        <v>5</v>
      </c>
      <c r="AB10">
        <f t="shared" si="15"/>
        <v>0.44444444444444442</v>
      </c>
      <c r="AC10">
        <f>step3_validation[[#This Row],[AI_TRU3]]</f>
        <v>7</v>
      </c>
      <c r="AD10">
        <f t="shared" si="16"/>
        <v>0.66666666666666663</v>
      </c>
      <c r="AE10">
        <f>[1]!survey_responses[[#This Row],[Tôi tin tưởng số tiền thuế tôi đóng sẽ được Nhà nước sử dụng hiệu quả để cải thiện dịch vụ công (y tế, đường xá...). - HUMAN-TRU3]]</f>
        <v>5</v>
      </c>
      <c r="AF10">
        <f t="shared" si="17"/>
        <v>0.44444444444444442</v>
      </c>
      <c r="AG10">
        <f>step3_validation[[#This Row],[AI_TRU4]]</f>
        <v>5</v>
      </c>
      <c r="AH10">
        <f t="shared" si="18"/>
        <v>0.44444444444444442</v>
      </c>
      <c r="AI10">
        <f>[1]!survey_responses[[#This Row],[Tôi thấy Nhà nước đã giải thích rõ ràng, minh bạch về lý do và mục tiêu của việc sửa đổi thuế lần này. - HUMAN-TRU4]]</f>
        <v>9</v>
      </c>
      <c r="AJ10">
        <f t="shared" si="19"/>
        <v>0.88888888888888884</v>
      </c>
      <c r="AK10" s="32">
        <f t="shared" si="20"/>
        <v>0.61111111111111116</v>
      </c>
      <c r="AL10" s="32">
        <f t="shared" si="21"/>
        <v>0.61111111111111116</v>
      </c>
      <c r="AM10" s="7">
        <f t="shared" si="22"/>
        <v>0.64814814814814825</v>
      </c>
      <c r="AN10" s="7">
        <f t="shared" si="23"/>
        <v>0.77777777777777779</v>
      </c>
      <c r="AO10">
        <f>step3_validation[[#This Row],[AI_OUT1]]</f>
        <v>7</v>
      </c>
      <c r="AP10">
        <f t="shared" si="24"/>
        <v>0.66666666666666663</v>
      </c>
      <c r="AQ10">
        <f>[1]!survey_responses[[#This Row],[Sau khi xem xét các quyền lợi và nghĩa vụ, bạn có ủng hộ và tuân thủ chính sách mới hiện nay? - HUMAN-OUT1]]</f>
        <v>8</v>
      </c>
      <c r="AR10">
        <f t="shared" si="25"/>
        <v>0.77777777777777779</v>
      </c>
      <c r="AS10" s="32">
        <f t="shared" si="26"/>
        <v>1</v>
      </c>
    </row>
    <row r="11" spans="1:45" x14ac:dyDescent="0.45">
      <c r="A11">
        <f>step3_validation[[#This Row],[AI_ENF1]]</f>
        <v>7</v>
      </c>
      <c r="B11">
        <f t="shared" si="0"/>
        <v>0.66666666666666663</v>
      </c>
      <c r="C11">
        <f>[1]!survey_responses[[#This Row],[Tôi tin rằng với các quy định quản lý thuế hiện nay, hành vi gian lận hoặc trốn thuế sẽ dễ dàng bị phát hiện và xử lý nghiêm. - HUMAN-ENF1]]</f>
        <v>7</v>
      </c>
      <c r="D11">
        <f t="shared" si="1"/>
        <v>0.66666666666666663</v>
      </c>
      <c r="E11">
        <f>step3_validation[[#This Row],[AI_ENF2]]</f>
        <v>8</v>
      </c>
      <c r="F11">
        <f t="shared" si="2"/>
        <v>0.77777777777777779</v>
      </c>
      <c r="G11">
        <f>[1]!survey_responses[[#This Row],[Tôi tin rằng Nhà nước, cơ quan thuế có đủ khả năng và công nghệ để phát hiện, xử lý nghiêm các hành vi trốn thuế. - HUMAN-ENF2]]</f>
        <v>10</v>
      </c>
      <c r="H11">
        <f t="shared" si="3"/>
        <v>1</v>
      </c>
      <c r="I11" s="32">
        <f t="shared" si="4"/>
        <v>0.72222222222222221</v>
      </c>
      <c r="J11" s="32">
        <f t="shared" si="5"/>
        <v>0.83333333333333326</v>
      </c>
      <c r="K11">
        <f>step3_validation[[#This Row],[AI_FAC1]]</f>
        <v>9</v>
      </c>
      <c r="L11">
        <f t="shared" si="6"/>
        <v>0.88888888888888884</v>
      </c>
      <c r="M11">
        <f>[1]!survey_responses[[#This Row],[Các thủ tục khai báo thuế VÀ/HOẶC quy trình làm việc với cơ quan thuế đơn giản, tiện lợi, nhanh chóng hơn so với trước đây. - HUMAN-FAC1]]</f>
        <v>1</v>
      </c>
      <c r="N11">
        <f t="shared" si="7"/>
        <v>0</v>
      </c>
      <c r="O11">
        <f>step3_validation[[#This Row],[AI_FAC2]]</f>
        <v>8</v>
      </c>
      <c r="P11">
        <f t="shared" si="8"/>
        <v>0.77777777777777779</v>
      </c>
      <c r="Q11">
        <f>[1]!survey_responses[[#This Row],[So với trước đây, tôi thấy cách tính thuế và các bậc thuế trong phương án mới đơn giản, dễ hiểu và dễ thực hiện hơn. - HUMAN-FAC2]]</f>
        <v>5</v>
      </c>
      <c r="R11">
        <f t="shared" si="9"/>
        <v>0.44444444444444442</v>
      </c>
      <c r="S11" s="32">
        <f t="shared" si="10"/>
        <v>0.83333333333333326</v>
      </c>
      <c r="T11" s="32">
        <f t="shared" si="11"/>
        <v>0.22222222222222221</v>
      </c>
      <c r="U11">
        <f>step3_validation[[#This Row],[AI_TRU1]]</f>
        <v>7</v>
      </c>
      <c r="V11">
        <f t="shared" si="12"/>
        <v>0.66666666666666663</v>
      </c>
      <c r="W11">
        <f>[1]!survey_responses[[#This Row],[Tôi tin rằng Nhà nước, cơ quan thuế sẽ thực thi chính sách mới một cách khách quan, công tâm và đối xử bình đẳng với mọi người nộp thuế.  - HUMAN-TRU1]]</f>
        <v>8</v>
      </c>
      <c r="X11">
        <f t="shared" si="13"/>
        <v>0.77777777777777779</v>
      </c>
      <c r="Y11">
        <f>step3_validation[[#This Row],[AI_TRU2]]</f>
        <v>6</v>
      </c>
      <c r="Z11">
        <f t="shared" si="14"/>
        <v>0.55555555555555558</v>
      </c>
      <c r="AA11">
        <f>[1]!survey_responses[[#This Row],[Tôi thấy mức thuế tôi phải đóng theo phương án mới là công bằng (người thu nhập như tôi đóng mức này là hợp lý). - HUMAN-TRU2]]</f>
        <v>5</v>
      </c>
      <c r="AB11">
        <f t="shared" si="15"/>
        <v>0.44444444444444442</v>
      </c>
      <c r="AC11">
        <f>step3_validation[[#This Row],[AI_TRU3]]</f>
        <v>5</v>
      </c>
      <c r="AD11">
        <f t="shared" si="16"/>
        <v>0.44444444444444442</v>
      </c>
      <c r="AE11">
        <f>[1]!survey_responses[[#This Row],[Tôi tin tưởng số tiền thuế tôi đóng sẽ được Nhà nước sử dụng hiệu quả để cải thiện dịch vụ công (y tế, đường xá...). - HUMAN-TRU3]]</f>
        <v>5</v>
      </c>
      <c r="AF11">
        <f t="shared" si="17"/>
        <v>0.44444444444444442</v>
      </c>
      <c r="AG11">
        <f>step3_validation[[#This Row],[AI_TRU4]]</f>
        <v>5</v>
      </c>
      <c r="AH11">
        <f t="shared" si="18"/>
        <v>0.44444444444444442</v>
      </c>
      <c r="AI11">
        <f>[1]!survey_responses[[#This Row],[Tôi thấy Nhà nước đã giải thích rõ ràng, minh bạch về lý do và mục tiêu của việc sửa đổi thuế lần này. - HUMAN-TRU4]]</f>
        <v>5</v>
      </c>
      <c r="AJ11">
        <f t="shared" si="19"/>
        <v>0.44444444444444442</v>
      </c>
      <c r="AK11" s="32">
        <f t="shared" si="20"/>
        <v>0.52777777777777779</v>
      </c>
      <c r="AL11" s="32">
        <f t="shared" si="21"/>
        <v>0.52777777777777779</v>
      </c>
      <c r="AM11" s="7">
        <f t="shared" si="22"/>
        <v>0.69444444444444431</v>
      </c>
      <c r="AN11" s="7">
        <f t="shared" si="23"/>
        <v>0.52777777777777768</v>
      </c>
      <c r="AO11">
        <f>step3_validation[[#This Row],[AI_OUT1]]</f>
        <v>6</v>
      </c>
      <c r="AP11">
        <f t="shared" si="24"/>
        <v>0.55555555555555558</v>
      </c>
      <c r="AQ11">
        <f>[1]!survey_responses[[#This Row],[Sau khi xem xét các quyền lợi và nghĩa vụ, bạn có ủng hộ và tuân thủ chính sách mới hiện nay? - HUMAN-OUT1]]</f>
        <v>10</v>
      </c>
      <c r="AR11">
        <f t="shared" si="25"/>
        <v>1</v>
      </c>
      <c r="AS11" s="32">
        <f t="shared" si="26"/>
        <v>4</v>
      </c>
    </row>
    <row r="12" spans="1:45" x14ac:dyDescent="0.45">
      <c r="A12">
        <f>step3_validation[[#This Row],[AI_ENF1]]</f>
        <v>7</v>
      </c>
      <c r="B12">
        <f t="shared" si="0"/>
        <v>0.66666666666666663</v>
      </c>
      <c r="C12">
        <f>[1]!survey_responses[[#This Row],[Tôi tin rằng với các quy định quản lý thuế hiện nay, hành vi gian lận hoặc trốn thuế sẽ dễ dàng bị phát hiện và xử lý nghiêm. - HUMAN-ENF1]]</f>
        <v>10</v>
      </c>
      <c r="D12">
        <f t="shared" si="1"/>
        <v>1</v>
      </c>
      <c r="E12">
        <f>step3_validation[[#This Row],[AI_ENF2]]</f>
        <v>8</v>
      </c>
      <c r="F12">
        <f t="shared" si="2"/>
        <v>0.77777777777777779</v>
      </c>
      <c r="G12">
        <f>[1]!survey_responses[[#This Row],[Tôi tin rằng Nhà nước, cơ quan thuế có đủ khả năng và công nghệ để phát hiện, xử lý nghiêm các hành vi trốn thuế. - HUMAN-ENF2]]</f>
        <v>3</v>
      </c>
      <c r="H12">
        <f t="shared" si="3"/>
        <v>0.22222222222222221</v>
      </c>
      <c r="I12" s="32">
        <f t="shared" si="4"/>
        <v>0.72222222222222221</v>
      </c>
      <c r="J12" s="32">
        <f t="shared" si="5"/>
        <v>0.61111111111111116</v>
      </c>
      <c r="K12">
        <f>step3_validation[[#This Row],[AI_FAC1]]</f>
        <v>6</v>
      </c>
      <c r="L12">
        <f t="shared" si="6"/>
        <v>0.55555555555555558</v>
      </c>
      <c r="M12">
        <f>[1]!survey_responses[[#This Row],[Các thủ tục khai báo thuế VÀ/HOẶC quy trình làm việc với cơ quan thuế đơn giản, tiện lợi, nhanh chóng hơn so với trước đây. - HUMAN-FAC1]]</f>
        <v>1</v>
      </c>
      <c r="N12">
        <f t="shared" si="7"/>
        <v>0</v>
      </c>
      <c r="O12">
        <f>step3_validation[[#This Row],[AI_FAC2]]</f>
        <v>7</v>
      </c>
      <c r="P12">
        <f t="shared" si="8"/>
        <v>0.66666666666666663</v>
      </c>
      <c r="Q12">
        <f>[1]!survey_responses[[#This Row],[So với trước đây, tôi thấy cách tính thuế và các bậc thuế trong phương án mới đơn giản, dễ hiểu và dễ thực hiện hơn. - HUMAN-FAC2]]</f>
        <v>7</v>
      </c>
      <c r="R12">
        <f t="shared" si="9"/>
        <v>0.66666666666666663</v>
      </c>
      <c r="S12" s="32">
        <f t="shared" si="10"/>
        <v>0.61111111111111116</v>
      </c>
      <c r="T12" s="32">
        <f t="shared" si="11"/>
        <v>0.33333333333333331</v>
      </c>
      <c r="U12">
        <f>step3_validation[[#This Row],[AI_TRU1]]</f>
        <v>8</v>
      </c>
      <c r="V12">
        <f t="shared" si="12"/>
        <v>0.77777777777777779</v>
      </c>
      <c r="W12">
        <f>[1]!survey_responses[[#This Row],[Tôi tin rằng Nhà nước, cơ quan thuế sẽ thực thi chính sách mới một cách khách quan, công tâm và đối xử bình đẳng với mọi người nộp thuế.  - HUMAN-TRU1]]</f>
        <v>1</v>
      </c>
      <c r="X12">
        <f t="shared" si="13"/>
        <v>0</v>
      </c>
      <c r="Y12">
        <f>step3_validation[[#This Row],[AI_TRU2]]</f>
        <v>7</v>
      </c>
      <c r="Z12">
        <f t="shared" si="14"/>
        <v>0.66666666666666663</v>
      </c>
      <c r="AA12">
        <f>[1]!survey_responses[[#This Row],[Tôi thấy mức thuế tôi phải đóng theo phương án mới là công bằng (người thu nhập như tôi đóng mức này là hợp lý). - HUMAN-TRU2]]</f>
        <v>5</v>
      </c>
      <c r="AB12">
        <f t="shared" si="15"/>
        <v>0.44444444444444442</v>
      </c>
      <c r="AC12">
        <f>step3_validation[[#This Row],[AI_TRU3]]</f>
        <v>8</v>
      </c>
      <c r="AD12">
        <f t="shared" si="16"/>
        <v>0.77777777777777779</v>
      </c>
      <c r="AE12">
        <f>[1]!survey_responses[[#This Row],[Tôi tin tưởng số tiền thuế tôi đóng sẽ được Nhà nước sử dụng hiệu quả để cải thiện dịch vụ công (y tế, đường xá...). - HUMAN-TRU3]]</f>
        <v>1</v>
      </c>
      <c r="AF12">
        <f t="shared" si="17"/>
        <v>0</v>
      </c>
      <c r="AG12">
        <f>step3_validation[[#This Row],[AI_TRU4]]</f>
        <v>6</v>
      </c>
      <c r="AH12">
        <f t="shared" si="18"/>
        <v>0.55555555555555558</v>
      </c>
      <c r="AI12">
        <f>[1]!survey_responses[[#This Row],[Tôi thấy Nhà nước đã giải thích rõ ràng, minh bạch về lý do và mục tiêu của việc sửa đổi thuế lần này. - HUMAN-TRU4]]</f>
        <v>8</v>
      </c>
      <c r="AJ12">
        <f t="shared" si="19"/>
        <v>0.77777777777777779</v>
      </c>
      <c r="AK12" s="32">
        <f t="shared" si="20"/>
        <v>0.69444444444444442</v>
      </c>
      <c r="AL12" s="32">
        <f t="shared" si="21"/>
        <v>0.30555555555555558</v>
      </c>
      <c r="AM12" s="7">
        <f t="shared" si="22"/>
        <v>0.67592592592592593</v>
      </c>
      <c r="AN12" s="7">
        <f t="shared" si="23"/>
        <v>0.41666666666666669</v>
      </c>
      <c r="AO12">
        <f>step3_validation[[#This Row],[AI_OUT1]]</f>
        <v>7</v>
      </c>
      <c r="AP12">
        <f t="shared" si="24"/>
        <v>0.66666666666666663</v>
      </c>
      <c r="AQ12">
        <f>[1]!survey_responses[[#This Row],[Sau khi xem xét các quyền lợi và nghĩa vụ, bạn có ủng hộ và tuân thủ chính sách mới hiện nay? - HUMAN-OUT1]]</f>
        <v>6</v>
      </c>
      <c r="AR12">
        <f t="shared" si="25"/>
        <v>0.55555555555555558</v>
      </c>
      <c r="AS12" s="32">
        <f t="shared" si="26"/>
        <v>1</v>
      </c>
    </row>
    <row r="13" spans="1:45" x14ac:dyDescent="0.45">
      <c r="A13">
        <f>step3_validation[[#This Row],[AI_ENF1]]</f>
        <v>7</v>
      </c>
      <c r="B13">
        <f t="shared" si="0"/>
        <v>0.66666666666666663</v>
      </c>
      <c r="C13">
        <f>[1]!survey_responses[[#This Row],[Tôi tin rằng với các quy định quản lý thuế hiện nay, hành vi gian lận hoặc trốn thuế sẽ dễ dàng bị phát hiện và xử lý nghiêm. - HUMAN-ENF1]]</f>
        <v>5</v>
      </c>
      <c r="D13">
        <f t="shared" si="1"/>
        <v>0.44444444444444442</v>
      </c>
      <c r="E13">
        <f>step3_validation[[#This Row],[AI_ENF2]]</f>
        <v>8</v>
      </c>
      <c r="F13">
        <f t="shared" si="2"/>
        <v>0.77777777777777779</v>
      </c>
      <c r="G13">
        <f>[1]!survey_responses[[#This Row],[Tôi tin rằng Nhà nước, cơ quan thuế có đủ khả năng và công nghệ để phát hiện, xử lý nghiêm các hành vi trốn thuế. - HUMAN-ENF2]]</f>
        <v>8</v>
      </c>
      <c r="H13">
        <f t="shared" si="3"/>
        <v>0.77777777777777779</v>
      </c>
      <c r="I13" s="32">
        <f t="shared" si="4"/>
        <v>0.72222222222222221</v>
      </c>
      <c r="J13" s="32">
        <f t="shared" si="5"/>
        <v>0.61111111111111116</v>
      </c>
      <c r="K13">
        <f>step3_validation[[#This Row],[AI_FAC1]]</f>
        <v>6</v>
      </c>
      <c r="L13">
        <f t="shared" si="6"/>
        <v>0.55555555555555558</v>
      </c>
      <c r="M13">
        <f>[1]!survey_responses[[#This Row],[Các thủ tục khai báo thuế VÀ/HOẶC quy trình làm việc với cơ quan thuế đơn giản, tiện lợi, nhanh chóng hơn so với trước đây. - HUMAN-FAC1]]</f>
        <v>5</v>
      </c>
      <c r="N13">
        <f t="shared" si="7"/>
        <v>0.44444444444444442</v>
      </c>
      <c r="O13">
        <f>step3_validation[[#This Row],[AI_FAC2]]</f>
        <v>8</v>
      </c>
      <c r="P13">
        <f t="shared" si="8"/>
        <v>0.77777777777777779</v>
      </c>
      <c r="Q13">
        <f>[1]!survey_responses[[#This Row],[So với trước đây, tôi thấy cách tính thuế và các bậc thuế trong phương án mới đơn giản, dễ hiểu và dễ thực hiện hơn. - HUMAN-FAC2]]</f>
        <v>5</v>
      </c>
      <c r="R13">
        <f t="shared" si="9"/>
        <v>0.44444444444444442</v>
      </c>
      <c r="S13" s="32">
        <f t="shared" si="10"/>
        <v>0.66666666666666674</v>
      </c>
      <c r="T13" s="32">
        <f t="shared" si="11"/>
        <v>0.44444444444444442</v>
      </c>
      <c r="U13">
        <f>step3_validation[[#This Row],[AI_TRU1]]</f>
        <v>7</v>
      </c>
      <c r="V13">
        <f t="shared" si="12"/>
        <v>0.66666666666666663</v>
      </c>
      <c r="W13">
        <f>[1]!survey_responses[[#This Row],[Tôi tin rằng Nhà nước, cơ quan thuế sẽ thực thi chính sách mới một cách khách quan, công tâm và đối xử bình đẳng với mọi người nộp thuế.  - HUMAN-TRU1]]</f>
        <v>6</v>
      </c>
      <c r="X13">
        <f t="shared" si="13"/>
        <v>0.55555555555555558</v>
      </c>
      <c r="Y13">
        <f>step3_validation[[#This Row],[AI_TRU2]]</f>
        <v>8</v>
      </c>
      <c r="Z13">
        <f t="shared" si="14"/>
        <v>0.77777777777777779</v>
      </c>
      <c r="AA13">
        <f>[1]!survey_responses[[#This Row],[Tôi thấy mức thuế tôi phải đóng theo phương án mới là công bằng (người thu nhập như tôi đóng mức này là hợp lý). - HUMAN-TRU2]]</f>
        <v>5</v>
      </c>
      <c r="AB13">
        <f t="shared" si="15"/>
        <v>0.44444444444444442</v>
      </c>
      <c r="AC13">
        <f>step3_validation[[#This Row],[AI_TRU3]]</f>
        <v>6</v>
      </c>
      <c r="AD13">
        <f t="shared" si="16"/>
        <v>0.55555555555555558</v>
      </c>
      <c r="AE13">
        <f>[1]!survey_responses[[#This Row],[Tôi tin tưởng số tiền thuế tôi đóng sẽ được Nhà nước sử dụng hiệu quả để cải thiện dịch vụ công (y tế, đường xá...). - HUMAN-TRU3]]</f>
        <v>5</v>
      </c>
      <c r="AF13">
        <f t="shared" si="17"/>
        <v>0.44444444444444442</v>
      </c>
      <c r="AG13">
        <f>step3_validation[[#This Row],[AI_TRU4]]</f>
        <v>7</v>
      </c>
      <c r="AH13">
        <f t="shared" si="18"/>
        <v>0.66666666666666663</v>
      </c>
      <c r="AI13">
        <f>[1]!survey_responses[[#This Row],[Tôi thấy Nhà nước đã giải thích rõ ràng, minh bạch về lý do và mục tiêu của việc sửa đổi thuế lần này. - HUMAN-TRU4]]</f>
        <v>5</v>
      </c>
      <c r="AJ13">
        <f t="shared" si="19"/>
        <v>0.44444444444444442</v>
      </c>
      <c r="AK13" s="32">
        <f t="shared" si="20"/>
        <v>0.66666666666666663</v>
      </c>
      <c r="AL13" s="32">
        <f t="shared" si="21"/>
        <v>0.47222222222222221</v>
      </c>
      <c r="AM13" s="7">
        <f t="shared" si="22"/>
        <v>0.68518518518518512</v>
      </c>
      <c r="AN13" s="7">
        <f t="shared" si="23"/>
        <v>0.50925925925925919</v>
      </c>
      <c r="AO13">
        <f>step3_validation[[#This Row],[AI_OUT1]]</f>
        <v>8</v>
      </c>
      <c r="AP13">
        <f t="shared" si="24"/>
        <v>0.77777777777777779</v>
      </c>
      <c r="AQ13">
        <f>[1]!survey_responses[[#This Row],[Sau khi xem xét các quyền lợi và nghĩa vụ, bạn có ủng hộ và tuân thủ chính sách mới hiện nay? - HUMAN-OUT1]]</f>
        <v>5</v>
      </c>
      <c r="AR13">
        <f t="shared" si="25"/>
        <v>0.44444444444444442</v>
      </c>
      <c r="AS13" s="32">
        <f t="shared" si="26"/>
        <v>3</v>
      </c>
    </row>
    <row r="14" spans="1:45" x14ac:dyDescent="0.45">
      <c r="A14">
        <f>step3_validation[[#This Row],[AI_ENF1]]</f>
        <v>7</v>
      </c>
      <c r="B14">
        <f t="shared" si="0"/>
        <v>0.66666666666666663</v>
      </c>
      <c r="C14">
        <f>[1]!survey_responses[[#This Row],[Tôi tin rằng với các quy định quản lý thuế hiện nay, hành vi gian lận hoặc trốn thuế sẽ dễ dàng bị phát hiện và xử lý nghiêm. - HUMAN-ENF1]]</f>
        <v>8</v>
      </c>
      <c r="D14">
        <f t="shared" si="1"/>
        <v>0.77777777777777779</v>
      </c>
      <c r="E14">
        <f>step3_validation[[#This Row],[AI_ENF2]]</f>
        <v>6</v>
      </c>
      <c r="F14">
        <f t="shared" si="2"/>
        <v>0.55555555555555558</v>
      </c>
      <c r="G14">
        <f>[1]!survey_responses[[#This Row],[Tôi tin rằng Nhà nước, cơ quan thuế có đủ khả năng và công nghệ để phát hiện, xử lý nghiêm các hành vi trốn thuế. - HUMAN-ENF2]]</f>
        <v>7</v>
      </c>
      <c r="H14">
        <f t="shared" si="3"/>
        <v>0.66666666666666663</v>
      </c>
      <c r="I14" s="32">
        <f t="shared" si="4"/>
        <v>0.61111111111111116</v>
      </c>
      <c r="J14" s="32">
        <f t="shared" si="5"/>
        <v>0.72222222222222221</v>
      </c>
      <c r="K14">
        <f>step3_validation[[#This Row],[AI_FAC1]]</f>
        <v>5</v>
      </c>
      <c r="L14">
        <f t="shared" si="6"/>
        <v>0.44444444444444442</v>
      </c>
      <c r="M14">
        <f>[1]!survey_responses[[#This Row],[Các thủ tục khai báo thuế VÀ/HOẶC quy trình làm việc với cơ quan thuế đơn giản, tiện lợi, nhanh chóng hơn so với trước đây. - HUMAN-FAC1]]</f>
        <v>7</v>
      </c>
      <c r="N14">
        <f t="shared" si="7"/>
        <v>0.66666666666666663</v>
      </c>
      <c r="O14">
        <f>step3_validation[[#This Row],[AI_FAC2]]</f>
        <v>6</v>
      </c>
      <c r="P14">
        <f t="shared" si="8"/>
        <v>0.55555555555555558</v>
      </c>
      <c r="Q14">
        <f>[1]!survey_responses[[#This Row],[So với trước đây, tôi thấy cách tính thuế và các bậc thuế trong phương án mới đơn giản, dễ hiểu và dễ thực hiện hơn. - HUMAN-FAC2]]</f>
        <v>7</v>
      </c>
      <c r="R14">
        <f t="shared" si="9"/>
        <v>0.66666666666666663</v>
      </c>
      <c r="S14" s="32">
        <f t="shared" si="10"/>
        <v>0.5</v>
      </c>
      <c r="T14" s="32">
        <f t="shared" si="11"/>
        <v>0.66666666666666663</v>
      </c>
      <c r="U14">
        <f>step3_validation[[#This Row],[AI_TRU1]]</f>
        <v>8</v>
      </c>
      <c r="V14">
        <f t="shared" si="12"/>
        <v>0.77777777777777779</v>
      </c>
      <c r="W14">
        <f>[1]!survey_responses[[#This Row],[Tôi tin rằng Nhà nước, cơ quan thuế sẽ thực thi chính sách mới một cách khách quan, công tâm và đối xử bình đẳng với mọi người nộp thuế.  - HUMAN-TRU1]]</f>
        <v>7</v>
      </c>
      <c r="X14">
        <f t="shared" si="13"/>
        <v>0.66666666666666663</v>
      </c>
      <c r="Y14">
        <f>step3_validation[[#This Row],[AI_TRU2]]</f>
        <v>7</v>
      </c>
      <c r="Z14">
        <f t="shared" si="14"/>
        <v>0.66666666666666663</v>
      </c>
      <c r="AA14">
        <f>[1]!survey_responses[[#This Row],[Tôi thấy mức thuế tôi phải đóng theo phương án mới là công bằng (người thu nhập như tôi đóng mức này là hợp lý). - HUMAN-TRU2]]</f>
        <v>8</v>
      </c>
      <c r="AB14">
        <f t="shared" si="15"/>
        <v>0.77777777777777779</v>
      </c>
      <c r="AC14">
        <f>step3_validation[[#This Row],[AI_TRU3]]</f>
        <v>8</v>
      </c>
      <c r="AD14">
        <f t="shared" si="16"/>
        <v>0.77777777777777779</v>
      </c>
      <c r="AE14">
        <f>[1]!survey_responses[[#This Row],[Tôi tin tưởng số tiền thuế tôi đóng sẽ được Nhà nước sử dụng hiệu quả để cải thiện dịch vụ công (y tế, đường xá...). - HUMAN-TRU3]]</f>
        <v>7</v>
      </c>
      <c r="AF14">
        <f t="shared" si="17"/>
        <v>0.66666666666666663</v>
      </c>
      <c r="AG14">
        <f>step3_validation[[#This Row],[AI_TRU4]]</f>
        <v>6</v>
      </c>
      <c r="AH14">
        <f t="shared" si="18"/>
        <v>0.55555555555555558</v>
      </c>
      <c r="AI14">
        <f>[1]!survey_responses[[#This Row],[Tôi thấy Nhà nước đã giải thích rõ ràng, minh bạch về lý do và mục tiêu của việc sửa đổi thuế lần này. - HUMAN-TRU4]]</f>
        <v>7</v>
      </c>
      <c r="AJ14">
        <f t="shared" si="19"/>
        <v>0.66666666666666663</v>
      </c>
      <c r="AK14" s="32">
        <f t="shared" si="20"/>
        <v>0.69444444444444442</v>
      </c>
      <c r="AL14" s="32">
        <f t="shared" si="21"/>
        <v>0.69444444444444442</v>
      </c>
      <c r="AM14" s="7">
        <f t="shared" si="22"/>
        <v>0.60185185185185186</v>
      </c>
      <c r="AN14" s="7">
        <f t="shared" si="23"/>
        <v>0.69444444444444431</v>
      </c>
      <c r="AO14">
        <f>step3_validation[[#This Row],[AI_OUT1]]</f>
        <v>8</v>
      </c>
      <c r="AP14">
        <f t="shared" si="24"/>
        <v>0.77777777777777779</v>
      </c>
      <c r="AQ14">
        <f>[1]!survey_responses[[#This Row],[Sau khi xem xét các quyền lợi và nghĩa vụ, bạn có ủng hộ và tuân thủ chính sách mới hiện nay? - HUMAN-OUT1]]</f>
        <v>7</v>
      </c>
      <c r="AR14">
        <f t="shared" si="25"/>
        <v>0.66666666666666663</v>
      </c>
      <c r="AS14" s="32">
        <f t="shared" si="26"/>
        <v>1</v>
      </c>
    </row>
    <row r="15" spans="1:45" x14ac:dyDescent="0.45">
      <c r="A15">
        <f>step3_validation[[#This Row],[AI_ENF1]]</f>
        <v>7</v>
      </c>
      <c r="B15">
        <f t="shared" si="0"/>
        <v>0.66666666666666663</v>
      </c>
      <c r="C15">
        <f>[1]!survey_responses[[#This Row],[Tôi tin rằng với các quy định quản lý thuế hiện nay, hành vi gian lận hoặc trốn thuế sẽ dễ dàng bị phát hiện và xử lý nghiêm. - HUMAN-ENF1]]</f>
        <v>10</v>
      </c>
      <c r="D15">
        <f t="shared" si="1"/>
        <v>1</v>
      </c>
      <c r="E15">
        <f>step3_validation[[#This Row],[AI_ENF2]]</f>
        <v>6</v>
      </c>
      <c r="F15">
        <f t="shared" si="2"/>
        <v>0.55555555555555558</v>
      </c>
      <c r="G15">
        <f>[1]!survey_responses[[#This Row],[Tôi tin rằng Nhà nước, cơ quan thuế có đủ khả năng và công nghệ để phát hiện, xử lý nghiêm các hành vi trốn thuế. - HUMAN-ENF2]]</f>
        <v>10</v>
      </c>
      <c r="H15">
        <f t="shared" si="3"/>
        <v>1</v>
      </c>
      <c r="I15" s="32">
        <f t="shared" si="4"/>
        <v>0.61111111111111116</v>
      </c>
      <c r="J15" s="32">
        <f t="shared" si="5"/>
        <v>1</v>
      </c>
      <c r="K15">
        <f>step3_validation[[#This Row],[AI_FAC1]]</f>
        <v>5</v>
      </c>
      <c r="L15">
        <f t="shared" si="6"/>
        <v>0.44444444444444442</v>
      </c>
      <c r="M15">
        <f>[1]!survey_responses[[#This Row],[Các thủ tục khai báo thuế VÀ/HOẶC quy trình làm việc với cơ quan thuế đơn giản, tiện lợi, nhanh chóng hơn so với trước đây. - HUMAN-FAC1]]</f>
        <v>8</v>
      </c>
      <c r="N15">
        <f t="shared" si="7"/>
        <v>0.77777777777777779</v>
      </c>
      <c r="O15">
        <f>step3_validation[[#This Row],[AI_FAC2]]</f>
        <v>8</v>
      </c>
      <c r="P15">
        <f t="shared" si="8"/>
        <v>0.77777777777777779</v>
      </c>
      <c r="Q15">
        <f>[1]!survey_responses[[#This Row],[So với trước đây, tôi thấy cách tính thuế và các bậc thuế trong phương án mới đơn giản, dễ hiểu và dễ thực hiện hơn. - HUMAN-FAC2]]</f>
        <v>8</v>
      </c>
      <c r="R15">
        <f t="shared" si="9"/>
        <v>0.77777777777777779</v>
      </c>
      <c r="S15" s="32">
        <f t="shared" si="10"/>
        <v>0.61111111111111116</v>
      </c>
      <c r="T15" s="32">
        <f t="shared" si="11"/>
        <v>0.77777777777777779</v>
      </c>
      <c r="U15">
        <f>step3_validation[[#This Row],[AI_TRU1]]</f>
        <v>9</v>
      </c>
      <c r="V15">
        <f t="shared" si="12"/>
        <v>0.88888888888888884</v>
      </c>
      <c r="W15">
        <f>[1]!survey_responses[[#This Row],[Tôi tin rằng Nhà nước, cơ quan thuế sẽ thực thi chính sách mới một cách khách quan, công tâm và đối xử bình đẳng với mọi người nộp thuế.  - HUMAN-TRU1]]</f>
        <v>8</v>
      </c>
      <c r="X15">
        <f t="shared" si="13"/>
        <v>0.77777777777777779</v>
      </c>
      <c r="Y15">
        <f>step3_validation[[#This Row],[AI_TRU2]]</f>
        <v>6</v>
      </c>
      <c r="Z15">
        <f t="shared" si="14"/>
        <v>0.55555555555555558</v>
      </c>
      <c r="AA15">
        <f>[1]!survey_responses[[#This Row],[Tôi thấy mức thuế tôi phải đóng theo phương án mới là công bằng (người thu nhập như tôi đóng mức này là hợp lý). - HUMAN-TRU2]]</f>
        <v>6</v>
      </c>
      <c r="AB15">
        <f t="shared" si="15"/>
        <v>0.55555555555555558</v>
      </c>
      <c r="AC15">
        <f>step3_validation[[#This Row],[AI_TRU3]]</f>
        <v>7</v>
      </c>
      <c r="AD15">
        <f t="shared" si="16"/>
        <v>0.66666666666666663</v>
      </c>
      <c r="AE15">
        <f>[1]!survey_responses[[#This Row],[Tôi tin tưởng số tiền thuế tôi đóng sẽ được Nhà nước sử dụng hiệu quả để cải thiện dịch vụ công (y tế, đường xá...). - HUMAN-TRU3]]</f>
        <v>6</v>
      </c>
      <c r="AF15">
        <f t="shared" si="17"/>
        <v>0.55555555555555558</v>
      </c>
      <c r="AG15">
        <f>step3_validation[[#This Row],[AI_TRU4]]</f>
        <v>5</v>
      </c>
      <c r="AH15">
        <f t="shared" si="18"/>
        <v>0.44444444444444442</v>
      </c>
      <c r="AI15">
        <f>[1]!survey_responses[[#This Row],[Tôi thấy Nhà nước đã giải thích rõ ràng, minh bạch về lý do và mục tiêu của việc sửa đổi thuế lần này. - HUMAN-TRU4]]</f>
        <v>5</v>
      </c>
      <c r="AJ15">
        <f t="shared" si="19"/>
        <v>0.44444444444444442</v>
      </c>
      <c r="AK15" s="32">
        <f t="shared" si="20"/>
        <v>0.63888888888888884</v>
      </c>
      <c r="AL15" s="32">
        <f t="shared" si="21"/>
        <v>0.58333333333333337</v>
      </c>
      <c r="AM15" s="7">
        <f t="shared" si="22"/>
        <v>0.62037037037037035</v>
      </c>
      <c r="AN15" s="7">
        <f t="shared" si="23"/>
        <v>0.78703703703703709</v>
      </c>
      <c r="AO15">
        <f>step3_validation[[#This Row],[AI_OUT1]]</f>
        <v>8</v>
      </c>
      <c r="AP15">
        <f t="shared" si="24"/>
        <v>0.77777777777777779</v>
      </c>
      <c r="AQ15">
        <f>[1]!survey_responses[[#This Row],[Sau khi xem xét các quyền lợi và nghĩa vụ, bạn có ủng hộ và tuân thủ chính sách mới hiện nay? - HUMAN-OUT1]]</f>
        <v>5</v>
      </c>
      <c r="AR15">
        <f t="shared" si="25"/>
        <v>0.44444444444444442</v>
      </c>
      <c r="AS15" s="32">
        <f t="shared" si="26"/>
        <v>3</v>
      </c>
    </row>
    <row r="16" spans="1:45" x14ac:dyDescent="0.45">
      <c r="A16">
        <f>step3_validation[[#This Row],[AI_ENF1]]</f>
        <v>7</v>
      </c>
      <c r="B16">
        <f t="shared" si="0"/>
        <v>0.66666666666666663</v>
      </c>
      <c r="C16">
        <f>[1]!survey_responses[[#This Row],[Tôi tin rằng với các quy định quản lý thuế hiện nay, hành vi gian lận hoặc trốn thuế sẽ dễ dàng bị phát hiện và xử lý nghiêm. - HUMAN-ENF1]]</f>
        <v>7</v>
      </c>
      <c r="D16">
        <f t="shared" si="1"/>
        <v>0.66666666666666663</v>
      </c>
      <c r="E16">
        <f>step3_validation[[#This Row],[AI_ENF2]]</f>
        <v>8</v>
      </c>
      <c r="F16">
        <f t="shared" si="2"/>
        <v>0.77777777777777779</v>
      </c>
      <c r="G16">
        <f>[1]!survey_responses[[#This Row],[Tôi tin rằng Nhà nước, cơ quan thuế có đủ khả năng và công nghệ để phát hiện, xử lý nghiêm các hành vi trốn thuế. - HUMAN-ENF2]]</f>
        <v>9</v>
      </c>
      <c r="H16">
        <f t="shared" si="3"/>
        <v>0.88888888888888884</v>
      </c>
      <c r="I16" s="32">
        <f t="shared" si="4"/>
        <v>0.72222222222222221</v>
      </c>
      <c r="J16" s="32">
        <f t="shared" si="5"/>
        <v>0.77777777777777768</v>
      </c>
      <c r="K16">
        <f>step3_validation[[#This Row],[AI_FAC1]]</f>
        <v>6</v>
      </c>
      <c r="L16">
        <f t="shared" si="6"/>
        <v>0.55555555555555558</v>
      </c>
      <c r="M16">
        <f>[1]!survey_responses[[#This Row],[Các thủ tục khai báo thuế VÀ/HOẶC quy trình làm việc với cơ quan thuế đơn giản, tiện lợi, nhanh chóng hơn so với trước đây. - HUMAN-FAC1]]</f>
        <v>3</v>
      </c>
      <c r="N16">
        <f t="shared" si="7"/>
        <v>0.22222222222222221</v>
      </c>
      <c r="O16">
        <f>step3_validation[[#This Row],[AI_FAC2]]</f>
        <v>7</v>
      </c>
      <c r="P16">
        <f t="shared" si="8"/>
        <v>0.66666666666666663</v>
      </c>
      <c r="Q16">
        <f>[1]!survey_responses[[#This Row],[So với trước đây, tôi thấy cách tính thuế và các bậc thuế trong phương án mới đơn giản, dễ hiểu và dễ thực hiện hơn. - HUMAN-FAC2]]</f>
        <v>6</v>
      </c>
      <c r="R16">
        <f t="shared" si="9"/>
        <v>0.55555555555555558</v>
      </c>
      <c r="S16" s="32">
        <f t="shared" si="10"/>
        <v>0.61111111111111116</v>
      </c>
      <c r="T16" s="32">
        <f t="shared" si="11"/>
        <v>0.3888888888888889</v>
      </c>
      <c r="U16">
        <f>step3_validation[[#This Row],[AI_TRU1]]</f>
        <v>6</v>
      </c>
      <c r="V16">
        <f t="shared" si="12"/>
        <v>0.55555555555555558</v>
      </c>
      <c r="W16">
        <f>[1]!survey_responses[[#This Row],[Tôi tin rằng Nhà nước, cơ quan thuế sẽ thực thi chính sách mới một cách khách quan, công tâm và đối xử bình đẳng với mọi người nộp thuế.  - HUMAN-TRU1]]</f>
        <v>1</v>
      </c>
      <c r="X16">
        <f t="shared" si="13"/>
        <v>0</v>
      </c>
      <c r="Y16">
        <f>step3_validation[[#This Row],[AI_TRU2]]</f>
        <v>5</v>
      </c>
      <c r="Z16">
        <f t="shared" si="14"/>
        <v>0.44444444444444442</v>
      </c>
      <c r="AA16">
        <f>[1]!survey_responses[[#This Row],[Tôi thấy mức thuế tôi phải đóng theo phương án mới là công bằng (người thu nhập như tôi đóng mức này là hợp lý). - HUMAN-TRU2]]</f>
        <v>1</v>
      </c>
      <c r="AB16">
        <f t="shared" si="15"/>
        <v>0</v>
      </c>
      <c r="AC16">
        <f>step3_validation[[#This Row],[AI_TRU3]]</f>
        <v>6</v>
      </c>
      <c r="AD16">
        <f t="shared" si="16"/>
        <v>0.55555555555555558</v>
      </c>
      <c r="AE16">
        <f>[1]!survey_responses[[#This Row],[Tôi tin tưởng số tiền thuế tôi đóng sẽ được Nhà nước sử dụng hiệu quả để cải thiện dịch vụ công (y tế, đường xá...). - HUMAN-TRU3]]</f>
        <v>1</v>
      </c>
      <c r="AF16">
        <f t="shared" si="17"/>
        <v>0</v>
      </c>
      <c r="AG16">
        <f>step3_validation[[#This Row],[AI_TRU4]]</f>
        <v>5</v>
      </c>
      <c r="AH16">
        <f t="shared" si="18"/>
        <v>0.44444444444444442</v>
      </c>
      <c r="AI16">
        <f>[1]!survey_responses[[#This Row],[Tôi thấy Nhà nước đã giải thích rõ ràng, minh bạch về lý do và mục tiêu của việc sửa đổi thuế lần này. - HUMAN-TRU4]]</f>
        <v>1</v>
      </c>
      <c r="AJ16">
        <f t="shared" si="19"/>
        <v>0</v>
      </c>
      <c r="AK16" s="32">
        <f t="shared" si="20"/>
        <v>0.5</v>
      </c>
      <c r="AL16" s="32">
        <f t="shared" si="21"/>
        <v>0</v>
      </c>
      <c r="AM16" s="7">
        <f t="shared" si="22"/>
        <v>0.61111111111111116</v>
      </c>
      <c r="AN16" s="7">
        <f t="shared" si="23"/>
        <v>0.38888888888888884</v>
      </c>
      <c r="AO16">
        <f>step3_validation[[#This Row],[AI_OUT1]]</f>
        <v>8</v>
      </c>
      <c r="AP16">
        <f t="shared" si="24"/>
        <v>0.77777777777777779</v>
      </c>
      <c r="AQ16">
        <f>[1]!survey_responses[[#This Row],[Sau khi xem xét các quyền lợi và nghĩa vụ, bạn có ủng hộ và tuân thủ chính sách mới hiện nay? - HUMAN-OUT1]]</f>
        <v>1</v>
      </c>
      <c r="AR16">
        <f t="shared" si="25"/>
        <v>0</v>
      </c>
      <c r="AS16" s="32">
        <f t="shared" si="26"/>
        <v>7</v>
      </c>
    </row>
    <row r="17" spans="1:45" x14ac:dyDescent="0.45">
      <c r="A17">
        <f>step3_validation[[#This Row],[AI_ENF1]]</f>
        <v>7</v>
      </c>
      <c r="B17">
        <f t="shared" si="0"/>
        <v>0.66666666666666663</v>
      </c>
      <c r="C17">
        <f>[1]!survey_responses[[#This Row],[Tôi tin rằng với các quy định quản lý thuế hiện nay, hành vi gian lận hoặc trốn thuế sẽ dễ dàng bị phát hiện và xử lý nghiêm. - HUMAN-ENF1]]</f>
        <v>8</v>
      </c>
      <c r="D17">
        <f t="shared" si="1"/>
        <v>0.77777777777777779</v>
      </c>
      <c r="E17">
        <f>step3_validation[[#This Row],[AI_ENF2]]</f>
        <v>8</v>
      </c>
      <c r="F17">
        <f t="shared" si="2"/>
        <v>0.77777777777777779</v>
      </c>
      <c r="G17">
        <f>[1]!survey_responses[[#This Row],[Tôi tin rằng Nhà nước, cơ quan thuế có đủ khả năng và công nghệ để phát hiện, xử lý nghiêm các hành vi trốn thuế. - HUMAN-ENF2]]</f>
        <v>8</v>
      </c>
      <c r="H17">
        <f t="shared" si="3"/>
        <v>0.77777777777777779</v>
      </c>
      <c r="I17" s="32">
        <f t="shared" si="4"/>
        <v>0.72222222222222221</v>
      </c>
      <c r="J17" s="32">
        <f t="shared" si="5"/>
        <v>0.77777777777777779</v>
      </c>
      <c r="K17">
        <f>step3_validation[[#This Row],[AI_FAC1]]</f>
        <v>6</v>
      </c>
      <c r="L17">
        <f t="shared" si="6"/>
        <v>0.55555555555555558</v>
      </c>
      <c r="M17">
        <f>[1]!survey_responses[[#This Row],[Các thủ tục khai báo thuế VÀ/HOẶC quy trình làm việc với cơ quan thuế đơn giản, tiện lợi, nhanh chóng hơn so với trước đây. - HUMAN-FAC1]]</f>
        <v>8</v>
      </c>
      <c r="N17">
        <f t="shared" si="7"/>
        <v>0.77777777777777779</v>
      </c>
      <c r="O17">
        <f>step3_validation[[#This Row],[AI_FAC2]]</f>
        <v>8</v>
      </c>
      <c r="P17">
        <f t="shared" si="8"/>
        <v>0.77777777777777779</v>
      </c>
      <c r="Q17">
        <f>[1]!survey_responses[[#This Row],[So với trước đây, tôi thấy cách tính thuế và các bậc thuế trong phương án mới đơn giản, dễ hiểu và dễ thực hiện hơn. - HUMAN-FAC2]]</f>
        <v>9</v>
      </c>
      <c r="R17">
        <f t="shared" si="9"/>
        <v>0.88888888888888884</v>
      </c>
      <c r="S17" s="32">
        <f t="shared" si="10"/>
        <v>0.66666666666666674</v>
      </c>
      <c r="T17" s="32">
        <f t="shared" si="11"/>
        <v>0.83333333333333326</v>
      </c>
      <c r="U17">
        <f>step3_validation[[#This Row],[AI_TRU1]]</f>
        <v>5</v>
      </c>
      <c r="V17">
        <f t="shared" si="12"/>
        <v>0.44444444444444442</v>
      </c>
      <c r="W17">
        <f>[1]!survey_responses[[#This Row],[Tôi tin rằng Nhà nước, cơ quan thuế sẽ thực thi chính sách mới một cách khách quan, công tâm và đối xử bình đẳng với mọi người nộp thuế.  - HUMAN-TRU1]]</f>
        <v>7</v>
      </c>
      <c r="X17">
        <f t="shared" si="13"/>
        <v>0.66666666666666663</v>
      </c>
      <c r="Y17">
        <f>step3_validation[[#This Row],[AI_TRU2]]</f>
        <v>6</v>
      </c>
      <c r="Z17">
        <f t="shared" si="14"/>
        <v>0.55555555555555558</v>
      </c>
      <c r="AA17">
        <f>[1]!survey_responses[[#This Row],[Tôi thấy mức thuế tôi phải đóng theo phương án mới là công bằng (người thu nhập như tôi đóng mức này là hợp lý). - HUMAN-TRU2]]</f>
        <v>7</v>
      </c>
      <c r="AB17">
        <f t="shared" si="15"/>
        <v>0.66666666666666663</v>
      </c>
      <c r="AC17">
        <f>step3_validation[[#This Row],[AI_TRU3]]</f>
        <v>4</v>
      </c>
      <c r="AD17">
        <f t="shared" si="16"/>
        <v>0.33333333333333331</v>
      </c>
      <c r="AE17">
        <f>[1]!survey_responses[[#This Row],[Tôi tin tưởng số tiền thuế tôi đóng sẽ được Nhà nước sử dụng hiệu quả để cải thiện dịch vụ công (y tế, đường xá...). - HUMAN-TRU3]]</f>
        <v>9</v>
      </c>
      <c r="AF17">
        <f t="shared" si="17"/>
        <v>0.88888888888888884</v>
      </c>
      <c r="AG17">
        <f>step3_validation[[#This Row],[AI_TRU4]]</f>
        <v>5</v>
      </c>
      <c r="AH17">
        <f t="shared" si="18"/>
        <v>0.44444444444444442</v>
      </c>
      <c r="AI17">
        <f>[1]!survey_responses[[#This Row],[Tôi thấy Nhà nước đã giải thích rõ ràng, minh bạch về lý do và mục tiêu của việc sửa đổi thuế lần này. - HUMAN-TRU4]]</f>
        <v>8</v>
      </c>
      <c r="AJ17">
        <f t="shared" si="19"/>
        <v>0.77777777777777779</v>
      </c>
      <c r="AK17" s="32">
        <f t="shared" si="20"/>
        <v>0.44444444444444442</v>
      </c>
      <c r="AL17" s="32">
        <f t="shared" si="21"/>
        <v>0.75</v>
      </c>
      <c r="AM17" s="7">
        <f t="shared" si="22"/>
        <v>0.61111111111111105</v>
      </c>
      <c r="AN17" s="7">
        <f t="shared" si="23"/>
        <v>0.78703703703703709</v>
      </c>
      <c r="AO17">
        <f>step3_validation[[#This Row],[AI_OUT1]]</f>
        <v>4</v>
      </c>
      <c r="AP17">
        <f t="shared" si="24"/>
        <v>0.33333333333333331</v>
      </c>
      <c r="AQ17">
        <f>[1]!survey_responses[[#This Row],[Sau khi xem xét các quyền lợi và nghĩa vụ, bạn có ủng hộ và tuân thủ chính sách mới hiện nay? - HUMAN-OUT1]]</f>
        <v>7</v>
      </c>
      <c r="AR17">
        <f t="shared" si="25"/>
        <v>0.66666666666666663</v>
      </c>
      <c r="AS17" s="32">
        <f t="shared" si="26"/>
        <v>3</v>
      </c>
    </row>
    <row r="18" spans="1:45" x14ac:dyDescent="0.45">
      <c r="A18">
        <f>step3_validation[[#This Row],[AI_ENF1]]</f>
        <v>7</v>
      </c>
      <c r="B18">
        <f t="shared" si="0"/>
        <v>0.66666666666666663</v>
      </c>
      <c r="C18">
        <f>[1]!survey_responses[[#This Row],[Tôi tin rằng với các quy định quản lý thuế hiện nay, hành vi gian lận hoặc trốn thuế sẽ dễ dàng bị phát hiện và xử lý nghiêm. - HUMAN-ENF1]]</f>
        <v>6</v>
      </c>
      <c r="D18">
        <f t="shared" si="1"/>
        <v>0.55555555555555558</v>
      </c>
      <c r="E18">
        <f>step3_validation[[#This Row],[AI_ENF2]]</f>
        <v>8</v>
      </c>
      <c r="F18">
        <f t="shared" si="2"/>
        <v>0.77777777777777779</v>
      </c>
      <c r="G18">
        <f>[1]!survey_responses[[#This Row],[Tôi tin rằng Nhà nước, cơ quan thuế có đủ khả năng và công nghệ để phát hiện, xử lý nghiêm các hành vi trốn thuế. - HUMAN-ENF2]]</f>
        <v>7</v>
      </c>
      <c r="H18">
        <f t="shared" si="3"/>
        <v>0.66666666666666663</v>
      </c>
      <c r="I18" s="32">
        <f t="shared" si="4"/>
        <v>0.72222222222222221</v>
      </c>
      <c r="J18" s="32">
        <f t="shared" si="5"/>
        <v>0.61111111111111116</v>
      </c>
      <c r="K18">
        <f>step3_validation[[#This Row],[AI_FAC1]]</f>
        <v>6</v>
      </c>
      <c r="L18">
        <f t="shared" si="6"/>
        <v>0.55555555555555558</v>
      </c>
      <c r="M18">
        <f>[1]!survey_responses[[#This Row],[Các thủ tục khai báo thuế VÀ/HOẶC quy trình làm việc với cơ quan thuế đơn giản, tiện lợi, nhanh chóng hơn so với trước đây. - HUMAN-FAC1]]</f>
        <v>5</v>
      </c>
      <c r="N18">
        <f t="shared" si="7"/>
        <v>0.44444444444444442</v>
      </c>
      <c r="O18">
        <f>step3_validation[[#This Row],[AI_FAC2]]</f>
        <v>7</v>
      </c>
      <c r="P18">
        <f t="shared" si="8"/>
        <v>0.66666666666666663</v>
      </c>
      <c r="Q18">
        <f>[1]!survey_responses[[#This Row],[So với trước đây, tôi thấy cách tính thuế và các bậc thuế trong phương án mới đơn giản, dễ hiểu và dễ thực hiện hơn. - HUMAN-FAC2]]</f>
        <v>5</v>
      </c>
      <c r="R18">
        <f t="shared" si="9"/>
        <v>0.44444444444444442</v>
      </c>
      <c r="S18" s="32">
        <f t="shared" si="10"/>
        <v>0.61111111111111116</v>
      </c>
      <c r="T18" s="32">
        <f t="shared" si="11"/>
        <v>0.44444444444444442</v>
      </c>
      <c r="U18">
        <f>step3_validation[[#This Row],[AI_TRU1]]</f>
        <v>8</v>
      </c>
      <c r="V18">
        <f t="shared" si="12"/>
        <v>0.77777777777777779</v>
      </c>
      <c r="W18">
        <f>[1]!survey_responses[[#This Row],[Tôi tin rằng Nhà nước, cơ quan thuế sẽ thực thi chính sách mới một cách khách quan, công tâm và đối xử bình đẳng với mọi người nộp thuế.  - HUMAN-TRU1]]</f>
        <v>6</v>
      </c>
      <c r="X18">
        <f t="shared" si="13"/>
        <v>0.55555555555555558</v>
      </c>
      <c r="Y18">
        <f>step3_validation[[#This Row],[AI_TRU2]]</f>
        <v>7</v>
      </c>
      <c r="Z18">
        <f t="shared" si="14"/>
        <v>0.66666666666666663</v>
      </c>
      <c r="AA18">
        <f>[1]!survey_responses[[#This Row],[Tôi thấy mức thuế tôi phải đóng theo phương án mới là công bằng (người thu nhập như tôi đóng mức này là hợp lý). - HUMAN-TRU2]]</f>
        <v>7</v>
      </c>
      <c r="AB18">
        <f t="shared" si="15"/>
        <v>0.66666666666666663</v>
      </c>
      <c r="AC18">
        <f>step3_validation[[#This Row],[AI_TRU3]]</f>
        <v>6</v>
      </c>
      <c r="AD18">
        <f t="shared" si="16"/>
        <v>0.55555555555555558</v>
      </c>
      <c r="AE18">
        <f>[1]!survey_responses[[#This Row],[Tôi tin tưởng số tiền thuế tôi đóng sẽ được Nhà nước sử dụng hiệu quả để cải thiện dịch vụ công (y tế, đường xá...). - HUMAN-TRU3]]</f>
        <v>3</v>
      </c>
      <c r="AF18">
        <f t="shared" si="17"/>
        <v>0.22222222222222221</v>
      </c>
      <c r="AG18">
        <f>step3_validation[[#This Row],[AI_TRU4]]</f>
        <v>5</v>
      </c>
      <c r="AH18">
        <f t="shared" si="18"/>
        <v>0.44444444444444442</v>
      </c>
      <c r="AI18">
        <f>[1]!survey_responses[[#This Row],[Tôi thấy Nhà nước đã giải thích rõ ràng, minh bạch về lý do và mục tiêu của việc sửa đổi thuế lần này. - HUMAN-TRU4]]</f>
        <v>4</v>
      </c>
      <c r="AJ18">
        <f t="shared" si="19"/>
        <v>0.33333333333333331</v>
      </c>
      <c r="AK18" s="32">
        <f t="shared" si="20"/>
        <v>0.61111111111111116</v>
      </c>
      <c r="AL18" s="32">
        <f t="shared" si="21"/>
        <v>0.44444444444444448</v>
      </c>
      <c r="AM18" s="7">
        <f t="shared" si="22"/>
        <v>0.64814814814814825</v>
      </c>
      <c r="AN18" s="7">
        <f t="shared" si="23"/>
        <v>0.5</v>
      </c>
      <c r="AO18">
        <f>step3_validation[[#This Row],[AI_OUT1]]</f>
        <v>8</v>
      </c>
      <c r="AP18">
        <f t="shared" si="24"/>
        <v>0.77777777777777779</v>
      </c>
      <c r="AQ18">
        <f>[1]!survey_responses[[#This Row],[Sau khi xem xét các quyền lợi và nghĩa vụ, bạn có ủng hộ và tuân thủ chính sách mới hiện nay? - HUMAN-OUT1]]</f>
        <v>5</v>
      </c>
      <c r="AR18">
        <f t="shared" si="25"/>
        <v>0.44444444444444442</v>
      </c>
      <c r="AS18" s="32">
        <f t="shared" si="26"/>
        <v>3</v>
      </c>
    </row>
    <row r="19" spans="1:45" x14ac:dyDescent="0.45">
      <c r="A19">
        <f>step3_validation[[#This Row],[AI_ENF1]]</f>
        <v>8</v>
      </c>
      <c r="B19">
        <f t="shared" si="0"/>
        <v>0.77777777777777779</v>
      </c>
      <c r="C19">
        <f>[1]!survey_responses[[#This Row],[Tôi tin rằng với các quy định quản lý thuế hiện nay, hành vi gian lận hoặc trốn thuế sẽ dễ dàng bị phát hiện và xử lý nghiêm. - HUMAN-ENF1]]</f>
        <v>6</v>
      </c>
      <c r="D19">
        <f t="shared" si="1"/>
        <v>0.55555555555555558</v>
      </c>
      <c r="E19">
        <f>step3_validation[[#This Row],[AI_ENF2]]</f>
        <v>9</v>
      </c>
      <c r="F19">
        <f t="shared" si="2"/>
        <v>0.88888888888888884</v>
      </c>
      <c r="G19">
        <f>[1]!survey_responses[[#This Row],[Tôi tin rằng Nhà nước, cơ quan thuế có đủ khả năng và công nghệ để phát hiện, xử lý nghiêm các hành vi trốn thuế. - HUMAN-ENF2]]</f>
        <v>8</v>
      </c>
      <c r="H19">
        <f t="shared" si="3"/>
        <v>0.77777777777777779</v>
      </c>
      <c r="I19" s="32">
        <f t="shared" si="4"/>
        <v>0.83333333333333326</v>
      </c>
      <c r="J19" s="32">
        <f t="shared" si="5"/>
        <v>0.66666666666666674</v>
      </c>
      <c r="K19">
        <f>step3_validation[[#This Row],[AI_FAC1]]</f>
        <v>7</v>
      </c>
      <c r="L19">
        <f t="shared" si="6"/>
        <v>0.66666666666666663</v>
      </c>
      <c r="M19">
        <f>[1]!survey_responses[[#This Row],[Các thủ tục khai báo thuế VÀ/HOẶC quy trình làm việc với cơ quan thuế đơn giản, tiện lợi, nhanh chóng hơn so với trước đây. - HUMAN-FAC1]]</f>
        <v>7</v>
      </c>
      <c r="N19">
        <f t="shared" si="7"/>
        <v>0.66666666666666663</v>
      </c>
      <c r="O19">
        <f>step3_validation[[#This Row],[AI_FAC2]]</f>
        <v>8</v>
      </c>
      <c r="P19">
        <f t="shared" si="8"/>
        <v>0.77777777777777779</v>
      </c>
      <c r="Q19">
        <f>[1]!survey_responses[[#This Row],[So với trước đây, tôi thấy cách tính thuế và các bậc thuế trong phương án mới đơn giản, dễ hiểu và dễ thực hiện hơn. - HUMAN-FAC2]]</f>
        <v>8</v>
      </c>
      <c r="R19">
        <f t="shared" si="9"/>
        <v>0.77777777777777779</v>
      </c>
      <c r="S19" s="32">
        <f t="shared" si="10"/>
        <v>0.72222222222222221</v>
      </c>
      <c r="T19" s="32">
        <f t="shared" si="11"/>
        <v>0.72222222222222221</v>
      </c>
      <c r="U19">
        <f>step3_validation[[#This Row],[AI_TRU1]]</f>
        <v>7</v>
      </c>
      <c r="V19">
        <f t="shared" si="12"/>
        <v>0.66666666666666663</v>
      </c>
      <c r="W19">
        <f>[1]!survey_responses[[#This Row],[Tôi tin rằng Nhà nước, cơ quan thuế sẽ thực thi chính sách mới một cách khách quan, công tâm và đối xử bình đẳng với mọi người nộp thuế.  - HUMAN-TRU1]]</f>
        <v>8</v>
      </c>
      <c r="X19">
        <f t="shared" si="13"/>
        <v>0.77777777777777779</v>
      </c>
      <c r="Y19">
        <f>step3_validation[[#This Row],[AI_TRU2]]</f>
        <v>6</v>
      </c>
      <c r="Z19">
        <f t="shared" si="14"/>
        <v>0.55555555555555558</v>
      </c>
      <c r="AA19">
        <f>[1]!survey_responses[[#This Row],[Tôi thấy mức thuế tôi phải đóng theo phương án mới là công bằng (người thu nhập như tôi đóng mức này là hợp lý). - HUMAN-TRU2]]</f>
        <v>7</v>
      </c>
      <c r="AB19">
        <f t="shared" si="15"/>
        <v>0.66666666666666663</v>
      </c>
      <c r="AC19">
        <f>step3_validation[[#This Row],[AI_TRU3]]</f>
        <v>7</v>
      </c>
      <c r="AD19">
        <f t="shared" si="16"/>
        <v>0.66666666666666663</v>
      </c>
      <c r="AE19">
        <f>[1]!survey_responses[[#This Row],[Tôi tin tưởng số tiền thuế tôi đóng sẽ được Nhà nước sử dụng hiệu quả để cải thiện dịch vụ công (y tế, đường xá...). - HUMAN-TRU3]]</f>
        <v>7</v>
      </c>
      <c r="AF19">
        <f t="shared" si="17"/>
        <v>0.66666666666666663</v>
      </c>
      <c r="AG19">
        <f>step3_validation[[#This Row],[AI_TRU4]]</f>
        <v>8</v>
      </c>
      <c r="AH19">
        <f t="shared" si="18"/>
        <v>0.77777777777777779</v>
      </c>
      <c r="AI19">
        <f>[1]!survey_responses[[#This Row],[Tôi thấy Nhà nước đã giải thích rõ ràng, minh bạch về lý do và mục tiêu của việc sửa đổi thuế lần này. - HUMAN-TRU4]]</f>
        <v>6</v>
      </c>
      <c r="AJ19">
        <f t="shared" si="19"/>
        <v>0.55555555555555558</v>
      </c>
      <c r="AK19" s="32">
        <f t="shared" si="20"/>
        <v>0.66666666666666663</v>
      </c>
      <c r="AL19" s="32">
        <f t="shared" si="21"/>
        <v>0.66666666666666674</v>
      </c>
      <c r="AM19" s="7">
        <f t="shared" si="22"/>
        <v>0.74074074074074059</v>
      </c>
      <c r="AN19" s="7">
        <f t="shared" si="23"/>
        <v>0.68518518518518512</v>
      </c>
      <c r="AO19">
        <f>step3_validation[[#This Row],[AI_OUT1]]</f>
        <v>7</v>
      </c>
      <c r="AP19">
        <f t="shared" si="24"/>
        <v>0.66666666666666663</v>
      </c>
      <c r="AQ19">
        <f>[1]!survey_responses[[#This Row],[Sau khi xem xét các quyền lợi và nghĩa vụ, bạn có ủng hộ và tuân thủ chính sách mới hiện nay? - HUMAN-OUT1]]</f>
        <v>8</v>
      </c>
      <c r="AR19">
        <f t="shared" si="25"/>
        <v>0.77777777777777779</v>
      </c>
      <c r="AS19" s="32">
        <f t="shared" si="26"/>
        <v>1</v>
      </c>
    </row>
    <row r="20" spans="1:45" x14ac:dyDescent="0.45">
      <c r="A20">
        <f>step3_validation[[#This Row],[AI_ENF1]]</f>
        <v>8</v>
      </c>
      <c r="B20">
        <f t="shared" si="0"/>
        <v>0.77777777777777779</v>
      </c>
      <c r="C20">
        <f>[1]!survey_responses[[#This Row],[Tôi tin rằng với các quy định quản lý thuế hiện nay, hành vi gian lận hoặc trốn thuế sẽ dễ dàng bị phát hiện và xử lý nghiêm. - HUMAN-ENF1]]</f>
        <v>10</v>
      </c>
      <c r="D20">
        <f t="shared" si="1"/>
        <v>1</v>
      </c>
      <c r="E20">
        <f>step3_validation[[#This Row],[AI_ENF2]]</f>
        <v>9</v>
      </c>
      <c r="F20">
        <f t="shared" si="2"/>
        <v>0.88888888888888884</v>
      </c>
      <c r="G20">
        <f>[1]!survey_responses[[#This Row],[Tôi tin rằng Nhà nước, cơ quan thuế có đủ khả năng và công nghệ để phát hiện, xử lý nghiêm các hành vi trốn thuế. - HUMAN-ENF2]]</f>
        <v>10</v>
      </c>
      <c r="H20">
        <f t="shared" si="3"/>
        <v>1</v>
      </c>
      <c r="I20" s="32">
        <f t="shared" si="4"/>
        <v>0.83333333333333326</v>
      </c>
      <c r="J20" s="32">
        <f t="shared" si="5"/>
        <v>1</v>
      </c>
      <c r="K20">
        <f>step3_validation[[#This Row],[AI_FAC1]]</f>
        <v>7</v>
      </c>
      <c r="L20">
        <f t="shared" si="6"/>
        <v>0.66666666666666663</v>
      </c>
      <c r="M20">
        <f>[1]!survey_responses[[#This Row],[Các thủ tục khai báo thuế VÀ/HOẶC quy trình làm việc với cơ quan thuế đơn giản, tiện lợi, nhanh chóng hơn so với trước đây. - HUMAN-FAC1]]</f>
        <v>5</v>
      </c>
      <c r="N20">
        <f t="shared" si="7"/>
        <v>0.44444444444444442</v>
      </c>
      <c r="O20">
        <f>step3_validation[[#This Row],[AI_FAC2]]</f>
        <v>8</v>
      </c>
      <c r="P20">
        <f t="shared" si="8"/>
        <v>0.77777777777777779</v>
      </c>
      <c r="Q20">
        <f>[1]!survey_responses[[#This Row],[So với trước đây, tôi thấy cách tính thuế và các bậc thuế trong phương án mới đơn giản, dễ hiểu và dễ thực hiện hơn. - HUMAN-FAC2]]</f>
        <v>5</v>
      </c>
      <c r="R20">
        <f t="shared" si="9"/>
        <v>0.44444444444444442</v>
      </c>
      <c r="S20" s="32">
        <f t="shared" si="10"/>
        <v>0.72222222222222221</v>
      </c>
      <c r="T20" s="32">
        <f t="shared" si="11"/>
        <v>0.44444444444444442</v>
      </c>
      <c r="U20">
        <f>step3_validation[[#This Row],[AI_TRU1]]</f>
        <v>6</v>
      </c>
      <c r="V20">
        <f t="shared" si="12"/>
        <v>0.55555555555555558</v>
      </c>
      <c r="W20">
        <f>[1]!survey_responses[[#This Row],[Tôi tin rằng Nhà nước, cơ quan thuế sẽ thực thi chính sách mới một cách khách quan, công tâm và đối xử bình đẳng với mọi người nộp thuế.  - HUMAN-TRU1]]</f>
        <v>5</v>
      </c>
      <c r="X20">
        <f t="shared" si="13"/>
        <v>0.44444444444444442</v>
      </c>
      <c r="Y20">
        <f>step3_validation[[#This Row],[AI_TRU2]]</f>
        <v>7</v>
      </c>
      <c r="Z20">
        <f t="shared" si="14"/>
        <v>0.66666666666666663</v>
      </c>
      <c r="AA20">
        <f>[1]!survey_responses[[#This Row],[Tôi thấy mức thuế tôi phải đóng theo phương án mới là công bằng (người thu nhập như tôi đóng mức này là hợp lý). - HUMAN-TRU2]]</f>
        <v>3</v>
      </c>
      <c r="AB20">
        <f t="shared" si="15"/>
        <v>0.22222222222222221</v>
      </c>
      <c r="AC20">
        <f>step3_validation[[#This Row],[AI_TRU3]]</f>
        <v>5</v>
      </c>
      <c r="AD20">
        <f t="shared" si="16"/>
        <v>0.44444444444444442</v>
      </c>
      <c r="AE20">
        <f>[1]!survey_responses[[#This Row],[Tôi tin tưởng số tiền thuế tôi đóng sẽ được Nhà nước sử dụng hiệu quả để cải thiện dịch vụ công (y tế, đường xá...). - HUMAN-TRU3]]</f>
        <v>2</v>
      </c>
      <c r="AF20">
        <f t="shared" si="17"/>
        <v>0.1111111111111111</v>
      </c>
      <c r="AG20">
        <f>step3_validation[[#This Row],[AI_TRU4]]</f>
        <v>4</v>
      </c>
      <c r="AH20">
        <f t="shared" si="18"/>
        <v>0.33333333333333331</v>
      </c>
      <c r="AI20">
        <f>[1]!survey_responses[[#This Row],[Tôi thấy Nhà nước đã giải thích rõ ràng, minh bạch về lý do và mục tiêu của việc sửa đổi thuế lần này. - HUMAN-TRU4]]</f>
        <v>5</v>
      </c>
      <c r="AJ20">
        <f t="shared" si="19"/>
        <v>0.44444444444444442</v>
      </c>
      <c r="AK20" s="32">
        <f t="shared" si="20"/>
        <v>0.5</v>
      </c>
      <c r="AL20" s="32">
        <f t="shared" si="21"/>
        <v>0.30555555555555552</v>
      </c>
      <c r="AM20" s="7">
        <f t="shared" si="22"/>
        <v>0.68518518518518512</v>
      </c>
      <c r="AN20" s="7">
        <f t="shared" si="23"/>
        <v>0.58333333333333337</v>
      </c>
      <c r="AO20">
        <f>step3_validation[[#This Row],[AI_OUT1]]</f>
        <v>7</v>
      </c>
      <c r="AP20">
        <f t="shared" si="24"/>
        <v>0.66666666666666663</v>
      </c>
      <c r="AQ20">
        <f>[1]!survey_responses[[#This Row],[Sau khi xem xét các quyền lợi và nghĩa vụ, bạn có ủng hộ và tuân thủ chính sách mới hiện nay? - HUMAN-OUT1]]</f>
        <v>8</v>
      </c>
      <c r="AR20">
        <f t="shared" si="25"/>
        <v>0.77777777777777779</v>
      </c>
      <c r="AS20" s="32">
        <f t="shared" si="26"/>
        <v>1</v>
      </c>
    </row>
    <row r="21" spans="1:45" x14ac:dyDescent="0.45">
      <c r="A21">
        <f>step3_validation[[#This Row],[AI_ENF1]]</f>
        <v>7</v>
      </c>
      <c r="B21">
        <f t="shared" si="0"/>
        <v>0.66666666666666663</v>
      </c>
      <c r="C21">
        <f>[1]!survey_responses[[#This Row],[Tôi tin rằng với các quy định quản lý thuế hiện nay, hành vi gian lận hoặc trốn thuế sẽ dễ dàng bị phát hiện và xử lý nghiêm. - HUMAN-ENF1]]</f>
        <v>9</v>
      </c>
      <c r="D21">
        <f t="shared" si="1"/>
        <v>0.88888888888888884</v>
      </c>
      <c r="E21">
        <f>step3_validation[[#This Row],[AI_ENF2]]</f>
        <v>6</v>
      </c>
      <c r="F21">
        <f t="shared" si="2"/>
        <v>0.55555555555555558</v>
      </c>
      <c r="G21">
        <f>[1]!survey_responses[[#This Row],[Tôi tin rằng Nhà nước, cơ quan thuế có đủ khả năng và công nghệ để phát hiện, xử lý nghiêm các hành vi trốn thuế. - HUMAN-ENF2]]</f>
        <v>9</v>
      </c>
      <c r="H21">
        <f t="shared" si="3"/>
        <v>0.88888888888888884</v>
      </c>
      <c r="I21" s="32">
        <f t="shared" si="4"/>
        <v>0.61111111111111116</v>
      </c>
      <c r="J21" s="32">
        <f t="shared" si="5"/>
        <v>0.88888888888888884</v>
      </c>
      <c r="K21">
        <f>step3_validation[[#This Row],[AI_FAC1]]</f>
        <v>8</v>
      </c>
      <c r="L21">
        <f t="shared" si="6"/>
        <v>0.77777777777777779</v>
      </c>
      <c r="M21">
        <f>[1]!survey_responses[[#This Row],[Các thủ tục khai báo thuế VÀ/HOẶC quy trình làm việc với cơ quan thuế đơn giản, tiện lợi, nhanh chóng hơn so với trước đây. - HUMAN-FAC1]]</f>
        <v>7</v>
      </c>
      <c r="N21">
        <f t="shared" si="7"/>
        <v>0.66666666666666663</v>
      </c>
      <c r="O21">
        <f>step3_validation[[#This Row],[AI_FAC2]]</f>
        <v>5</v>
      </c>
      <c r="P21">
        <f t="shared" si="8"/>
        <v>0.44444444444444442</v>
      </c>
      <c r="Q21">
        <f>[1]!survey_responses[[#This Row],[So với trước đây, tôi thấy cách tính thuế và các bậc thuế trong phương án mới đơn giản, dễ hiểu và dễ thực hiện hơn. - HUMAN-FAC2]]</f>
        <v>9</v>
      </c>
      <c r="R21">
        <f t="shared" si="9"/>
        <v>0.88888888888888884</v>
      </c>
      <c r="S21" s="32">
        <f t="shared" si="10"/>
        <v>0.61111111111111116</v>
      </c>
      <c r="T21" s="32">
        <f t="shared" si="11"/>
        <v>0.77777777777777768</v>
      </c>
      <c r="U21">
        <f>step3_validation[[#This Row],[AI_TRU1]]</f>
        <v>7</v>
      </c>
      <c r="V21">
        <f t="shared" si="12"/>
        <v>0.66666666666666663</v>
      </c>
      <c r="W21">
        <f>[1]!survey_responses[[#This Row],[Tôi tin rằng Nhà nước, cơ quan thuế sẽ thực thi chính sách mới một cách khách quan, công tâm và đối xử bình đẳng với mọi người nộp thuế.  - HUMAN-TRU1]]</f>
        <v>7</v>
      </c>
      <c r="X21">
        <f t="shared" si="13"/>
        <v>0.66666666666666663</v>
      </c>
      <c r="Y21">
        <f>step3_validation[[#This Row],[AI_TRU2]]</f>
        <v>6</v>
      </c>
      <c r="Z21">
        <f t="shared" si="14"/>
        <v>0.55555555555555558</v>
      </c>
      <c r="AA21">
        <f>[1]!survey_responses[[#This Row],[Tôi thấy mức thuế tôi phải đóng theo phương án mới là công bằng (người thu nhập như tôi đóng mức này là hợp lý). - HUMAN-TRU2]]</f>
        <v>8</v>
      </c>
      <c r="AB21">
        <f t="shared" si="15"/>
        <v>0.77777777777777779</v>
      </c>
      <c r="AC21">
        <f>step3_validation[[#This Row],[AI_TRU3]]</f>
        <v>7</v>
      </c>
      <c r="AD21">
        <f t="shared" si="16"/>
        <v>0.66666666666666663</v>
      </c>
      <c r="AE21">
        <f>[1]!survey_responses[[#This Row],[Tôi tin tưởng số tiền thuế tôi đóng sẽ được Nhà nước sử dụng hiệu quả để cải thiện dịch vụ công (y tế, đường xá...). - HUMAN-TRU3]]</f>
        <v>5</v>
      </c>
      <c r="AF21">
        <f t="shared" si="17"/>
        <v>0.44444444444444442</v>
      </c>
      <c r="AG21">
        <f>step3_validation[[#This Row],[AI_TRU4]]</f>
        <v>5</v>
      </c>
      <c r="AH21">
        <f t="shared" si="18"/>
        <v>0.44444444444444442</v>
      </c>
      <c r="AI21">
        <f>[1]!survey_responses[[#This Row],[Tôi thấy Nhà nước đã giải thích rõ ràng, minh bạch về lý do và mục tiêu của việc sửa đổi thuế lần này. - HUMAN-TRU4]]</f>
        <v>5</v>
      </c>
      <c r="AJ21">
        <f t="shared" si="19"/>
        <v>0.44444444444444442</v>
      </c>
      <c r="AK21" s="32">
        <f t="shared" si="20"/>
        <v>0.58333333333333326</v>
      </c>
      <c r="AL21" s="32">
        <f t="shared" si="21"/>
        <v>0.58333333333333326</v>
      </c>
      <c r="AM21" s="7">
        <f t="shared" si="22"/>
        <v>0.60185185185185186</v>
      </c>
      <c r="AN21" s="7">
        <f t="shared" si="23"/>
        <v>0.75</v>
      </c>
      <c r="AO21">
        <f>step3_validation[[#This Row],[AI_OUT1]]</f>
        <v>6</v>
      </c>
      <c r="AP21">
        <f t="shared" si="24"/>
        <v>0.55555555555555558</v>
      </c>
      <c r="AQ21">
        <f>[1]!survey_responses[[#This Row],[Sau khi xem xét các quyền lợi và nghĩa vụ, bạn có ủng hộ và tuân thủ chính sách mới hiện nay? - HUMAN-OUT1]]</f>
        <v>6</v>
      </c>
      <c r="AR21">
        <f t="shared" si="25"/>
        <v>0.55555555555555558</v>
      </c>
      <c r="AS21" s="32">
        <f t="shared" si="26"/>
        <v>0</v>
      </c>
    </row>
    <row r="22" spans="1:45" x14ac:dyDescent="0.45">
      <c r="A22">
        <f>step3_validation[[#This Row],[AI_ENF1]]</f>
        <v>7</v>
      </c>
      <c r="B22">
        <f t="shared" si="0"/>
        <v>0.66666666666666663</v>
      </c>
      <c r="C22">
        <f>[1]!survey_responses[[#This Row],[Tôi tin rằng với các quy định quản lý thuế hiện nay, hành vi gian lận hoặc trốn thuế sẽ dễ dàng bị phát hiện và xử lý nghiêm. - HUMAN-ENF1]]</f>
        <v>10</v>
      </c>
      <c r="D22">
        <f t="shared" si="1"/>
        <v>1</v>
      </c>
      <c r="E22">
        <f>step3_validation[[#This Row],[AI_ENF2]]</f>
        <v>6</v>
      </c>
      <c r="F22">
        <f t="shared" si="2"/>
        <v>0.55555555555555558</v>
      </c>
      <c r="G22">
        <f>[1]!survey_responses[[#This Row],[Tôi tin rằng Nhà nước, cơ quan thuế có đủ khả năng và công nghệ để phát hiện, xử lý nghiêm các hành vi trốn thuế. - HUMAN-ENF2]]</f>
        <v>10</v>
      </c>
      <c r="H22">
        <f t="shared" si="3"/>
        <v>1</v>
      </c>
      <c r="I22" s="32">
        <f t="shared" si="4"/>
        <v>0.61111111111111116</v>
      </c>
      <c r="J22" s="32">
        <f t="shared" si="5"/>
        <v>1</v>
      </c>
      <c r="K22">
        <f>step3_validation[[#This Row],[AI_FAC1]]</f>
        <v>8</v>
      </c>
      <c r="L22">
        <f t="shared" si="6"/>
        <v>0.77777777777777779</v>
      </c>
      <c r="M22">
        <f>[1]!survey_responses[[#This Row],[Các thủ tục khai báo thuế VÀ/HOẶC quy trình làm việc với cơ quan thuế đơn giản, tiện lợi, nhanh chóng hơn so với trước đây. - HUMAN-FAC1]]</f>
        <v>8</v>
      </c>
      <c r="N22">
        <f t="shared" si="7"/>
        <v>0.77777777777777779</v>
      </c>
      <c r="O22">
        <f>step3_validation[[#This Row],[AI_FAC2]]</f>
        <v>9</v>
      </c>
      <c r="P22">
        <f t="shared" si="8"/>
        <v>0.88888888888888884</v>
      </c>
      <c r="Q22">
        <f>[1]!survey_responses[[#This Row],[So với trước đây, tôi thấy cách tính thuế và các bậc thuế trong phương án mới đơn giản, dễ hiểu và dễ thực hiện hơn. - HUMAN-FAC2]]</f>
        <v>7</v>
      </c>
      <c r="R22">
        <f t="shared" si="9"/>
        <v>0.66666666666666663</v>
      </c>
      <c r="S22" s="32">
        <f t="shared" si="10"/>
        <v>0.83333333333333326</v>
      </c>
      <c r="T22" s="32">
        <f t="shared" si="11"/>
        <v>0.72222222222222221</v>
      </c>
      <c r="U22">
        <f>step3_validation[[#This Row],[AI_TRU1]]</f>
        <v>8</v>
      </c>
      <c r="V22">
        <f t="shared" si="12"/>
        <v>0.77777777777777779</v>
      </c>
      <c r="W22">
        <f>[1]!survey_responses[[#This Row],[Tôi tin rằng Nhà nước, cơ quan thuế sẽ thực thi chính sách mới một cách khách quan, công tâm và đối xử bình đẳng với mọi người nộp thuế.  - HUMAN-TRU1]]</f>
        <v>7</v>
      </c>
      <c r="X22">
        <f t="shared" si="13"/>
        <v>0.66666666666666663</v>
      </c>
      <c r="Y22">
        <f>step3_validation[[#This Row],[AI_TRU2]]</f>
        <v>7</v>
      </c>
      <c r="Z22">
        <f t="shared" si="14"/>
        <v>0.66666666666666663</v>
      </c>
      <c r="AA22">
        <f>[1]!survey_responses[[#This Row],[Tôi thấy mức thuế tôi phải đóng theo phương án mới là công bằng (người thu nhập như tôi đóng mức này là hợp lý). - HUMAN-TRU2]]</f>
        <v>7</v>
      </c>
      <c r="AB22">
        <f t="shared" si="15"/>
        <v>0.66666666666666663</v>
      </c>
      <c r="AC22">
        <f>step3_validation[[#This Row],[AI_TRU3]]</f>
        <v>6</v>
      </c>
      <c r="AD22">
        <f t="shared" si="16"/>
        <v>0.55555555555555558</v>
      </c>
      <c r="AE22">
        <f>[1]!survey_responses[[#This Row],[Tôi tin tưởng số tiền thuế tôi đóng sẽ được Nhà nước sử dụng hiệu quả để cải thiện dịch vụ công (y tế, đường xá...). - HUMAN-TRU3]]</f>
        <v>2</v>
      </c>
      <c r="AF22">
        <f t="shared" si="17"/>
        <v>0.1111111111111111</v>
      </c>
      <c r="AG22">
        <f>step3_validation[[#This Row],[AI_TRU4]]</f>
        <v>7</v>
      </c>
      <c r="AH22">
        <f t="shared" si="18"/>
        <v>0.66666666666666663</v>
      </c>
      <c r="AI22">
        <f>[1]!survey_responses[[#This Row],[Tôi thấy Nhà nước đã giải thích rõ ràng, minh bạch về lý do và mục tiêu của việc sửa đổi thuế lần này. - HUMAN-TRU4]]</f>
        <v>3</v>
      </c>
      <c r="AJ22">
        <f t="shared" si="19"/>
        <v>0.22222222222222221</v>
      </c>
      <c r="AK22" s="32">
        <f t="shared" si="20"/>
        <v>0.66666666666666663</v>
      </c>
      <c r="AL22" s="32">
        <f t="shared" si="21"/>
        <v>0.41666666666666663</v>
      </c>
      <c r="AM22" s="7">
        <f t="shared" si="22"/>
        <v>0.70370370370370372</v>
      </c>
      <c r="AN22" s="7">
        <f t="shared" si="23"/>
        <v>0.71296296296296291</v>
      </c>
      <c r="AO22">
        <f>step3_validation[[#This Row],[AI_OUT1]]</f>
        <v>8</v>
      </c>
      <c r="AP22">
        <f t="shared" si="24"/>
        <v>0.77777777777777779</v>
      </c>
      <c r="AQ22">
        <f>[1]!survey_responses[[#This Row],[Sau khi xem xét các quyền lợi và nghĩa vụ, bạn có ủng hộ và tuân thủ chính sách mới hiện nay? - HUMAN-OUT1]]</f>
        <v>3</v>
      </c>
      <c r="AR22">
        <f t="shared" si="25"/>
        <v>0.22222222222222221</v>
      </c>
      <c r="AS22" s="32">
        <f t="shared" si="26"/>
        <v>5</v>
      </c>
    </row>
    <row r="23" spans="1:45" x14ac:dyDescent="0.45">
      <c r="A23">
        <f>step3_validation[[#This Row],[AI_ENF1]]</f>
        <v>8</v>
      </c>
      <c r="B23">
        <f t="shared" si="0"/>
        <v>0.77777777777777779</v>
      </c>
      <c r="C23">
        <f>[1]!survey_responses[[#This Row],[Tôi tin rằng với các quy định quản lý thuế hiện nay, hành vi gian lận hoặc trốn thuế sẽ dễ dàng bị phát hiện và xử lý nghiêm. - HUMAN-ENF1]]</f>
        <v>8</v>
      </c>
      <c r="D23">
        <f t="shared" si="1"/>
        <v>0.77777777777777779</v>
      </c>
      <c r="E23">
        <f>step3_validation[[#This Row],[AI_ENF2]]</f>
        <v>7</v>
      </c>
      <c r="F23">
        <f t="shared" si="2"/>
        <v>0.66666666666666663</v>
      </c>
      <c r="G23">
        <f>[1]!survey_responses[[#This Row],[Tôi tin rằng Nhà nước, cơ quan thuế có đủ khả năng và công nghệ để phát hiện, xử lý nghiêm các hành vi trốn thuế. - HUMAN-ENF2]]</f>
        <v>8</v>
      </c>
      <c r="H23">
        <f t="shared" si="3"/>
        <v>0.77777777777777779</v>
      </c>
      <c r="I23" s="32">
        <f t="shared" si="4"/>
        <v>0.72222222222222221</v>
      </c>
      <c r="J23" s="32">
        <f t="shared" si="5"/>
        <v>0.77777777777777779</v>
      </c>
      <c r="K23">
        <f>step3_validation[[#This Row],[AI_FAC1]]</f>
        <v>8</v>
      </c>
      <c r="L23">
        <f t="shared" si="6"/>
        <v>0.77777777777777779</v>
      </c>
      <c r="M23">
        <f>[1]!survey_responses[[#This Row],[Các thủ tục khai báo thuế VÀ/HOẶC quy trình làm việc với cơ quan thuế đơn giản, tiện lợi, nhanh chóng hơn so với trước đây. - HUMAN-FAC1]]</f>
        <v>5</v>
      </c>
      <c r="N23">
        <f t="shared" si="7"/>
        <v>0.44444444444444442</v>
      </c>
      <c r="O23">
        <f>step3_validation[[#This Row],[AI_FAC2]]</f>
        <v>7</v>
      </c>
      <c r="P23">
        <f t="shared" si="8"/>
        <v>0.66666666666666663</v>
      </c>
      <c r="Q23">
        <f>[1]!survey_responses[[#This Row],[So với trước đây, tôi thấy cách tính thuế và các bậc thuế trong phương án mới đơn giản, dễ hiểu và dễ thực hiện hơn. - HUMAN-FAC2]]</f>
        <v>8</v>
      </c>
      <c r="R23">
        <f t="shared" si="9"/>
        <v>0.77777777777777779</v>
      </c>
      <c r="S23" s="32">
        <f t="shared" si="10"/>
        <v>0.72222222222222221</v>
      </c>
      <c r="T23" s="32">
        <f t="shared" si="11"/>
        <v>0.61111111111111116</v>
      </c>
      <c r="U23">
        <f>step3_validation[[#This Row],[AI_TRU1]]</f>
        <v>7</v>
      </c>
      <c r="V23">
        <f t="shared" si="12"/>
        <v>0.66666666666666663</v>
      </c>
      <c r="W23">
        <f>[1]!survey_responses[[#This Row],[Tôi tin rằng Nhà nước, cơ quan thuế sẽ thực thi chính sách mới một cách khách quan, công tâm và đối xử bình đẳng với mọi người nộp thuế.  - HUMAN-TRU1]]</f>
        <v>8</v>
      </c>
      <c r="X23">
        <f t="shared" si="13"/>
        <v>0.77777777777777779</v>
      </c>
      <c r="Y23">
        <f>step3_validation[[#This Row],[AI_TRU2]]</f>
        <v>6</v>
      </c>
      <c r="Z23">
        <f t="shared" si="14"/>
        <v>0.55555555555555558</v>
      </c>
      <c r="AA23">
        <f>[1]!survey_responses[[#This Row],[Tôi thấy mức thuế tôi phải đóng theo phương án mới là công bằng (người thu nhập như tôi đóng mức này là hợp lý). - HUMAN-TRU2]]</f>
        <v>8</v>
      </c>
      <c r="AB23">
        <f t="shared" si="15"/>
        <v>0.77777777777777779</v>
      </c>
      <c r="AC23">
        <f>step3_validation[[#This Row],[AI_TRU3]]</f>
        <v>6</v>
      </c>
      <c r="AD23">
        <f t="shared" si="16"/>
        <v>0.55555555555555558</v>
      </c>
      <c r="AE23">
        <f>[1]!survey_responses[[#This Row],[Tôi tin tưởng số tiền thuế tôi đóng sẽ được Nhà nước sử dụng hiệu quả để cải thiện dịch vụ công (y tế, đường xá...). - HUMAN-TRU3]]</f>
        <v>8</v>
      </c>
      <c r="AF23">
        <f t="shared" si="17"/>
        <v>0.77777777777777779</v>
      </c>
      <c r="AG23">
        <f>step3_validation[[#This Row],[AI_TRU4]]</f>
        <v>7</v>
      </c>
      <c r="AH23">
        <f t="shared" si="18"/>
        <v>0.66666666666666663</v>
      </c>
      <c r="AI23">
        <f>[1]!survey_responses[[#This Row],[Tôi thấy Nhà nước đã giải thích rõ ràng, minh bạch về lý do và mục tiêu của việc sửa đổi thuế lần này. - HUMAN-TRU4]]</f>
        <v>8</v>
      </c>
      <c r="AJ23">
        <f t="shared" si="19"/>
        <v>0.77777777777777779</v>
      </c>
      <c r="AK23" s="32">
        <f t="shared" si="20"/>
        <v>0.61111111111111116</v>
      </c>
      <c r="AL23" s="32">
        <f t="shared" si="21"/>
        <v>0.77777777777777779</v>
      </c>
      <c r="AM23" s="7">
        <f t="shared" si="22"/>
        <v>0.68518518518518512</v>
      </c>
      <c r="AN23" s="7">
        <f t="shared" si="23"/>
        <v>0.72222222222222221</v>
      </c>
      <c r="AO23">
        <f>step3_validation[[#This Row],[AI_OUT1]]</f>
        <v>6</v>
      </c>
      <c r="AP23">
        <f t="shared" si="24"/>
        <v>0.55555555555555558</v>
      </c>
      <c r="AQ23">
        <f>[1]!survey_responses[[#This Row],[Sau khi xem xét các quyền lợi và nghĩa vụ, bạn có ủng hộ và tuân thủ chính sách mới hiện nay? - HUMAN-OUT1]]</f>
        <v>8</v>
      </c>
      <c r="AR23">
        <f t="shared" si="25"/>
        <v>0.77777777777777779</v>
      </c>
      <c r="AS23" s="32">
        <f t="shared" si="26"/>
        <v>2</v>
      </c>
    </row>
    <row r="24" spans="1:45" x14ac:dyDescent="0.45">
      <c r="A24">
        <f>step3_validation[[#This Row],[AI_ENF1]]</f>
        <v>7</v>
      </c>
      <c r="B24">
        <f t="shared" si="0"/>
        <v>0.66666666666666663</v>
      </c>
      <c r="C24">
        <f>[1]!survey_responses[[#This Row],[Tôi tin rằng với các quy định quản lý thuế hiện nay, hành vi gian lận hoặc trốn thuế sẽ dễ dàng bị phát hiện và xử lý nghiêm. - HUMAN-ENF1]]</f>
        <v>5</v>
      </c>
      <c r="D24">
        <f t="shared" si="1"/>
        <v>0.44444444444444442</v>
      </c>
      <c r="E24">
        <f>step3_validation[[#This Row],[AI_ENF2]]</f>
        <v>6</v>
      </c>
      <c r="F24">
        <f t="shared" si="2"/>
        <v>0.55555555555555558</v>
      </c>
      <c r="G24">
        <f>[1]!survey_responses[[#This Row],[Tôi tin rằng Nhà nước, cơ quan thuế có đủ khả năng và công nghệ để phát hiện, xử lý nghiêm các hành vi trốn thuế. - HUMAN-ENF2]]</f>
        <v>5</v>
      </c>
      <c r="H24">
        <f t="shared" si="3"/>
        <v>0.44444444444444442</v>
      </c>
      <c r="I24" s="32">
        <f t="shared" si="4"/>
        <v>0.61111111111111116</v>
      </c>
      <c r="J24" s="32">
        <f t="shared" si="5"/>
        <v>0.44444444444444442</v>
      </c>
      <c r="K24">
        <f>step3_validation[[#This Row],[AI_FAC1]]</f>
        <v>8</v>
      </c>
      <c r="L24">
        <f t="shared" si="6"/>
        <v>0.77777777777777779</v>
      </c>
      <c r="M24">
        <f>[1]!survey_responses[[#This Row],[Các thủ tục khai báo thuế VÀ/HOẶC quy trình làm việc với cơ quan thuế đơn giản, tiện lợi, nhanh chóng hơn so với trước đây. - HUMAN-FAC1]]</f>
        <v>5</v>
      </c>
      <c r="N24">
        <f t="shared" si="7"/>
        <v>0.44444444444444442</v>
      </c>
      <c r="O24">
        <f>step3_validation[[#This Row],[AI_FAC2]]</f>
        <v>7</v>
      </c>
      <c r="P24">
        <f t="shared" si="8"/>
        <v>0.66666666666666663</v>
      </c>
      <c r="Q24">
        <f>[1]!survey_responses[[#This Row],[So với trước đây, tôi thấy cách tính thuế và các bậc thuế trong phương án mới đơn giản, dễ hiểu và dễ thực hiện hơn. - HUMAN-FAC2]]</f>
        <v>5</v>
      </c>
      <c r="R24">
        <f t="shared" si="9"/>
        <v>0.44444444444444442</v>
      </c>
      <c r="S24" s="32">
        <f t="shared" si="10"/>
        <v>0.72222222222222221</v>
      </c>
      <c r="T24" s="32">
        <f t="shared" si="11"/>
        <v>0.44444444444444442</v>
      </c>
      <c r="U24">
        <f>step3_validation[[#This Row],[AI_TRU1]]</f>
        <v>8</v>
      </c>
      <c r="V24">
        <f t="shared" si="12"/>
        <v>0.77777777777777779</v>
      </c>
      <c r="W24">
        <f>[1]!survey_responses[[#This Row],[Tôi tin rằng Nhà nước, cơ quan thuế sẽ thực thi chính sách mới một cách khách quan, công tâm và đối xử bình đẳng với mọi người nộp thuế.  - HUMAN-TRU1]]</f>
        <v>5</v>
      </c>
      <c r="X24">
        <f t="shared" si="13"/>
        <v>0.44444444444444442</v>
      </c>
      <c r="Y24">
        <f>step3_validation[[#This Row],[AI_TRU2]]</f>
        <v>6</v>
      </c>
      <c r="Z24">
        <f t="shared" si="14"/>
        <v>0.55555555555555558</v>
      </c>
      <c r="AA24">
        <f>[1]!survey_responses[[#This Row],[Tôi thấy mức thuế tôi phải đóng theo phương án mới là công bằng (người thu nhập như tôi đóng mức này là hợp lý). - HUMAN-TRU2]]</f>
        <v>5</v>
      </c>
      <c r="AB24">
        <f t="shared" si="15"/>
        <v>0.44444444444444442</v>
      </c>
      <c r="AC24">
        <f>step3_validation[[#This Row],[AI_TRU3]]</f>
        <v>7</v>
      </c>
      <c r="AD24">
        <f t="shared" si="16"/>
        <v>0.66666666666666663</v>
      </c>
      <c r="AE24">
        <f>[1]!survey_responses[[#This Row],[Tôi tin tưởng số tiền thuế tôi đóng sẽ được Nhà nước sử dụng hiệu quả để cải thiện dịch vụ công (y tế, đường xá...). - HUMAN-TRU3]]</f>
        <v>5</v>
      </c>
      <c r="AF24">
        <f t="shared" si="17"/>
        <v>0.44444444444444442</v>
      </c>
      <c r="AG24">
        <f>step3_validation[[#This Row],[AI_TRU4]]</f>
        <v>5</v>
      </c>
      <c r="AH24">
        <f t="shared" si="18"/>
        <v>0.44444444444444442</v>
      </c>
      <c r="AI24">
        <f>[1]!survey_responses[[#This Row],[Tôi thấy Nhà nước đã giải thích rõ ràng, minh bạch về lý do và mục tiêu của việc sửa đổi thuế lần này. - HUMAN-TRU4]]</f>
        <v>5</v>
      </c>
      <c r="AJ24">
        <f t="shared" si="19"/>
        <v>0.44444444444444442</v>
      </c>
      <c r="AK24" s="32">
        <f t="shared" si="20"/>
        <v>0.61111111111111116</v>
      </c>
      <c r="AL24" s="32">
        <f t="shared" si="21"/>
        <v>0.44444444444444442</v>
      </c>
      <c r="AM24" s="7">
        <f t="shared" si="22"/>
        <v>0.64814814814814825</v>
      </c>
      <c r="AN24" s="7">
        <f t="shared" si="23"/>
        <v>0.44444444444444442</v>
      </c>
      <c r="AO24">
        <f>step3_validation[[#This Row],[AI_OUT1]]</f>
        <v>6</v>
      </c>
      <c r="AP24">
        <f t="shared" si="24"/>
        <v>0.55555555555555558</v>
      </c>
      <c r="AQ24">
        <f>[1]!survey_responses[[#This Row],[Sau khi xem xét các quyền lợi và nghĩa vụ, bạn có ủng hộ và tuân thủ chính sách mới hiện nay? - HUMAN-OUT1]]</f>
        <v>5</v>
      </c>
      <c r="AR24">
        <f t="shared" si="25"/>
        <v>0.44444444444444442</v>
      </c>
      <c r="AS24" s="32">
        <f t="shared" si="26"/>
        <v>1</v>
      </c>
    </row>
    <row r="25" spans="1:45" x14ac:dyDescent="0.45">
      <c r="A25">
        <f>step3_validation[[#This Row],[AI_ENF1]]</f>
        <v>5</v>
      </c>
      <c r="B25">
        <f t="shared" si="0"/>
        <v>0.44444444444444442</v>
      </c>
      <c r="C25">
        <f>[1]!survey_responses[[#This Row],[Tôi tin rằng với các quy định quản lý thuế hiện nay, hành vi gian lận hoặc trốn thuế sẽ dễ dàng bị phát hiện và xử lý nghiêm. - HUMAN-ENF1]]</f>
        <v>9</v>
      </c>
      <c r="D25">
        <f t="shared" si="1"/>
        <v>0.88888888888888884</v>
      </c>
      <c r="E25">
        <f>step3_validation[[#This Row],[AI_ENF2]]</f>
        <v>6</v>
      </c>
      <c r="F25">
        <f t="shared" si="2"/>
        <v>0.55555555555555558</v>
      </c>
      <c r="G25">
        <f>[1]!survey_responses[[#This Row],[Tôi tin rằng Nhà nước, cơ quan thuế có đủ khả năng và công nghệ để phát hiện, xử lý nghiêm các hành vi trốn thuế. - HUMAN-ENF2]]</f>
        <v>8</v>
      </c>
      <c r="H25">
        <f t="shared" si="3"/>
        <v>0.77777777777777779</v>
      </c>
      <c r="I25" s="32">
        <f t="shared" si="4"/>
        <v>0.5</v>
      </c>
      <c r="J25" s="32">
        <f t="shared" si="5"/>
        <v>0.83333333333333326</v>
      </c>
      <c r="K25">
        <f>step3_validation[[#This Row],[AI_FAC1]]</f>
        <v>8</v>
      </c>
      <c r="L25">
        <f t="shared" si="6"/>
        <v>0.77777777777777779</v>
      </c>
      <c r="M25">
        <f>[1]!survey_responses[[#This Row],[Các thủ tục khai báo thuế VÀ/HOẶC quy trình làm việc với cơ quan thuế đơn giản, tiện lợi, nhanh chóng hơn so với trước đây. - HUMAN-FAC1]]</f>
        <v>6</v>
      </c>
      <c r="N25">
        <f t="shared" si="7"/>
        <v>0.55555555555555558</v>
      </c>
      <c r="O25">
        <f>step3_validation[[#This Row],[AI_FAC2]]</f>
        <v>7</v>
      </c>
      <c r="P25">
        <f t="shared" si="8"/>
        <v>0.66666666666666663</v>
      </c>
      <c r="Q25">
        <f>[1]!survey_responses[[#This Row],[So với trước đây, tôi thấy cách tính thuế và các bậc thuế trong phương án mới đơn giản, dễ hiểu và dễ thực hiện hơn. - HUMAN-FAC2]]</f>
        <v>9</v>
      </c>
      <c r="R25">
        <f t="shared" si="9"/>
        <v>0.88888888888888884</v>
      </c>
      <c r="S25" s="32">
        <f t="shared" si="10"/>
        <v>0.72222222222222221</v>
      </c>
      <c r="T25" s="32">
        <f t="shared" si="11"/>
        <v>0.72222222222222221</v>
      </c>
      <c r="U25">
        <f>step3_validation[[#This Row],[AI_TRU1]]</f>
        <v>6</v>
      </c>
      <c r="V25">
        <f t="shared" si="12"/>
        <v>0.55555555555555558</v>
      </c>
      <c r="W25">
        <f>[1]!survey_responses[[#This Row],[Tôi tin rằng Nhà nước, cơ quan thuế sẽ thực thi chính sách mới một cách khách quan, công tâm và đối xử bình đẳng với mọi người nộp thuế.  - HUMAN-TRU1]]</f>
        <v>8</v>
      </c>
      <c r="X25">
        <f t="shared" si="13"/>
        <v>0.77777777777777779</v>
      </c>
      <c r="Y25">
        <f>step3_validation[[#This Row],[AI_TRU2]]</f>
        <v>7</v>
      </c>
      <c r="Z25">
        <f t="shared" si="14"/>
        <v>0.66666666666666663</v>
      </c>
      <c r="AA25">
        <f>[1]!survey_responses[[#This Row],[Tôi thấy mức thuế tôi phải đóng theo phương án mới là công bằng (người thu nhập như tôi đóng mức này là hợp lý). - HUMAN-TRU2]]</f>
        <v>10</v>
      </c>
      <c r="AB25">
        <f t="shared" si="15"/>
        <v>1</v>
      </c>
      <c r="AC25">
        <f>step3_validation[[#This Row],[AI_TRU3]]</f>
        <v>6</v>
      </c>
      <c r="AD25">
        <f t="shared" si="16"/>
        <v>0.55555555555555558</v>
      </c>
      <c r="AE25">
        <f>[1]!survey_responses[[#This Row],[Tôi tin tưởng số tiền thuế tôi đóng sẽ được Nhà nước sử dụng hiệu quả để cải thiện dịch vụ công (y tế, đường xá...). - HUMAN-TRU3]]</f>
        <v>6</v>
      </c>
      <c r="AF25">
        <f t="shared" si="17"/>
        <v>0.55555555555555558</v>
      </c>
      <c r="AG25">
        <f>step3_validation[[#This Row],[AI_TRU4]]</f>
        <v>5</v>
      </c>
      <c r="AH25">
        <f t="shared" si="18"/>
        <v>0.44444444444444442</v>
      </c>
      <c r="AI25">
        <f>[1]!survey_responses[[#This Row],[Tôi thấy Nhà nước đã giải thích rõ ràng, minh bạch về lý do và mục tiêu của việc sửa đổi thuế lần này. - HUMAN-TRU4]]</f>
        <v>6</v>
      </c>
      <c r="AJ25">
        <f t="shared" si="19"/>
        <v>0.55555555555555558</v>
      </c>
      <c r="AK25" s="32">
        <f t="shared" si="20"/>
        <v>0.55555555555555558</v>
      </c>
      <c r="AL25" s="32">
        <f t="shared" si="21"/>
        <v>0.7222222222222221</v>
      </c>
      <c r="AM25" s="7">
        <f t="shared" si="22"/>
        <v>0.59259259259259267</v>
      </c>
      <c r="AN25" s="7">
        <f t="shared" si="23"/>
        <v>0.75925925925925919</v>
      </c>
      <c r="AO25">
        <f>step3_validation[[#This Row],[AI_OUT1]]</f>
        <v>6</v>
      </c>
      <c r="AP25">
        <f t="shared" si="24"/>
        <v>0.55555555555555558</v>
      </c>
      <c r="AQ25">
        <f>[1]!survey_responses[[#This Row],[Sau khi xem xét các quyền lợi và nghĩa vụ, bạn có ủng hộ và tuân thủ chính sách mới hiện nay? - HUMAN-OUT1]]</f>
        <v>8</v>
      </c>
      <c r="AR25">
        <f t="shared" si="25"/>
        <v>0.77777777777777779</v>
      </c>
      <c r="AS25" s="32">
        <f t="shared" si="26"/>
        <v>2</v>
      </c>
    </row>
    <row r="26" spans="1:45" x14ac:dyDescent="0.45">
      <c r="A26">
        <f>step3_validation[[#This Row],[AI_ENF1]]</f>
        <v>5</v>
      </c>
      <c r="B26">
        <f t="shared" si="0"/>
        <v>0.44444444444444442</v>
      </c>
      <c r="C26">
        <f>[1]!survey_responses[[#This Row],[Tôi tin rằng với các quy định quản lý thuế hiện nay, hành vi gian lận hoặc trốn thuế sẽ dễ dàng bị phát hiện và xử lý nghiêm. - HUMAN-ENF1]]</f>
        <v>6</v>
      </c>
      <c r="D26">
        <f t="shared" si="1"/>
        <v>0.55555555555555558</v>
      </c>
      <c r="E26">
        <f>step3_validation[[#This Row],[AI_ENF2]]</f>
        <v>7</v>
      </c>
      <c r="F26">
        <f t="shared" si="2"/>
        <v>0.66666666666666663</v>
      </c>
      <c r="G26">
        <f>[1]!survey_responses[[#This Row],[Tôi tin rằng Nhà nước, cơ quan thuế có đủ khả năng và công nghệ để phát hiện, xử lý nghiêm các hành vi trốn thuế. - HUMAN-ENF2]]</f>
        <v>7</v>
      </c>
      <c r="H26">
        <f t="shared" si="3"/>
        <v>0.66666666666666663</v>
      </c>
      <c r="I26" s="32">
        <f t="shared" si="4"/>
        <v>0.55555555555555558</v>
      </c>
      <c r="J26" s="32">
        <f t="shared" si="5"/>
        <v>0.61111111111111116</v>
      </c>
      <c r="K26">
        <f>step3_validation[[#This Row],[AI_FAC1]]</f>
        <v>8</v>
      </c>
      <c r="L26">
        <f t="shared" si="6"/>
        <v>0.77777777777777779</v>
      </c>
      <c r="M26">
        <f>[1]!survey_responses[[#This Row],[Các thủ tục khai báo thuế VÀ/HOẶC quy trình làm việc với cơ quan thuế đơn giản, tiện lợi, nhanh chóng hơn so với trước đây. - HUMAN-FAC1]]</f>
        <v>5</v>
      </c>
      <c r="N26">
        <f t="shared" si="7"/>
        <v>0.44444444444444442</v>
      </c>
      <c r="O26">
        <f>step3_validation[[#This Row],[AI_FAC2]]</f>
        <v>9</v>
      </c>
      <c r="P26">
        <f t="shared" si="8"/>
        <v>0.88888888888888884</v>
      </c>
      <c r="Q26">
        <f>[1]!survey_responses[[#This Row],[So với trước đây, tôi thấy cách tính thuế và các bậc thuế trong phương án mới đơn giản, dễ hiểu và dễ thực hiện hơn. - HUMAN-FAC2]]</f>
        <v>6</v>
      </c>
      <c r="R26">
        <f t="shared" si="9"/>
        <v>0.55555555555555558</v>
      </c>
      <c r="S26" s="32">
        <f t="shared" si="10"/>
        <v>0.83333333333333326</v>
      </c>
      <c r="T26" s="32">
        <f t="shared" si="11"/>
        <v>0.5</v>
      </c>
      <c r="U26">
        <f>step3_validation[[#This Row],[AI_TRU1]]</f>
        <v>8</v>
      </c>
      <c r="V26">
        <f t="shared" si="12"/>
        <v>0.77777777777777779</v>
      </c>
      <c r="W26">
        <f>[1]!survey_responses[[#This Row],[Tôi tin rằng Nhà nước, cơ quan thuế sẽ thực thi chính sách mới một cách khách quan, công tâm và đối xử bình đẳng với mọi người nộp thuế.  - HUMAN-TRU1]]</f>
        <v>7</v>
      </c>
      <c r="X26">
        <f t="shared" si="13"/>
        <v>0.66666666666666663</v>
      </c>
      <c r="Y26">
        <f>step3_validation[[#This Row],[AI_TRU2]]</f>
        <v>7</v>
      </c>
      <c r="Z26">
        <f t="shared" si="14"/>
        <v>0.66666666666666663</v>
      </c>
      <c r="AA26">
        <f>[1]!survey_responses[[#This Row],[Tôi thấy mức thuế tôi phải đóng theo phương án mới là công bằng (người thu nhập như tôi đóng mức này là hợp lý). - HUMAN-TRU2]]</f>
        <v>7</v>
      </c>
      <c r="AB26">
        <f t="shared" si="15"/>
        <v>0.66666666666666663</v>
      </c>
      <c r="AC26">
        <f>step3_validation[[#This Row],[AI_TRU3]]</f>
        <v>6</v>
      </c>
      <c r="AD26">
        <f t="shared" si="16"/>
        <v>0.55555555555555558</v>
      </c>
      <c r="AE26">
        <f>[1]!survey_responses[[#This Row],[Tôi tin tưởng số tiền thuế tôi đóng sẽ được Nhà nước sử dụng hiệu quả để cải thiện dịch vụ công (y tế, đường xá...). - HUMAN-TRU3]]</f>
        <v>3</v>
      </c>
      <c r="AF26">
        <f t="shared" si="17"/>
        <v>0.22222222222222221</v>
      </c>
      <c r="AG26">
        <f>step3_validation[[#This Row],[AI_TRU4]]</f>
        <v>7</v>
      </c>
      <c r="AH26">
        <f t="shared" si="18"/>
        <v>0.66666666666666663</v>
      </c>
      <c r="AI26">
        <f>[1]!survey_responses[[#This Row],[Tôi thấy Nhà nước đã giải thích rõ ràng, minh bạch về lý do và mục tiêu của việc sửa đổi thuế lần này. - HUMAN-TRU4]]</f>
        <v>3</v>
      </c>
      <c r="AJ26">
        <f t="shared" si="19"/>
        <v>0.22222222222222221</v>
      </c>
      <c r="AK26" s="32">
        <f t="shared" si="20"/>
        <v>0.66666666666666663</v>
      </c>
      <c r="AL26" s="32">
        <f t="shared" si="21"/>
        <v>0.44444444444444442</v>
      </c>
      <c r="AM26" s="7">
        <f t="shared" si="22"/>
        <v>0.68518518518518512</v>
      </c>
      <c r="AN26" s="7">
        <f t="shared" si="23"/>
        <v>0.51851851851851849</v>
      </c>
      <c r="AO26">
        <f>step3_validation[[#This Row],[AI_OUT1]]</f>
        <v>8</v>
      </c>
      <c r="AP26">
        <f t="shared" si="24"/>
        <v>0.77777777777777779</v>
      </c>
      <c r="AQ26">
        <f>[1]!survey_responses[[#This Row],[Sau khi xem xét các quyền lợi và nghĩa vụ, bạn có ủng hộ và tuân thủ chính sách mới hiện nay? - HUMAN-OUT1]]</f>
        <v>5</v>
      </c>
      <c r="AR26">
        <f t="shared" si="25"/>
        <v>0.44444444444444442</v>
      </c>
      <c r="AS26" s="32">
        <f t="shared" si="26"/>
        <v>3</v>
      </c>
    </row>
    <row r="27" spans="1:45" x14ac:dyDescent="0.45">
      <c r="A27">
        <f>step3_validation[[#This Row],[AI_ENF1]]</f>
        <v>8</v>
      </c>
      <c r="B27">
        <f t="shared" si="0"/>
        <v>0.77777777777777779</v>
      </c>
      <c r="C27">
        <f>[1]!survey_responses[[#This Row],[Tôi tin rằng với các quy định quản lý thuế hiện nay, hành vi gian lận hoặc trốn thuế sẽ dễ dàng bị phát hiện và xử lý nghiêm. - HUMAN-ENF1]]</f>
        <v>10</v>
      </c>
      <c r="D27">
        <f t="shared" si="1"/>
        <v>1</v>
      </c>
      <c r="E27">
        <f>step3_validation[[#This Row],[AI_ENF2]]</f>
        <v>7</v>
      </c>
      <c r="F27">
        <f t="shared" si="2"/>
        <v>0.66666666666666663</v>
      </c>
      <c r="G27">
        <f>[1]!survey_responses[[#This Row],[Tôi tin rằng Nhà nước, cơ quan thuế có đủ khả năng và công nghệ để phát hiện, xử lý nghiêm các hành vi trốn thuế. - HUMAN-ENF2]]</f>
        <v>10</v>
      </c>
      <c r="H27">
        <f t="shared" si="3"/>
        <v>1</v>
      </c>
      <c r="I27" s="32">
        <f t="shared" si="4"/>
        <v>0.72222222222222221</v>
      </c>
      <c r="J27" s="32">
        <f t="shared" si="5"/>
        <v>1</v>
      </c>
      <c r="K27">
        <f>step3_validation[[#This Row],[AI_FAC1]]</f>
        <v>9</v>
      </c>
      <c r="L27">
        <f t="shared" si="6"/>
        <v>0.88888888888888884</v>
      </c>
      <c r="M27">
        <f>[1]!survey_responses[[#This Row],[Các thủ tục khai báo thuế VÀ/HOẶC quy trình làm việc với cơ quan thuế đơn giản, tiện lợi, nhanh chóng hơn so với trước đây. - HUMAN-FAC1]]</f>
        <v>10</v>
      </c>
      <c r="N27">
        <f t="shared" si="7"/>
        <v>1</v>
      </c>
      <c r="O27">
        <f>step3_validation[[#This Row],[AI_FAC2]]</f>
        <v>8</v>
      </c>
      <c r="P27">
        <f t="shared" si="8"/>
        <v>0.77777777777777779</v>
      </c>
      <c r="Q27">
        <f>[1]!survey_responses[[#This Row],[So với trước đây, tôi thấy cách tính thuế và các bậc thuế trong phương án mới đơn giản, dễ hiểu và dễ thực hiện hơn. - HUMAN-FAC2]]</f>
        <v>6</v>
      </c>
      <c r="R27">
        <f t="shared" si="9"/>
        <v>0.55555555555555558</v>
      </c>
      <c r="S27" s="32">
        <f t="shared" si="10"/>
        <v>0.83333333333333326</v>
      </c>
      <c r="T27" s="32">
        <f t="shared" si="11"/>
        <v>0.77777777777777779</v>
      </c>
      <c r="U27">
        <f>step3_validation[[#This Row],[AI_TRU1]]</f>
        <v>7</v>
      </c>
      <c r="V27">
        <f t="shared" si="12"/>
        <v>0.66666666666666663</v>
      </c>
      <c r="W27">
        <f>[1]!survey_responses[[#This Row],[Tôi tin rằng Nhà nước, cơ quan thuế sẽ thực thi chính sách mới một cách khách quan, công tâm và đối xử bình đẳng với mọi người nộp thuế.  - HUMAN-TRU1]]</f>
        <v>6</v>
      </c>
      <c r="X27">
        <f t="shared" si="13"/>
        <v>0.55555555555555558</v>
      </c>
      <c r="Y27">
        <f>step3_validation[[#This Row],[AI_TRU2]]</f>
        <v>6</v>
      </c>
      <c r="Z27">
        <f t="shared" si="14"/>
        <v>0.55555555555555558</v>
      </c>
      <c r="AA27">
        <f>[1]!survey_responses[[#This Row],[Tôi thấy mức thuế tôi phải đóng theo phương án mới là công bằng (người thu nhập như tôi đóng mức này là hợp lý). - HUMAN-TRU2]]</f>
        <v>10</v>
      </c>
      <c r="AB27">
        <f t="shared" si="15"/>
        <v>1</v>
      </c>
      <c r="AC27">
        <f>step3_validation[[#This Row],[AI_TRU3]]</f>
        <v>7</v>
      </c>
      <c r="AD27">
        <f t="shared" si="16"/>
        <v>0.66666666666666663</v>
      </c>
      <c r="AE27">
        <f>[1]!survey_responses[[#This Row],[Tôi tin tưởng số tiền thuế tôi đóng sẽ được Nhà nước sử dụng hiệu quả để cải thiện dịch vụ công (y tế, đường xá...). - HUMAN-TRU3]]</f>
        <v>1</v>
      </c>
      <c r="AF27">
        <f t="shared" si="17"/>
        <v>0</v>
      </c>
      <c r="AG27">
        <f>step3_validation[[#This Row],[AI_TRU4]]</f>
        <v>5</v>
      </c>
      <c r="AH27">
        <f t="shared" si="18"/>
        <v>0.44444444444444442</v>
      </c>
      <c r="AI27">
        <f>[1]!survey_responses[[#This Row],[Tôi thấy Nhà nước đã giải thích rõ ràng, minh bạch về lý do và mục tiêu của việc sửa đổi thuế lần này. - HUMAN-TRU4]]</f>
        <v>4</v>
      </c>
      <c r="AJ27">
        <f t="shared" si="19"/>
        <v>0.33333333333333331</v>
      </c>
      <c r="AK27" s="32">
        <f t="shared" si="20"/>
        <v>0.58333333333333326</v>
      </c>
      <c r="AL27" s="32">
        <f t="shared" si="21"/>
        <v>0.47222222222222221</v>
      </c>
      <c r="AM27" s="7">
        <f t="shared" si="22"/>
        <v>0.7129629629629628</v>
      </c>
      <c r="AN27" s="7">
        <f t="shared" si="23"/>
        <v>0.75</v>
      </c>
      <c r="AO27">
        <f>step3_validation[[#This Row],[AI_OUT1]]</f>
        <v>6</v>
      </c>
      <c r="AP27">
        <f t="shared" si="24"/>
        <v>0.55555555555555558</v>
      </c>
      <c r="AQ27">
        <f>[1]!survey_responses[[#This Row],[Sau khi xem xét các quyền lợi và nghĩa vụ, bạn có ủng hộ và tuân thủ chính sách mới hiện nay? - HUMAN-OUT1]]</f>
        <v>10</v>
      </c>
      <c r="AR27">
        <f t="shared" si="25"/>
        <v>1</v>
      </c>
      <c r="AS27" s="32">
        <f t="shared" si="26"/>
        <v>4</v>
      </c>
    </row>
    <row r="28" spans="1:45" x14ac:dyDescent="0.45">
      <c r="A28">
        <f>step3_validation[[#This Row],[AI_ENF1]]</f>
        <v>7</v>
      </c>
      <c r="B28">
        <f t="shared" si="0"/>
        <v>0.66666666666666663</v>
      </c>
      <c r="C28">
        <f>[1]!survey_responses[[#This Row],[Tôi tin rằng với các quy định quản lý thuế hiện nay, hành vi gian lận hoặc trốn thuế sẽ dễ dàng bị phát hiện và xử lý nghiêm. - HUMAN-ENF1]]</f>
        <v>1</v>
      </c>
      <c r="D28">
        <f t="shared" si="1"/>
        <v>0</v>
      </c>
      <c r="E28">
        <f>step3_validation[[#This Row],[AI_ENF2]]</f>
        <v>8</v>
      </c>
      <c r="F28">
        <f t="shared" si="2"/>
        <v>0.77777777777777779</v>
      </c>
      <c r="G28">
        <f>[1]!survey_responses[[#This Row],[Tôi tin rằng Nhà nước, cơ quan thuế có đủ khả năng và công nghệ để phát hiện, xử lý nghiêm các hành vi trốn thuế. - HUMAN-ENF2]]</f>
        <v>1</v>
      </c>
      <c r="H28">
        <f t="shared" si="3"/>
        <v>0</v>
      </c>
      <c r="I28" s="32">
        <f t="shared" si="4"/>
        <v>0.72222222222222221</v>
      </c>
      <c r="J28" s="32">
        <f t="shared" si="5"/>
        <v>0</v>
      </c>
      <c r="K28">
        <f>step3_validation[[#This Row],[AI_FAC1]]</f>
        <v>6</v>
      </c>
      <c r="L28">
        <f t="shared" si="6"/>
        <v>0.55555555555555558</v>
      </c>
      <c r="M28">
        <f>[1]!survey_responses[[#This Row],[Các thủ tục khai báo thuế VÀ/HOẶC quy trình làm việc với cơ quan thuế đơn giản, tiện lợi, nhanh chóng hơn so với trước đây. - HUMAN-FAC1]]</f>
        <v>1</v>
      </c>
      <c r="N28">
        <f t="shared" si="7"/>
        <v>0</v>
      </c>
      <c r="O28">
        <f>step3_validation[[#This Row],[AI_FAC2]]</f>
        <v>9</v>
      </c>
      <c r="P28">
        <f t="shared" si="8"/>
        <v>0.88888888888888884</v>
      </c>
      <c r="Q28">
        <f>[1]!survey_responses[[#This Row],[So với trước đây, tôi thấy cách tính thuế và các bậc thuế trong phương án mới đơn giản, dễ hiểu và dễ thực hiện hơn. - HUMAN-FAC2]]</f>
        <v>1</v>
      </c>
      <c r="R28">
        <f t="shared" si="9"/>
        <v>0</v>
      </c>
      <c r="S28" s="32">
        <f t="shared" si="10"/>
        <v>0.72222222222222221</v>
      </c>
      <c r="T28" s="32">
        <f t="shared" si="11"/>
        <v>0</v>
      </c>
      <c r="U28">
        <f>step3_validation[[#This Row],[AI_TRU1]]</f>
        <v>7</v>
      </c>
      <c r="V28">
        <f t="shared" si="12"/>
        <v>0.66666666666666663</v>
      </c>
      <c r="W28">
        <f>[1]!survey_responses[[#This Row],[Tôi tin rằng Nhà nước, cơ quan thuế sẽ thực thi chính sách mới một cách khách quan, công tâm và đối xử bình đẳng với mọi người nộp thuế.  - HUMAN-TRU1]]</f>
        <v>1</v>
      </c>
      <c r="X28">
        <f t="shared" si="13"/>
        <v>0</v>
      </c>
      <c r="Y28">
        <f>step3_validation[[#This Row],[AI_TRU2]]</f>
        <v>8</v>
      </c>
      <c r="Z28">
        <f t="shared" si="14"/>
        <v>0.77777777777777779</v>
      </c>
      <c r="AA28">
        <f>[1]!survey_responses[[#This Row],[Tôi thấy mức thuế tôi phải đóng theo phương án mới là công bằng (người thu nhập như tôi đóng mức này là hợp lý). - HUMAN-TRU2]]</f>
        <v>1</v>
      </c>
      <c r="AB28">
        <f t="shared" si="15"/>
        <v>0</v>
      </c>
      <c r="AC28">
        <f>step3_validation[[#This Row],[AI_TRU3]]</f>
        <v>7</v>
      </c>
      <c r="AD28">
        <f t="shared" si="16"/>
        <v>0.66666666666666663</v>
      </c>
      <c r="AE28">
        <f>[1]!survey_responses[[#This Row],[Tôi tin tưởng số tiền thuế tôi đóng sẽ được Nhà nước sử dụng hiệu quả để cải thiện dịch vụ công (y tế, đường xá...). - HUMAN-TRU3]]</f>
        <v>1</v>
      </c>
      <c r="AF28">
        <f t="shared" si="17"/>
        <v>0</v>
      </c>
      <c r="AG28">
        <f>step3_validation[[#This Row],[AI_TRU4]]</f>
        <v>6</v>
      </c>
      <c r="AH28">
        <f t="shared" si="18"/>
        <v>0.55555555555555558</v>
      </c>
      <c r="AI28">
        <f>[1]!survey_responses[[#This Row],[Tôi thấy Nhà nước đã giải thích rõ ràng, minh bạch về lý do và mục tiêu của việc sửa đổi thuế lần này. - HUMAN-TRU4]]</f>
        <v>1</v>
      </c>
      <c r="AJ28">
        <f t="shared" si="19"/>
        <v>0</v>
      </c>
      <c r="AK28" s="32">
        <f t="shared" si="20"/>
        <v>0.66666666666666674</v>
      </c>
      <c r="AL28" s="32">
        <f t="shared" si="21"/>
        <v>0</v>
      </c>
      <c r="AM28" s="7">
        <f t="shared" si="22"/>
        <v>0.70370370370370372</v>
      </c>
      <c r="AN28" s="7">
        <f t="shared" si="23"/>
        <v>0</v>
      </c>
      <c r="AO28">
        <f>step3_validation[[#This Row],[AI_OUT1]]</f>
        <v>7</v>
      </c>
      <c r="AP28">
        <f t="shared" si="24"/>
        <v>0.66666666666666663</v>
      </c>
      <c r="AQ28">
        <f>[1]!survey_responses[[#This Row],[Sau khi xem xét các quyền lợi và nghĩa vụ, bạn có ủng hộ và tuân thủ chính sách mới hiện nay? - HUMAN-OUT1]]</f>
        <v>1</v>
      </c>
      <c r="AR28">
        <f t="shared" si="25"/>
        <v>0</v>
      </c>
      <c r="AS28" s="32">
        <f t="shared" si="26"/>
        <v>6</v>
      </c>
    </row>
    <row r="29" spans="1:45" x14ac:dyDescent="0.45">
      <c r="A29">
        <f>step3_validation[[#This Row],[AI_ENF1]]</f>
        <v>8</v>
      </c>
      <c r="B29">
        <f t="shared" si="0"/>
        <v>0.77777777777777779</v>
      </c>
      <c r="C29">
        <f>[1]!survey_responses[[#This Row],[Tôi tin rằng với các quy định quản lý thuế hiện nay, hành vi gian lận hoặc trốn thuế sẽ dễ dàng bị phát hiện và xử lý nghiêm. - HUMAN-ENF1]]</f>
        <v>1</v>
      </c>
      <c r="D29">
        <f t="shared" si="1"/>
        <v>0</v>
      </c>
      <c r="E29">
        <f>step3_validation[[#This Row],[AI_ENF2]]</f>
        <v>7</v>
      </c>
      <c r="F29">
        <f t="shared" si="2"/>
        <v>0.66666666666666663</v>
      </c>
      <c r="G29">
        <f>[1]!survey_responses[[#This Row],[Tôi tin rằng Nhà nước, cơ quan thuế có đủ khả năng và công nghệ để phát hiện, xử lý nghiêm các hành vi trốn thuế. - HUMAN-ENF2]]</f>
        <v>1</v>
      </c>
      <c r="H29">
        <f t="shared" si="3"/>
        <v>0</v>
      </c>
      <c r="I29" s="32">
        <f t="shared" si="4"/>
        <v>0.72222222222222221</v>
      </c>
      <c r="J29" s="32">
        <f t="shared" si="5"/>
        <v>0</v>
      </c>
      <c r="K29">
        <f>step3_validation[[#This Row],[AI_FAC1]]</f>
        <v>9</v>
      </c>
      <c r="L29">
        <f t="shared" si="6"/>
        <v>0.88888888888888884</v>
      </c>
      <c r="M29">
        <f>[1]!survey_responses[[#This Row],[Các thủ tục khai báo thuế VÀ/HOẶC quy trình làm việc với cơ quan thuế đơn giản, tiện lợi, nhanh chóng hơn so với trước đây. - HUMAN-FAC1]]</f>
        <v>1</v>
      </c>
      <c r="N29">
        <f t="shared" si="7"/>
        <v>0</v>
      </c>
      <c r="O29">
        <f>step3_validation[[#This Row],[AI_FAC2]]</f>
        <v>8</v>
      </c>
      <c r="P29">
        <f t="shared" si="8"/>
        <v>0.77777777777777779</v>
      </c>
      <c r="Q29">
        <f>[1]!survey_responses[[#This Row],[So với trước đây, tôi thấy cách tính thuế và các bậc thuế trong phương án mới đơn giản, dễ hiểu và dễ thực hiện hơn. - HUMAN-FAC2]]</f>
        <v>1</v>
      </c>
      <c r="R29">
        <f t="shared" si="9"/>
        <v>0</v>
      </c>
      <c r="S29" s="32">
        <f t="shared" si="10"/>
        <v>0.83333333333333326</v>
      </c>
      <c r="T29" s="32">
        <f t="shared" si="11"/>
        <v>0</v>
      </c>
      <c r="U29">
        <f>step3_validation[[#This Row],[AI_TRU1]]</f>
        <v>7</v>
      </c>
      <c r="V29">
        <f t="shared" si="12"/>
        <v>0.66666666666666663</v>
      </c>
      <c r="W29">
        <f>[1]!survey_responses[[#This Row],[Tôi tin rằng Nhà nước, cơ quan thuế sẽ thực thi chính sách mới một cách khách quan, công tâm và đối xử bình đẳng với mọi người nộp thuế.  - HUMAN-TRU1]]</f>
        <v>1</v>
      </c>
      <c r="X29">
        <f t="shared" si="13"/>
        <v>0</v>
      </c>
      <c r="Y29">
        <f>step3_validation[[#This Row],[AI_TRU2]]</f>
        <v>8</v>
      </c>
      <c r="Z29">
        <f t="shared" si="14"/>
        <v>0.77777777777777779</v>
      </c>
      <c r="AA29">
        <f>[1]!survey_responses[[#This Row],[Tôi thấy mức thuế tôi phải đóng theo phương án mới là công bằng (người thu nhập như tôi đóng mức này là hợp lý). - HUMAN-TRU2]]</f>
        <v>1</v>
      </c>
      <c r="AB29">
        <f t="shared" si="15"/>
        <v>0</v>
      </c>
      <c r="AC29">
        <f>step3_validation[[#This Row],[AI_TRU3]]</f>
        <v>7</v>
      </c>
      <c r="AD29">
        <f t="shared" si="16"/>
        <v>0.66666666666666663</v>
      </c>
      <c r="AE29">
        <f>[1]!survey_responses[[#This Row],[Tôi tin tưởng số tiền thuế tôi đóng sẽ được Nhà nước sử dụng hiệu quả để cải thiện dịch vụ công (y tế, đường xá...). - HUMAN-TRU3]]</f>
        <v>1</v>
      </c>
      <c r="AF29">
        <f t="shared" si="17"/>
        <v>0</v>
      </c>
      <c r="AG29">
        <f>step3_validation[[#This Row],[AI_TRU4]]</f>
        <v>6</v>
      </c>
      <c r="AH29">
        <f t="shared" si="18"/>
        <v>0.55555555555555558</v>
      </c>
      <c r="AI29">
        <f>[1]!survey_responses[[#This Row],[Tôi thấy Nhà nước đã giải thích rõ ràng, minh bạch về lý do và mục tiêu của việc sửa đổi thuế lần này. - HUMAN-TRU4]]</f>
        <v>1</v>
      </c>
      <c r="AJ29">
        <f t="shared" si="19"/>
        <v>0</v>
      </c>
      <c r="AK29" s="32">
        <f t="shared" si="20"/>
        <v>0.66666666666666674</v>
      </c>
      <c r="AL29" s="32">
        <f t="shared" si="21"/>
        <v>0</v>
      </c>
      <c r="AM29" s="7">
        <f t="shared" si="22"/>
        <v>0.74074074074074081</v>
      </c>
      <c r="AN29" s="7">
        <f t="shared" si="23"/>
        <v>0</v>
      </c>
      <c r="AO29">
        <f>step3_validation[[#This Row],[AI_OUT1]]</f>
        <v>8</v>
      </c>
      <c r="AP29">
        <f t="shared" si="24"/>
        <v>0.77777777777777779</v>
      </c>
      <c r="AQ29">
        <f>[1]!survey_responses[[#This Row],[Sau khi xem xét các quyền lợi và nghĩa vụ, bạn có ủng hộ và tuân thủ chính sách mới hiện nay? - HUMAN-OUT1]]</f>
        <v>1</v>
      </c>
      <c r="AR29">
        <f t="shared" si="25"/>
        <v>0</v>
      </c>
      <c r="AS29" s="32">
        <f t="shared" si="26"/>
        <v>7</v>
      </c>
    </row>
    <row r="30" spans="1:45" x14ac:dyDescent="0.45">
      <c r="A30">
        <f>step3_validation[[#This Row],[AI_ENF1]]</f>
        <v>7</v>
      </c>
      <c r="B30">
        <f t="shared" si="0"/>
        <v>0.66666666666666663</v>
      </c>
      <c r="C30">
        <f>[1]!survey_responses[[#This Row],[Tôi tin rằng với các quy định quản lý thuế hiện nay, hành vi gian lận hoặc trốn thuế sẽ dễ dàng bị phát hiện và xử lý nghiêm. - HUMAN-ENF1]]</f>
        <v>10</v>
      </c>
      <c r="D30">
        <f t="shared" si="1"/>
        <v>1</v>
      </c>
      <c r="E30">
        <f>step3_validation[[#This Row],[AI_ENF2]]</f>
        <v>8</v>
      </c>
      <c r="F30">
        <f t="shared" si="2"/>
        <v>0.77777777777777779</v>
      </c>
      <c r="G30">
        <f>[1]!survey_responses[[#This Row],[Tôi tin rằng Nhà nước, cơ quan thuế có đủ khả năng và công nghệ để phát hiện, xử lý nghiêm các hành vi trốn thuế. - HUMAN-ENF2]]</f>
        <v>10</v>
      </c>
      <c r="H30">
        <f t="shared" si="3"/>
        <v>1</v>
      </c>
      <c r="I30" s="32">
        <f t="shared" si="4"/>
        <v>0.72222222222222221</v>
      </c>
      <c r="J30" s="32">
        <f t="shared" si="5"/>
        <v>1</v>
      </c>
      <c r="K30">
        <f>step3_validation[[#This Row],[AI_FAC1]]</f>
        <v>6</v>
      </c>
      <c r="L30">
        <f t="shared" si="6"/>
        <v>0.55555555555555558</v>
      </c>
      <c r="M30">
        <f>[1]!survey_responses[[#This Row],[Các thủ tục khai báo thuế VÀ/HOẶC quy trình làm việc với cơ quan thuế đơn giản, tiện lợi, nhanh chóng hơn so với trước đây. - HUMAN-FAC1]]</f>
        <v>9</v>
      </c>
      <c r="N30">
        <f t="shared" si="7"/>
        <v>0.88888888888888884</v>
      </c>
      <c r="O30">
        <f>step3_validation[[#This Row],[AI_FAC2]]</f>
        <v>7</v>
      </c>
      <c r="P30">
        <f t="shared" si="8"/>
        <v>0.66666666666666663</v>
      </c>
      <c r="Q30">
        <f>[1]!survey_responses[[#This Row],[So với trước đây, tôi thấy cách tính thuế và các bậc thuế trong phương án mới đơn giản, dễ hiểu và dễ thực hiện hơn. - HUMAN-FAC2]]</f>
        <v>10</v>
      </c>
      <c r="R30">
        <f t="shared" si="9"/>
        <v>1</v>
      </c>
      <c r="S30" s="32">
        <f t="shared" si="10"/>
        <v>0.61111111111111116</v>
      </c>
      <c r="T30" s="32">
        <f t="shared" si="11"/>
        <v>0.94444444444444442</v>
      </c>
      <c r="U30">
        <f>step3_validation[[#This Row],[AI_TRU1]]</f>
        <v>6</v>
      </c>
      <c r="V30">
        <f t="shared" si="12"/>
        <v>0.55555555555555558</v>
      </c>
      <c r="W30">
        <f>[1]!survey_responses[[#This Row],[Tôi tin rằng Nhà nước, cơ quan thuế sẽ thực thi chính sách mới một cách khách quan, công tâm và đối xử bình đẳng với mọi người nộp thuế.  - HUMAN-TRU1]]</f>
        <v>10</v>
      </c>
      <c r="X30">
        <f t="shared" si="13"/>
        <v>1</v>
      </c>
      <c r="Y30">
        <f>step3_validation[[#This Row],[AI_TRU2]]</f>
        <v>8</v>
      </c>
      <c r="Z30">
        <f t="shared" si="14"/>
        <v>0.77777777777777779</v>
      </c>
      <c r="AA30">
        <f>[1]!survey_responses[[#This Row],[Tôi thấy mức thuế tôi phải đóng theo phương án mới là công bằng (người thu nhập như tôi đóng mức này là hợp lý). - HUMAN-TRU2]]</f>
        <v>9</v>
      </c>
      <c r="AB30">
        <f t="shared" si="15"/>
        <v>0.88888888888888884</v>
      </c>
      <c r="AC30">
        <f>step3_validation[[#This Row],[AI_TRU3]]</f>
        <v>6</v>
      </c>
      <c r="AD30">
        <f t="shared" si="16"/>
        <v>0.55555555555555558</v>
      </c>
      <c r="AE30">
        <f>[1]!survey_responses[[#This Row],[Tôi tin tưởng số tiền thuế tôi đóng sẽ được Nhà nước sử dụng hiệu quả để cải thiện dịch vụ công (y tế, đường xá...). - HUMAN-TRU3]]</f>
        <v>10</v>
      </c>
      <c r="AF30">
        <f t="shared" si="17"/>
        <v>1</v>
      </c>
      <c r="AG30">
        <f>step3_validation[[#This Row],[AI_TRU4]]</f>
        <v>7</v>
      </c>
      <c r="AH30">
        <f t="shared" si="18"/>
        <v>0.66666666666666663</v>
      </c>
      <c r="AI30">
        <f>[1]!survey_responses[[#This Row],[Tôi thấy Nhà nước đã giải thích rõ ràng, minh bạch về lý do và mục tiêu của việc sửa đổi thuế lần này. - HUMAN-TRU4]]</f>
        <v>10</v>
      </c>
      <c r="AJ30">
        <f t="shared" si="19"/>
        <v>1</v>
      </c>
      <c r="AK30" s="32">
        <f t="shared" si="20"/>
        <v>0.63888888888888895</v>
      </c>
      <c r="AL30" s="32">
        <f t="shared" si="21"/>
        <v>0.97222222222222221</v>
      </c>
      <c r="AM30" s="7">
        <f t="shared" si="22"/>
        <v>0.65740740740740744</v>
      </c>
      <c r="AN30" s="7">
        <f t="shared" si="23"/>
        <v>0.97222222222222221</v>
      </c>
      <c r="AO30">
        <f>step3_validation[[#This Row],[AI_OUT1]]</f>
        <v>6</v>
      </c>
      <c r="AP30">
        <f t="shared" si="24"/>
        <v>0.55555555555555558</v>
      </c>
      <c r="AQ30">
        <f>[1]!survey_responses[[#This Row],[Sau khi xem xét các quyền lợi và nghĩa vụ, bạn có ủng hộ và tuân thủ chính sách mới hiện nay? - HUMAN-OUT1]]</f>
        <v>10</v>
      </c>
      <c r="AR30">
        <f t="shared" si="25"/>
        <v>1</v>
      </c>
      <c r="AS30" s="32">
        <f t="shared" si="26"/>
        <v>4</v>
      </c>
    </row>
    <row r="31" spans="1:45" x14ac:dyDescent="0.45">
      <c r="A31">
        <f>step3_validation[[#This Row],[AI_ENF1]]</f>
        <v>8</v>
      </c>
      <c r="B31">
        <f t="shared" si="0"/>
        <v>0.77777777777777779</v>
      </c>
      <c r="C31">
        <f>[1]!survey_responses[[#This Row],[Tôi tin rằng với các quy định quản lý thuế hiện nay, hành vi gian lận hoặc trốn thuế sẽ dễ dàng bị phát hiện và xử lý nghiêm. - HUMAN-ENF1]]</f>
        <v>10</v>
      </c>
      <c r="D31">
        <f t="shared" si="1"/>
        <v>1</v>
      </c>
      <c r="E31">
        <f>step3_validation[[#This Row],[AI_ENF2]]</f>
        <v>8</v>
      </c>
      <c r="F31">
        <f t="shared" si="2"/>
        <v>0.77777777777777779</v>
      </c>
      <c r="G31">
        <f>[1]!survey_responses[[#This Row],[Tôi tin rằng Nhà nước, cơ quan thuế có đủ khả năng và công nghệ để phát hiện, xử lý nghiêm các hành vi trốn thuế. - HUMAN-ENF2]]</f>
        <v>10</v>
      </c>
      <c r="H31">
        <f t="shared" si="3"/>
        <v>1</v>
      </c>
      <c r="I31" s="32">
        <f t="shared" si="4"/>
        <v>0.77777777777777779</v>
      </c>
      <c r="J31" s="32">
        <f t="shared" si="5"/>
        <v>1</v>
      </c>
      <c r="K31">
        <f>step3_validation[[#This Row],[AI_FAC1]]</f>
        <v>7</v>
      </c>
      <c r="L31">
        <f t="shared" si="6"/>
        <v>0.66666666666666663</v>
      </c>
      <c r="M31">
        <f>[1]!survey_responses[[#This Row],[Các thủ tục khai báo thuế VÀ/HOẶC quy trình làm việc với cơ quan thuế đơn giản, tiện lợi, nhanh chóng hơn so với trước đây. - HUMAN-FAC1]]</f>
        <v>9</v>
      </c>
      <c r="N31">
        <f t="shared" si="7"/>
        <v>0.88888888888888884</v>
      </c>
      <c r="O31">
        <f>step3_validation[[#This Row],[AI_FAC2]]</f>
        <v>8</v>
      </c>
      <c r="P31">
        <f t="shared" si="8"/>
        <v>0.77777777777777779</v>
      </c>
      <c r="Q31">
        <f>[1]!survey_responses[[#This Row],[So với trước đây, tôi thấy cách tính thuế và các bậc thuế trong phương án mới đơn giản, dễ hiểu và dễ thực hiện hơn. - HUMAN-FAC2]]</f>
        <v>10</v>
      </c>
      <c r="R31">
        <f t="shared" si="9"/>
        <v>1</v>
      </c>
      <c r="S31" s="32">
        <f t="shared" si="10"/>
        <v>0.72222222222222221</v>
      </c>
      <c r="T31" s="32">
        <f t="shared" si="11"/>
        <v>0.94444444444444442</v>
      </c>
      <c r="U31">
        <f>step3_validation[[#This Row],[AI_TRU1]]</f>
        <v>7</v>
      </c>
      <c r="V31">
        <f t="shared" si="12"/>
        <v>0.66666666666666663</v>
      </c>
      <c r="W31">
        <f>[1]!survey_responses[[#This Row],[Tôi tin rằng Nhà nước, cơ quan thuế sẽ thực thi chính sách mới một cách khách quan, công tâm và đối xử bình đẳng với mọi người nộp thuế.  - HUMAN-TRU1]]</f>
        <v>10</v>
      </c>
      <c r="X31">
        <f t="shared" si="13"/>
        <v>1</v>
      </c>
      <c r="Y31">
        <f>step3_validation[[#This Row],[AI_TRU2]]</f>
        <v>6</v>
      </c>
      <c r="Z31">
        <f t="shared" si="14"/>
        <v>0.55555555555555558</v>
      </c>
      <c r="AA31">
        <f>[1]!survey_responses[[#This Row],[Tôi thấy mức thuế tôi phải đóng theo phương án mới là công bằng (người thu nhập như tôi đóng mức này là hợp lý). - HUMAN-TRU2]]</f>
        <v>10</v>
      </c>
      <c r="AB31">
        <f t="shared" si="15"/>
        <v>1</v>
      </c>
      <c r="AC31">
        <f>step3_validation[[#This Row],[AI_TRU3]]</f>
        <v>5</v>
      </c>
      <c r="AD31">
        <f t="shared" si="16"/>
        <v>0.44444444444444442</v>
      </c>
      <c r="AE31">
        <f>[1]!survey_responses[[#This Row],[Tôi tin tưởng số tiền thuế tôi đóng sẽ được Nhà nước sử dụng hiệu quả để cải thiện dịch vụ công (y tế, đường xá...). - HUMAN-TRU3]]</f>
        <v>10</v>
      </c>
      <c r="AF31">
        <f t="shared" si="17"/>
        <v>1</v>
      </c>
      <c r="AG31">
        <f>step3_validation[[#This Row],[AI_TRU4]]</f>
        <v>4</v>
      </c>
      <c r="AH31">
        <f t="shared" si="18"/>
        <v>0.33333333333333331</v>
      </c>
      <c r="AI31">
        <f>[1]!survey_responses[[#This Row],[Tôi thấy Nhà nước đã giải thích rõ ràng, minh bạch về lý do và mục tiêu của việc sửa đổi thuế lần này. - HUMAN-TRU4]]</f>
        <v>10</v>
      </c>
      <c r="AJ31">
        <f t="shared" si="19"/>
        <v>1</v>
      </c>
      <c r="AK31" s="32">
        <f t="shared" si="20"/>
        <v>0.5</v>
      </c>
      <c r="AL31" s="32">
        <f t="shared" si="21"/>
        <v>1</v>
      </c>
      <c r="AM31" s="7">
        <f t="shared" si="22"/>
        <v>0.66666666666666663</v>
      </c>
      <c r="AN31" s="7">
        <f t="shared" si="23"/>
        <v>0.98148148148148151</v>
      </c>
      <c r="AO31">
        <f>step3_validation[[#This Row],[AI_OUT1]]</f>
        <v>6</v>
      </c>
      <c r="AP31">
        <f t="shared" si="24"/>
        <v>0.55555555555555558</v>
      </c>
      <c r="AQ31">
        <f>[1]!survey_responses[[#This Row],[Sau khi xem xét các quyền lợi và nghĩa vụ, bạn có ủng hộ và tuân thủ chính sách mới hiện nay? - HUMAN-OUT1]]</f>
        <v>10</v>
      </c>
      <c r="AR31">
        <f t="shared" si="25"/>
        <v>1</v>
      </c>
      <c r="AS31" s="32">
        <f t="shared" si="26"/>
        <v>4</v>
      </c>
    </row>
    <row r="32" spans="1:45" x14ac:dyDescent="0.45">
      <c r="A32">
        <f>step3_validation[[#This Row],[AI_ENF1]]</f>
        <v>7</v>
      </c>
      <c r="B32">
        <f t="shared" si="0"/>
        <v>0.66666666666666663</v>
      </c>
      <c r="C32">
        <f>[1]!survey_responses[[#This Row],[Tôi tin rằng với các quy định quản lý thuế hiện nay, hành vi gian lận hoặc trốn thuế sẽ dễ dàng bị phát hiện và xử lý nghiêm. - HUMAN-ENF1]]</f>
        <v>10</v>
      </c>
      <c r="D32">
        <f t="shared" si="1"/>
        <v>1</v>
      </c>
      <c r="E32">
        <f>step3_validation[[#This Row],[AI_ENF2]]</f>
        <v>8</v>
      </c>
      <c r="F32">
        <f t="shared" si="2"/>
        <v>0.77777777777777779</v>
      </c>
      <c r="G32">
        <f>[1]!survey_responses[[#This Row],[Tôi tin rằng Nhà nước, cơ quan thuế có đủ khả năng và công nghệ để phát hiện, xử lý nghiêm các hành vi trốn thuế. - HUMAN-ENF2]]</f>
        <v>7</v>
      </c>
      <c r="H32">
        <f t="shared" si="3"/>
        <v>0.66666666666666663</v>
      </c>
      <c r="I32" s="32">
        <f t="shared" si="4"/>
        <v>0.72222222222222221</v>
      </c>
      <c r="J32" s="32">
        <f t="shared" si="5"/>
        <v>0.83333333333333326</v>
      </c>
      <c r="K32">
        <f>step3_validation[[#This Row],[AI_FAC1]]</f>
        <v>6</v>
      </c>
      <c r="L32">
        <f t="shared" si="6"/>
        <v>0.55555555555555558</v>
      </c>
      <c r="M32">
        <f>[1]!survey_responses[[#This Row],[Các thủ tục khai báo thuế VÀ/HOẶC quy trình làm việc với cơ quan thuế đơn giản, tiện lợi, nhanh chóng hơn so với trước đây. - HUMAN-FAC1]]</f>
        <v>10</v>
      </c>
      <c r="N32">
        <f t="shared" si="7"/>
        <v>1</v>
      </c>
      <c r="O32">
        <f>step3_validation[[#This Row],[AI_FAC2]]</f>
        <v>9</v>
      </c>
      <c r="P32">
        <f t="shared" si="8"/>
        <v>0.88888888888888884</v>
      </c>
      <c r="Q32">
        <f>[1]!survey_responses[[#This Row],[So với trước đây, tôi thấy cách tính thuế và các bậc thuế trong phương án mới đơn giản, dễ hiểu và dễ thực hiện hơn. - HUMAN-FAC2]]</f>
        <v>7</v>
      </c>
      <c r="R32">
        <f t="shared" si="9"/>
        <v>0.66666666666666663</v>
      </c>
      <c r="S32" s="32">
        <f t="shared" si="10"/>
        <v>0.72222222222222221</v>
      </c>
      <c r="T32" s="32">
        <f t="shared" si="11"/>
        <v>0.83333333333333326</v>
      </c>
      <c r="U32">
        <f>step3_validation[[#This Row],[AI_TRU1]]</f>
        <v>7</v>
      </c>
      <c r="V32">
        <f t="shared" si="12"/>
        <v>0.66666666666666663</v>
      </c>
      <c r="W32">
        <f>[1]!survey_responses[[#This Row],[Tôi tin rằng Nhà nước, cơ quan thuế sẽ thực thi chính sách mới một cách khách quan, công tâm và đối xử bình đẳng với mọi người nộp thuế.  - HUMAN-TRU1]]</f>
        <v>10</v>
      </c>
      <c r="X32">
        <f t="shared" si="13"/>
        <v>1</v>
      </c>
      <c r="Y32">
        <f>step3_validation[[#This Row],[AI_TRU2]]</f>
        <v>8</v>
      </c>
      <c r="Z32">
        <f t="shared" si="14"/>
        <v>0.77777777777777779</v>
      </c>
      <c r="AA32">
        <f>[1]!survey_responses[[#This Row],[Tôi thấy mức thuế tôi phải đóng theo phương án mới là công bằng (người thu nhập như tôi đóng mức này là hợp lý). - HUMAN-TRU2]]</f>
        <v>10</v>
      </c>
      <c r="AB32">
        <f t="shared" si="15"/>
        <v>1</v>
      </c>
      <c r="AC32">
        <f>step3_validation[[#This Row],[AI_TRU3]]</f>
        <v>7</v>
      </c>
      <c r="AD32">
        <f t="shared" si="16"/>
        <v>0.66666666666666663</v>
      </c>
      <c r="AE32">
        <f>[1]!survey_responses[[#This Row],[Tôi tin tưởng số tiền thuế tôi đóng sẽ được Nhà nước sử dụng hiệu quả để cải thiện dịch vụ công (y tế, đường xá...). - HUMAN-TRU3]]</f>
        <v>3</v>
      </c>
      <c r="AF32">
        <f t="shared" si="17"/>
        <v>0.22222222222222221</v>
      </c>
      <c r="AG32">
        <f>step3_validation[[#This Row],[AI_TRU4]]</f>
        <v>5</v>
      </c>
      <c r="AH32">
        <f t="shared" si="18"/>
        <v>0.44444444444444442</v>
      </c>
      <c r="AI32">
        <f>[1]!survey_responses[[#This Row],[Tôi thấy Nhà nước đã giải thích rõ ràng, minh bạch về lý do và mục tiêu của việc sửa đổi thuế lần này. - HUMAN-TRU4]]</f>
        <v>5</v>
      </c>
      <c r="AJ32">
        <f t="shared" si="19"/>
        <v>0.44444444444444442</v>
      </c>
      <c r="AK32" s="32">
        <f t="shared" si="20"/>
        <v>0.63888888888888884</v>
      </c>
      <c r="AL32" s="32">
        <f t="shared" si="21"/>
        <v>0.66666666666666674</v>
      </c>
      <c r="AM32" s="7">
        <f t="shared" si="22"/>
        <v>0.69444444444444431</v>
      </c>
      <c r="AN32" s="7">
        <f t="shared" si="23"/>
        <v>0.77777777777777768</v>
      </c>
      <c r="AO32">
        <f>step3_validation[[#This Row],[AI_OUT1]]</f>
        <v>6</v>
      </c>
      <c r="AP32">
        <f t="shared" si="24"/>
        <v>0.55555555555555558</v>
      </c>
      <c r="AQ32">
        <f>[1]!survey_responses[[#This Row],[Sau khi xem xét các quyền lợi và nghĩa vụ, bạn có ủng hộ và tuân thủ chính sách mới hiện nay? - HUMAN-OUT1]]</f>
        <v>8</v>
      </c>
      <c r="AR32">
        <f t="shared" si="25"/>
        <v>0.77777777777777779</v>
      </c>
      <c r="AS32" s="32">
        <f t="shared" si="26"/>
        <v>2</v>
      </c>
    </row>
    <row r="33" spans="1:45" x14ac:dyDescent="0.45">
      <c r="A33">
        <f>step3_validation[[#This Row],[AI_ENF1]]</f>
        <v>9</v>
      </c>
      <c r="B33">
        <f t="shared" si="0"/>
        <v>0.88888888888888884</v>
      </c>
      <c r="C33">
        <f>[1]!survey_responses[[#This Row],[Tôi tin rằng với các quy định quản lý thuế hiện nay, hành vi gian lận hoặc trốn thuế sẽ dễ dàng bị phát hiện và xử lý nghiêm. - HUMAN-ENF1]]</f>
        <v>5</v>
      </c>
      <c r="D33">
        <f t="shared" si="1"/>
        <v>0.44444444444444442</v>
      </c>
      <c r="E33">
        <f>step3_validation[[#This Row],[AI_ENF2]]</f>
        <v>8</v>
      </c>
      <c r="F33">
        <f t="shared" si="2"/>
        <v>0.77777777777777779</v>
      </c>
      <c r="G33">
        <f>[1]!survey_responses[[#This Row],[Tôi tin rằng Nhà nước, cơ quan thuế có đủ khả năng và công nghệ để phát hiện, xử lý nghiêm các hành vi trốn thuế. - HUMAN-ENF2]]</f>
        <v>5</v>
      </c>
      <c r="H33">
        <f t="shared" si="3"/>
        <v>0.44444444444444442</v>
      </c>
      <c r="I33" s="32">
        <f t="shared" si="4"/>
        <v>0.83333333333333326</v>
      </c>
      <c r="J33" s="32">
        <f t="shared" si="5"/>
        <v>0.44444444444444442</v>
      </c>
      <c r="K33">
        <f>step3_validation[[#This Row],[AI_FAC1]]</f>
        <v>7</v>
      </c>
      <c r="L33">
        <f t="shared" si="6"/>
        <v>0.66666666666666663</v>
      </c>
      <c r="M33">
        <f>[1]!survey_responses[[#This Row],[Các thủ tục khai báo thuế VÀ/HOẶC quy trình làm việc với cơ quan thuế đơn giản, tiện lợi, nhanh chóng hơn so với trước đây. - HUMAN-FAC1]]</f>
        <v>5</v>
      </c>
      <c r="N33">
        <f t="shared" si="7"/>
        <v>0.44444444444444442</v>
      </c>
      <c r="O33">
        <f>step3_validation[[#This Row],[AI_FAC2]]</f>
        <v>8</v>
      </c>
      <c r="P33">
        <f t="shared" si="8"/>
        <v>0.77777777777777779</v>
      </c>
      <c r="Q33">
        <f>[1]!survey_responses[[#This Row],[So với trước đây, tôi thấy cách tính thuế và các bậc thuế trong phương án mới đơn giản, dễ hiểu và dễ thực hiện hơn. - HUMAN-FAC2]]</f>
        <v>5</v>
      </c>
      <c r="R33">
        <f t="shared" si="9"/>
        <v>0.44444444444444442</v>
      </c>
      <c r="S33" s="32">
        <f t="shared" si="10"/>
        <v>0.72222222222222221</v>
      </c>
      <c r="T33" s="32">
        <f t="shared" si="11"/>
        <v>0.44444444444444442</v>
      </c>
      <c r="U33">
        <f>step3_validation[[#This Row],[AI_TRU1]]</f>
        <v>7</v>
      </c>
      <c r="V33">
        <f t="shared" si="12"/>
        <v>0.66666666666666663</v>
      </c>
      <c r="W33">
        <f>[1]!survey_responses[[#This Row],[Tôi tin rằng Nhà nước, cơ quan thuế sẽ thực thi chính sách mới một cách khách quan, công tâm và đối xử bình đẳng với mọi người nộp thuế.  - HUMAN-TRU1]]</f>
        <v>5</v>
      </c>
      <c r="X33">
        <f t="shared" si="13"/>
        <v>0.44444444444444442</v>
      </c>
      <c r="Y33">
        <f>step3_validation[[#This Row],[AI_TRU2]]</f>
        <v>8</v>
      </c>
      <c r="Z33">
        <f t="shared" si="14"/>
        <v>0.77777777777777779</v>
      </c>
      <c r="AA33">
        <f>[1]!survey_responses[[#This Row],[Tôi thấy mức thuế tôi phải đóng theo phương án mới là công bằng (người thu nhập như tôi đóng mức này là hợp lý). - HUMAN-TRU2]]</f>
        <v>5</v>
      </c>
      <c r="AB33">
        <f t="shared" si="15"/>
        <v>0.44444444444444442</v>
      </c>
      <c r="AC33">
        <f>step3_validation[[#This Row],[AI_TRU3]]</f>
        <v>7</v>
      </c>
      <c r="AD33">
        <f t="shared" si="16"/>
        <v>0.66666666666666663</v>
      </c>
      <c r="AE33">
        <f>[1]!survey_responses[[#This Row],[Tôi tin tưởng số tiền thuế tôi đóng sẽ được Nhà nước sử dụng hiệu quả để cải thiện dịch vụ công (y tế, đường xá...). - HUMAN-TRU3]]</f>
        <v>5</v>
      </c>
      <c r="AF33">
        <f t="shared" si="17"/>
        <v>0.44444444444444442</v>
      </c>
      <c r="AG33">
        <f>step3_validation[[#This Row],[AI_TRU4]]</f>
        <v>6</v>
      </c>
      <c r="AH33">
        <f t="shared" si="18"/>
        <v>0.55555555555555558</v>
      </c>
      <c r="AI33">
        <f>[1]!survey_responses[[#This Row],[Tôi thấy Nhà nước đã giải thích rõ ràng, minh bạch về lý do và mục tiêu của việc sửa đổi thuế lần này. - HUMAN-TRU4]]</f>
        <v>5</v>
      </c>
      <c r="AJ33">
        <f t="shared" si="19"/>
        <v>0.44444444444444442</v>
      </c>
      <c r="AK33" s="32">
        <f t="shared" si="20"/>
        <v>0.66666666666666674</v>
      </c>
      <c r="AL33" s="32">
        <f t="shared" si="21"/>
        <v>0.44444444444444442</v>
      </c>
      <c r="AM33" s="7">
        <f t="shared" si="22"/>
        <v>0.74074074074074081</v>
      </c>
      <c r="AN33" s="7">
        <f t="shared" si="23"/>
        <v>0.44444444444444442</v>
      </c>
      <c r="AO33">
        <f>step3_validation[[#This Row],[AI_OUT1]]</f>
        <v>9</v>
      </c>
      <c r="AP33">
        <f t="shared" si="24"/>
        <v>0.88888888888888884</v>
      </c>
      <c r="AQ33">
        <f>[1]!survey_responses[[#This Row],[Sau khi xem xét các quyền lợi và nghĩa vụ, bạn có ủng hộ và tuân thủ chính sách mới hiện nay? - HUMAN-OUT1]]</f>
        <v>5</v>
      </c>
      <c r="AR33">
        <f t="shared" si="25"/>
        <v>0.44444444444444442</v>
      </c>
      <c r="AS33" s="32">
        <f t="shared" si="26"/>
        <v>4</v>
      </c>
    </row>
    <row r="34" spans="1:45" x14ac:dyDescent="0.45">
      <c r="A34">
        <f>step3_validation[[#This Row],[AI_ENF1]]</f>
        <v>7</v>
      </c>
      <c r="B34">
        <f t="shared" si="0"/>
        <v>0.66666666666666663</v>
      </c>
      <c r="C34">
        <f>[1]!survey_responses[[#This Row],[Tôi tin rằng với các quy định quản lý thuế hiện nay, hành vi gian lận hoặc trốn thuế sẽ dễ dàng bị phát hiện và xử lý nghiêm. - HUMAN-ENF1]]</f>
        <v>8</v>
      </c>
      <c r="D34">
        <f t="shared" si="1"/>
        <v>0.77777777777777779</v>
      </c>
      <c r="E34">
        <f>step3_validation[[#This Row],[AI_ENF2]]</f>
        <v>8</v>
      </c>
      <c r="F34">
        <f t="shared" si="2"/>
        <v>0.77777777777777779</v>
      </c>
      <c r="G34">
        <f>[1]!survey_responses[[#This Row],[Tôi tin rằng Nhà nước, cơ quan thuế có đủ khả năng và công nghệ để phát hiện, xử lý nghiêm các hành vi trốn thuế. - HUMAN-ENF2]]</f>
        <v>9</v>
      </c>
      <c r="H34">
        <f t="shared" si="3"/>
        <v>0.88888888888888884</v>
      </c>
      <c r="I34" s="32">
        <f t="shared" si="4"/>
        <v>0.72222222222222221</v>
      </c>
      <c r="J34" s="32">
        <f t="shared" si="5"/>
        <v>0.83333333333333326</v>
      </c>
      <c r="K34">
        <f>step3_validation[[#This Row],[AI_FAC1]]</f>
        <v>8</v>
      </c>
      <c r="L34">
        <f t="shared" si="6"/>
        <v>0.77777777777777779</v>
      </c>
      <c r="M34">
        <f>[1]!survey_responses[[#This Row],[Các thủ tục khai báo thuế VÀ/HOẶC quy trình làm việc với cơ quan thuế đơn giản, tiện lợi, nhanh chóng hơn so với trước đây. - HUMAN-FAC1]]</f>
        <v>7</v>
      </c>
      <c r="N34">
        <f t="shared" si="7"/>
        <v>0.66666666666666663</v>
      </c>
      <c r="O34">
        <f>step3_validation[[#This Row],[AI_FAC2]]</f>
        <v>9</v>
      </c>
      <c r="P34">
        <f t="shared" si="8"/>
        <v>0.88888888888888884</v>
      </c>
      <c r="Q34">
        <f>[1]!survey_responses[[#This Row],[So với trước đây, tôi thấy cách tính thuế và các bậc thuế trong phương án mới đơn giản, dễ hiểu và dễ thực hiện hơn. - HUMAN-FAC2]]</f>
        <v>8</v>
      </c>
      <c r="R34">
        <f t="shared" si="9"/>
        <v>0.77777777777777779</v>
      </c>
      <c r="S34" s="32">
        <f t="shared" si="10"/>
        <v>0.83333333333333326</v>
      </c>
      <c r="T34" s="32">
        <f t="shared" si="11"/>
        <v>0.72222222222222221</v>
      </c>
      <c r="U34">
        <f>step3_validation[[#This Row],[AI_TRU1]]</f>
        <v>7</v>
      </c>
      <c r="V34">
        <f t="shared" si="12"/>
        <v>0.66666666666666663</v>
      </c>
      <c r="W34">
        <f>[1]!survey_responses[[#This Row],[Tôi tin rằng Nhà nước, cơ quan thuế sẽ thực thi chính sách mới một cách khách quan, công tâm và đối xử bình đẳng với mọi người nộp thuế.  - HUMAN-TRU1]]</f>
        <v>8</v>
      </c>
      <c r="X34">
        <f t="shared" si="13"/>
        <v>0.77777777777777779</v>
      </c>
      <c r="Y34">
        <f>step3_validation[[#This Row],[AI_TRU2]]</f>
        <v>8</v>
      </c>
      <c r="Z34">
        <f t="shared" si="14"/>
        <v>0.77777777777777779</v>
      </c>
      <c r="AA34">
        <f>[1]!survey_responses[[#This Row],[Tôi thấy mức thuế tôi phải đóng theo phương án mới là công bằng (người thu nhập như tôi đóng mức này là hợp lý). - HUMAN-TRU2]]</f>
        <v>8</v>
      </c>
      <c r="AB34">
        <f t="shared" si="15"/>
        <v>0.77777777777777779</v>
      </c>
      <c r="AC34">
        <f>step3_validation[[#This Row],[AI_TRU3]]</f>
        <v>7</v>
      </c>
      <c r="AD34">
        <f t="shared" si="16"/>
        <v>0.66666666666666663</v>
      </c>
      <c r="AE34">
        <f>[1]!survey_responses[[#This Row],[Tôi tin tưởng số tiền thuế tôi đóng sẽ được Nhà nước sử dụng hiệu quả để cải thiện dịch vụ công (y tế, đường xá...). - HUMAN-TRU3]]</f>
        <v>3</v>
      </c>
      <c r="AF34">
        <f t="shared" si="17"/>
        <v>0.22222222222222221</v>
      </c>
      <c r="AG34">
        <f>step3_validation[[#This Row],[AI_TRU4]]</f>
        <v>8</v>
      </c>
      <c r="AH34">
        <f t="shared" si="18"/>
        <v>0.77777777777777779</v>
      </c>
      <c r="AI34">
        <f>[1]!survey_responses[[#This Row],[Tôi thấy Nhà nước đã giải thích rõ ràng, minh bạch về lý do và mục tiêu của việc sửa đổi thuế lần này. - HUMAN-TRU4]]</f>
        <v>6</v>
      </c>
      <c r="AJ34">
        <f t="shared" si="19"/>
        <v>0.55555555555555558</v>
      </c>
      <c r="AK34" s="32">
        <f t="shared" si="20"/>
        <v>0.72222222222222221</v>
      </c>
      <c r="AL34" s="32">
        <f t="shared" si="21"/>
        <v>0.58333333333333326</v>
      </c>
      <c r="AM34" s="7">
        <f t="shared" si="22"/>
        <v>0.75925925925925919</v>
      </c>
      <c r="AN34" s="7">
        <f t="shared" si="23"/>
        <v>0.7129629629629628</v>
      </c>
      <c r="AO34">
        <f>step3_validation[[#This Row],[AI_OUT1]]</f>
        <v>8</v>
      </c>
      <c r="AP34">
        <f t="shared" si="24"/>
        <v>0.77777777777777779</v>
      </c>
      <c r="AQ34">
        <f>[1]!survey_responses[[#This Row],[Sau khi xem xét các quyền lợi và nghĩa vụ, bạn có ủng hộ và tuân thủ chính sách mới hiện nay? - HUMAN-OUT1]]</f>
        <v>7</v>
      </c>
      <c r="AR34">
        <f t="shared" si="25"/>
        <v>0.66666666666666663</v>
      </c>
      <c r="AS34" s="32">
        <f t="shared" si="26"/>
        <v>1</v>
      </c>
    </row>
    <row r="35" spans="1:45" x14ac:dyDescent="0.45">
      <c r="A35">
        <f>step3_validation[[#This Row],[AI_ENF1]]</f>
        <v>7</v>
      </c>
      <c r="B35">
        <f t="shared" si="0"/>
        <v>0.66666666666666663</v>
      </c>
      <c r="C35">
        <f>[1]!survey_responses[[#This Row],[Tôi tin rằng với các quy định quản lý thuế hiện nay, hành vi gian lận hoặc trốn thuế sẽ dễ dàng bị phát hiện và xử lý nghiêm. - HUMAN-ENF1]]</f>
        <v>10</v>
      </c>
      <c r="D35">
        <f t="shared" si="1"/>
        <v>1</v>
      </c>
      <c r="E35">
        <f>step3_validation[[#This Row],[AI_ENF2]]</f>
        <v>6</v>
      </c>
      <c r="F35">
        <f t="shared" si="2"/>
        <v>0.55555555555555558</v>
      </c>
      <c r="G35">
        <f>[1]!survey_responses[[#This Row],[Tôi tin rằng Nhà nước, cơ quan thuế có đủ khả năng và công nghệ để phát hiện, xử lý nghiêm các hành vi trốn thuế. - HUMAN-ENF2]]</f>
        <v>10</v>
      </c>
      <c r="H35">
        <f t="shared" si="3"/>
        <v>1</v>
      </c>
      <c r="I35" s="32">
        <f t="shared" si="4"/>
        <v>0.61111111111111116</v>
      </c>
      <c r="J35" s="32">
        <f t="shared" si="5"/>
        <v>1</v>
      </c>
      <c r="K35">
        <f>step3_validation[[#This Row],[AI_FAC1]]</f>
        <v>8</v>
      </c>
      <c r="L35">
        <f t="shared" si="6"/>
        <v>0.77777777777777779</v>
      </c>
      <c r="M35">
        <f>[1]!survey_responses[[#This Row],[Các thủ tục khai báo thuế VÀ/HOẶC quy trình làm việc với cơ quan thuế đơn giản, tiện lợi, nhanh chóng hơn so với trước đây. - HUMAN-FAC1]]</f>
        <v>10</v>
      </c>
      <c r="N35">
        <f t="shared" si="7"/>
        <v>1</v>
      </c>
      <c r="O35">
        <f>step3_validation[[#This Row],[AI_FAC2]]</f>
        <v>9</v>
      </c>
      <c r="P35">
        <f t="shared" si="8"/>
        <v>0.88888888888888884</v>
      </c>
      <c r="Q35">
        <f>[1]!survey_responses[[#This Row],[So với trước đây, tôi thấy cách tính thuế và các bậc thuế trong phương án mới đơn giản, dễ hiểu và dễ thực hiện hơn. - HUMAN-FAC2]]</f>
        <v>10</v>
      </c>
      <c r="R35">
        <f t="shared" si="9"/>
        <v>1</v>
      </c>
      <c r="S35" s="32">
        <f t="shared" si="10"/>
        <v>0.83333333333333326</v>
      </c>
      <c r="T35" s="32">
        <f t="shared" si="11"/>
        <v>1</v>
      </c>
      <c r="U35">
        <f>step3_validation[[#This Row],[AI_TRU1]]</f>
        <v>7</v>
      </c>
      <c r="V35">
        <f t="shared" si="12"/>
        <v>0.66666666666666663</v>
      </c>
      <c r="W35">
        <f>[1]!survey_responses[[#This Row],[Tôi tin rằng Nhà nước, cơ quan thuế sẽ thực thi chính sách mới một cách khách quan, công tâm và đối xử bình đẳng với mọi người nộp thuế.  - HUMAN-TRU1]]</f>
        <v>10</v>
      </c>
      <c r="X35">
        <f t="shared" si="13"/>
        <v>1</v>
      </c>
      <c r="Y35">
        <f>step3_validation[[#This Row],[AI_TRU2]]</f>
        <v>8</v>
      </c>
      <c r="Z35">
        <f t="shared" si="14"/>
        <v>0.77777777777777779</v>
      </c>
      <c r="AA35">
        <f>[1]!survey_responses[[#This Row],[Tôi thấy mức thuế tôi phải đóng theo phương án mới là công bằng (người thu nhập như tôi đóng mức này là hợp lý). - HUMAN-TRU2]]</f>
        <v>10</v>
      </c>
      <c r="AB35">
        <f t="shared" si="15"/>
        <v>1</v>
      </c>
      <c r="AC35">
        <f>step3_validation[[#This Row],[AI_TRU3]]</f>
        <v>7</v>
      </c>
      <c r="AD35">
        <f t="shared" si="16"/>
        <v>0.66666666666666663</v>
      </c>
      <c r="AE35">
        <f>[1]!survey_responses[[#This Row],[Tôi tin tưởng số tiền thuế tôi đóng sẽ được Nhà nước sử dụng hiệu quả để cải thiện dịch vụ công (y tế, đường xá...). - HUMAN-TRU3]]</f>
        <v>10</v>
      </c>
      <c r="AF35">
        <f t="shared" si="17"/>
        <v>1</v>
      </c>
      <c r="AG35">
        <f>step3_validation[[#This Row],[AI_TRU4]]</f>
        <v>6</v>
      </c>
      <c r="AH35">
        <f t="shared" si="18"/>
        <v>0.55555555555555558</v>
      </c>
      <c r="AI35">
        <f>[1]!survey_responses[[#This Row],[Tôi thấy Nhà nước đã giải thích rõ ràng, minh bạch về lý do và mục tiêu của việc sửa đổi thuế lần này. - HUMAN-TRU4]]</f>
        <v>10</v>
      </c>
      <c r="AJ35">
        <f t="shared" si="19"/>
        <v>1</v>
      </c>
      <c r="AK35" s="32">
        <f t="shared" si="20"/>
        <v>0.66666666666666674</v>
      </c>
      <c r="AL35" s="32">
        <f t="shared" si="21"/>
        <v>1</v>
      </c>
      <c r="AM35" s="7">
        <f t="shared" si="22"/>
        <v>0.70370370370370372</v>
      </c>
      <c r="AN35" s="7">
        <f t="shared" si="23"/>
        <v>1</v>
      </c>
      <c r="AO35">
        <f>step3_validation[[#This Row],[AI_OUT1]]</f>
        <v>7</v>
      </c>
      <c r="AP35">
        <f t="shared" si="24"/>
        <v>0.66666666666666663</v>
      </c>
      <c r="AQ35">
        <f>[1]!survey_responses[[#This Row],[Sau khi xem xét các quyền lợi và nghĩa vụ, bạn có ủng hộ và tuân thủ chính sách mới hiện nay? - HUMAN-OUT1]]</f>
        <v>10</v>
      </c>
      <c r="AR35">
        <f t="shared" si="25"/>
        <v>1</v>
      </c>
      <c r="AS35" s="32">
        <f t="shared" si="26"/>
        <v>3</v>
      </c>
    </row>
    <row r="36" spans="1:45" x14ac:dyDescent="0.45">
      <c r="A36">
        <f>step3_validation[[#This Row],[AI_ENF1]]</f>
        <v>8</v>
      </c>
      <c r="B36">
        <f t="shared" si="0"/>
        <v>0.77777777777777779</v>
      </c>
      <c r="C36">
        <f>[1]!survey_responses[[#This Row],[Tôi tin rằng với các quy định quản lý thuế hiện nay, hành vi gian lận hoặc trốn thuế sẽ dễ dàng bị phát hiện và xử lý nghiêm. - HUMAN-ENF1]]</f>
        <v>10</v>
      </c>
      <c r="D36">
        <f t="shared" si="1"/>
        <v>1</v>
      </c>
      <c r="E36">
        <f>step3_validation[[#This Row],[AI_ENF2]]</f>
        <v>7</v>
      </c>
      <c r="F36">
        <f t="shared" si="2"/>
        <v>0.66666666666666663</v>
      </c>
      <c r="G36">
        <f>[1]!survey_responses[[#This Row],[Tôi tin rằng Nhà nước, cơ quan thuế có đủ khả năng và công nghệ để phát hiện, xử lý nghiêm các hành vi trốn thuế. - HUMAN-ENF2]]</f>
        <v>10</v>
      </c>
      <c r="H36">
        <f t="shared" si="3"/>
        <v>1</v>
      </c>
      <c r="I36" s="32">
        <f t="shared" si="4"/>
        <v>0.72222222222222221</v>
      </c>
      <c r="J36" s="32">
        <f t="shared" si="5"/>
        <v>1</v>
      </c>
      <c r="K36">
        <f>step3_validation[[#This Row],[AI_FAC1]]</f>
        <v>6</v>
      </c>
      <c r="L36">
        <f t="shared" si="6"/>
        <v>0.55555555555555558</v>
      </c>
      <c r="M36">
        <f>[1]!survey_responses[[#This Row],[Các thủ tục khai báo thuế VÀ/HOẶC quy trình làm việc với cơ quan thuế đơn giản, tiện lợi, nhanh chóng hơn so với trước đây. - HUMAN-FAC1]]</f>
        <v>10</v>
      </c>
      <c r="N36">
        <f t="shared" si="7"/>
        <v>1</v>
      </c>
      <c r="O36">
        <f>step3_validation[[#This Row],[AI_FAC2]]</f>
        <v>7</v>
      </c>
      <c r="P36">
        <f t="shared" si="8"/>
        <v>0.66666666666666663</v>
      </c>
      <c r="Q36">
        <f>[1]!survey_responses[[#This Row],[So với trước đây, tôi thấy cách tính thuế và các bậc thuế trong phương án mới đơn giản, dễ hiểu và dễ thực hiện hơn. - HUMAN-FAC2]]</f>
        <v>10</v>
      </c>
      <c r="R36">
        <f t="shared" si="9"/>
        <v>1</v>
      </c>
      <c r="S36" s="32">
        <f t="shared" si="10"/>
        <v>0.61111111111111116</v>
      </c>
      <c r="T36" s="32">
        <f t="shared" si="11"/>
        <v>1</v>
      </c>
      <c r="U36">
        <f>step3_validation[[#This Row],[AI_TRU1]]</f>
        <v>8</v>
      </c>
      <c r="V36">
        <f t="shared" si="12"/>
        <v>0.77777777777777779</v>
      </c>
      <c r="W36">
        <f>[1]!survey_responses[[#This Row],[Tôi tin rằng Nhà nước, cơ quan thuế sẽ thực thi chính sách mới một cách khách quan, công tâm và đối xử bình đẳng với mọi người nộp thuế.  - HUMAN-TRU1]]</f>
        <v>10</v>
      </c>
      <c r="X36">
        <f t="shared" si="13"/>
        <v>1</v>
      </c>
      <c r="Y36">
        <f>step3_validation[[#This Row],[AI_TRU2]]</f>
        <v>7</v>
      </c>
      <c r="Z36">
        <f t="shared" si="14"/>
        <v>0.66666666666666663</v>
      </c>
      <c r="AA36">
        <f>[1]!survey_responses[[#This Row],[Tôi thấy mức thuế tôi phải đóng theo phương án mới là công bằng (người thu nhập như tôi đóng mức này là hợp lý). - HUMAN-TRU2]]</f>
        <v>10</v>
      </c>
      <c r="AB36">
        <f t="shared" si="15"/>
        <v>1</v>
      </c>
      <c r="AC36">
        <f>step3_validation[[#This Row],[AI_TRU3]]</f>
        <v>8</v>
      </c>
      <c r="AD36">
        <f t="shared" si="16"/>
        <v>0.77777777777777779</v>
      </c>
      <c r="AE36">
        <f>[1]!survey_responses[[#This Row],[Tôi tin tưởng số tiền thuế tôi đóng sẽ được Nhà nước sử dụng hiệu quả để cải thiện dịch vụ công (y tế, đường xá...). - HUMAN-TRU3]]</f>
        <v>10</v>
      </c>
      <c r="AF36">
        <f t="shared" si="17"/>
        <v>1</v>
      </c>
      <c r="AG36">
        <f>step3_validation[[#This Row],[AI_TRU4]]</f>
        <v>7</v>
      </c>
      <c r="AH36">
        <f t="shared" si="18"/>
        <v>0.66666666666666663</v>
      </c>
      <c r="AI36">
        <f>[1]!survey_responses[[#This Row],[Tôi thấy Nhà nước đã giải thích rõ ràng, minh bạch về lý do và mục tiêu của việc sửa đổi thuế lần này. - HUMAN-TRU4]]</f>
        <v>10</v>
      </c>
      <c r="AJ36">
        <f t="shared" si="19"/>
        <v>1</v>
      </c>
      <c r="AK36" s="32">
        <f t="shared" si="20"/>
        <v>0.72222222222222221</v>
      </c>
      <c r="AL36" s="32">
        <f t="shared" si="21"/>
        <v>1</v>
      </c>
      <c r="AM36" s="7">
        <f t="shared" si="22"/>
        <v>0.68518518518518523</v>
      </c>
      <c r="AN36" s="7">
        <f t="shared" si="23"/>
        <v>1</v>
      </c>
      <c r="AO36">
        <f>step3_validation[[#This Row],[AI_OUT1]]</f>
        <v>8</v>
      </c>
      <c r="AP36">
        <f t="shared" si="24"/>
        <v>0.77777777777777779</v>
      </c>
      <c r="AQ36">
        <f>[1]!survey_responses[[#This Row],[Sau khi xem xét các quyền lợi và nghĩa vụ, bạn có ủng hộ và tuân thủ chính sách mới hiện nay? - HUMAN-OUT1]]</f>
        <v>10</v>
      </c>
      <c r="AR36">
        <f t="shared" si="25"/>
        <v>1</v>
      </c>
      <c r="AS36" s="32">
        <f t="shared" si="26"/>
        <v>2</v>
      </c>
    </row>
    <row r="37" spans="1:45" x14ac:dyDescent="0.45">
      <c r="A37">
        <f>step3_validation[[#This Row],[AI_ENF1]]</f>
        <v>7</v>
      </c>
      <c r="B37">
        <f t="shared" si="0"/>
        <v>0.66666666666666663</v>
      </c>
      <c r="C37">
        <f>[1]!survey_responses[[#This Row],[Tôi tin rằng với các quy định quản lý thuế hiện nay, hành vi gian lận hoặc trốn thuế sẽ dễ dàng bị phát hiện và xử lý nghiêm. - HUMAN-ENF1]]</f>
        <v>10</v>
      </c>
      <c r="D37">
        <f t="shared" si="1"/>
        <v>1</v>
      </c>
      <c r="E37">
        <f>step3_validation[[#This Row],[AI_ENF2]]</f>
        <v>8</v>
      </c>
      <c r="F37">
        <f t="shared" si="2"/>
        <v>0.77777777777777779</v>
      </c>
      <c r="G37">
        <f>[1]!survey_responses[[#This Row],[Tôi tin rằng Nhà nước, cơ quan thuế có đủ khả năng và công nghệ để phát hiện, xử lý nghiêm các hành vi trốn thuế. - HUMAN-ENF2]]</f>
        <v>9</v>
      </c>
      <c r="H37">
        <f t="shared" si="3"/>
        <v>0.88888888888888884</v>
      </c>
      <c r="I37" s="32">
        <f t="shared" si="4"/>
        <v>0.72222222222222221</v>
      </c>
      <c r="J37" s="32">
        <f t="shared" si="5"/>
        <v>0.94444444444444442</v>
      </c>
      <c r="K37">
        <f>step3_validation[[#This Row],[AI_FAC1]]</f>
        <v>9</v>
      </c>
      <c r="L37">
        <f t="shared" si="6"/>
        <v>0.88888888888888884</v>
      </c>
      <c r="M37">
        <f>[1]!survey_responses[[#This Row],[Các thủ tục khai báo thuế VÀ/HOẶC quy trình làm việc với cơ quan thuế đơn giản, tiện lợi, nhanh chóng hơn so với trước đây. - HUMAN-FAC1]]</f>
        <v>10</v>
      </c>
      <c r="N37">
        <f t="shared" si="7"/>
        <v>1</v>
      </c>
      <c r="O37">
        <f>step3_validation[[#This Row],[AI_FAC2]]</f>
        <v>8</v>
      </c>
      <c r="P37">
        <f t="shared" si="8"/>
        <v>0.77777777777777779</v>
      </c>
      <c r="Q37">
        <f>[1]!survey_responses[[#This Row],[So với trước đây, tôi thấy cách tính thuế và các bậc thuế trong phương án mới đơn giản, dễ hiểu và dễ thực hiện hơn. - HUMAN-FAC2]]</f>
        <v>8</v>
      </c>
      <c r="R37">
        <f t="shared" si="9"/>
        <v>0.77777777777777779</v>
      </c>
      <c r="S37" s="32">
        <f t="shared" si="10"/>
        <v>0.83333333333333326</v>
      </c>
      <c r="T37" s="32">
        <f t="shared" si="11"/>
        <v>0.88888888888888884</v>
      </c>
      <c r="U37">
        <f>step3_validation[[#This Row],[AI_TRU1]]</f>
        <v>7</v>
      </c>
      <c r="V37">
        <f t="shared" si="12"/>
        <v>0.66666666666666663</v>
      </c>
      <c r="W37">
        <f>[1]!survey_responses[[#This Row],[Tôi tin rằng Nhà nước, cơ quan thuế sẽ thực thi chính sách mới một cách khách quan, công tâm và đối xử bình đẳng với mọi người nộp thuế.  - HUMAN-TRU1]]</f>
        <v>10</v>
      </c>
      <c r="X37">
        <f t="shared" si="13"/>
        <v>1</v>
      </c>
      <c r="Y37">
        <f>step3_validation[[#This Row],[AI_TRU2]]</f>
        <v>6</v>
      </c>
      <c r="Z37">
        <f t="shared" si="14"/>
        <v>0.55555555555555558</v>
      </c>
      <c r="AA37">
        <f>[1]!survey_responses[[#This Row],[Tôi thấy mức thuế tôi phải đóng theo phương án mới là công bằng (người thu nhập như tôi đóng mức này là hợp lý). - HUMAN-TRU2]]</f>
        <v>9</v>
      </c>
      <c r="AB37">
        <f t="shared" si="15"/>
        <v>0.88888888888888884</v>
      </c>
      <c r="AC37">
        <f>step3_validation[[#This Row],[AI_TRU3]]</f>
        <v>5</v>
      </c>
      <c r="AD37">
        <f t="shared" si="16"/>
        <v>0.44444444444444442</v>
      </c>
      <c r="AE37">
        <f>[1]!survey_responses[[#This Row],[Tôi tin tưởng số tiền thuế tôi đóng sẽ được Nhà nước sử dụng hiệu quả để cải thiện dịch vụ công (y tế, đường xá...). - HUMAN-TRU3]]</f>
        <v>10</v>
      </c>
      <c r="AF37">
        <f t="shared" si="17"/>
        <v>1</v>
      </c>
      <c r="AG37">
        <f>step3_validation[[#This Row],[AI_TRU4]]</f>
        <v>6</v>
      </c>
      <c r="AH37">
        <f t="shared" si="18"/>
        <v>0.55555555555555558</v>
      </c>
      <c r="AI37">
        <f>[1]!survey_responses[[#This Row],[Tôi thấy Nhà nước đã giải thích rõ ràng, minh bạch về lý do và mục tiêu của việc sửa đổi thuế lần này. - HUMAN-TRU4]]</f>
        <v>10</v>
      </c>
      <c r="AJ37">
        <f t="shared" si="19"/>
        <v>1</v>
      </c>
      <c r="AK37" s="32">
        <f t="shared" si="20"/>
        <v>0.55555555555555558</v>
      </c>
      <c r="AL37" s="32">
        <f t="shared" si="21"/>
        <v>0.97222222222222221</v>
      </c>
      <c r="AM37" s="7">
        <f t="shared" si="22"/>
        <v>0.70370370370370361</v>
      </c>
      <c r="AN37" s="7">
        <f t="shared" si="23"/>
        <v>0.93518518518518512</v>
      </c>
      <c r="AO37">
        <f>step3_validation[[#This Row],[AI_OUT1]]</f>
        <v>7</v>
      </c>
      <c r="AP37">
        <f t="shared" si="24"/>
        <v>0.66666666666666663</v>
      </c>
      <c r="AQ37">
        <f>[1]!survey_responses[[#This Row],[Sau khi xem xét các quyền lợi và nghĩa vụ, bạn có ủng hộ và tuân thủ chính sách mới hiện nay? - HUMAN-OUT1]]</f>
        <v>10</v>
      </c>
      <c r="AR37">
        <f t="shared" si="25"/>
        <v>1</v>
      </c>
      <c r="AS37" s="32">
        <f t="shared" si="26"/>
        <v>3</v>
      </c>
    </row>
    <row r="38" spans="1:45" x14ac:dyDescent="0.45">
      <c r="A38">
        <f>step3_validation[[#This Row],[AI_ENF1]]</f>
        <v>8</v>
      </c>
      <c r="B38">
        <f t="shared" si="0"/>
        <v>0.77777777777777779</v>
      </c>
      <c r="C38">
        <f>[1]!survey_responses[[#This Row],[Tôi tin rằng với các quy định quản lý thuế hiện nay, hành vi gian lận hoặc trốn thuế sẽ dễ dàng bị phát hiện và xử lý nghiêm. - HUMAN-ENF1]]</f>
        <v>10</v>
      </c>
      <c r="D38">
        <f t="shared" si="1"/>
        <v>1</v>
      </c>
      <c r="E38">
        <f>step3_validation[[#This Row],[AI_ENF2]]</f>
        <v>9</v>
      </c>
      <c r="F38">
        <f t="shared" si="2"/>
        <v>0.88888888888888884</v>
      </c>
      <c r="G38">
        <f>[1]!survey_responses[[#This Row],[Tôi tin rằng Nhà nước, cơ quan thuế có đủ khả năng và công nghệ để phát hiện, xử lý nghiêm các hành vi trốn thuế. - HUMAN-ENF2]]</f>
        <v>10</v>
      </c>
      <c r="H38">
        <f t="shared" si="3"/>
        <v>1</v>
      </c>
      <c r="I38" s="32">
        <f t="shared" si="4"/>
        <v>0.83333333333333326</v>
      </c>
      <c r="J38" s="32">
        <f t="shared" si="5"/>
        <v>1</v>
      </c>
      <c r="K38">
        <f>step3_validation[[#This Row],[AI_FAC1]]</f>
        <v>7</v>
      </c>
      <c r="L38">
        <f t="shared" si="6"/>
        <v>0.66666666666666663</v>
      </c>
      <c r="M38">
        <f>[1]!survey_responses[[#This Row],[Các thủ tục khai báo thuế VÀ/HOẶC quy trình làm việc với cơ quan thuế đơn giản, tiện lợi, nhanh chóng hơn so với trước đây. - HUMAN-FAC1]]</f>
        <v>10</v>
      </c>
      <c r="N38">
        <f t="shared" si="7"/>
        <v>1</v>
      </c>
      <c r="O38">
        <f>step3_validation[[#This Row],[AI_FAC2]]</f>
        <v>8</v>
      </c>
      <c r="P38">
        <f t="shared" si="8"/>
        <v>0.77777777777777779</v>
      </c>
      <c r="Q38">
        <f>[1]!survey_responses[[#This Row],[So với trước đây, tôi thấy cách tính thuế và các bậc thuế trong phương án mới đơn giản, dễ hiểu và dễ thực hiện hơn. - HUMAN-FAC2]]</f>
        <v>10</v>
      </c>
      <c r="R38">
        <f t="shared" si="9"/>
        <v>1</v>
      </c>
      <c r="S38" s="32">
        <f t="shared" si="10"/>
        <v>0.72222222222222221</v>
      </c>
      <c r="T38" s="32">
        <f t="shared" si="11"/>
        <v>1</v>
      </c>
      <c r="U38">
        <f>step3_validation[[#This Row],[AI_TRU1]]</f>
        <v>6</v>
      </c>
      <c r="V38">
        <f t="shared" si="12"/>
        <v>0.55555555555555558</v>
      </c>
      <c r="W38">
        <f>[1]!survey_responses[[#This Row],[Tôi tin rằng Nhà nước, cơ quan thuế sẽ thực thi chính sách mới một cách khách quan, công tâm và đối xử bình đẳng với mọi người nộp thuế.  - HUMAN-TRU1]]</f>
        <v>9</v>
      </c>
      <c r="X38">
        <f t="shared" si="13"/>
        <v>0.88888888888888884</v>
      </c>
      <c r="Y38">
        <f>step3_validation[[#This Row],[AI_TRU2]]</f>
        <v>5</v>
      </c>
      <c r="Z38">
        <f t="shared" si="14"/>
        <v>0.44444444444444442</v>
      </c>
      <c r="AA38">
        <f>[1]!survey_responses[[#This Row],[Tôi thấy mức thuế tôi phải đóng theo phương án mới là công bằng (người thu nhập như tôi đóng mức này là hợp lý). - HUMAN-TRU2]]</f>
        <v>9</v>
      </c>
      <c r="AB38">
        <f t="shared" si="15"/>
        <v>0.88888888888888884</v>
      </c>
      <c r="AC38">
        <f>step3_validation[[#This Row],[AI_TRU3]]</f>
        <v>6</v>
      </c>
      <c r="AD38">
        <f t="shared" si="16"/>
        <v>0.55555555555555558</v>
      </c>
      <c r="AE38">
        <f>[1]!survey_responses[[#This Row],[Tôi tin tưởng số tiền thuế tôi đóng sẽ được Nhà nước sử dụng hiệu quả để cải thiện dịch vụ công (y tế, đường xá...). - HUMAN-TRU3]]</f>
        <v>9</v>
      </c>
      <c r="AF38">
        <f t="shared" si="17"/>
        <v>0.88888888888888884</v>
      </c>
      <c r="AG38">
        <f>step3_validation[[#This Row],[AI_TRU4]]</f>
        <v>4</v>
      </c>
      <c r="AH38">
        <f t="shared" si="18"/>
        <v>0.33333333333333331</v>
      </c>
      <c r="AI38">
        <f>[1]!survey_responses[[#This Row],[Tôi thấy Nhà nước đã giải thích rõ ràng, minh bạch về lý do và mục tiêu của việc sửa đổi thuế lần này. - HUMAN-TRU4]]</f>
        <v>9</v>
      </c>
      <c r="AJ38">
        <f t="shared" si="19"/>
        <v>0.88888888888888884</v>
      </c>
      <c r="AK38" s="32">
        <f t="shared" si="20"/>
        <v>0.47222222222222221</v>
      </c>
      <c r="AL38" s="32">
        <f t="shared" si="21"/>
        <v>0.88888888888888884</v>
      </c>
      <c r="AM38" s="7">
        <f t="shared" si="22"/>
        <v>0.67592592592592593</v>
      </c>
      <c r="AN38" s="7">
        <f t="shared" si="23"/>
        <v>0.96296296296296291</v>
      </c>
      <c r="AO38">
        <f>step3_validation[[#This Row],[AI_OUT1]]</f>
        <v>5</v>
      </c>
      <c r="AP38">
        <f t="shared" si="24"/>
        <v>0.44444444444444442</v>
      </c>
      <c r="AQ38">
        <f>[1]!survey_responses[[#This Row],[Sau khi xem xét các quyền lợi và nghĩa vụ, bạn có ủng hộ và tuân thủ chính sách mới hiện nay? - HUMAN-OUT1]]</f>
        <v>8</v>
      </c>
      <c r="AR38">
        <f t="shared" si="25"/>
        <v>0.77777777777777779</v>
      </c>
      <c r="AS38" s="32">
        <f t="shared" si="26"/>
        <v>3</v>
      </c>
    </row>
    <row r="39" spans="1:45" x14ac:dyDescent="0.45">
      <c r="A39">
        <f>step3_validation[[#This Row],[AI_ENF1]]</f>
        <v>7</v>
      </c>
      <c r="B39">
        <f t="shared" si="0"/>
        <v>0.66666666666666663</v>
      </c>
      <c r="C39">
        <f>[1]!survey_responses[[#This Row],[Tôi tin rằng với các quy định quản lý thuế hiện nay, hành vi gian lận hoặc trốn thuế sẽ dễ dàng bị phát hiện và xử lý nghiêm. - HUMAN-ENF1]]</f>
        <v>8</v>
      </c>
      <c r="D39">
        <f t="shared" si="1"/>
        <v>0.77777777777777779</v>
      </c>
      <c r="E39">
        <f>step3_validation[[#This Row],[AI_ENF2]]</f>
        <v>8</v>
      </c>
      <c r="F39">
        <f t="shared" si="2"/>
        <v>0.77777777777777779</v>
      </c>
      <c r="G39">
        <f>[1]!survey_responses[[#This Row],[Tôi tin rằng Nhà nước, cơ quan thuế có đủ khả năng và công nghệ để phát hiện, xử lý nghiêm các hành vi trốn thuế. - HUMAN-ENF2]]</f>
        <v>8</v>
      </c>
      <c r="H39">
        <f t="shared" si="3"/>
        <v>0.77777777777777779</v>
      </c>
      <c r="I39" s="32">
        <f t="shared" si="4"/>
        <v>0.72222222222222221</v>
      </c>
      <c r="J39" s="32">
        <f t="shared" si="5"/>
        <v>0.77777777777777779</v>
      </c>
      <c r="K39">
        <f>step3_validation[[#This Row],[AI_FAC1]]</f>
        <v>6</v>
      </c>
      <c r="L39">
        <f t="shared" si="6"/>
        <v>0.55555555555555558</v>
      </c>
      <c r="M39">
        <f>[1]!survey_responses[[#This Row],[Các thủ tục khai báo thuế VÀ/HOẶC quy trình làm việc với cơ quan thuế đơn giản, tiện lợi, nhanh chóng hơn so với trước đây. - HUMAN-FAC1]]</f>
        <v>8</v>
      </c>
      <c r="N39">
        <f t="shared" si="7"/>
        <v>0.77777777777777779</v>
      </c>
      <c r="O39">
        <f>step3_validation[[#This Row],[AI_FAC2]]</f>
        <v>7</v>
      </c>
      <c r="P39">
        <f t="shared" si="8"/>
        <v>0.66666666666666663</v>
      </c>
      <c r="Q39">
        <f>[1]!survey_responses[[#This Row],[So với trước đây, tôi thấy cách tính thuế và các bậc thuế trong phương án mới đơn giản, dễ hiểu và dễ thực hiện hơn. - HUMAN-FAC2]]</f>
        <v>8</v>
      </c>
      <c r="R39">
        <f t="shared" si="9"/>
        <v>0.77777777777777779</v>
      </c>
      <c r="S39" s="32">
        <f t="shared" si="10"/>
        <v>0.61111111111111116</v>
      </c>
      <c r="T39" s="32">
        <f t="shared" si="11"/>
        <v>0.77777777777777779</v>
      </c>
      <c r="U39">
        <f>step3_validation[[#This Row],[AI_TRU1]]</f>
        <v>5</v>
      </c>
      <c r="V39">
        <f t="shared" si="12"/>
        <v>0.44444444444444442</v>
      </c>
      <c r="W39">
        <f>[1]!survey_responses[[#This Row],[Tôi tin rằng Nhà nước, cơ quan thuế sẽ thực thi chính sách mới một cách khách quan, công tâm và đối xử bình đẳng với mọi người nộp thuế.  - HUMAN-TRU1]]</f>
        <v>8</v>
      </c>
      <c r="X39">
        <f t="shared" si="13"/>
        <v>0.77777777777777779</v>
      </c>
      <c r="Y39">
        <f>step3_validation[[#This Row],[AI_TRU2]]</f>
        <v>6</v>
      </c>
      <c r="Z39">
        <f t="shared" si="14"/>
        <v>0.55555555555555558</v>
      </c>
      <c r="AA39">
        <f>[1]!survey_responses[[#This Row],[Tôi thấy mức thuế tôi phải đóng theo phương án mới là công bằng (người thu nhập như tôi đóng mức này là hợp lý). - HUMAN-TRU2]]</f>
        <v>8</v>
      </c>
      <c r="AB39">
        <f t="shared" si="15"/>
        <v>0.77777777777777779</v>
      </c>
      <c r="AC39">
        <f>step3_validation[[#This Row],[AI_TRU3]]</f>
        <v>4</v>
      </c>
      <c r="AD39">
        <f t="shared" si="16"/>
        <v>0.33333333333333331</v>
      </c>
      <c r="AE39">
        <f>[1]!survey_responses[[#This Row],[Tôi tin tưởng số tiền thuế tôi đóng sẽ được Nhà nước sử dụng hiệu quả để cải thiện dịch vụ công (y tế, đường xá...). - HUMAN-TRU3]]</f>
        <v>8</v>
      </c>
      <c r="AF39">
        <f t="shared" si="17"/>
        <v>0.77777777777777779</v>
      </c>
      <c r="AG39">
        <f>step3_validation[[#This Row],[AI_TRU4]]</f>
        <v>5</v>
      </c>
      <c r="AH39">
        <f t="shared" si="18"/>
        <v>0.44444444444444442</v>
      </c>
      <c r="AI39">
        <f>[1]!survey_responses[[#This Row],[Tôi thấy Nhà nước đã giải thích rõ ràng, minh bạch về lý do và mục tiêu của việc sửa đổi thuế lần này. - HUMAN-TRU4]]</f>
        <v>8</v>
      </c>
      <c r="AJ39">
        <f t="shared" si="19"/>
        <v>0.77777777777777779</v>
      </c>
      <c r="AK39" s="32">
        <f t="shared" si="20"/>
        <v>0.44444444444444442</v>
      </c>
      <c r="AL39" s="32">
        <f t="shared" si="21"/>
        <v>0.77777777777777779</v>
      </c>
      <c r="AM39" s="7">
        <f t="shared" si="22"/>
        <v>0.59259259259259267</v>
      </c>
      <c r="AN39" s="7">
        <f t="shared" si="23"/>
        <v>0.77777777777777779</v>
      </c>
      <c r="AO39">
        <f>step3_validation[[#This Row],[AI_OUT1]]</f>
        <v>6</v>
      </c>
      <c r="AP39">
        <f t="shared" si="24"/>
        <v>0.55555555555555558</v>
      </c>
      <c r="AQ39">
        <f>[1]!survey_responses[[#This Row],[Sau khi xem xét các quyền lợi và nghĩa vụ, bạn có ủng hộ và tuân thủ chính sách mới hiện nay? - HUMAN-OUT1]]</f>
        <v>8</v>
      </c>
      <c r="AR39">
        <f t="shared" si="25"/>
        <v>0.77777777777777779</v>
      </c>
      <c r="AS39" s="32">
        <f t="shared" si="26"/>
        <v>2</v>
      </c>
    </row>
    <row r="40" spans="1:45" x14ac:dyDescent="0.45">
      <c r="A40">
        <f>step3_validation[[#This Row],[AI_ENF1]]</f>
        <v>8</v>
      </c>
      <c r="B40">
        <f t="shared" si="0"/>
        <v>0.77777777777777779</v>
      </c>
      <c r="C40">
        <f>[1]!survey_responses[[#This Row],[Tôi tin rằng với các quy định quản lý thuế hiện nay, hành vi gian lận hoặc trốn thuế sẽ dễ dàng bị phát hiện và xử lý nghiêm. - HUMAN-ENF1]]</f>
        <v>10</v>
      </c>
      <c r="D40">
        <f t="shared" si="1"/>
        <v>1</v>
      </c>
      <c r="E40">
        <f>step3_validation[[#This Row],[AI_ENF2]]</f>
        <v>9</v>
      </c>
      <c r="F40">
        <f t="shared" si="2"/>
        <v>0.88888888888888884</v>
      </c>
      <c r="G40">
        <f>[1]!survey_responses[[#This Row],[Tôi tin rằng Nhà nước, cơ quan thuế có đủ khả năng và công nghệ để phát hiện, xử lý nghiêm các hành vi trốn thuế. - HUMAN-ENF2]]</f>
        <v>10</v>
      </c>
      <c r="H40">
        <f t="shared" si="3"/>
        <v>1</v>
      </c>
      <c r="I40" s="32">
        <f t="shared" si="4"/>
        <v>0.83333333333333326</v>
      </c>
      <c r="J40" s="32">
        <f t="shared" si="5"/>
        <v>1</v>
      </c>
      <c r="K40">
        <f>step3_validation[[#This Row],[AI_FAC1]]</f>
        <v>7</v>
      </c>
      <c r="L40">
        <f t="shared" si="6"/>
        <v>0.66666666666666663</v>
      </c>
      <c r="M40">
        <f>[1]!survey_responses[[#This Row],[Các thủ tục khai báo thuế VÀ/HOẶC quy trình làm việc với cơ quan thuế đơn giản, tiện lợi, nhanh chóng hơn so với trước đây. - HUMAN-FAC1]]</f>
        <v>10</v>
      </c>
      <c r="N40">
        <f t="shared" si="7"/>
        <v>1</v>
      </c>
      <c r="O40">
        <f>step3_validation[[#This Row],[AI_FAC2]]</f>
        <v>8</v>
      </c>
      <c r="P40">
        <f t="shared" si="8"/>
        <v>0.77777777777777779</v>
      </c>
      <c r="Q40">
        <f>[1]!survey_responses[[#This Row],[So với trước đây, tôi thấy cách tính thuế và các bậc thuế trong phương án mới đơn giản, dễ hiểu và dễ thực hiện hơn. - HUMAN-FAC2]]</f>
        <v>10</v>
      </c>
      <c r="R40">
        <f t="shared" si="9"/>
        <v>1</v>
      </c>
      <c r="S40" s="32">
        <f t="shared" si="10"/>
        <v>0.72222222222222221</v>
      </c>
      <c r="T40" s="32">
        <f t="shared" si="11"/>
        <v>1</v>
      </c>
      <c r="U40">
        <f>step3_validation[[#This Row],[AI_TRU1]]</f>
        <v>9</v>
      </c>
      <c r="V40">
        <f t="shared" si="12"/>
        <v>0.88888888888888884</v>
      </c>
      <c r="W40">
        <f>[1]!survey_responses[[#This Row],[Tôi tin rằng Nhà nước, cơ quan thuế sẽ thực thi chính sách mới một cách khách quan, công tâm và đối xử bình đẳng với mọi người nộp thuế.  - HUMAN-TRU1]]</f>
        <v>10</v>
      </c>
      <c r="X40">
        <f t="shared" si="13"/>
        <v>1</v>
      </c>
      <c r="Y40">
        <f>step3_validation[[#This Row],[AI_TRU2]]</f>
        <v>8</v>
      </c>
      <c r="Z40">
        <f t="shared" si="14"/>
        <v>0.77777777777777779</v>
      </c>
      <c r="AA40">
        <f>[1]!survey_responses[[#This Row],[Tôi thấy mức thuế tôi phải đóng theo phương án mới là công bằng (người thu nhập như tôi đóng mức này là hợp lý). - HUMAN-TRU2]]</f>
        <v>10</v>
      </c>
      <c r="AB40">
        <f t="shared" si="15"/>
        <v>1</v>
      </c>
      <c r="AC40">
        <f>step3_validation[[#This Row],[AI_TRU3]]</f>
        <v>9</v>
      </c>
      <c r="AD40">
        <f t="shared" si="16"/>
        <v>0.88888888888888884</v>
      </c>
      <c r="AE40">
        <f>[1]!survey_responses[[#This Row],[Tôi tin tưởng số tiền thuế tôi đóng sẽ được Nhà nước sử dụng hiệu quả để cải thiện dịch vụ công (y tế, đường xá...). - HUMAN-TRU3]]</f>
        <v>10</v>
      </c>
      <c r="AF40">
        <f t="shared" si="17"/>
        <v>1</v>
      </c>
      <c r="AG40">
        <f>step3_validation[[#This Row],[AI_TRU4]]</f>
        <v>7</v>
      </c>
      <c r="AH40">
        <f t="shared" si="18"/>
        <v>0.66666666666666663</v>
      </c>
      <c r="AI40">
        <f>[1]!survey_responses[[#This Row],[Tôi thấy Nhà nước đã giải thích rõ ràng, minh bạch về lý do và mục tiêu của việc sửa đổi thuế lần này. - HUMAN-TRU4]]</f>
        <v>10</v>
      </c>
      <c r="AJ40">
        <f t="shared" si="19"/>
        <v>1</v>
      </c>
      <c r="AK40" s="32">
        <f t="shared" si="20"/>
        <v>0.80555555555555547</v>
      </c>
      <c r="AL40" s="32">
        <f t="shared" si="21"/>
        <v>1</v>
      </c>
      <c r="AM40" s="7">
        <f t="shared" si="22"/>
        <v>0.78703703703703687</v>
      </c>
      <c r="AN40" s="7">
        <f t="shared" si="23"/>
        <v>1</v>
      </c>
      <c r="AO40">
        <f>step3_validation[[#This Row],[AI_OUT1]]</f>
        <v>8</v>
      </c>
      <c r="AP40">
        <f t="shared" si="24"/>
        <v>0.77777777777777779</v>
      </c>
      <c r="AQ40">
        <f>[1]!survey_responses[[#This Row],[Sau khi xem xét các quyền lợi và nghĩa vụ, bạn có ủng hộ và tuân thủ chính sách mới hiện nay? - HUMAN-OUT1]]</f>
        <v>10</v>
      </c>
      <c r="AR40">
        <f t="shared" si="25"/>
        <v>1</v>
      </c>
      <c r="AS40" s="32">
        <f t="shared" si="26"/>
        <v>2</v>
      </c>
    </row>
    <row r="41" spans="1:45" x14ac:dyDescent="0.45">
      <c r="A41">
        <f>step3_validation[[#This Row],[AI_ENF1]]</f>
        <v>7</v>
      </c>
      <c r="B41">
        <f t="shared" si="0"/>
        <v>0.66666666666666663</v>
      </c>
      <c r="C41">
        <f>[1]!survey_responses[[#This Row],[Tôi tin rằng với các quy định quản lý thuế hiện nay, hành vi gian lận hoặc trốn thuế sẽ dễ dàng bị phát hiện và xử lý nghiêm. - HUMAN-ENF1]]</f>
        <v>8</v>
      </c>
      <c r="D41">
        <f t="shared" si="1"/>
        <v>0.77777777777777779</v>
      </c>
      <c r="E41">
        <f>step3_validation[[#This Row],[AI_ENF2]]</f>
        <v>6</v>
      </c>
      <c r="F41">
        <f t="shared" si="2"/>
        <v>0.55555555555555558</v>
      </c>
      <c r="G41">
        <f>[1]!survey_responses[[#This Row],[Tôi tin rằng Nhà nước, cơ quan thuế có đủ khả năng và công nghệ để phát hiện, xử lý nghiêm các hành vi trốn thuế. - HUMAN-ENF2]]</f>
        <v>8</v>
      </c>
      <c r="H41">
        <f t="shared" si="3"/>
        <v>0.77777777777777779</v>
      </c>
      <c r="I41" s="32">
        <f t="shared" si="4"/>
        <v>0.61111111111111116</v>
      </c>
      <c r="J41" s="32">
        <f t="shared" si="5"/>
        <v>0.77777777777777779</v>
      </c>
      <c r="K41">
        <f>step3_validation[[#This Row],[AI_FAC1]]</f>
        <v>8</v>
      </c>
      <c r="L41">
        <f t="shared" si="6"/>
        <v>0.77777777777777779</v>
      </c>
      <c r="M41">
        <f>[1]!survey_responses[[#This Row],[Các thủ tục khai báo thuế VÀ/HOẶC quy trình làm việc với cơ quan thuế đơn giản, tiện lợi, nhanh chóng hơn so với trước đây. - HUMAN-FAC1]]</f>
        <v>6</v>
      </c>
      <c r="N41">
        <f t="shared" si="7"/>
        <v>0.55555555555555558</v>
      </c>
      <c r="O41">
        <f>step3_validation[[#This Row],[AI_FAC2]]</f>
        <v>9</v>
      </c>
      <c r="P41">
        <f t="shared" si="8"/>
        <v>0.88888888888888884</v>
      </c>
      <c r="Q41">
        <f>[1]!survey_responses[[#This Row],[So với trước đây, tôi thấy cách tính thuế và các bậc thuế trong phương án mới đơn giản, dễ hiểu và dễ thực hiện hơn. - HUMAN-FAC2]]</f>
        <v>8</v>
      </c>
      <c r="R41">
        <f t="shared" si="9"/>
        <v>0.77777777777777779</v>
      </c>
      <c r="S41" s="32">
        <f t="shared" si="10"/>
        <v>0.83333333333333326</v>
      </c>
      <c r="T41" s="32">
        <f t="shared" si="11"/>
        <v>0.66666666666666674</v>
      </c>
      <c r="U41">
        <f>step3_validation[[#This Row],[AI_TRU1]]</f>
        <v>6</v>
      </c>
      <c r="V41">
        <f t="shared" si="12"/>
        <v>0.55555555555555558</v>
      </c>
      <c r="W41">
        <f>[1]!survey_responses[[#This Row],[Tôi tin rằng Nhà nước, cơ quan thuế sẽ thực thi chính sách mới một cách khách quan, công tâm và đối xử bình đẳng với mọi người nộp thuế.  - HUMAN-TRU1]]</f>
        <v>7</v>
      </c>
      <c r="X41">
        <f t="shared" si="13"/>
        <v>0.66666666666666663</v>
      </c>
      <c r="Y41">
        <f>step3_validation[[#This Row],[AI_TRU2]]</f>
        <v>7</v>
      </c>
      <c r="Z41">
        <f t="shared" si="14"/>
        <v>0.66666666666666663</v>
      </c>
      <c r="AA41">
        <f>[1]!survey_responses[[#This Row],[Tôi thấy mức thuế tôi phải đóng theo phương án mới là công bằng (người thu nhập như tôi đóng mức này là hợp lý). - HUMAN-TRU2]]</f>
        <v>8</v>
      </c>
      <c r="AB41">
        <f t="shared" si="15"/>
        <v>0.77777777777777779</v>
      </c>
      <c r="AC41">
        <f>step3_validation[[#This Row],[AI_TRU3]]</f>
        <v>6</v>
      </c>
      <c r="AD41">
        <f t="shared" si="16"/>
        <v>0.55555555555555558</v>
      </c>
      <c r="AE41">
        <f>[1]!survey_responses[[#This Row],[Tôi tin tưởng số tiền thuế tôi đóng sẽ được Nhà nước sử dụng hiệu quả để cải thiện dịch vụ công (y tế, đường xá...). - HUMAN-TRU3]]</f>
        <v>5</v>
      </c>
      <c r="AF41">
        <f t="shared" si="17"/>
        <v>0.44444444444444442</v>
      </c>
      <c r="AG41">
        <f>step3_validation[[#This Row],[AI_TRU4]]</f>
        <v>5</v>
      </c>
      <c r="AH41">
        <f t="shared" si="18"/>
        <v>0.44444444444444442</v>
      </c>
      <c r="AI41">
        <f>[1]!survey_responses[[#This Row],[Tôi thấy Nhà nước đã giải thích rõ ràng, minh bạch về lý do và mục tiêu của việc sửa đổi thuế lần này. - HUMAN-TRU4]]</f>
        <v>6</v>
      </c>
      <c r="AJ41">
        <f t="shared" si="19"/>
        <v>0.55555555555555558</v>
      </c>
      <c r="AK41" s="32">
        <f t="shared" si="20"/>
        <v>0.55555555555555558</v>
      </c>
      <c r="AL41" s="32">
        <f t="shared" si="21"/>
        <v>0.61111111111111116</v>
      </c>
      <c r="AM41" s="7">
        <f t="shared" si="22"/>
        <v>0.66666666666666663</v>
      </c>
      <c r="AN41" s="7">
        <f t="shared" si="23"/>
        <v>0.68518518518518523</v>
      </c>
      <c r="AO41">
        <f>step3_validation[[#This Row],[AI_OUT1]]</f>
        <v>7</v>
      </c>
      <c r="AP41">
        <f t="shared" si="24"/>
        <v>0.66666666666666663</v>
      </c>
      <c r="AQ41">
        <f>[1]!survey_responses[[#This Row],[Sau khi xem xét các quyền lợi và nghĩa vụ, bạn có ủng hộ và tuân thủ chính sách mới hiện nay? - HUMAN-OUT1]]</f>
        <v>7</v>
      </c>
      <c r="AR41">
        <f t="shared" si="25"/>
        <v>0.66666666666666663</v>
      </c>
      <c r="AS41" s="32">
        <f t="shared" si="26"/>
        <v>0</v>
      </c>
    </row>
    <row r="42" spans="1:45" x14ac:dyDescent="0.45">
      <c r="A42">
        <f>step3_validation[[#This Row],[AI_ENF1]]</f>
        <v>7</v>
      </c>
      <c r="B42">
        <f t="shared" si="0"/>
        <v>0.66666666666666663</v>
      </c>
      <c r="C42">
        <f>[1]!survey_responses[[#This Row],[Tôi tin rằng với các quy định quản lý thuế hiện nay, hành vi gian lận hoặc trốn thuế sẽ dễ dàng bị phát hiện và xử lý nghiêm. - HUMAN-ENF1]]</f>
        <v>9</v>
      </c>
      <c r="D42">
        <f t="shared" si="1"/>
        <v>0.88888888888888884</v>
      </c>
      <c r="E42">
        <f>step3_validation[[#This Row],[AI_ENF2]]</f>
        <v>6</v>
      </c>
      <c r="F42">
        <f t="shared" si="2"/>
        <v>0.55555555555555558</v>
      </c>
      <c r="G42">
        <f>[1]!survey_responses[[#This Row],[Tôi tin rằng Nhà nước, cơ quan thuế có đủ khả năng và công nghệ để phát hiện, xử lý nghiêm các hành vi trốn thuế. - HUMAN-ENF2]]</f>
        <v>8</v>
      </c>
      <c r="H42">
        <f t="shared" si="3"/>
        <v>0.77777777777777779</v>
      </c>
      <c r="I42" s="32">
        <f t="shared" si="4"/>
        <v>0.61111111111111116</v>
      </c>
      <c r="J42" s="32">
        <f t="shared" si="5"/>
        <v>0.83333333333333326</v>
      </c>
      <c r="K42">
        <f>step3_validation[[#This Row],[AI_FAC1]]</f>
        <v>8</v>
      </c>
      <c r="L42">
        <f t="shared" si="6"/>
        <v>0.77777777777777779</v>
      </c>
      <c r="M42">
        <f>[1]!survey_responses[[#This Row],[Các thủ tục khai báo thuế VÀ/HOẶC quy trình làm việc với cơ quan thuế đơn giản, tiện lợi, nhanh chóng hơn so với trước đây. - HUMAN-FAC1]]</f>
        <v>7</v>
      </c>
      <c r="N42">
        <f t="shared" si="7"/>
        <v>0.66666666666666663</v>
      </c>
      <c r="O42">
        <f>step3_validation[[#This Row],[AI_FAC2]]</f>
        <v>9</v>
      </c>
      <c r="P42">
        <f t="shared" si="8"/>
        <v>0.88888888888888884</v>
      </c>
      <c r="Q42">
        <f>[1]!survey_responses[[#This Row],[So với trước đây, tôi thấy cách tính thuế và các bậc thuế trong phương án mới đơn giản, dễ hiểu và dễ thực hiện hơn. - HUMAN-FAC2]]</f>
        <v>8</v>
      </c>
      <c r="R42">
        <f t="shared" si="9"/>
        <v>0.77777777777777779</v>
      </c>
      <c r="S42" s="32">
        <f t="shared" si="10"/>
        <v>0.83333333333333326</v>
      </c>
      <c r="T42" s="32">
        <f t="shared" si="11"/>
        <v>0.72222222222222221</v>
      </c>
      <c r="U42">
        <f>step3_validation[[#This Row],[AI_TRU1]]</f>
        <v>5</v>
      </c>
      <c r="V42">
        <f t="shared" si="12"/>
        <v>0.44444444444444442</v>
      </c>
      <c r="W42">
        <f>[1]!survey_responses[[#This Row],[Tôi tin rằng Nhà nước, cơ quan thuế sẽ thực thi chính sách mới một cách khách quan, công tâm và đối xử bình đẳng với mọi người nộp thuế.  - HUMAN-TRU1]]</f>
        <v>7</v>
      </c>
      <c r="X42">
        <f t="shared" si="13"/>
        <v>0.66666666666666663</v>
      </c>
      <c r="Y42">
        <f>step3_validation[[#This Row],[AI_TRU2]]</f>
        <v>6</v>
      </c>
      <c r="Z42">
        <f t="shared" si="14"/>
        <v>0.55555555555555558</v>
      </c>
      <c r="AA42">
        <f>[1]!survey_responses[[#This Row],[Tôi thấy mức thuế tôi phải đóng theo phương án mới là công bằng (người thu nhập như tôi đóng mức này là hợp lý). - HUMAN-TRU2]]</f>
        <v>4</v>
      </c>
      <c r="AB42">
        <f t="shared" si="15"/>
        <v>0.33333333333333331</v>
      </c>
      <c r="AC42">
        <f>step3_validation[[#This Row],[AI_TRU3]]</f>
        <v>4</v>
      </c>
      <c r="AD42">
        <f t="shared" si="16"/>
        <v>0.33333333333333331</v>
      </c>
      <c r="AE42">
        <f>[1]!survey_responses[[#This Row],[Tôi tin tưởng số tiền thuế tôi đóng sẽ được Nhà nước sử dụng hiệu quả để cải thiện dịch vụ công (y tế, đường xá...). - HUMAN-TRU3]]</f>
        <v>2</v>
      </c>
      <c r="AF42">
        <f t="shared" si="17"/>
        <v>0.1111111111111111</v>
      </c>
      <c r="AG42">
        <f>step3_validation[[#This Row],[AI_TRU4]]</f>
        <v>5</v>
      </c>
      <c r="AH42">
        <f t="shared" si="18"/>
        <v>0.44444444444444442</v>
      </c>
      <c r="AI42">
        <f>[1]!survey_responses[[#This Row],[Tôi thấy Nhà nước đã giải thích rõ ràng, minh bạch về lý do và mục tiêu của việc sửa đổi thuế lần này. - HUMAN-TRU4]]</f>
        <v>8</v>
      </c>
      <c r="AJ42">
        <f t="shared" si="19"/>
        <v>0.77777777777777779</v>
      </c>
      <c r="AK42" s="32">
        <f t="shared" si="20"/>
        <v>0.44444444444444442</v>
      </c>
      <c r="AL42" s="32">
        <f t="shared" si="21"/>
        <v>0.47222222222222221</v>
      </c>
      <c r="AM42" s="7">
        <f t="shared" si="22"/>
        <v>0.62962962962962965</v>
      </c>
      <c r="AN42" s="7">
        <f t="shared" si="23"/>
        <v>0.67592592592592593</v>
      </c>
      <c r="AO42">
        <f>step3_validation[[#This Row],[AI_OUT1]]</f>
        <v>6</v>
      </c>
      <c r="AP42">
        <f t="shared" si="24"/>
        <v>0.55555555555555558</v>
      </c>
      <c r="AQ42">
        <f>[1]!survey_responses[[#This Row],[Sau khi xem xét các quyền lợi và nghĩa vụ, bạn có ủng hộ và tuân thủ chính sách mới hiện nay? - HUMAN-OUT1]]</f>
        <v>8</v>
      </c>
      <c r="AR42">
        <f t="shared" si="25"/>
        <v>0.77777777777777779</v>
      </c>
      <c r="AS42" s="32">
        <f t="shared" si="26"/>
        <v>2</v>
      </c>
    </row>
    <row r="43" spans="1:45" x14ac:dyDescent="0.45">
      <c r="A43">
        <f>step3_validation[[#This Row],[AI_ENF1]]</f>
        <v>7</v>
      </c>
      <c r="B43">
        <f t="shared" si="0"/>
        <v>0.66666666666666663</v>
      </c>
      <c r="C43">
        <f>[1]!survey_responses[[#This Row],[Tôi tin rằng với các quy định quản lý thuế hiện nay, hành vi gian lận hoặc trốn thuế sẽ dễ dàng bị phát hiện và xử lý nghiêm. - HUMAN-ENF1]]</f>
        <v>10</v>
      </c>
      <c r="D43">
        <f t="shared" si="1"/>
        <v>1</v>
      </c>
      <c r="E43">
        <f>step3_validation[[#This Row],[AI_ENF2]]</f>
        <v>6</v>
      </c>
      <c r="F43">
        <f t="shared" si="2"/>
        <v>0.55555555555555558</v>
      </c>
      <c r="G43">
        <f>[1]!survey_responses[[#This Row],[Tôi tin rằng Nhà nước, cơ quan thuế có đủ khả năng và công nghệ để phát hiện, xử lý nghiêm các hành vi trốn thuế. - HUMAN-ENF2]]</f>
        <v>10</v>
      </c>
      <c r="H43">
        <f t="shared" si="3"/>
        <v>1</v>
      </c>
      <c r="I43" s="32">
        <f t="shared" si="4"/>
        <v>0.61111111111111116</v>
      </c>
      <c r="J43" s="32">
        <f t="shared" si="5"/>
        <v>1</v>
      </c>
      <c r="K43">
        <f>step3_validation[[#This Row],[AI_FAC1]]</f>
        <v>8</v>
      </c>
      <c r="L43">
        <f t="shared" si="6"/>
        <v>0.77777777777777779</v>
      </c>
      <c r="M43">
        <f>[1]!survey_responses[[#This Row],[Các thủ tục khai báo thuế VÀ/HOẶC quy trình làm việc với cơ quan thuế đơn giản, tiện lợi, nhanh chóng hơn so với trước đây. - HUMAN-FAC1]]</f>
        <v>9</v>
      </c>
      <c r="N43">
        <f t="shared" si="7"/>
        <v>0.88888888888888884</v>
      </c>
      <c r="O43">
        <f>step3_validation[[#This Row],[AI_FAC2]]</f>
        <v>9</v>
      </c>
      <c r="P43">
        <f t="shared" si="8"/>
        <v>0.88888888888888884</v>
      </c>
      <c r="Q43">
        <f>[1]!survey_responses[[#This Row],[So với trước đây, tôi thấy cách tính thuế và các bậc thuế trong phương án mới đơn giản, dễ hiểu và dễ thực hiện hơn. - HUMAN-FAC2]]</f>
        <v>8</v>
      </c>
      <c r="R43">
        <f t="shared" si="9"/>
        <v>0.77777777777777779</v>
      </c>
      <c r="S43" s="32">
        <f t="shared" si="10"/>
        <v>0.83333333333333326</v>
      </c>
      <c r="T43" s="32">
        <f t="shared" si="11"/>
        <v>0.83333333333333326</v>
      </c>
      <c r="U43">
        <f>step3_validation[[#This Row],[AI_TRU1]]</f>
        <v>8</v>
      </c>
      <c r="V43">
        <f t="shared" si="12"/>
        <v>0.77777777777777779</v>
      </c>
      <c r="W43">
        <f>[1]!survey_responses[[#This Row],[Tôi tin rằng Nhà nước, cơ quan thuế sẽ thực thi chính sách mới một cách khách quan, công tâm và đối xử bình đẳng với mọi người nộp thuế.  - HUMAN-TRU1]]</f>
        <v>7</v>
      </c>
      <c r="X43">
        <f t="shared" si="13"/>
        <v>0.66666666666666663</v>
      </c>
      <c r="Y43">
        <f>step3_validation[[#This Row],[AI_TRU2]]</f>
        <v>7</v>
      </c>
      <c r="Z43">
        <f t="shared" si="14"/>
        <v>0.66666666666666663</v>
      </c>
      <c r="AA43">
        <f>[1]!survey_responses[[#This Row],[Tôi thấy mức thuế tôi phải đóng theo phương án mới là công bằng (người thu nhập như tôi đóng mức này là hợp lý). - HUMAN-TRU2]]</f>
        <v>9</v>
      </c>
      <c r="AB43">
        <f t="shared" si="15"/>
        <v>0.88888888888888884</v>
      </c>
      <c r="AC43">
        <f>step3_validation[[#This Row],[AI_TRU3]]</f>
        <v>6</v>
      </c>
      <c r="AD43">
        <f t="shared" si="16"/>
        <v>0.55555555555555558</v>
      </c>
      <c r="AE43">
        <f>[1]!survey_responses[[#This Row],[Tôi tin tưởng số tiền thuế tôi đóng sẽ được Nhà nước sử dụng hiệu quả để cải thiện dịch vụ công (y tế, đường xá...). - HUMAN-TRU3]]</f>
        <v>9</v>
      </c>
      <c r="AF43">
        <f t="shared" si="17"/>
        <v>0.88888888888888884</v>
      </c>
      <c r="AG43">
        <f>step3_validation[[#This Row],[AI_TRU4]]</f>
        <v>5</v>
      </c>
      <c r="AH43">
        <f t="shared" si="18"/>
        <v>0.44444444444444442</v>
      </c>
      <c r="AI43">
        <f>[1]!survey_responses[[#This Row],[Tôi thấy Nhà nước đã giải thích rõ ràng, minh bạch về lý do và mục tiêu của việc sửa đổi thuế lần này. - HUMAN-TRU4]]</f>
        <v>8</v>
      </c>
      <c r="AJ43">
        <f t="shared" si="19"/>
        <v>0.77777777777777779</v>
      </c>
      <c r="AK43" s="32">
        <f t="shared" si="20"/>
        <v>0.61111111111111116</v>
      </c>
      <c r="AL43" s="32">
        <f t="shared" si="21"/>
        <v>0.80555555555555547</v>
      </c>
      <c r="AM43" s="7">
        <f t="shared" si="22"/>
        <v>0.68518518518518512</v>
      </c>
      <c r="AN43" s="7">
        <f t="shared" si="23"/>
        <v>0.87962962962962965</v>
      </c>
      <c r="AO43">
        <f>step3_validation[[#This Row],[AI_OUT1]]</f>
        <v>7</v>
      </c>
      <c r="AP43">
        <f t="shared" si="24"/>
        <v>0.66666666666666663</v>
      </c>
      <c r="AQ43">
        <f>[1]!survey_responses[[#This Row],[Sau khi xem xét các quyền lợi và nghĩa vụ, bạn có ủng hộ và tuân thủ chính sách mới hiện nay? - HUMAN-OUT1]]</f>
        <v>8</v>
      </c>
      <c r="AR43">
        <f t="shared" si="25"/>
        <v>0.77777777777777779</v>
      </c>
      <c r="AS43" s="32">
        <f t="shared" si="26"/>
        <v>1</v>
      </c>
    </row>
    <row r="44" spans="1:45" x14ac:dyDescent="0.45">
      <c r="A44">
        <f>step3_validation[[#This Row],[AI_ENF1]]</f>
        <v>8</v>
      </c>
      <c r="B44">
        <f t="shared" si="0"/>
        <v>0.77777777777777779</v>
      </c>
      <c r="C44">
        <f>[1]!survey_responses[[#This Row],[Tôi tin rằng với các quy định quản lý thuế hiện nay, hành vi gian lận hoặc trốn thuế sẽ dễ dàng bị phát hiện và xử lý nghiêm. - HUMAN-ENF1]]</f>
        <v>6</v>
      </c>
      <c r="D44">
        <f t="shared" si="1"/>
        <v>0.55555555555555558</v>
      </c>
      <c r="E44">
        <f>step3_validation[[#This Row],[AI_ENF2]]</f>
        <v>7</v>
      </c>
      <c r="F44">
        <f t="shared" si="2"/>
        <v>0.66666666666666663</v>
      </c>
      <c r="G44">
        <f>[1]!survey_responses[[#This Row],[Tôi tin rằng Nhà nước, cơ quan thuế có đủ khả năng và công nghệ để phát hiện, xử lý nghiêm các hành vi trốn thuế. - HUMAN-ENF2]]</f>
        <v>6</v>
      </c>
      <c r="H44">
        <f t="shared" si="3"/>
        <v>0.55555555555555558</v>
      </c>
      <c r="I44" s="32">
        <f t="shared" si="4"/>
        <v>0.72222222222222221</v>
      </c>
      <c r="J44" s="32">
        <f t="shared" si="5"/>
        <v>0.55555555555555558</v>
      </c>
      <c r="K44">
        <f>step3_validation[[#This Row],[AI_FAC1]]</f>
        <v>9</v>
      </c>
      <c r="L44">
        <f t="shared" si="6"/>
        <v>0.88888888888888884</v>
      </c>
      <c r="M44">
        <f>[1]!survey_responses[[#This Row],[Các thủ tục khai báo thuế VÀ/HOẶC quy trình làm việc với cơ quan thuế đơn giản, tiện lợi, nhanh chóng hơn so với trước đây. - HUMAN-FAC1]]</f>
        <v>8</v>
      </c>
      <c r="N44">
        <f t="shared" si="7"/>
        <v>0.77777777777777779</v>
      </c>
      <c r="O44">
        <f>step3_validation[[#This Row],[AI_FAC2]]</f>
        <v>8</v>
      </c>
      <c r="P44">
        <f t="shared" si="8"/>
        <v>0.77777777777777779</v>
      </c>
      <c r="Q44">
        <f>[1]!survey_responses[[#This Row],[So với trước đây, tôi thấy cách tính thuế và các bậc thuế trong phương án mới đơn giản, dễ hiểu và dễ thực hiện hơn. - HUMAN-FAC2]]</f>
        <v>10</v>
      </c>
      <c r="R44">
        <f t="shared" si="9"/>
        <v>1</v>
      </c>
      <c r="S44" s="32">
        <f t="shared" si="10"/>
        <v>0.83333333333333326</v>
      </c>
      <c r="T44" s="32">
        <f t="shared" si="11"/>
        <v>0.88888888888888884</v>
      </c>
      <c r="U44">
        <f>step3_validation[[#This Row],[AI_TRU1]]</f>
        <v>7</v>
      </c>
      <c r="V44">
        <f t="shared" si="12"/>
        <v>0.66666666666666663</v>
      </c>
      <c r="W44">
        <f>[1]!survey_responses[[#This Row],[Tôi tin rằng Nhà nước, cơ quan thuế sẽ thực thi chính sách mới một cách khách quan, công tâm và đối xử bình đẳng với mọi người nộp thuế.  - HUMAN-TRU1]]</f>
        <v>9</v>
      </c>
      <c r="X44">
        <f t="shared" si="13"/>
        <v>0.88888888888888884</v>
      </c>
      <c r="Y44">
        <f>step3_validation[[#This Row],[AI_TRU2]]</f>
        <v>8</v>
      </c>
      <c r="Z44">
        <f t="shared" si="14"/>
        <v>0.77777777777777779</v>
      </c>
      <c r="AA44">
        <f>[1]!survey_responses[[#This Row],[Tôi thấy mức thuế tôi phải đóng theo phương án mới là công bằng (người thu nhập như tôi đóng mức này là hợp lý). - HUMAN-TRU2]]</f>
        <v>1</v>
      </c>
      <c r="AB44">
        <f t="shared" si="15"/>
        <v>0</v>
      </c>
      <c r="AC44">
        <f>step3_validation[[#This Row],[AI_TRU3]]</f>
        <v>6</v>
      </c>
      <c r="AD44">
        <f t="shared" si="16"/>
        <v>0.55555555555555558</v>
      </c>
      <c r="AE44">
        <f>[1]!survey_responses[[#This Row],[Tôi tin tưởng số tiền thuế tôi đóng sẽ được Nhà nước sử dụng hiệu quả để cải thiện dịch vụ công (y tế, đường xá...). - HUMAN-TRU3]]</f>
        <v>7</v>
      </c>
      <c r="AF44">
        <f t="shared" si="17"/>
        <v>0.66666666666666663</v>
      </c>
      <c r="AG44">
        <f>step3_validation[[#This Row],[AI_TRU4]]</f>
        <v>7</v>
      </c>
      <c r="AH44">
        <f t="shared" si="18"/>
        <v>0.66666666666666663</v>
      </c>
      <c r="AI44">
        <f>[1]!survey_responses[[#This Row],[Tôi thấy Nhà nước đã giải thích rõ ràng, minh bạch về lý do và mục tiêu của việc sửa đổi thuế lần này. - HUMAN-TRU4]]</f>
        <v>7</v>
      </c>
      <c r="AJ44">
        <f t="shared" si="19"/>
        <v>0.66666666666666663</v>
      </c>
      <c r="AK44" s="32">
        <f t="shared" si="20"/>
        <v>0.66666666666666663</v>
      </c>
      <c r="AL44" s="32">
        <f t="shared" si="21"/>
        <v>0.55555555555555547</v>
      </c>
      <c r="AM44" s="7">
        <f t="shared" si="22"/>
        <v>0.74074074074074059</v>
      </c>
      <c r="AN44" s="7">
        <f t="shared" si="23"/>
        <v>0.66666666666666663</v>
      </c>
      <c r="AO44">
        <f>step3_validation[[#This Row],[AI_OUT1]]</f>
        <v>8</v>
      </c>
      <c r="AP44">
        <f t="shared" si="24"/>
        <v>0.77777777777777779</v>
      </c>
      <c r="AQ44">
        <f>[1]!survey_responses[[#This Row],[Sau khi xem xét các quyền lợi và nghĩa vụ, bạn có ủng hộ và tuân thủ chính sách mới hiện nay? - HUMAN-OUT1]]</f>
        <v>8</v>
      </c>
      <c r="AR44">
        <f t="shared" si="25"/>
        <v>0.77777777777777779</v>
      </c>
      <c r="AS44" s="32">
        <f t="shared" si="26"/>
        <v>0</v>
      </c>
    </row>
    <row r="45" spans="1:45" x14ac:dyDescent="0.45">
      <c r="A45">
        <f>step3_validation[[#This Row],[AI_ENF1]]</f>
        <v>9</v>
      </c>
      <c r="B45">
        <f t="shared" si="0"/>
        <v>0.88888888888888884</v>
      </c>
      <c r="C45">
        <f>[1]!survey_responses[[#This Row],[Tôi tin rằng với các quy định quản lý thuế hiện nay, hành vi gian lận hoặc trốn thuế sẽ dễ dàng bị phát hiện và xử lý nghiêm. - HUMAN-ENF1]]</f>
        <v>8</v>
      </c>
      <c r="D45">
        <f t="shared" si="1"/>
        <v>0.77777777777777779</v>
      </c>
      <c r="E45">
        <f>step3_validation[[#This Row],[AI_ENF2]]</f>
        <v>8</v>
      </c>
      <c r="F45">
        <f t="shared" si="2"/>
        <v>0.77777777777777779</v>
      </c>
      <c r="G45">
        <f>[1]!survey_responses[[#This Row],[Tôi tin rằng Nhà nước, cơ quan thuế có đủ khả năng và công nghệ để phát hiện, xử lý nghiêm các hành vi trốn thuế. - HUMAN-ENF2]]</f>
        <v>8</v>
      </c>
      <c r="H45">
        <f t="shared" si="3"/>
        <v>0.77777777777777779</v>
      </c>
      <c r="I45" s="32">
        <f t="shared" si="4"/>
        <v>0.83333333333333326</v>
      </c>
      <c r="J45" s="32">
        <f t="shared" si="5"/>
        <v>0.77777777777777779</v>
      </c>
      <c r="K45">
        <f>step3_validation[[#This Row],[AI_FAC1]]</f>
        <v>8</v>
      </c>
      <c r="L45">
        <f t="shared" si="6"/>
        <v>0.77777777777777779</v>
      </c>
      <c r="M45">
        <f>[1]!survey_responses[[#This Row],[Các thủ tục khai báo thuế VÀ/HOẶC quy trình làm việc với cơ quan thuế đơn giản, tiện lợi, nhanh chóng hơn so với trước đây. - HUMAN-FAC1]]</f>
        <v>8</v>
      </c>
      <c r="N45">
        <f t="shared" si="7"/>
        <v>0.77777777777777779</v>
      </c>
      <c r="O45">
        <f>step3_validation[[#This Row],[AI_FAC2]]</f>
        <v>7</v>
      </c>
      <c r="P45">
        <f t="shared" si="8"/>
        <v>0.66666666666666663</v>
      </c>
      <c r="Q45">
        <f>[1]!survey_responses[[#This Row],[So với trước đây, tôi thấy cách tính thuế và các bậc thuế trong phương án mới đơn giản, dễ hiểu và dễ thực hiện hơn. - HUMAN-FAC2]]</f>
        <v>8</v>
      </c>
      <c r="R45">
        <f t="shared" si="9"/>
        <v>0.77777777777777779</v>
      </c>
      <c r="S45" s="32">
        <f t="shared" si="10"/>
        <v>0.72222222222222221</v>
      </c>
      <c r="T45" s="32">
        <f t="shared" si="11"/>
        <v>0.77777777777777779</v>
      </c>
      <c r="U45">
        <f>step3_validation[[#This Row],[AI_TRU1]]</f>
        <v>8</v>
      </c>
      <c r="V45">
        <f t="shared" si="12"/>
        <v>0.77777777777777779</v>
      </c>
      <c r="W45">
        <f>[1]!survey_responses[[#This Row],[Tôi tin rằng Nhà nước, cơ quan thuế sẽ thực thi chính sách mới một cách khách quan, công tâm và đối xử bình đẳng với mọi người nộp thuế.  - HUMAN-TRU1]]</f>
        <v>8</v>
      </c>
      <c r="X45">
        <f t="shared" si="13"/>
        <v>0.77777777777777779</v>
      </c>
      <c r="Y45">
        <f>step3_validation[[#This Row],[AI_TRU2]]</f>
        <v>9</v>
      </c>
      <c r="Z45">
        <f t="shared" si="14"/>
        <v>0.88888888888888884</v>
      </c>
      <c r="AA45">
        <f>[1]!survey_responses[[#This Row],[Tôi thấy mức thuế tôi phải đóng theo phương án mới là công bằng (người thu nhập như tôi đóng mức này là hợp lý). - HUMAN-TRU2]]</f>
        <v>8</v>
      </c>
      <c r="AB45">
        <f t="shared" si="15"/>
        <v>0.77777777777777779</v>
      </c>
      <c r="AC45">
        <f>step3_validation[[#This Row],[AI_TRU3]]</f>
        <v>7</v>
      </c>
      <c r="AD45">
        <f t="shared" si="16"/>
        <v>0.66666666666666663</v>
      </c>
      <c r="AE45">
        <f>[1]!survey_responses[[#This Row],[Tôi tin tưởng số tiền thuế tôi đóng sẽ được Nhà nước sử dụng hiệu quả để cải thiện dịch vụ công (y tế, đường xá...). - HUMAN-TRU3]]</f>
        <v>9</v>
      </c>
      <c r="AF45">
        <f t="shared" si="17"/>
        <v>0.88888888888888884</v>
      </c>
      <c r="AG45">
        <f>step3_validation[[#This Row],[AI_TRU4]]</f>
        <v>8</v>
      </c>
      <c r="AH45">
        <f t="shared" si="18"/>
        <v>0.77777777777777779</v>
      </c>
      <c r="AI45">
        <f>[1]!survey_responses[[#This Row],[Tôi thấy Nhà nước đã giải thích rõ ràng, minh bạch về lý do và mục tiêu của việc sửa đổi thuế lần này. - HUMAN-TRU4]]</f>
        <v>5</v>
      </c>
      <c r="AJ45">
        <f t="shared" si="19"/>
        <v>0.44444444444444442</v>
      </c>
      <c r="AK45" s="32">
        <f t="shared" si="20"/>
        <v>0.77777777777777768</v>
      </c>
      <c r="AL45" s="32">
        <f t="shared" si="21"/>
        <v>0.72222222222222232</v>
      </c>
      <c r="AM45" s="7">
        <f t="shared" si="22"/>
        <v>0.77777777777777768</v>
      </c>
      <c r="AN45" s="7">
        <f t="shared" si="23"/>
        <v>0.75925925925925919</v>
      </c>
      <c r="AO45">
        <f>step3_validation[[#This Row],[AI_OUT1]]</f>
        <v>9</v>
      </c>
      <c r="AP45">
        <f t="shared" si="24"/>
        <v>0.88888888888888884</v>
      </c>
      <c r="AQ45">
        <f>[1]!survey_responses[[#This Row],[Sau khi xem xét các quyền lợi và nghĩa vụ, bạn có ủng hộ và tuân thủ chính sách mới hiện nay? - HUMAN-OUT1]]</f>
        <v>9</v>
      </c>
      <c r="AR45">
        <f t="shared" si="25"/>
        <v>0.88888888888888884</v>
      </c>
      <c r="AS45" s="32">
        <f t="shared" si="26"/>
        <v>0</v>
      </c>
    </row>
    <row r="46" spans="1:45" x14ac:dyDescent="0.45">
      <c r="A46">
        <f>step3_validation[[#This Row],[AI_ENF1]]</f>
        <v>7</v>
      </c>
      <c r="B46">
        <f t="shared" si="0"/>
        <v>0.66666666666666663</v>
      </c>
      <c r="C46">
        <f>[1]!survey_responses[[#This Row],[Tôi tin rằng với các quy định quản lý thuế hiện nay, hành vi gian lận hoặc trốn thuế sẽ dễ dàng bị phát hiện và xử lý nghiêm. - HUMAN-ENF1]]</f>
        <v>10</v>
      </c>
      <c r="D46">
        <f t="shared" si="1"/>
        <v>1</v>
      </c>
      <c r="E46">
        <f>step3_validation[[#This Row],[AI_ENF2]]</f>
        <v>8</v>
      </c>
      <c r="F46">
        <f t="shared" si="2"/>
        <v>0.77777777777777779</v>
      </c>
      <c r="G46">
        <f>[1]!survey_responses[[#This Row],[Tôi tin rằng Nhà nước, cơ quan thuế có đủ khả năng và công nghệ để phát hiện, xử lý nghiêm các hành vi trốn thuế. - HUMAN-ENF2]]</f>
        <v>10</v>
      </c>
      <c r="H46">
        <f t="shared" si="3"/>
        <v>1</v>
      </c>
      <c r="I46" s="32">
        <f t="shared" si="4"/>
        <v>0.72222222222222221</v>
      </c>
      <c r="J46" s="32">
        <f t="shared" si="5"/>
        <v>1</v>
      </c>
      <c r="K46">
        <f>step3_validation[[#This Row],[AI_FAC1]]</f>
        <v>6</v>
      </c>
      <c r="L46">
        <f t="shared" si="6"/>
        <v>0.55555555555555558</v>
      </c>
      <c r="M46">
        <f>[1]!survey_responses[[#This Row],[Các thủ tục khai báo thuế VÀ/HOẶC quy trình làm việc với cơ quan thuế đơn giản, tiện lợi, nhanh chóng hơn so với trước đây. - HUMAN-FAC1]]</f>
        <v>10</v>
      </c>
      <c r="N46">
        <f t="shared" si="7"/>
        <v>1</v>
      </c>
      <c r="O46">
        <f>step3_validation[[#This Row],[AI_FAC2]]</f>
        <v>7</v>
      </c>
      <c r="P46">
        <f t="shared" si="8"/>
        <v>0.66666666666666663</v>
      </c>
      <c r="Q46">
        <f>[1]!survey_responses[[#This Row],[So với trước đây, tôi thấy cách tính thuế và các bậc thuế trong phương án mới đơn giản, dễ hiểu và dễ thực hiện hơn. - HUMAN-FAC2]]</f>
        <v>9</v>
      </c>
      <c r="R46">
        <f t="shared" si="9"/>
        <v>0.88888888888888884</v>
      </c>
      <c r="S46" s="32">
        <f t="shared" si="10"/>
        <v>0.61111111111111116</v>
      </c>
      <c r="T46" s="32">
        <f t="shared" si="11"/>
        <v>0.94444444444444442</v>
      </c>
      <c r="U46">
        <f>step3_validation[[#This Row],[AI_TRU1]]</f>
        <v>6</v>
      </c>
      <c r="V46">
        <f t="shared" si="12"/>
        <v>0.55555555555555558</v>
      </c>
      <c r="W46">
        <f>[1]!survey_responses[[#This Row],[Tôi tin rằng Nhà nước, cơ quan thuế sẽ thực thi chính sách mới một cách khách quan, công tâm và đối xử bình đẳng với mọi người nộp thuế.  - HUMAN-TRU1]]</f>
        <v>10</v>
      </c>
      <c r="X46">
        <f t="shared" si="13"/>
        <v>1</v>
      </c>
      <c r="Y46">
        <f>step3_validation[[#This Row],[AI_TRU2]]</f>
        <v>5</v>
      </c>
      <c r="Z46">
        <f t="shared" si="14"/>
        <v>0.44444444444444442</v>
      </c>
      <c r="AA46">
        <f>[1]!survey_responses[[#This Row],[Tôi thấy mức thuế tôi phải đóng theo phương án mới là công bằng (người thu nhập như tôi đóng mức này là hợp lý). - HUMAN-TRU2]]</f>
        <v>10</v>
      </c>
      <c r="AB46">
        <f t="shared" si="15"/>
        <v>1</v>
      </c>
      <c r="AC46">
        <f>step3_validation[[#This Row],[AI_TRU3]]</f>
        <v>5</v>
      </c>
      <c r="AD46">
        <f t="shared" si="16"/>
        <v>0.44444444444444442</v>
      </c>
      <c r="AE46">
        <f>[1]!survey_responses[[#This Row],[Tôi tin tưởng số tiền thuế tôi đóng sẽ được Nhà nước sử dụng hiệu quả để cải thiện dịch vụ công (y tế, đường xá...). - HUMAN-TRU3]]</f>
        <v>10</v>
      </c>
      <c r="AF46">
        <f t="shared" si="17"/>
        <v>1</v>
      </c>
      <c r="AG46">
        <f>step3_validation[[#This Row],[AI_TRU4]]</f>
        <v>6</v>
      </c>
      <c r="AH46">
        <f t="shared" si="18"/>
        <v>0.55555555555555558</v>
      </c>
      <c r="AI46">
        <f>[1]!survey_responses[[#This Row],[Tôi thấy Nhà nước đã giải thích rõ ràng, minh bạch về lý do và mục tiêu của việc sửa đổi thuế lần này. - HUMAN-TRU4]]</f>
        <v>10</v>
      </c>
      <c r="AJ46">
        <f t="shared" si="19"/>
        <v>1</v>
      </c>
      <c r="AK46" s="32">
        <f t="shared" si="20"/>
        <v>0.5</v>
      </c>
      <c r="AL46" s="32">
        <f t="shared" si="21"/>
        <v>1</v>
      </c>
      <c r="AM46" s="7">
        <f t="shared" si="22"/>
        <v>0.61111111111111116</v>
      </c>
      <c r="AN46" s="7">
        <f t="shared" si="23"/>
        <v>0.98148148148148151</v>
      </c>
      <c r="AO46">
        <f>step3_validation[[#This Row],[AI_OUT1]]</f>
        <v>6</v>
      </c>
      <c r="AP46">
        <f t="shared" si="24"/>
        <v>0.55555555555555558</v>
      </c>
      <c r="AQ46">
        <f>[1]!survey_responses[[#This Row],[Sau khi xem xét các quyền lợi và nghĩa vụ, bạn có ủng hộ và tuân thủ chính sách mới hiện nay? - HUMAN-OUT1]]</f>
        <v>10</v>
      </c>
      <c r="AR46">
        <f t="shared" si="25"/>
        <v>1</v>
      </c>
      <c r="AS46" s="32">
        <f t="shared" si="26"/>
        <v>4</v>
      </c>
    </row>
    <row r="47" spans="1:45" x14ac:dyDescent="0.45">
      <c r="A47">
        <f>step3_validation[[#This Row],[AI_ENF1]]</f>
        <v>6</v>
      </c>
      <c r="B47">
        <f t="shared" si="0"/>
        <v>0.55555555555555558</v>
      </c>
      <c r="C47">
        <f>[1]!survey_responses[[#This Row],[Tôi tin rằng với các quy định quản lý thuế hiện nay, hành vi gian lận hoặc trốn thuế sẽ dễ dàng bị phát hiện và xử lý nghiêm. - HUMAN-ENF1]]</f>
        <v>1</v>
      </c>
      <c r="D47">
        <f t="shared" si="1"/>
        <v>0</v>
      </c>
      <c r="E47">
        <f>step3_validation[[#This Row],[AI_ENF2]]</f>
        <v>7</v>
      </c>
      <c r="F47">
        <f t="shared" si="2"/>
        <v>0.66666666666666663</v>
      </c>
      <c r="G47">
        <f>[1]!survey_responses[[#This Row],[Tôi tin rằng Nhà nước, cơ quan thuế có đủ khả năng và công nghệ để phát hiện, xử lý nghiêm các hành vi trốn thuế. - HUMAN-ENF2]]</f>
        <v>1</v>
      </c>
      <c r="H47">
        <f t="shared" si="3"/>
        <v>0</v>
      </c>
      <c r="I47" s="32">
        <f t="shared" si="4"/>
        <v>0.61111111111111116</v>
      </c>
      <c r="J47" s="32">
        <f t="shared" si="5"/>
        <v>0</v>
      </c>
      <c r="K47">
        <f>step3_validation[[#This Row],[AI_FAC1]]</f>
        <v>6</v>
      </c>
      <c r="L47">
        <f t="shared" si="6"/>
        <v>0.55555555555555558</v>
      </c>
      <c r="M47">
        <f>[1]!survey_responses[[#This Row],[Các thủ tục khai báo thuế VÀ/HOẶC quy trình làm việc với cơ quan thuế đơn giản, tiện lợi, nhanh chóng hơn so với trước đây. - HUMAN-FAC1]]</f>
        <v>2</v>
      </c>
      <c r="N47">
        <f t="shared" si="7"/>
        <v>0.1111111111111111</v>
      </c>
      <c r="O47">
        <f>step3_validation[[#This Row],[AI_FAC2]]</f>
        <v>8</v>
      </c>
      <c r="P47">
        <f t="shared" si="8"/>
        <v>0.77777777777777779</v>
      </c>
      <c r="Q47">
        <f>[1]!survey_responses[[#This Row],[So với trước đây, tôi thấy cách tính thuế và các bậc thuế trong phương án mới đơn giản, dễ hiểu và dễ thực hiện hơn. - HUMAN-FAC2]]</f>
        <v>1</v>
      </c>
      <c r="R47">
        <f t="shared" si="9"/>
        <v>0</v>
      </c>
      <c r="S47" s="32">
        <f t="shared" si="10"/>
        <v>0.66666666666666674</v>
      </c>
      <c r="T47" s="32">
        <f t="shared" si="11"/>
        <v>5.5555555555555552E-2</v>
      </c>
      <c r="U47">
        <f>step3_validation[[#This Row],[AI_TRU1]]</f>
        <v>7</v>
      </c>
      <c r="V47">
        <f t="shared" si="12"/>
        <v>0.66666666666666663</v>
      </c>
      <c r="W47">
        <f>[1]!survey_responses[[#This Row],[Tôi tin rằng Nhà nước, cơ quan thuế sẽ thực thi chính sách mới một cách khách quan, công tâm và đối xử bình đẳng với mọi người nộp thuế.  - HUMAN-TRU1]]</f>
        <v>1</v>
      </c>
      <c r="X47">
        <f t="shared" si="13"/>
        <v>0</v>
      </c>
      <c r="Y47">
        <f>step3_validation[[#This Row],[AI_TRU2]]</f>
        <v>6</v>
      </c>
      <c r="Z47">
        <f t="shared" si="14"/>
        <v>0.55555555555555558</v>
      </c>
      <c r="AA47">
        <f>[1]!survey_responses[[#This Row],[Tôi thấy mức thuế tôi phải đóng theo phương án mới là công bằng (người thu nhập như tôi đóng mức này là hợp lý). - HUMAN-TRU2]]</f>
        <v>1</v>
      </c>
      <c r="AB47">
        <f t="shared" si="15"/>
        <v>0</v>
      </c>
      <c r="AC47">
        <f>step3_validation[[#This Row],[AI_TRU3]]</f>
        <v>6</v>
      </c>
      <c r="AD47">
        <f t="shared" si="16"/>
        <v>0.55555555555555558</v>
      </c>
      <c r="AE47">
        <f>[1]!survey_responses[[#This Row],[Tôi tin tưởng số tiền thuế tôi đóng sẽ được Nhà nước sử dụng hiệu quả để cải thiện dịch vụ công (y tế, đường xá...). - HUMAN-TRU3]]</f>
        <v>1</v>
      </c>
      <c r="AF47">
        <f t="shared" si="17"/>
        <v>0</v>
      </c>
      <c r="AG47">
        <f>step3_validation[[#This Row],[AI_TRU4]]</f>
        <v>5</v>
      </c>
      <c r="AH47">
        <f t="shared" si="18"/>
        <v>0.44444444444444442</v>
      </c>
      <c r="AI47">
        <f>[1]!survey_responses[[#This Row],[Tôi thấy Nhà nước đã giải thích rõ ràng, minh bạch về lý do và mục tiêu của việc sửa đổi thuế lần này. - HUMAN-TRU4]]</f>
        <v>1</v>
      </c>
      <c r="AJ47">
        <f t="shared" si="19"/>
        <v>0</v>
      </c>
      <c r="AK47" s="32">
        <f t="shared" si="20"/>
        <v>0.55555555555555558</v>
      </c>
      <c r="AL47" s="32">
        <f t="shared" si="21"/>
        <v>0</v>
      </c>
      <c r="AM47" s="7">
        <f t="shared" si="22"/>
        <v>0.61111111111111116</v>
      </c>
      <c r="AN47" s="7">
        <f t="shared" si="23"/>
        <v>1.8518518518518517E-2</v>
      </c>
      <c r="AO47">
        <f>step3_validation[[#This Row],[AI_OUT1]]</f>
        <v>7</v>
      </c>
      <c r="AP47">
        <f t="shared" si="24"/>
        <v>0.66666666666666663</v>
      </c>
      <c r="AQ47">
        <f>[1]!survey_responses[[#This Row],[Sau khi xem xét các quyền lợi và nghĩa vụ, bạn có ủng hộ và tuân thủ chính sách mới hiện nay? - HUMAN-OUT1]]</f>
        <v>1</v>
      </c>
      <c r="AR47">
        <f t="shared" si="25"/>
        <v>0</v>
      </c>
      <c r="AS47" s="32">
        <f t="shared" si="26"/>
        <v>6</v>
      </c>
    </row>
    <row r="48" spans="1:45" x14ac:dyDescent="0.45">
      <c r="A48">
        <f>step3_validation[[#This Row],[AI_ENF1]]</f>
        <v>8</v>
      </c>
      <c r="B48">
        <f t="shared" si="0"/>
        <v>0.77777777777777779</v>
      </c>
      <c r="C48">
        <f>[1]!survey_responses[[#This Row],[Tôi tin rằng với các quy định quản lý thuế hiện nay, hành vi gian lận hoặc trốn thuế sẽ dễ dàng bị phát hiện và xử lý nghiêm. - HUMAN-ENF1]]</f>
        <v>8</v>
      </c>
      <c r="D48">
        <f t="shared" si="1"/>
        <v>0.77777777777777779</v>
      </c>
      <c r="E48">
        <f>step3_validation[[#This Row],[AI_ENF2]]</f>
        <v>7</v>
      </c>
      <c r="F48">
        <f t="shared" si="2"/>
        <v>0.66666666666666663</v>
      </c>
      <c r="G48">
        <f>[1]!survey_responses[[#This Row],[Tôi tin rằng Nhà nước, cơ quan thuế có đủ khả năng và công nghệ để phát hiện, xử lý nghiêm các hành vi trốn thuế. - HUMAN-ENF2]]</f>
        <v>8</v>
      </c>
      <c r="H48">
        <f t="shared" si="3"/>
        <v>0.77777777777777779</v>
      </c>
      <c r="I48" s="32">
        <f t="shared" si="4"/>
        <v>0.72222222222222221</v>
      </c>
      <c r="J48" s="32">
        <f t="shared" si="5"/>
        <v>0.77777777777777779</v>
      </c>
      <c r="K48">
        <f>step3_validation[[#This Row],[AI_FAC1]]</f>
        <v>6</v>
      </c>
      <c r="L48">
        <f t="shared" si="6"/>
        <v>0.55555555555555558</v>
      </c>
      <c r="M48">
        <f>[1]!survey_responses[[#This Row],[Các thủ tục khai báo thuế VÀ/HOẶC quy trình làm việc với cơ quan thuế đơn giản, tiện lợi, nhanh chóng hơn so với trước đây. - HUMAN-FAC1]]</f>
        <v>8</v>
      </c>
      <c r="N48">
        <f t="shared" si="7"/>
        <v>0.77777777777777779</v>
      </c>
      <c r="O48">
        <f>step3_validation[[#This Row],[AI_FAC2]]</f>
        <v>8</v>
      </c>
      <c r="P48">
        <f t="shared" si="8"/>
        <v>0.77777777777777779</v>
      </c>
      <c r="Q48">
        <f>[1]!survey_responses[[#This Row],[So với trước đây, tôi thấy cách tính thuế và các bậc thuế trong phương án mới đơn giản, dễ hiểu và dễ thực hiện hơn. - HUMAN-FAC2]]</f>
        <v>7</v>
      </c>
      <c r="R48">
        <f t="shared" si="9"/>
        <v>0.66666666666666663</v>
      </c>
      <c r="S48" s="32">
        <f t="shared" si="10"/>
        <v>0.66666666666666674</v>
      </c>
      <c r="T48" s="32">
        <f t="shared" si="11"/>
        <v>0.72222222222222221</v>
      </c>
      <c r="U48">
        <f>step3_validation[[#This Row],[AI_TRU1]]</f>
        <v>5</v>
      </c>
      <c r="V48">
        <f t="shared" si="12"/>
        <v>0.44444444444444442</v>
      </c>
      <c r="W48">
        <f>[1]!survey_responses[[#This Row],[Tôi tin rằng Nhà nước, cơ quan thuế sẽ thực thi chính sách mới một cách khách quan, công tâm và đối xử bình đẳng với mọi người nộp thuế.  - HUMAN-TRU1]]</f>
        <v>6</v>
      </c>
      <c r="X48">
        <f t="shared" si="13"/>
        <v>0.55555555555555558</v>
      </c>
      <c r="Y48">
        <f>step3_validation[[#This Row],[AI_TRU2]]</f>
        <v>6</v>
      </c>
      <c r="Z48">
        <f t="shared" si="14"/>
        <v>0.55555555555555558</v>
      </c>
      <c r="AA48">
        <f>[1]!survey_responses[[#This Row],[Tôi thấy mức thuế tôi phải đóng theo phương án mới là công bằng (người thu nhập như tôi đóng mức này là hợp lý). - HUMAN-TRU2]]</f>
        <v>8</v>
      </c>
      <c r="AB48">
        <f t="shared" si="15"/>
        <v>0.77777777777777779</v>
      </c>
      <c r="AC48">
        <f>step3_validation[[#This Row],[AI_TRU3]]</f>
        <v>4</v>
      </c>
      <c r="AD48">
        <f t="shared" si="16"/>
        <v>0.33333333333333331</v>
      </c>
      <c r="AE48">
        <f>[1]!survey_responses[[#This Row],[Tôi tin tưởng số tiền thuế tôi đóng sẽ được Nhà nước sử dụng hiệu quả để cải thiện dịch vụ công (y tế, đường xá...). - HUMAN-TRU3]]</f>
        <v>8</v>
      </c>
      <c r="AF48">
        <f t="shared" si="17"/>
        <v>0.77777777777777779</v>
      </c>
      <c r="AG48">
        <f>step3_validation[[#This Row],[AI_TRU4]]</f>
        <v>6</v>
      </c>
      <c r="AH48">
        <f t="shared" si="18"/>
        <v>0.55555555555555558</v>
      </c>
      <c r="AI48">
        <f>[1]!survey_responses[[#This Row],[Tôi thấy Nhà nước đã giải thích rõ ràng, minh bạch về lý do và mục tiêu của việc sửa đổi thuế lần này. - HUMAN-TRU4]]</f>
        <v>9</v>
      </c>
      <c r="AJ48">
        <f t="shared" si="19"/>
        <v>0.88888888888888884</v>
      </c>
      <c r="AK48" s="32">
        <f t="shared" si="20"/>
        <v>0.47222222222222221</v>
      </c>
      <c r="AL48" s="32">
        <f t="shared" si="21"/>
        <v>0.75</v>
      </c>
      <c r="AM48" s="7">
        <f t="shared" si="22"/>
        <v>0.62037037037037035</v>
      </c>
      <c r="AN48" s="7">
        <f t="shared" si="23"/>
        <v>0.75</v>
      </c>
      <c r="AO48">
        <f>step3_validation[[#This Row],[AI_OUT1]]</f>
        <v>7</v>
      </c>
      <c r="AP48">
        <f t="shared" si="24"/>
        <v>0.66666666666666663</v>
      </c>
      <c r="AQ48">
        <f>[1]!survey_responses[[#This Row],[Sau khi xem xét các quyền lợi và nghĩa vụ, bạn có ủng hộ và tuân thủ chính sách mới hiện nay? - HUMAN-OUT1]]</f>
        <v>8</v>
      </c>
      <c r="AR48">
        <f t="shared" si="25"/>
        <v>0.77777777777777779</v>
      </c>
      <c r="AS48" s="32">
        <f t="shared" si="26"/>
        <v>1</v>
      </c>
    </row>
    <row r="49" spans="1:45" x14ac:dyDescent="0.45">
      <c r="A49">
        <f>step3_validation[[#This Row],[AI_ENF1]]</f>
        <v>8</v>
      </c>
      <c r="B49">
        <f t="shared" si="0"/>
        <v>0.77777777777777779</v>
      </c>
      <c r="C49">
        <f>[1]!survey_responses[[#This Row],[Tôi tin rằng với các quy định quản lý thuế hiện nay, hành vi gian lận hoặc trốn thuế sẽ dễ dàng bị phát hiện và xử lý nghiêm. - HUMAN-ENF1]]</f>
        <v>10</v>
      </c>
      <c r="D49">
        <f t="shared" si="1"/>
        <v>1</v>
      </c>
      <c r="E49">
        <f>step3_validation[[#This Row],[AI_ENF2]]</f>
        <v>7</v>
      </c>
      <c r="F49">
        <f t="shared" si="2"/>
        <v>0.66666666666666663</v>
      </c>
      <c r="G49">
        <f>[1]!survey_responses[[#This Row],[Tôi tin rằng Nhà nước, cơ quan thuế có đủ khả năng và công nghệ để phát hiện, xử lý nghiêm các hành vi trốn thuế. - HUMAN-ENF2]]</f>
        <v>10</v>
      </c>
      <c r="H49">
        <f t="shared" si="3"/>
        <v>1</v>
      </c>
      <c r="I49" s="32">
        <f t="shared" si="4"/>
        <v>0.72222222222222221</v>
      </c>
      <c r="J49" s="32">
        <f t="shared" si="5"/>
        <v>1</v>
      </c>
      <c r="K49">
        <f>step3_validation[[#This Row],[AI_FAC1]]</f>
        <v>6</v>
      </c>
      <c r="L49">
        <f t="shared" si="6"/>
        <v>0.55555555555555558</v>
      </c>
      <c r="M49">
        <f>[1]!survey_responses[[#This Row],[Các thủ tục khai báo thuế VÀ/HOẶC quy trình làm việc với cơ quan thuế đơn giản, tiện lợi, nhanh chóng hơn so với trước đây. - HUMAN-FAC1]]</f>
        <v>10</v>
      </c>
      <c r="N49">
        <f t="shared" si="7"/>
        <v>1</v>
      </c>
      <c r="O49">
        <f>step3_validation[[#This Row],[AI_FAC2]]</f>
        <v>6</v>
      </c>
      <c r="P49">
        <f t="shared" si="8"/>
        <v>0.55555555555555558</v>
      </c>
      <c r="Q49">
        <f>[1]!survey_responses[[#This Row],[So với trước đây, tôi thấy cách tính thuế và các bậc thuế trong phương án mới đơn giản, dễ hiểu và dễ thực hiện hơn. - HUMAN-FAC2]]</f>
        <v>10</v>
      </c>
      <c r="R49">
        <f t="shared" si="9"/>
        <v>1</v>
      </c>
      <c r="S49" s="32">
        <f t="shared" si="10"/>
        <v>0.55555555555555558</v>
      </c>
      <c r="T49" s="32">
        <f t="shared" si="11"/>
        <v>1</v>
      </c>
      <c r="U49">
        <f>step3_validation[[#This Row],[AI_TRU1]]</f>
        <v>5</v>
      </c>
      <c r="V49">
        <f t="shared" si="12"/>
        <v>0.44444444444444442</v>
      </c>
      <c r="W49">
        <f>[1]!survey_responses[[#This Row],[Tôi tin rằng Nhà nước, cơ quan thuế sẽ thực thi chính sách mới một cách khách quan, công tâm và đối xử bình đẳng với mọi người nộp thuế.  - HUMAN-TRU1]]</f>
        <v>10</v>
      </c>
      <c r="X49">
        <f t="shared" si="13"/>
        <v>1</v>
      </c>
      <c r="Y49">
        <f>step3_validation[[#This Row],[AI_TRU2]]</f>
        <v>6</v>
      </c>
      <c r="Z49">
        <f t="shared" si="14"/>
        <v>0.55555555555555558</v>
      </c>
      <c r="AA49">
        <f>[1]!survey_responses[[#This Row],[Tôi thấy mức thuế tôi phải đóng theo phương án mới là công bằng (người thu nhập như tôi đóng mức này là hợp lý). - HUMAN-TRU2]]</f>
        <v>10</v>
      </c>
      <c r="AB49">
        <f t="shared" si="15"/>
        <v>1</v>
      </c>
      <c r="AC49">
        <f>step3_validation[[#This Row],[AI_TRU3]]</f>
        <v>4</v>
      </c>
      <c r="AD49">
        <f t="shared" si="16"/>
        <v>0.33333333333333331</v>
      </c>
      <c r="AE49">
        <f>[1]!survey_responses[[#This Row],[Tôi tin tưởng số tiền thuế tôi đóng sẽ được Nhà nước sử dụng hiệu quả để cải thiện dịch vụ công (y tế, đường xá...). - HUMAN-TRU3]]</f>
        <v>10</v>
      </c>
      <c r="AF49">
        <f t="shared" si="17"/>
        <v>1</v>
      </c>
      <c r="AG49">
        <f>step3_validation[[#This Row],[AI_TRU4]]</f>
        <v>5</v>
      </c>
      <c r="AH49">
        <f t="shared" si="18"/>
        <v>0.44444444444444442</v>
      </c>
      <c r="AI49">
        <f>[1]!survey_responses[[#This Row],[Tôi thấy Nhà nước đã giải thích rõ ràng, minh bạch về lý do và mục tiêu của việc sửa đổi thuế lần này. - HUMAN-TRU4]]</f>
        <v>10</v>
      </c>
      <c r="AJ49">
        <f t="shared" si="19"/>
        <v>1</v>
      </c>
      <c r="AK49" s="32">
        <f t="shared" si="20"/>
        <v>0.44444444444444442</v>
      </c>
      <c r="AL49" s="32">
        <f t="shared" si="21"/>
        <v>1</v>
      </c>
      <c r="AM49" s="7">
        <f t="shared" si="22"/>
        <v>0.57407407407407407</v>
      </c>
      <c r="AN49" s="7">
        <f t="shared" si="23"/>
        <v>1</v>
      </c>
      <c r="AO49">
        <f>step3_validation[[#This Row],[AI_OUT1]]</f>
        <v>6</v>
      </c>
      <c r="AP49">
        <f t="shared" si="24"/>
        <v>0.55555555555555558</v>
      </c>
      <c r="AQ49">
        <f>[1]!survey_responses[[#This Row],[Sau khi xem xét các quyền lợi và nghĩa vụ, bạn có ủng hộ và tuân thủ chính sách mới hiện nay? - HUMAN-OUT1]]</f>
        <v>10</v>
      </c>
      <c r="AR49">
        <f t="shared" si="25"/>
        <v>1</v>
      </c>
      <c r="AS49" s="32">
        <f t="shared" si="26"/>
        <v>4</v>
      </c>
    </row>
    <row r="50" spans="1:45" x14ac:dyDescent="0.45">
      <c r="A50">
        <f>step3_validation[[#This Row],[AI_ENF1]]</f>
        <v>7</v>
      </c>
      <c r="B50">
        <f t="shared" si="0"/>
        <v>0.66666666666666663</v>
      </c>
      <c r="C50">
        <f>[1]!survey_responses[[#This Row],[Tôi tin rằng với các quy định quản lý thuế hiện nay, hành vi gian lận hoặc trốn thuế sẽ dễ dàng bị phát hiện và xử lý nghiêm. - HUMAN-ENF1]]</f>
        <v>8</v>
      </c>
      <c r="D50">
        <f t="shared" si="1"/>
        <v>0.77777777777777779</v>
      </c>
      <c r="E50">
        <f>step3_validation[[#This Row],[AI_ENF2]]</f>
        <v>8</v>
      </c>
      <c r="F50">
        <f t="shared" si="2"/>
        <v>0.77777777777777779</v>
      </c>
      <c r="G50">
        <f>[1]!survey_responses[[#This Row],[Tôi tin rằng Nhà nước, cơ quan thuế có đủ khả năng và công nghệ để phát hiện, xử lý nghiêm các hành vi trốn thuế. - HUMAN-ENF2]]</f>
        <v>8</v>
      </c>
      <c r="H50">
        <f t="shared" si="3"/>
        <v>0.77777777777777779</v>
      </c>
      <c r="I50" s="32">
        <f t="shared" si="4"/>
        <v>0.72222222222222221</v>
      </c>
      <c r="J50" s="32">
        <f t="shared" si="5"/>
        <v>0.77777777777777779</v>
      </c>
      <c r="K50">
        <f>step3_validation[[#This Row],[AI_FAC1]]</f>
        <v>9</v>
      </c>
      <c r="L50">
        <f t="shared" si="6"/>
        <v>0.88888888888888884</v>
      </c>
      <c r="M50">
        <f>[1]!survey_responses[[#This Row],[Các thủ tục khai báo thuế VÀ/HOẶC quy trình làm việc với cơ quan thuế đơn giản, tiện lợi, nhanh chóng hơn so với trước đây. - HUMAN-FAC1]]</f>
        <v>7</v>
      </c>
      <c r="N50">
        <f t="shared" si="7"/>
        <v>0.66666666666666663</v>
      </c>
      <c r="O50">
        <f>step3_validation[[#This Row],[AI_FAC2]]</f>
        <v>8</v>
      </c>
      <c r="P50">
        <f t="shared" si="8"/>
        <v>0.77777777777777779</v>
      </c>
      <c r="Q50">
        <f>[1]!survey_responses[[#This Row],[So với trước đây, tôi thấy cách tính thuế và các bậc thuế trong phương án mới đơn giản, dễ hiểu và dễ thực hiện hơn. - HUMAN-FAC2]]</f>
        <v>8</v>
      </c>
      <c r="R50">
        <f t="shared" si="9"/>
        <v>0.77777777777777779</v>
      </c>
      <c r="S50" s="32">
        <f t="shared" si="10"/>
        <v>0.83333333333333326</v>
      </c>
      <c r="T50" s="32">
        <f t="shared" si="11"/>
        <v>0.72222222222222221</v>
      </c>
      <c r="U50">
        <f>step3_validation[[#This Row],[AI_TRU1]]</f>
        <v>7</v>
      </c>
      <c r="V50">
        <f t="shared" si="12"/>
        <v>0.66666666666666663</v>
      </c>
      <c r="W50">
        <f>[1]!survey_responses[[#This Row],[Tôi tin rằng Nhà nước, cơ quan thuế sẽ thực thi chính sách mới một cách khách quan, công tâm và đối xử bình đẳng với mọi người nộp thuế.  - HUMAN-TRU1]]</f>
        <v>6</v>
      </c>
      <c r="X50">
        <f t="shared" si="13"/>
        <v>0.55555555555555558</v>
      </c>
      <c r="Y50">
        <f>step3_validation[[#This Row],[AI_TRU2]]</f>
        <v>8</v>
      </c>
      <c r="Z50">
        <f t="shared" si="14"/>
        <v>0.77777777777777779</v>
      </c>
      <c r="AA50">
        <f>[1]!survey_responses[[#This Row],[Tôi thấy mức thuế tôi phải đóng theo phương án mới là công bằng (người thu nhập như tôi đóng mức này là hợp lý). - HUMAN-TRU2]]</f>
        <v>8</v>
      </c>
      <c r="AB50">
        <f t="shared" si="15"/>
        <v>0.77777777777777779</v>
      </c>
      <c r="AC50">
        <f>step3_validation[[#This Row],[AI_TRU3]]</f>
        <v>7</v>
      </c>
      <c r="AD50">
        <f t="shared" si="16"/>
        <v>0.66666666666666663</v>
      </c>
      <c r="AE50">
        <f>[1]!survey_responses[[#This Row],[Tôi tin tưởng số tiền thuế tôi đóng sẽ được Nhà nước sử dụng hiệu quả để cải thiện dịch vụ công (y tế, đường xá...). - HUMAN-TRU3]]</f>
        <v>6</v>
      </c>
      <c r="AF50">
        <f t="shared" si="17"/>
        <v>0.55555555555555558</v>
      </c>
      <c r="AG50">
        <f>step3_validation[[#This Row],[AI_TRU4]]</f>
        <v>6</v>
      </c>
      <c r="AH50">
        <f t="shared" si="18"/>
        <v>0.55555555555555558</v>
      </c>
      <c r="AI50">
        <f>[1]!survey_responses[[#This Row],[Tôi thấy Nhà nước đã giải thích rõ ràng, minh bạch về lý do và mục tiêu của việc sửa đổi thuế lần này. - HUMAN-TRU4]]</f>
        <v>5</v>
      </c>
      <c r="AJ50">
        <f t="shared" si="19"/>
        <v>0.44444444444444442</v>
      </c>
      <c r="AK50" s="32">
        <f t="shared" si="20"/>
        <v>0.66666666666666674</v>
      </c>
      <c r="AL50" s="32">
        <f t="shared" si="21"/>
        <v>0.58333333333333337</v>
      </c>
      <c r="AM50" s="7">
        <f t="shared" si="22"/>
        <v>0.74074074074074081</v>
      </c>
      <c r="AN50" s="7">
        <f t="shared" si="23"/>
        <v>0.69444444444444453</v>
      </c>
      <c r="AO50">
        <f>step3_validation[[#This Row],[AI_OUT1]]</f>
        <v>8</v>
      </c>
      <c r="AP50">
        <f t="shared" si="24"/>
        <v>0.77777777777777779</v>
      </c>
      <c r="AQ50">
        <f>[1]!survey_responses[[#This Row],[Sau khi xem xét các quyền lợi và nghĩa vụ, bạn có ủng hộ và tuân thủ chính sách mới hiện nay? - HUMAN-OUT1]]</f>
        <v>8</v>
      </c>
      <c r="AR50">
        <f t="shared" si="25"/>
        <v>0.77777777777777779</v>
      </c>
      <c r="AS50" s="32">
        <f t="shared" si="26"/>
        <v>0</v>
      </c>
    </row>
    <row r="51" spans="1:45" x14ac:dyDescent="0.45">
      <c r="A51">
        <f>step3_validation[[#This Row],[AI_ENF1]]</f>
        <v>7</v>
      </c>
      <c r="B51">
        <f t="shared" si="0"/>
        <v>0.66666666666666663</v>
      </c>
      <c r="C51">
        <f>[1]!survey_responses[[#This Row],[Tôi tin rằng với các quy định quản lý thuế hiện nay, hành vi gian lận hoặc trốn thuế sẽ dễ dàng bị phát hiện và xử lý nghiêm. - HUMAN-ENF1]]</f>
        <v>10</v>
      </c>
      <c r="D51">
        <f t="shared" si="1"/>
        <v>1</v>
      </c>
      <c r="E51">
        <f>step3_validation[[#This Row],[AI_ENF2]]</f>
        <v>8</v>
      </c>
      <c r="F51">
        <f t="shared" si="2"/>
        <v>0.77777777777777779</v>
      </c>
      <c r="G51">
        <f>[1]!survey_responses[[#This Row],[Tôi tin rằng Nhà nước, cơ quan thuế có đủ khả năng và công nghệ để phát hiện, xử lý nghiêm các hành vi trốn thuế. - HUMAN-ENF2]]</f>
        <v>10</v>
      </c>
      <c r="H51">
        <f t="shared" si="3"/>
        <v>1</v>
      </c>
      <c r="I51" s="32">
        <f t="shared" si="4"/>
        <v>0.72222222222222221</v>
      </c>
      <c r="J51" s="32">
        <f t="shared" si="5"/>
        <v>1</v>
      </c>
      <c r="K51">
        <f>step3_validation[[#This Row],[AI_FAC1]]</f>
        <v>9</v>
      </c>
      <c r="L51">
        <f t="shared" si="6"/>
        <v>0.88888888888888884</v>
      </c>
      <c r="M51">
        <f>[1]!survey_responses[[#This Row],[Các thủ tục khai báo thuế VÀ/HOẶC quy trình làm việc với cơ quan thuế đơn giản, tiện lợi, nhanh chóng hơn so với trước đây. - HUMAN-FAC1]]</f>
        <v>10</v>
      </c>
      <c r="N51">
        <f t="shared" si="7"/>
        <v>1</v>
      </c>
      <c r="O51">
        <f>step3_validation[[#This Row],[AI_FAC2]]</f>
        <v>8</v>
      </c>
      <c r="P51">
        <f t="shared" si="8"/>
        <v>0.77777777777777779</v>
      </c>
      <c r="Q51">
        <f>[1]!survey_responses[[#This Row],[So với trước đây, tôi thấy cách tính thuế và các bậc thuế trong phương án mới đơn giản, dễ hiểu và dễ thực hiện hơn. - HUMAN-FAC2]]</f>
        <v>8</v>
      </c>
      <c r="R51">
        <f t="shared" si="9"/>
        <v>0.77777777777777779</v>
      </c>
      <c r="S51" s="32">
        <f t="shared" si="10"/>
        <v>0.83333333333333326</v>
      </c>
      <c r="T51" s="32">
        <f t="shared" si="11"/>
        <v>0.88888888888888884</v>
      </c>
      <c r="U51">
        <f>step3_validation[[#This Row],[AI_TRU1]]</f>
        <v>7</v>
      </c>
      <c r="V51">
        <f t="shared" si="12"/>
        <v>0.66666666666666663</v>
      </c>
      <c r="W51">
        <f>[1]!survey_responses[[#This Row],[Tôi tin rằng Nhà nước, cơ quan thuế sẽ thực thi chính sách mới một cách khách quan, công tâm và đối xử bình đẳng với mọi người nộp thuế.  - HUMAN-TRU1]]</f>
        <v>8</v>
      </c>
      <c r="X51">
        <f t="shared" si="13"/>
        <v>0.77777777777777779</v>
      </c>
      <c r="Y51">
        <f>step3_validation[[#This Row],[AI_TRU2]]</f>
        <v>8</v>
      </c>
      <c r="Z51">
        <f t="shared" si="14"/>
        <v>0.77777777777777779</v>
      </c>
      <c r="AA51">
        <f>[1]!survey_responses[[#This Row],[Tôi thấy mức thuế tôi phải đóng theo phương án mới là công bằng (người thu nhập như tôi đóng mức này là hợp lý). - HUMAN-TRU2]]</f>
        <v>8</v>
      </c>
      <c r="AB51">
        <f t="shared" si="15"/>
        <v>0.77777777777777779</v>
      </c>
      <c r="AC51">
        <f>step3_validation[[#This Row],[AI_TRU3]]</f>
        <v>7</v>
      </c>
      <c r="AD51">
        <f t="shared" si="16"/>
        <v>0.66666666666666663</v>
      </c>
      <c r="AE51">
        <f>[1]!survey_responses[[#This Row],[Tôi tin tưởng số tiền thuế tôi đóng sẽ được Nhà nước sử dụng hiệu quả để cải thiện dịch vụ công (y tế, đường xá...). - HUMAN-TRU3]]</f>
        <v>8</v>
      </c>
      <c r="AF51">
        <f t="shared" si="17"/>
        <v>0.77777777777777779</v>
      </c>
      <c r="AG51">
        <f>step3_validation[[#This Row],[AI_TRU4]]</f>
        <v>6</v>
      </c>
      <c r="AH51">
        <f t="shared" si="18"/>
        <v>0.55555555555555558</v>
      </c>
      <c r="AI51">
        <f>[1]!survey_responses[[#This Row],[Tôi thấy Nhà nước đã giải thích rõ ràng, minh bạch về lý do và mục tiêu của việc sửa đổi thuế lần này. - HUMAN-TRU4]]</f>
        <v>8</v>
      </c>
      <c r="AJ51">
        <f t="shared" si="19"/>
        <v>0.77777777777777779</v>
      </c>
      <c r="AK51" s="32">
        <f t="shared" si="20"/>
        <v>0.66666666666666674</v>
      </c>
      <c r="AL51" s="32">
        <f t="shared" si="21"/>
        <v>0.77777777777777779</v>
      </c>
      <c r="AM51" s="7">
        <f t="shared" si="22"/>
        <v>0.74074074074074081</v>
      </c>
      <c r="AN51" s="7">
        <f t="shared" si="23"/>
        <v>0.88888888888888884</v>
      </c>
      <c r="AO51">
        <f>step3_validation[[#This Row],[AI_OUT1]]</f>
        <v>8</v>
      </c>
      <c r="AP51">
        <f t="shared" si="24"/>
        <v>0.77777777777777779</v>
      </c>
      <c r="AQ51">
        <f>[1]!survey_responses[[#This Row],[Sau khi xem xét các quyền lợi và nghĩa vụ, bạn có ủng hộ và tuân thủ chính sách mới hiện nay? - HUMAN-OUT1]]</f>
        <v>8</v>
      </c>
      <c r="AR51">
        <f t="shared" si="25"/>
        <v>0.77777777777777779</v>
      </c>
      <c r="AS51" s="32">
        <f t="shared" si="26"/>
        <v>0</v>
      </c>
    </row>
    <row r="52" spans="1:45" x14ac:dyDescent="0.45">
      <c r="A52">
        <f>step3_validation[[#This Row],[AI_ENF1]]</f>
        <v>7</v>
      </c>
      <c r="B52">
        <f t="shared" si="0"/>
        <v>0.66666666666666663</v>
      </c>
      <c r="C52">
        <f>[1]!survey_responses[[#This Row],[Tôi tin rằng với các quy định quản lý thuế hiện nay, hành vi gian lận hoặc trốn thuế sẽ dễ dàng bị phát hiện và xử lý nghiêm. - HUMAN-ENF1]]</f>
        <v>10</v>
      </c>
      <c r="D52">
        <f t="shared" si="1"/>
        <v>1</v>
      </c>
      <c r="E52">
        <f>step3_validation[[#This Row],[AI_ENF2]]</f>
        <v>8</v>
      </c>
      <c r="F52">
        <f t="shared" si="2"/>
        <v>0.77777777777777779</v>
      </c>
      <c r="G52">
        <f>[1]!survey_responses[[#This Row],[Tôi tin rằng Nhà nước, cơ quan thuế có đủ khả năng và công nghệ để phát hiện, xử lý nghiêm các hành vi trốn thuế. - HUMAN-ENF2]]</f>
        <v>10</v>
      </c>
      <c r="H52">
        <f t="shared" si="3"/>
        <v>1</v>
      </c>
      <c r="I52" s="32">
        <f t="shared" si="4"/>
        <v>0.72222222222222221</v>
      </c>
      <c r="J52" s="32">
        <f t="shared" si="5"/>
        <v>1</v>
      </c>
      <c r="K52">
        <f>step3_validation[[#This Row],[AI_FAC1]]</f>
        <v>6</v>
      </c>
      <c r="L52">
        <f t="shared" si="6"/>
        <v>0.55555555555555558</v>
      </c>
      <c r="M52">
        <f>[1]!survey_responses[[#This Row],[Các thủ tục khai báo thuế VÀ/HOẶC quy trình làm việc với cơ quan thuế đơn giản, tiện lợi, nhanh chóng hơn so với trước đây. - HUMAN-FAC1]]</f>
        <v>10</v>
      </c>
      <c r="N52">
        <f t="shared" si="7"/>
        <v>1</v>
      </c>
      <c r="O52">
        <f>step3_validation[[#This Row],[AI_FAC2]]</f>
        <v>8</v>
      </c>
      <c r="P52">
        <f t="shared" si="8"/>
        <v>0.77777777777777779</v>
      </c>
      <c r="Q52">
        <f>[1]!survey_responses[[#This Row],[So với trước đây, tôi thấy cách tính thuế và các bậc thuế trong phương án mới đơn giản, dễ hiểu và dễ thực hiện hơn. - HUMAN-FAC2]]</f>
        <v>10</v>
      </c>
      <c r="R52">
        <f t="shared" si="9"/>
        <v>1</v>
      </c>
      <c r="S52" s="32">
        <f t="shared" si="10"/>
        <v>0.66666666666666674</v>
      </c>
      <c r="T52" s="32">
        <f t="shared" si="11"/>
        <v>1</v>
      </c>
      <c r="U52">
        <f>step3_validation[[#This Row],[AI_TRU1]]</f>
        <v>7</v>
      </c>
      <c r="V52">
        <f t="shared" si="12"/>
        <v>0.66666666666666663</v>
      </c>
      <c r="W52">
        <f>[1]!survey_responses[[#This Row],[Tôi tin rằng Nhà nước, cơ quan thuế sẽ thực thi chính sách mới một cách khách quan, công tâm và đối xử bình đẳng với mọi người nộp thuế.  - HUMAN-TRU1]]</f>
        <v>10</v>
      </c>
      <c r="X52">
        <f t="shared" si="13"/>
        <v>1</v>
      </c>
      <c r="Y52">
        <f>step3_validation[[#This Row],[AI_TRU2]]</f>
        <v>6</v>
      </c>
      <c r="Z52">
        <f t="shared" si="14"/>
        <v>0.55555555555555558</v>
      </c>
      <c r="AA52">
        <f>[1]!survey_responses[[#This Row],[Tôi thấy mức thuế tôi phải đóng theo phương án mới là công bằng (người thu nhập như tôi đóng mức này là hợp lý). - HUMAN-TRU2]]</f>
        <v>10</v>
      </c>
      <c r="AB52">
        <f t="shared" si="15"/>
        <v>1</v>
      </c>
      <c r="AC52">
        <f>step3_validation[[#This Row],[AI_TRU3]]</f>
        <v>7</v>
      </c>
      <c r="AD52">
        <f t="shared" si="16"/>
        <v>0.66666666666666663</v>
      </c>
      <c r="AE52">
        <f>[1]!survey_responses[[#This Row],[Tôi tin tưởng số tiền thuế tôi đóng sẽ được Nhà nước sử dụng hiệu quả để cải thiện dịch vụ công (y tế, đường xá...). - HUMAN-TRU3]]</f>
        <v>10</v>
      </c>
      <c r="AF52">
        <f t="shared" si="17"/>
        <v>1</v>
      </c>
      <c r="AG52">
        <f>step3_validation[[#This Row],[AI_TRU4]]</f>
        <v>6</v>
      </c>
      <c r="AH52">
        <f t="shared" si="18"/>
        <v>0.55555555555555558</v>
      </c>
      <c r="AI52">
        <f>[1]!survey_responses[[#This Row],[Tôi thấy Nhà nước đã giải thích rõ ràng, minh bạch về lý do và mục tiêu của việc sửa đổi thuế lần này. - HUMAN-TRU4]]</f>
        <v>10</v>
      </c>
      <c r="AJ52">
        <f t="shared" si="19"/>
        <v>1</v>
      </c>
      <c r="AK52" s="32">
        <f t="shared" si="20"/>
        <v>0.61111111111111116</v>
      </c>
      <c r="AL52" s="32">
        <f t="shared" si="21"/>
        <v>1</v>
      </c>
      <c r="AM52" s="7">
        <f t="shared" si="22"/>
        <v>0.66666666666666663</v>
      </c>
      <c r="AN52" s="7">
        <f t="shared" si="23"/>
        <v>1</v>
      </c>
      <c r="AO52">
        <f>step3_validation[[#This Row],[AI_OUT1]]</f>
        <v>5</v>
      </c>
      <c r="AP52">
        <f t="shared" si="24"/>
        <v>0.44444444444444442</v>
      </c>
      <c r="AQ52">
        <f>[1]!survey_responses[[#This Row],[Sau khi xem xét các quyền lợi và nghĩa vụ, bạn có ủng hộ và tuân thủ chính sách mới hiện nay? - HUMAN-OUT1]]</f>
        <v>10</v>
      </c>
      <c r="AR52">
        <f t="shared" si="25"/>
        <v>1</v>
      </c>
      <c r="AS52" s="32">
        <f t="shared" si="26"/>
        <v>5</v>
      </c>
    </row>
    <row r="53" spans="1:45" x14ac:dyDescent="0.45">
      <c r="A53">
        <f>step3_validation[[#This Row],[AI_ENF1]]</f>
        <v>5</v>
      </c>
      <c r="B53">
        <f t="shared" si="0"/>
        <v>0.44444444444444442</v>
      </c>
      <c r="C53">
        <f>[1]!survey_responses[[#This Row],[Tôi tin rằng với các quy định quản lý thuế hiện nay, hành vi gian lận hoặc trốn thuế sẽ dễ dàng bị phát hiện và xử lý nghiêm. - HUMAN-ENF1]]</f>
        <v>10</v>
      </c>
      <c r="D53">
        <f t="shared" si="1"/>
        <v>1</v>
      </c>
      <c r="E53">
        <f>step3_validation[[#This Row],[AI_ENF2]]</f>
        <v>7</v>
      </c>
      <c r="F53">
        <f t="shared" si="2"/>
        <v>0.66666666666666663</v>
      </c>
      <c r="G53">
        <f>[1]!survey_responses[[#This Row],[Tôi tin rằng Nhà nước, cơ quan thuế có đủ khả năng và công nghệ để phát hiện, xử lý nghiêm các hành vi trốn thuế. - HUMAN-ENF2]]</f>
        <v>10</v>
      </c>
      <c r="H53">
        <f t="shared" si="3"/>
        <v>1</v>
      </c>
      <c r="I53" s="32">
        <f t="shared" si="4"/>
        <v>0.55555555555555558</v>
      </c>
      <c r="J53" s="32">
        <f t="shared" si="5"/>
        <v>1</v>
      </c>
      <c r="K53">
        <f>step3_validation[[#This Row],[AI_FAC1]]</f>
        <v>8</v>
      </c>
      <c r="L53">
        <f t="shared" si="6"/>
        <v>0.77777777777777779</v>
      </c>
      <c r="M53">
        <f>[1]!survey_responses[[#This Row],[Các thủ tục khai báo thuế VÀ/HOẶC quy trình làm việc với cơ quan thuế đơn giản, tiện lợi, nhanh chóng hơn so với trước đây. - HUMAN-FAC1]]</f>
        <v>10</v>
      </c>
      <c r="N53">
        <f t="shared" si="7"/>
        <v>1</v>
      </c>
      <c r="O53">
        <f>step3_validation[[#This Row],[AI_FAC2]]</f>
        <v>9</v>
      </c>
      <c r="P53">
        <f t="shared" si="8"/>
        <v>0.88888888888888884</v>
      </c>
      <c r="Q53">
        <f>[1]!survey_responses[[#This Row],[So với trước đây, tôi thấy cách tính thuế và các bậc thuế trong phương án mới đơn giản, dễ hiểu và dễ thực hiện hơn. - HUMAN-FAC2]]</f>
        <v>10</v>
      </c>
      <c r="R53">
        <f t="shared" si="9"/>
        <v>1</v>
      </c>
      <c r="S53" s="32">
        <f t="shared" si="10"/>
        <v>0.83333333333333326</v>
      </c>
      <c r="T53" s="32">
        <f t="shared" si="11"/>
        <v>1</v>
      </c>
      <c r="U53">
        <f>step3_validation[[#This Row],[AI_TRU1]]</f>
        <v>6</v>
      </c>
      <c r="V53">
        <f t="shared" si="12"/>
        <v>0.55555555555555558</v>
      </c>
      <c r="W53">
        <f>[1]!survey_responses[[#This Row],[Tôi tin rằng Nhà nước, cơ quan thuế sẽ thực thi chính sách mới một cách khách quan, công tâm và đối xử bình đẳng với mọi người nộp thuế.  - HUMAN-TRU1]]</f>
        <v>10</v>
      </c>
      <c r="X53">
        <f t="shared" si="13"/>
        <v>1</v>
      </c>
      <c r="Y53">
        <f>step3_validation[[#This Row],[AI_TRU2]]</f>
        <v>8</v>
      </c>
      <c r="Z53">
        <f t="shared" si="14"/>
        <v>0.77777777777777779</v>
      </c>
      <c r="AA53">
        <f>[1]!survey_responses[[#This Row],[Tôi thấy mức thuế tôi phải đóng theo phương án mới là công bằng (người thu nhập như tôi đóng mức này là hợp lý). - HUMAN-TRU2]]</f>
        <v>10</v>
      </c>
      <c r="AB53">
        <f t="shared" si="15"/>
        <v>1</v>
      </c>
      <c r="AC53">
        <f>step3_validation[[#This Row],[AI_TRU3]]</f>
        <v>7</v>
      </c>
      <c r="AD53">
        <f t="shared" si="16"/>
        <v>0.66666666666666663</v>
      </c>
      <c r="AE53">
        <f>[1]!survey_responses[[#This Row],[Tôi tin tưởng số tiền thuế tôi đóng sẽ được Nhà nước sử dụng hiệu quả để cải thiện dịch vụ công (y tế, đường xá...). - HUMAN-TRU3]]</f>
        <v>10</v>
      </c>
      <c r="AF53">
        <f t="shared" si="17"/>
        <v>1</v>
      </c>
      <c r="AG53">
        <f>step3_validation[[#This Row],[AI_TRU4]]</f>
        <v>8</v>
      </c>
      <c r="AH53">
        <f t="shared" si="18"/>
        <v>0.77777777777777779</v>
      </c>
      <c r="AI53">
        <f>[1]!survey_responses[[#This Row],[Tôi thấy Nhà nước đã giải thích rõ ràng, minh bạch về lý do và mục tiêu của việc sửa đổi thuế lần này. - HUMAN-TRU4]]</f>
        <v>10</v>
      </c>
      <c r="AJ53">
        <f t="shared" si="19"/>
        <v>1</v>
      </c>
      <c r="AK53" s="32">
        <f t="shared" si="20"/>
        <v>0.69444444444444442</v>
      </c>
      <c r="AL53" s="32">
        <f t="shared" si="21"/>
        <v>1</v>
      </c>
      <c r="AM53" s="7">
        <f t="shared" si="22"/>
        <v>0.69444444444444431</v>
      </c>
      <c r="AN53" s="7">
        <f t="shared" si="23"/>
        <v>1</v>
      </c>
      <c r="AO53">
        <f>step3_validation[[#This Row],[AI_OUT1]]</f>
        <v>7</v>
      </c>
      <c r="AP53">
        <f t="shared" si="24"/>
        <v>0.66666666666666663</v>
      </c>
      <c r="AQ53">
        <f>[1]!survey_responses[[#This Row],[Sau khi xem xét các quyền lợi và nghĩa vụ, bạn có ủng hộ và tuân thủ chính sách mới hiện nay? - HUMAN-OUT1]]</f>
        <v>8</v>
      </c>
      <c r="AR53">
        <f t="shared" si="25"/>
        <v>0.77777777777777779</v>
      </c>
      <c r="AS53" s="32">
        <f t="shared" si="26"/>
        <v>1</v>
      </c>
    </row>
    <row r="54" spans="1:45" x14ac:dyDescent="0.45">
      <c r="A54">
        <f>step3_validation[[#This Row],[AI_ENF1]]</f>
        <v>7</v>
      </c>
      <c r="B54">
        <f t="shared" si="0"/>
        <v>0.66666666666666663</v>
      </c>
      <c r="C54">
        <f>[1]!survey_responses[[#This Row],[Tôi tin rằng với các quy định quản lý thuế hiện nay, hành vi gian lận hoặc trốn thuế sẽ dễ dàng bị phát hiện và xử lý nghiêm. - HUMAN-ENF1]]</f>
        <v>10</v>
      </c>
      <c r="D54">
        <f t="shared" si="1"/>
        <v>1</v>
      </c>
      <c r="E54">
        <f>step3_validation[[#This Row],[AI_ENF2]]</f>
        <v>6</v>
      </c>
      <c r="F54">
        <f t="shared" si="2"/>
        <v>0.55555555555555558</v>
      </c>
      <c r="G54">
        <f>[1]!survey_responses[[#This Row],[Tôi tin rằng Nhà nước, cơ quan thuế có đủ khả năng và công nghệ để phát hiện, xử lý nghiêm các hành vi trốn thuế. - HUMAN-ENF2]]</f>
        <v>10</v>
      </c>
      <c r="H54">
        <f t="shared" si="3"/>
        <v>1</v>
      </c>
      <c r="I54" s="32">
        <f t="shared" si="4"/>
        <v>0.61111111111111116</v>
      </c>
      <c r="J54" s="32">
        <f t="shared" si="5"/>
        <v>1</v>
      </c>
      <c r="K54">
        <f>step3_validation[[#This Row],[AI_FAC1]]</f>
        <v>8</v>
      </c>
      <c r="L54">
        <f t="shared" si="6"/>
        <v>0.77777777777777779</v>
      </c>
      <c r="M54">
        <f>[1]!survey_responses[[#This Row],[Các thủ tục khai báo thuế VÀ/HOẶC quy trình làm việc với cơ quan thuế đơn giản, tiện lợi, nhanh chóng hơn so với trước đây. - HUMAN-FAC1]]</f>
        <v>10</v>
      </c>
      <c r="N54">
        <f t="shared" si="7"/>
        <v>1</v>
      </c>
      <c r="O54">
        <f>step3_validation[[#This Row],[AI_FAC2]]</f>
        <v>9</v>
      </c>
      <c r="P54">
        <f t="shared" si="8"/>
        <v>0.88888888888888884</v>
      </c>
      <c r="Q54">
        <f>[1]!survey_responses[[#This Row],[So với trước đây, tôi thấy cách tính thuế và các bậc thuế trong phương án mới đơn giản, dễ hiểu và dễ thực hiện hơn. - HUMAN-FAC2]]</f>
        <v>10</v>
      </c>
      <c r="R54">
        <f t="shared" si="9"/>
        <v>1</v>
      </c>
      <c r="S54" s="32">
        <f t="shared" si="10"/>
        <v>0.83333333333333326</v>
      </c>
      <c r="T54" s="32">
        <f t="shared" si="11"/>
        <v>1</v>
      </c>
      <c r="U54">
        <f>step3_validation[[#This Row],[AI_TRU1]]</f>
        <v>8</v>
      </c>
      <c r="V54">
        <f t="shared" si="12"/>
        <v>0.77777777777777779</v>
      </c>
      <c r="W54">
        <f>[1]!survey_responses[[#This Row],[Tôi tin rằng Nhà nước, cơ quan thuế sẽ thực thi chính sách mới một cách khách quan, công tâm và đối xử bình đẳng với mọi người nộp thuế.  - HUMAN-TRU1]]</f>
        <v>10</v>
      </c>
      <c r="X54">
        <f t="shared" si="13"/>
        <v>1</v>
      </c>
      <c r="Y54">
        <f>step3_validation[[#This Row],[AI_TRU2]]</f>
        <v>7</v>
      </c>
      <c r="Z54">
        <f t="shared" si="14"/>
        <v>0.66666666666666663</v>
      </c>
      <c r="AA54">
        <f>[1]!survey_responses[[#This Row],[Tôi thấy mức thuế tôi phải đóng theo phương án mới là công bằng (người thu nhập như tôi đóng mức này là hợp lý). - HUMAN-TRU2]]</f>
        <v>10</v>
      </c>
      <c r="AB54">
        <f t="shared" si="15"/>
        <v>1</v>
      </c>
      <c r="AC54">
        <f>step3_validation[[#This Row],[AI_TRU3]]</f>
        <v>6</v>
      </c>
      <c r="AD54">
        <f t="shared" si="16"/>
        <v>0.55555555555555558</v>
      </c>
      <c r="AE54">
        <f>[1]!survey_responses[[#This Row],[Tôi tin tưởng số tiền thuế tôi đóng sẽ được Nhà nước sử dụng hiệu quả để cải thiện dịch vụ công (y tế, đường xá...). - HUMAN-TRU3]]</f>
        <v>10</v>
      </c>
      <c r="AF54">
        <f t="shared" si="17"/>
        <v>1</v>
      </c>
      <c r="AG54">
        <f>step3_validation[[#This Row],[AI_TRU4]]</f>
        <v>8</v>
      </c>
      <c r="AH54">
        <f t="shared" si="18"/>
        <v>0.77777777777777779</v>
      </c>
      <c r="AI54">
        <f>[1]!survey_responses[[#This Row],[Tôi thấy Nhà nước đã giải thích rõ ràng, minh bạch về lý do và mục tiêu của việc sửa đổi thuế lần này. - HUMAN-TRU4]]</f>
        <v>10</v>
      </c>
      <c r="AJ54">
        <f t="shared" si="19"/>
        <v>1</v>
      </c>
      <c r="AK54" s="32">
        <f t="shared" si="20"/>
        <v>0.69444444444444442</v>
      </c>
      <c r="AL54" s="32">
        <f t="shared" si="21"/>
        <v>1</v>
      </c>
      <c r="AM54" s="7">
        <f t="shared" si="22"/>
        <v>0.71296296296296291</v>
      </c>
      <c r="AN54" s="7">
        <f t="shared" si="23"/>
        <v>1</v>
      </c>
      <c r="AO54">
        <f>step3_validation[[#This Row],[AI_OUT1]]</f>
        <v>7</v>
      </c>
      <c r="AP54">
        <f t="shared" si="24"/>
        <v>0.66666666666666663</v>
      </c>
      <c r="AQ54">
        <f>[1]!survey_responses[[#This Row],[Sau khi xem xét các quyền lợi và nghĩa vụ, bạn có ủng hộ và tuân thủ chính sách mới hiện nay? - HUMAN-OUT1]]</f>
        <v>10</v>
      </c>
      <c r="AR54">
        <f t="shared" si="25"/>
        <v>1</v>
      </c>
      <c r="AS54" s="32">
        <f t="shared" si="26"/>
        <v>3</v>
      </c>
    </row>
    <row r="55" spans="1:45" x14ac:dyDescent="0.45">
      <c r="A55">
        <f>step3_validation[[#This Row],[AI_ENF1]]</f>
        <v>8</v>
      </c>
      <c r="B55">
        <f t="shared" si="0"/>
        <v>0.77777777777777779</v>
      </c>
      <c r="C55">
        <f>[1]!survey_responses[[#This Row],[Tôi tin rằng với các quy định quản lý thuế hiện nay, hành vi gian lận hoặc trốn thuế sẽ dễ dàng bị phát hiện và xử lý nghiêm. - HUMAN-ENF1]]</f>
        <v>8</v>
      </c>
      <c r="D55">
        <f t="shared" si="1"/>
        <v>0.77777777777777779</v>
      </c>
      <c r="E55">
        <f>step3_validation[[#This Row],[AI_ENF2]]</f>
        <v>7</v>
      </c>
      <c r="F55">
        <f t="shared" si="2"/>
        <v>0.66666666666666663</v>
      </c>
      <c r="G55">
        <f>[1]!survey_responses[[#This Row],[Tôi tin rằng Nhà nước, cơ quan thuế có đủ khả năng và công nghệ để phát hiện, xử lý nghiêm các hành vi trốn thuế. - HUMAN-ENF2]]</f>
        <v>7</v>
      </c>
      <c r="H55">
        <f t="shared" si="3"/>
        <v>0.66666666666666663</v>
      </c>
      <c r="I55" s="32">
        <f t="shared" si="4"/>
        <v>0.72222222222222221</v>
      </c>
      <c r="J55" s="32">
        <f t="shared" si="5"/>
        <v>0.72222222222222221</v>
      </c>
      <c r="K55">
        <f>step3_validation[[#This Row],[AI_FAC1]]</f>
        <v>8</v>
      </c>
      <c r="L55">
        <f t="shared" si="6"/>
        <v>0.77777777777777779</v>
      </c>
      <c r="M55">
        <f>[1]!survey_responses[[#This Row],[Các thủ tục khai báo thuế VÀ/HOẶC quy trình làm việc với cơ quan thuế đơn giản, tiện lợi, nhanh chóng hơn so với trước đây. - HUMAN-FAC1]]</f>
        <v>7</v>
      </c>
      <c r="N55">
        <f t="shared" si="7"/>
        <v>0.66666666666666663</v>
      </c>
      <c r="O55">
        <f>step3_validation[[#This Row],[AI_FAC2]]</f>
        <v>6</v>
      </c>
      <c r="P55">
        <f t="shared" si="8"/>
        <v>0.55555555555555558</v>
      </c>
      <c r="Q55">
        <f>[1]!survey_responses[[#This Row],[So với trước đây, tôi thấy cách tính thuế và các bậc thuế trong phương án mới đơn giản, dễ hiểu và dễ thực hiện hơn. - HUMAN-FAC2]]</f>
        <v>8</v>
      </c>
      <c r="R55">
        <f t="shared" si="9"/>
        <v>0.77777777777777779</v>
      </c>
      <c r="S55" s="32">
        <f t="shared" si="10"/>
        <v>0.66666666666666674</v>
      </c>
      <c r="T55" s="32">
        <f t="shared" si="11"/>
        <v>0.72222222222222221</v>
      </c>
      <c r="U55">
        <f>step3_validation[[#This Row],[AI_TRU1]]</f>
        <v>8</v>
      </c>
      <c r="V55">
        <f t="shared" si="12"/>
        <v>0.77777777777777779</v>
      </c>
      <c r="W55">
        <f>[1]!survey_responses[[#This Row],[Tôi tin rằng Nhà nước, cơ quan thuế sẽ thực thi chính sách mới một cách khách quan, công tâm và đối xử bình đẳng với mọi người nộp thuế.  - HUMAN-TRU1]]</f>
        <v>7</v>
      </c>
      <c r="X55">
        <f t="shared" si="13"/>
        <v>0.66666666666666663</v>
      </c>
      <c r="Y55">
        <f>step3_validation[[#This Row],[AI_TRU2]]</f>
        <v>7</v>
      </c>
      <c r="Z55">
        <f t="shared" si="14"/>
        <v>0.66666666666666663</v>
      </c>
      <c r="AA55">
        <f>[1]!survey_responses[[#This Row],[Tôi thấy mức thuế tôi phải đóng theo phương án mới là công bằng (người thu nhập như tôi đóng mức này là hợp lý). - HUMAN-TRU2]]</f>
        <v>8</v>
      </c>
      <c r="AB55">
        <f t="shared" si="15"/>
        <v>0.77777777777777779</v>
      </c>
      <c r="AC55">
        <f>step3_validation[[#This Row],[AI_TRU3]]</f>
        <v>8</v>
      </c>
      <c r="AD55">
        <f t="shared" si="16"/>
        <v>0.77777777777777779</v>
      </c>
      <c r="AE55">
        <f>[1]!survey_responses[[#This Row],[Tôi tin tưởng số tiền thuế tôi đóng sẽ được Nhà nước sử dụng hiệu quả để cải thiện dịch vụ công (y tế, đường xá...). - HUMAN-TRU3]]</f>
        <v>7</v>
      </c>
      <c r="AF55">
        <f t="shared" si="17"/>
        <v>0.66666666666666663</v>
      </c>
      <c r="AG55">
        <f>step3_validation[[#This Row],[AI_TRU4]]</f>
        <v>6</v>
      </c>
      <c r="AH55">
        <f t="shared" si="18"/>
        <v>0.55555555555555558</v>
      </c>
      <c r="AI55">
        <f>[1]!survey_responses[[#This Row],[Tôi thấy Nhà nước đã giải thích rõ ràng, minh bạch về lý do và mục tiêu của việc sửa đổi thuế lần này. - HUMAN-TRU4]]</f>
        <v>7</v>
      </c>
      <c r="AJ55">
        <f t="shared" si="19"/>
        <v>0.66666666666666663</v>
      </c>
      <c r="AK55" s="32">
        <f t="shared" si="20"/>
        <v>0.69444444444444442</v>
      </c>
      <c r="AL55" s="32">
        <f t="shared" si="21"/>
        <v>0.69444444444444442</v>
      </c>
      <c r="AM55" s="7">
        <f t="shared" si="22"/>
        <v>0.69444444444444431</v>
      </c>
      <c r="AN55" s="7">
        <f t="shared" si="23"/>
        <v>0.71296296296296291</v>
      </c>
      <c r="AO55">
        <f>step3_validation[[#This Row],[AI_OUT1]]</f>
        <v>7</v>
      </c>
      <c r="AP55">
        <f t="shared" si="24"/>
        <v>0.66666666666666663</v>
      </c>
      <c r="AQ55">
        <f>[1]!survey_responses[[#This Row],[Sau khi xem xét các quyền lợi và nghĩa vụ, bạn có ủng hộ và tuân thủ chính sách mới hiện nay? - HUMAN-OUT1]]</f>
        <v>8</v>
      </c>
      <c r="AR55">
        <f t="shared" si="25"/>
        <v>0.77777777777777779</v>
      </c>
      <c r="AS55" s="32">
        <f t="shared" si="26"/>
        <v>1</v>
      </c>
    </row>
    <row r="56" spans="1:45" x14ac:dyDescent="0.45">
      <c r="A56">
        <f>step3_validation[[#This Row],[AI_ENF1]]</f>
        <v>7</v>
      </c>
      <c r="B56">
        <f t="shared" si="0"/>
        <v>0.66666666666666663</v>
      </c>
      <c r="C56">
        <f>[1]!survey_responses[[#This Row],[Tôi tin rằng với các quy định quản lý thuế hiện nay, hành vi gian lận hoặc trốn thuế sẽ dễ dàng bị phát hiện và xử lý nghiêm. - HUMAN-ENF1]]</f>
        <v>10</v>
      </c>
      <c r="D56">
        <f t="shared" si="1"/>
        <v>1</v>
      </c>
      <c r="E56">
        <f>step3_validation[[#This Row],[AI_ENF2]]</f>
        <v>8</v>
      </c>
      <c r="F56">
        <f t="shared" si="2"/>
        <v>0.77777777777777779</v>
      </c>
      <c r="G56">
        <f>[1]!survey_responses[[#This Row],[Tôi tin rằng Nhà nước, cơ quan thuế có đủ khả năng và công nghệ để phát hiện, xử lý nghiêm các hành vi trốn thuế. - HUMAN-ENF2]]</f>
        <v>9</v>
      </c>
      <c r="H56">
        <f t="shared" si="3"/>
        <v>0.88888888888888884</v>
      </c>
      <c r="I56" s="32">
        <f t="shared" si="4"/>
        <v>0.72222222222222221</v>
      </c>
      <c r="J56" s="32">
        <f t="shared" si="5"/>
        <v>0.94444444444444442</v>
      </c>
      <c r="K56">
        <f>step3_validation[[#This Row],[AI_FAC1]]</f>
        <v>9</v>
      </c>
      <c r="L56">
        <f t="shared" si="6"/>
        <v>0.88888888888888884</v>
      </c>
      <c r="M56">
        <f>[1]!survey_responses[[#This Row],[Các thủ tục khai báo thuế VÀ/HOẶC quy trình làm việc với cơ quan thuế đơn giản, tiện lợi, nhanh chóng hơn so với trước đây. - HUMAN-FAC1]]</f>
        <v>3</v>
      </c>
      <c r="N56">
        <f t="shared" si="7"/>
        <v>0.22222222222222221</v>
      </c>
      <c r="O56">
        <f>step3_validation[[#This Row],[AI_FAC2]]</f>
        <v>8</v>
      </c>
      <c r="P56">
        <f t="shared" si="8"/>
        <v>0.77777777777777779</v>
      </c>
      <c r="Q56">
        <f>[1]!survey_responses[[#This Row],[So với trước đây, tôi thấy cách tính thuế và các bậc thuế trong phương án mới đơn giản, dễ hiểu và dễ thực hiện hơn. - HUMAN-FAC2]]</f>
        <v>4</v>
      </c>
      <c r="R56">
        <f t="shared" si="9"/>
        <v>0.33333333333333331</v>
      </c>
      <c r="S56" s="32">
        <f t="shared" si="10"/>
        <v>0.83333333333333326</v>
      </c>
      <c r="T56" s="32">
        <f t="shared" si="11"/>
        <v>0.27777777777777779</v>
      </c>
      <c r="U56">
        <f>step3_validation[[#This Row],[AI_TRU1]]</f>
        <v>6</v>
      </c>
      <c r="V56">
        <f t="shared" si="12"/>
        <v>0.55555555555555558</v>
      </c>
      <c r="W56">
        <f>[1]!survey_responses[[#This Row],[Tôi tin rằng Nhà nước, cơ quan thuế sẽ thực thi chính sách mới một cách khách quan, công tâm và đối xử bình đẳng với mọi người nộp thuế.  - HUMAN-TRU1]]</f>
        <v>3</v>
      </c>
      <c r="X56">
        <f t="shared" si="13"/>
        <v>0.22222222222222221</v>
      </c>
      <c r="Y56">
        <f>step3_validation[[#This Row],[AI_TRU2]]</f>
        <v>7</v>
      </c>
      <c r="Z56">
        <f t="shared" si="14"/>
        <v>0.66666666666666663</v>
      </c>
      <c r="AA56">
        <f>[1]!survey_responses[[#This Row],[Tôi thấy mức thuế tôi phải đóng theo phương án mới là công bằng (người thu nhập như tôi đóng mức này là hợp lý). - HUMAN-TRU2]]</f>
        <v>3</v>
      </c>
      <c r="AB56">
        <f t="shared" si="15"/>
        <v>0.22222222222222221</v>
      </c>
      <c r="AC56">
        <f>step3_validation[[#This Row],[AI_TRU3]]</f>
        <v>6</v>
      </c>
      <c r="AD56">
        <f t="shared" si="16"/>
        <v>0.55555555555555558</v>
      </c>
      <c r="AE56">
        <f>[1]!survey_responses[[#This Row],[Tôi tin tưởng số tiền thuế tôi đóng sẽ được Nhà nước sử dụng hiệu quả để cải thiện dịch vụ công (y tế, đường xá...). - HUMAN-TRU3]]</f>
        <v>1</v>
      </c>
      <c r="AF56">
        <f t="shared" si="17"/>
        <v>0</v>
      </c>
      <c r="AG56">
        <f>step3_validation[[#This Row],[AI_TRU4]]</f>
        <v>7</v>
      </c>
      <c r="AH56">
        <f t="shared" si="18"/>
        <v>0.66666666666666663</v>
      </c>
      <c r="AI56">
        <f>[1]!survey_responses[[#This Row],[Tôi thấy Nhà nước đã giải thích rõ ràng, minh bạch về lý do và mục tiêu của việc sửa đổi thuế lần này. - HUMAN-TRU4]]</f>
        <v>1</v>
      </c>
      <c r="AJ56">
        <f t="shared" si="19"/>
        <v>0</v>
      </c>
      <c r="AK56" s="32">
        <f t="shared" si="20"/>
        <v>0.61111111111111116</v>
      </c>
      <c r="AL56" s="32">
        <f t="shared" si="21"/>
        <v>0.1111111111111111</v>
      </c>
      <c r="AM56" s="7">
        <f t="shared" si="22"/>
        <v>0.72222222222222221</v>
      </c>
      <c r="AN56" s="7">
        <f t="shared" si="23"/>
        <v>0.44444444444444448</v>
      </c>
      <c r="AO56">
        <f>step3_validation[[#This Row],[AI_OUT1]]</f>
        <v>8</v>
      </c>
      <c r="AP56">
        <f t="shared" si="24"/>
        <v>0.77777777777777779</v>
      </c>
      <c r="AQ56">
        <f>[1]!survey_responses[[#This Row],[Sau khi xem xét các quyền lợi và nghĩa vụ, bạn có ủng hộ và tuân thủ chính sách mới hiện nay? - HUMAN-OUT1]]</f>
        <v>3</v>
      </c>
      <c r="AR56">
        <f t="shared" si="25"/>
        <v>0.22222222222222221</v>
      </c>
      <c r="AS56" s="32">
        <f t="shared" si="26"/>
        <v>5</v>
      </c>
    </row>
    <row r="57" spans="1:45" x14ac:dyDescent="0.45">
      <c r="A57">
        <f>step3_validation[[#This Row],[AI_ENF1]]</f>
        <v>7</v>
      </c>
      <c r="B57">
        <f t="shared" si="0"/>
        <v>0.66666666666666663</v>
      </c>
      <c r="C57">
        <f>[1]!survey_responses[[#This Row],[Tôi tin rằng với các quy định quản lý thuế hiện nay, hành vi gian lận hoặc trốn thuế sẽ dễ dàng bị phát hiện và xử lý nghiêm. - HUMAN-ENF1]]</f>
        <v>10</v>
      </c>
      <c r="D57">
        <f t="shared" si="1"/>
        <v>1</v>
      </c>
      <c r="E57">
        <f>step3_validation[[#This Row],[AI_ENF2]]</f>
        <v>8</v>
      </c>
      <c r="F57">
        <f t="shared" si="2"/>
        <v>0.77777777777777779</v>
      </c>
      <c r="G57">
        <f>[1]!survey_responses[[#This Row],[Tôi tin rằng Nhà nước, cơ quan thuế có đủ khả năng và công nghệ để phát hiện, xử lý nghiêm các hành vi trốn thuế. - HUMAN-ENF2]]</f>
        <v>10</v>
      </c>
      <c r="H57">
        <f t="shared" si="3"/>
        <v>1</v>
      </c>
      <c r="I57" s="32">
        <f t="shared" si="4"/>
        <v>0.72222222222222221</v>
      </c>
      <c r="J57" s="32">
        <f t="shared" si="5"/>
        <v>1</v>
      </c>
      <c r="K57">
        <f>step3_validation[[#This Row],[AI_FAC1]]</f>
        <v>9</v>
      </c>
      <c r="L57">
        <f t="shared" si="6"/>
        <v>0.88888888888888884</v>
      </c>
      <c r="M57">
        <f>[1]!survey_responses[[#This Row],[Các thủ tục khai báo thuế VÀ/HOẶC quy trình làm việc với cơ quan thuế đơn giản, tiện lợi, nhanh chóng hơn so với trước đây. - HUMAN-FAC1]]</f>
        <v>9</v>
      </c>
      <c r="N57">
        <f t="shared" si="7"/>
        <v>0.88888888888888884</v>
      </c>
      <c r="O57">
        <f>step3_validation[[#This Row],[AI_FAC2]]</f>
        <v>8</v>
      </c>
      <c r="P57">
        <f t="shared" si="8"/>
        <v>0.77777777777777779</v>
      </c>
      <c r="Q57">
        <f>[1]!survey_responses[[#This Row],[So với trước đây, tôi thấy cách tính thuế và các bậc thuế trong phương án mới đơn giản, dễ hiểu và dễ thực hiện hơn. - HUMAN-FAC2]]</f>
        <v>10</v>
      </c>
      <c r="R57">
        <f t="shared" si="9"/>
        <v>1</v>
      </c>
      <c r="S57" s="32">
        <f t="shared" si="10"/>
        <v>0.83333333333333326</v>
      </c>
      <c r="T57" s="32">
        <f t="shared" si="11"/>
        <v>0.94444444444444442</v>
      </c>
      <c r="U57">
        <f>step3_validation[[#This Row],[AI_TRU1]]</f>
        <v>9</v>
      </c>
      <c r="V57">
        <f t="shared" si="12"/>
        <v>0.88888888888888884</v>
      </c>
      <c r="W57">
        <f>[1]!survey_responses[[#This Row],[Tôi tin rằng Nhà nước, cơ quan thuế sẽ thực thi chính sách mới một cách khách quan, công tâm và đối xử bình đẳng với mọi người nộp thuế.  - HUMAN-TRU1]]</f>
        <v>9</v>
      </c>
      <c r="X57">
        <f t="shared" si="13"/>
        <v>0.88888888888888884</v>
      </c>
      <c r="Y57">
        <f>step3_validation[[#This Row],[AI_TRU2]]</f>
        <v>8</v>
      </c>
      <c r="Z57">
        <f t="shared" si="14"/>
        <v>0.77777777777777779</v>
      </c>
      <c r="AA57">
        <f>[1]!survey_responses[[#This Row],[Tôi thấy mức thuế tôi phải đóng theo phương án mới là công bằng (người thu nhập như tôi đóng mức này là hợp lý). - HUMAN-TRU2]]</f>
        <v>10</v>
      </c>
      <c r="AB57">
        <f t="shared" si="15"/>
        <v>1</v>
      </c>
      <c r="AC57">
        <f>step3_validation[[#This Row],[AI_TRU3]]</f>
        <v>7</v>
      </c>
      <c r="AD57">
        <f t="shared" si="16"/>
        <v>0.66666666666666663</v>
      </c>
      <c r="AE57">
        <f>[1]!survey_responses[[#This Row],[Tôi tin tưởng số tiền thuế tôi đóng sẽ được Nhà nước sử dụng hiệu quả để cải thiện dịch vụ công (y tế, đường xá...). - HUMAN-TRU3]]</f>
        <v>9</v>
      </c>
      <c r="AF57">
        <f t="shared" si="17"/>
        <v>0.88888888888888884</v>
      </c>
      <c r="AG57">
        <f>step3_validation[[#This Row],[AI_TRU4]]</f>
        <v>6</v>
      </c>
      <c r="AH57">
        <f t="shared" si="18"/>
        <v>0.55555555555555558</v>
      </c>
      <c r="AI57">
        <f>[1]!survey_responses[[#This Row],[Tôi thấy Nhà nước đã giải thích rõ ràng, minh bạch về lý do và mục tiêu của việc sửa đổi thuế lần này. - HUMAN-TRU4]]</f>
        <v>10</v>
      </c>
      <c r="AJ57">
        <f t="shared" si="19"/>
        <v>1</v>
      </c>
      <c r="AK57" s="32">
        <f t="shared" si="20"/>
        <v>0.7222222222222221</v>
      </c>
      <c r="AL57" s="32">
        <f t="shared" si="21"/>
        <v>0.94444444444444442</v>
      </c>
      <c r="AM57" s="7">
        <f t="shared" si="22"/>
        <v>0.75925925925925919</v>
      </c>
      <c r="AN57" s="7">
        <f t="shared" si="23"/>
        <v>0.96296296296296291</v>
      </c>
      <c r="AO57">
        <f>step3_validation[[#This Row],[AI_OUT1]]</f>
        <v>8</v>
      </c>
      <c r="AP57">
        <f t="shared" si="24"/>
        <v>0.77777777777777779</v>
      </c>
      <c r="AQ57">
        <f>[1]!survey_responses[[#This Row],[Sau khi xem xét các quyền lợi và nghĩa vụ, bạn có ủng hộ và tuân thủ chính sách mới hiện nay? - HUMAN-OUT1]]</f>
        <v>9</v>
      </c>
      <c r="AR57">
        <f t="shared" si="25"/>
        <v>0.88888888888888884</v>
      </c>
      <c r="AS57" s="32">
        <f t="shared" si="26"/>
        <v>1</v>
      </c>
    </row>
    <row r="58" spans="1:45" x14ac:dyDescent="0.45">
      <c r="A58">
        <f>step3_validation[[#This Row],[AI_ENF1]]</f>
        <v>8</v>
      </c>
      <c r="B58">
        <f t="shared" si="0"/>
        <v>0.77777777777777779</v>
      </c>
      <c r="C58">
        <f>[1]!survey_responses[[#This Row],[Tôi tin rằng với các quy định quản lý thuế hiện nay, hành vi gian lận hoặc trốn thuế sẽ dễ dàng bị phát hiện và xử lý nghiêm. - HUMAN-ENF1]]</f>
        <v>10</v>
      </c>
      <c r="D58">
        <f t="shared" si="1"/>
        <v>1</v>
      </c>
      <c r="E58">
        <f>step3_validation[[#This Row],[AI_ENF2]]</f>
        <v>7</v>
      </c>
      <c r="F58">
        <f t="shared" si="2"/>
        <v>0.66666666666666663</v>
      </c>
      <c r="G58">
        <f>[1]!survey_responses[[#This Row],[Tôi tin rằng Nhà nước, cơ quan thuế có đủ khả năng và công nghệ để phát hiện, xử lý nghiêm các hành vi trốn thuế. - HUMAN-ENF2]]</f>
        <v>10</v>
      </c>
      <c r="H58">
        <f t="shared" si="3"/>
        <v>1</v>
      </c>
      <c r="I58" s="32">
        <f t="shared" si="4"/>
        <v>0.72222222222222221</v>
      </c>
      <c r="J58" s="32">
        <f t="shared" si="5"/>
        <v>1</v>
      </c>
      <c r="K58">
        <f>step3_validation[[#This Row],[AI_FAC1]]</f>
        <v>9</v>
      </c>
      <c r="L58">
        <f t="shared" si="6"/>
        <v>0.88888888888888884</v>
      </c>
      <c r="M58">
        <f>[1]!survey_responses[[#This Row],[Các thủ tục khai báo thuế VÀ/HOẶC quy trình làm việc với cơ quan thuế đơn giản, tiện lợi, nhanh chóng hơn so với trước đây. - HUMAN-FAC1]]</f>
        <v>1</v>
      </c>
      <c r="N58">
        <f t="shared" si="7"/>
        <v>0</v>
      </c>
      <c r="O58">
        <f>step3_validation[[#This Row],[AI_FAC2]]</f>
        <v>8</v>
      </c>
      <c r="P58">
        <f t="shared" si="8"/>
        <v>0.77777777777777779</v>
      </c>
      <c r="Q58">
        <f>[1]!survey_responses[[#This Row],[So với trước đây, tôi thấy cách tính thuế và các bậc thuế trong phương án mới đơn giản, dễ hiểu và dễ thực hiện hơn. - HUMAN-FAC2]]</f>
        <v>5</v>
      </c>
      <c r="R58">
        <f t="shared" si="9"/>
        <v>0.44444444444444442</v>
      </c>
      <c r="S58" s="32">
        <f t="shared" si="10"/>
        <v>0.83333333333333326</v>
      </c>
      <c r="T58" s="32">
        <f t="shared" si="11"/>
        <v>0.22222222222222221</v>
      </c>
      <c r="U58">
        <f>step3_validation[[#This Row],[AI_TRU1]]</f>
        <v>9</v>
      </c>
      <c r="V58">
        <f t="shared" si="12"/>
        <v>0.88888888888888884</v>
      </c>
      <c r="W58">
        <f>[1]!survey_responses[[#This Row],[Tôi tin rằng Nhà nước, cơ quan thuế sẽ thực thi chính sách mới một cách khách quan, công tâm và đối xử bình đẳng với mọi người nộp thuế.  - HUMAN-TRU1]]</f>
        <v>7</v>
      </c>
      <c r="X58">
        <f t="shared" si="13"/>
        <v>0.66666666666666663</v>
      </c>
      <c r="Y58">
        <f>step3_validation[[#This Row],[AI_TRU2]]</f>
        <v>7</v>
      </c>
      <c r="Z58">
        <f t="shared" si="14"/>
        <v>0.66666666666666663</v>
      </c>
      <c r="AA58">
        <f>[1]!survey_responses[[#This Row],[Tôi thấy mức thuế tôi phải đóng theo phương án mới là công bằng (người thu nhập như tôi đóng mức này là hợp lý). - HUMAN-TRU2]]</f>
        <v>10</v>
      </c>
      <c r="AB58">
        <f t="shared" si="15"/>
        <v>1</v>
      </c>
      <c r="AC58">
        <f>step3_validation[[#This Row],[AI_TRU3]]</f>
        <v>8</v>
      </c>
      <c r="AD58">
        <f t="shared" si="16"/>
        <v>0.77777777777777779</v>
      </c>
      <c r="AE58">
        <f>[1]!survey_responses[[#This Row],[Tôi tin tưởng số tiền thuế tôi đóng sẽ được Nhà nước sử dụng hiệu quả để cải thiện dịch vụ công (y tế, đường xá...). - HUMAN-TRU3]]</f>
        <v>9</v>
      </c>
      <c r="AF58">
        <f t="shared" si="17"/>
        <v>0.88888888888888884</v>
      </c>
      <c r="AG58">
        <f>step3_validation[[#This Row],[AI_TRU4]]</f>
        <v>6</v>
      </c>
      <c r="AH58">
        <f t="shared" si="18"/>
        <v>0.55555555555555558</v>
      </c>
      <c r="AI58">
        <f>[1]!survey_responses[[#This Row],[Tôi thấy Nhà nước đã giải thích rõ ràng, minh bạch về lý do và mục tiêu của việc sửa đổi thuế lần này. - HUMAN-TRU4]]</f>
        <v>9</v>
      </c>
      <c r="AJ58">
        <f t="shared" si="19"/>
        <v>0.88888888888888884</v>
      </c>
      <c r="AK58" s="32">
        <f t="shared" si="20"/>
        <v>0.7222222222222221</v>
      </c>
      <c r="AL58" s="32">
        <f t="shared" si="21"/>
        <v>0.86111111111111105</v>
      </c>
      <c r="AM58" s="7">
        <f t="shared" si="22"/>
        <v>0.75925925925925919</v>
      </c>
      <c r="AN58" s="7">
        <f t="shared" si="23"/>
        <v>0.69444444444444453</v>
      </c>
      <c r="AO58">
        <f>step3_validation[[#This Row],[AI_OUT1]]</f>
        <v>7</v>
      </c>
      <c r="AP58">
        <f t="shared" si="24"/>
        <v>0.66666666666666663</v>
      </c>
      <c r="AQ58">
        <f>[1]!survey_responses[[#This Row],[Sau khi xem xét các quyền lợi và nghĩa vụ, bạn có ủng hộ và tuân thủ chính sách mới hiện nay? - HUMAN-OUT1]]</f>
        <v>10</v>
      </c>
      <c r="AR58">
        <f t="shared" si="25"/>
        <v>1</v>
      </c>
      <c r="AS58" s="32">
        <f t="shared" si="26"/>
        <v>3</v>
      </c>
    </row>
    <row r="59" spans="1:45" x14ac:dyDescent="0.45">
      <c r="A59">
        <f>step3_validation[[#This Row],[AI_ENF1]]</f>
        <v>7</v>
      </c>
      <c r="B59">
        <f t="shared" si="0"/>
        <v>0.66666666666666663</v>
      </c>
      <c r="C59">
        <f>[1]!survey_responses[[#This Row],[Tôi tin rằng với các quy định quản lý thuế hiện nay, hành vi gian lận hoặc trốn thuế sẽ dễ dàng bị phát hiện và xử lý nghiêm. - HUMAN-ENF1]]</f>
        <v>5</v>
      </c>
      <c r="D59">
        <f t="shared" si="1"/>
        <v>0.44444444444444442</v>
      </c>
      <c r="E59">
        <f>step3_validation[[#This Row],[AI_ENF2]]</f>
        <v>6</v>
      </c>
      <c r="F59">
        <f t="shared" si="2"/>
        <v>0.55555555555555558</v>
      </c>
      <c r="G59">
        <f>[1]!survey_responses[[#This Row],[Tôi tin rằng Nhà nước, cơ quan thuế có đủ khả năng và công nghệ để phát hiện, xử lý nghiêm các hành vi trốn thuế. - HUMAN-ENF2]]</f>
        <v>5</v>
      </c>
      <c r="H59">
        <f t="shared" si="3"/>
        <v>0.44444444444444442</v>
      </c>
      <c r="I59" s="32">
        <f t="shared" si="4"/>
        <v>0.61111111111111116</v>
      </c>
      <c r="J59" s="32">
        <f t="shared" si="5"/>
        <v>0.44444444444444442</v>
      </c>
      <c r="K59">
        <f>step3_validation[[#This Row],[AI_FAC1]]</f>
        <v>8</v>
      </c>
      <c r="L59">
        <f t="shared" si="6"/>
        <v>0.77777777777777779</v>
      </c>
      <c r="M59">
        <f>[1]!survey_responses[[#This Row],[Các thủ tục khai báo thuế VÀ/HOẶC quy trình làm việc với cơ quan thuế đơn giản, tiện lợi, nhanh chóng hơn so với trước đây. - HUMAN-FAC1]]</f>
        <v>4</v>
      </c>
      <c r="N59">
        <f t="shared" si="7"/>
        <v>0.33333333333333331</v>
      </c>
      <c r="O59">
        <f>step3_validation[[#This Row],[AI_FAC2]]</f>
        <v>7</v>
      </c>
      <c r="P59">
        <f t="shared" si="8"/>
        <v>0.66666666666666663</v>
      </c>
      <c r="Q59">
        <f>[1]!survey_responses[[#This Row],[So với trước đây, tôi thấy cách tính thuế và các bậc thuế trong phương án mới đơn giản, dễ hiểu và dễ thực hiện hơn. - HUMAN-FAC2]]</f>
        <v>8</v>
      </c>
      <c r="R59">
        <f t="shared" si="9"/>
        <v>0.77777777777777779</v>
      </c>
      <c r="S59" s="32">
        <f t="shared" si="10"/>
        <v>0.72222222222222221</v>
      </c>
      <c r="T59" s="32">
        <f t="shared" si="11"/>
        <v>0.55555555555555558</v>
      </c>
      <c r="U59">
        <f>step3_validation[[#This Row],[AI_TRU1]]</f>
        <v>8</v>
      </c>
      <c r="V59">
        <f t="shared" si="12"/>
        <v>0.77777777777777779</v>
      </c>
      <c r="W59">
        <f>[1]!survey_responses[[#This Row],[Tôi tin rằng Nhà nước, cơ quan thuế sẽ thực thi chính sách mới một cách khách quan, công tâm và đối xử bình đẳng với mọi người nộp thuế.  - HUMAN-TRU1]]</f>
        <v>5</v>
      </c>
      <c r="X59">
        <f t="shared" si="13"/>
        <v>0.44444444444444442</v>
      </c>
      <c r="Y59">
        <f>step3_validation[[#This Row],[AI_TRU2]]</f>
        <v>7</v>
      </c>
      <c r="Z59">
        <f t="shared" si="14"/>
        <v>0.66666666666666663</v>
      </c>
      <c r="AA59">
        <f>[1]!survey_responses[[#This Row],[Tôi thấy mức thuế tôi phải đóng theo phương án mới là công bằng (người thu nhập như tôi đóng mức này là hợp lý). - HUMAN-TRU2]]</f>
        <v>7</v>
      </c>
      <c r="AB59">
        <f t="shared" si="15"/>
        <v>0.66666666666666663</v>
      </c>
      <c r="AC59">
        <f>step3_validation[[#This Row],[AI_TRU3]]</f>
        <v>6</v>
      </c>
      <c r="AD59">
        <f t="shared" si="16"/>
        <v>0.55555555555555558</v>
      </c>
      <c r="AE59">
        <f>[1]!survey_responses[[#This Row],[Tôi tin tưởng số tiền thuế tôi đóng sẽ được Nhà nước sử dụng hiệu quả để cải thiện dịch vụ công (y tế, đường xá...). - HUMAN-TRU3]]</f>
        <v>7</v>
      </c>
      <c r="AF59">
        <f t="shared" si="17"/>
        <v>0.66666666666666663</v>
      </c>
      <c r="AG59">
        <f>step3_validation[[#This Row],[AI_TRU4]]</f>
        <v>7</v>
      </c>
      <c r="AH59">
        <f t="shared" si="18"/>
        <v>0.66666666666666663</v>
      </c>
      <c r="AI59">
        <f>[1]!survey_responses[[#This Row],[Tôi thấy Nhà nước đã giải thích rõ ràng, minh bạch về lý do và mục tiêu của việc sửa đổi thuế lần này. - HUMAN-TRU4]]</f>
        <v>7</v>
      </c>
      <c r="AJ59">
        <f t="shared" si="19"/>
        <v>0.66666666666666663</v>
      </c>
      <c r="AK59" s="32">
        <f t="shared" si="20"/>
        <v>0.66666666666666663</v>
      </c>
      <c r="AL59" s="32">
        <f t="shared" si="21"/>
        <v>0.61111111111111105</v>
      </c>
      <c r="AM59" s="7">
        <f t="shared" si="22"/>
        <v>0.66666666666666663</v>
      </c>
      <c r="AN59" s="7">
        <f t="shared" si="23"/>
        <v>0.53703703703703709</v>
      </c>
      <c r="AO59">
        <f>step3_validation[[#This Row],[AI_OUT1]]</f>
        <v>8</v>
      </c>
      <c r="AP59">
        <f t="shared" si="24"/>
        <v>0.77777777777777779</v>
      </c>
      <c r="AQ59">
        <f>[1]!survey_responses[[#This Row],[Sau khi xem xét các quyền lợi và nghĩa vụ, bạn có ủng hộ và tuân thủ chính sách mới hiện nay? - HUMAN-OUT1]]</f>
        <v>7</v>
      </c>
      <c r="AR59">
        <f t="shared" si="25"/>
        <v>0.66666666666666663</v>
      </c>
      <c r="AS59" s="32">
        <f t="shared" si="26"/>
        <v>1</v>
      </c>
    </row>
    <row r="60" spans="1:45" x14ac:dyDescent="0.45">
      <c r="A60">
        <f>step3_validation[[#This Row],[AI_ENF1]]</f>
        <v>8</v>
      </c>
      <c r="B60">
        <f t="shared" si="0"/>
        <v>0.77777777777777779</v>
      </c>
      <c r="C60">
        <f>[1]!survey_responses[[#This Row],[Tôi tin rằng với các quy định quản lý thuế hiện nay, hành vi gian lận hoặc trốn thuế sẽ dễ dàng bị phát hiện và xử lý nghiêm. - HUMAN-ENF1]]</f>
        <v>9</v>
      </c>
      <c r="D60">
        <f t="shared" si="1"/>
        <v>0.88888888888888884</v>
      </c>
      <c r="E60">
        <f>step3_validation[[#This Row],[AI_ENF2]]</f>
        <v>8</v>
      </c>
      <c r="F60">
        <f t="shared" si="2"/>
        <v>0.77777777777777779</v>
      </c>
      <c r="G60">
        <f>[1]!survey_responses[[#This Row],[Tôi tin rằng Nhà nước, cơ quan thuế có đủ khả năng và công nghệ để phát hiện, xử lý nghiêm các hành vi trốn thuế. - HUMAN-ENF2]]</f>
        <v>9</v>
      </c>
      <c r="H60">
        <f t="shared" si="3"/>
        <v>0.88888888888888884</v>
      </c>
      <c r="I60" s="32">
        <f t="shared" si="4"/>
        <v>0.77777777777777779</v>
      </c>
      <c r="J60" s="32">
        <f t="shared" si="5"/>
        <v>0.88888888888888884</v>
      </c>
      <c r="K60">
        <f>step3_validation[[#This Row],[AI_FAC1]]</f>
        <v>9</v>
      </c>
      <c r="L60">
        <f t="shared" si="6"/>
        <v>0.88888888888888884</v>
      </c>
      <c r="M60">
        <f>[1]!survey_responses[[#This Row],[Các thủ tục khai báo thuế VÀ/HOẶC quy trình làm việc với cơ quan thuế đơn giản, tiện lợi, nhanh chóng hơn so với trước đây. - HUMAN-FAC1]]</f>
        <v>9</v>
      </c>
      <c r="N60">
        <f t="shared" si="7"/>
        <v>0.88888888888888884</v>
      </c>
      <c r="O60">
        <f>step3_validation[[#This Row],[AI_FAC2]]</f>
        <v>8</v>
      </c>
      <c r="P60">
        <f t="shared" si="8"/>
        <v>0.77777777777777779</v>
      </c>
      <c r="Q60">
        <f>[1]!survey_responses[[#This Row],[So với trước đây, tôi thấy cách tính thuế và các bậc thuế trong phương án mới đơn giản, dễ hiểu và dễ thực hiện hơn. - HUMAN-FAC2]]</f>
        <v>7</v>
      </c>
      <c r="R60">
        <f t="shared" si="9"/>
        <v>0.66666666666666663</v>
      </c>
      <c r="S60" s="32">
        <f t="shared" si="10"/>
        <v>0.83333333333333326</v>
      </c>
      <c r="T60" s="32">
        <f t="shared" si="11"/>
        <v>0.77777777777777768</v>
      </c>
      <c r="U60">
        <f>step3_validation[[#This Row],[AI_TRU1]]</f>
        <v>7</v>
      </c>
      <c r="V60">
        <f t="shared" si="12"/>
        <v>0.66666666666666663</v>
      </c>
      <c r="W60">
        <f>[1]!survey_responses[[#This Row],[Tôi tin rằng Nhà nước, cơ quan thuế sẽ thực thi chính sách mới một cách khách quan, công tâm và đối xử bình đẳng với mọi người nộp thuế.  - HUMAN-TRU1]]</f>
        <v>7</v>
      </c>
      <c r="X60">
        <f t="shared" si="13"/>
        <v>0.66666666666666663</v>
      </c>
      <c r="Y60">
        <f>step3_validation[[#This Row],[AI_TRU2]]</f>
        <v>6</v>
      </c>
      <c r="Z60">
        <f t="shared" si="14"/>
        <v>0.55555555555555558</v>
      </c>
      <c r="AA60">
        <f>[1]!survey_responses[[#This Row],[Tôi thấy mức thuế tôi phải đóng theo phương án mới là công bằng (người thu nhập như tôi đóng mức này là hợp lý). - HUMAN-TRU2]]</f>
        <v>8</v>
      </c>
      <c r="AB60">
        <f t="shared" si="15"/>
        <v>0.77777777777777779</v>
      </c>
      <c r="AC60">
        <f>step3_validation[[#This Row],[AI_TRU3]]</f>
        <v>7</v>
      </c>
      <c r="AD60">
        <f t="shared" si="16"/>
        <v>0.66666666666666663</v>
      </c>
      <c r="AE60">
        <f>[1]!survey_responses[[#This Row],[Tôi tin tưởng số tiền thuế tôi đóng sẽ được Nhà nước sử dụng hiệu quả để cải thiện dịch vụ công (y tế, đường xá...). - HUMAN-TRU3]]</f>
        <v>8</v>
      </c>
      <c r="AF60">
        <f t="shared" si="17"/>
        <v>0.77777777777777779</v>
      </c>
      <c r="AG60">
        <f>step3_validation[[#This Row],[AI_TRU4]]</f>
        <v>5</v>
      </c>
      <c r="AH60">
        <f t="shared" si="18"/>
        <v>0.44444444444444442</v>
      </c>
      <c r="AI60">
        <f>[1]!survey_responses[[#This Row],[Tôi thấy Nhà nước đã giải thích rõ ràng, minh bạch về lý do và mục tiêu của việc sửa đổi thuế lần này. - HUMAN-TRU4]]</f>
        <v>6</v>
      </c>
      <c r="AJ60">
        <f t="shared" si="19"/>
        <v>0.55555555555555558</v>
      </c>
      <c r="AK60" s="32">
        <f t="shared" si="20"/>
        <v>0.58333333333333326</v>
      </c>
      <c r="AL60" s="32">
        <f t="shared" si="21"/>
        <v>0.69444444444444442</v>
      </c>
      <c r="AM60" s="7">
        <f t="shared" si="22"/>
        <v>0.73148148148148151</v>
      </c>
      <c r="AN60" s="7">
        <f t="shared" si="23"/>
        <v>0.78703703703703687</v>
      </c>
      <c r="AO60">
        <f>step3_validation[[#This Row],[AI_OUT1]]</f>
        <v>6</v>
      </c>
      <c r="AP60">
        <f t="shared" si="24"/>
        <v>0.55555555555555558</v>
      </c>
      <c r="AQ60">
        <f>[1]!survey_responses[[#This Row],[Sau khi xem xét các quyền lợi và nghĩa vụ, bạn có ủng hộ và tuân thủ chính sách mới hiện nay? - HUMAN-OUT1]]</f>
        <v>5</v>
      </c>
      <c r="AR60">
        <f t="shared" si="25"/>
        <v>0.44444444444444442</v>
      </c>
      <c r="AS60" s="32">
        <f t="shared" si="26"/>
        <v>1</v>
      </c>
    </row>
    <row r="61" spans="1:45" x14ac:dyDescent="0.45">
      <c r="A61">
        <f>step3_validation[[#This Row],[AI_ENF1]]</f>
        <v>7</v>
      </c>
      <c r="B61">
        <f t="shared" si="0"/>
        <v>0.66666666666666663</v>
      </c>
      <c r="C61">
        <f>[1]!survey_responses[[#This Row],[Tôi tin rằng với các quy định quản lý thuế hiện nay, hành vi gian lận hoặc trốn thuế sẽ dễ dàng bị phát hiện và xử lý nghiêm. - HUMAN-ENF1]]</f>
        <v>5</v>
      </c>
      <c r="D61">
        <f t="shared" si="1"/>
        <v>0.44444444444444442</v>
      </c>
      <c r="E61">
        <f>step3_validation[[#This Row],[AI_ENF2]]</f>
        <v>6</v>
      </c>
      <c r="F61">
        <f t="shared" si="2"/>
        <v>0.55555555555555558</v>
      </c>
      <c r="G61">
        <f>[1]!survey_responses[[#This Row],[Tôi tin rằng Nhà nước, cơ quan thuế có đủ khả năng và công nghệ để phát hiện, xử lý nghiêm các hành vi trốn thuế. - HUMAN-ENF2]]</f>
        <v>5</v>
      </c>
      <c r="H61">
        <f t="shared" si="3"/>
        <v>0.44444444444444442</v>
      </c>
      <c r="I61" s="32">
        <f t="shared" si="4"/>
        <v>0.61111111111111116</v>
      </c>
      <c r="J61" s="32">
        <f t="shared" si="5"/>
        <v>0.44444444444444442</v>
      </c>
      <c r="K61">
        <f>step3_validation[[#This Row],[AI_FAC1]]</f>
        <v>8</v>
      </c>
      <c r="L61">
        <f t="shared" si="6"/>
        <v>0.77777777777777779</v>
      </c>
      <c r="M61">
        <f>[1]!survey_responses[[#This Row],[Các thủ tục khai báo thuế VÀ/HOẶC quy trình làm việc với cơ quan thuế đơn giản, tiện lợi, nhanh chóng hơn so với trước đây. - HUMAN-FAC1]]</f>
        <v>5</v>
      </c>
      <c r="N61">
        <f t="shared" si="7"/>
        <v>0.44444444444444442</v>
      </c>
      <c r="O61">
        <f>step3_validation[[#This Row],[AI_FAC2]]</f>
        <v>9</v>
      </c>
      <c r="P61">
        <f t="shared" si="8"/>
        <v>0.88888888888888884</v>
      </c>
      <c r="Q61">
        <f>[1]!survey_responses[[#This Row],[So với trước đây, tôi thấy cách tính thuế và các bậc thuế trong phương án mới đơn giản, dễ hiểu và dễ thực hiện hơn. - HUMAN-FAC2]]</f>
        <v>5</v>
      </c>
      <c r="R61">
        <f t="shared" si="9"/>
        <v>0.44444444444444442</v>
      </c>
      <c r="S61" s="32">
        <f t="shared" si="10"/>
        <v>0.83333333333333326</v>
      </c>
      <c r="T61" s="32">
        <f t="shared" si="11"/>
        <v>0.44444444444444442</v>
      </c>
      <c r="U61">
        <f>step3_validation[[#This Row],[AI_TRU1]]</f>
        <v>5</v>
      </c>
      <c r="V61">
        <f t="shared" si="12"/>
        <v>0.44444444444444442</v>
      </c>
      <c r="W61">
        <f>[1]!survey_responses[[#This Row],[Tôi tin rằng Nhà nước, cơ quan thuế sẽ thực thi chính sách mới một cách khách quan, công tâm và đối xử bình đẳng với mọi người nộp thuế.  - HUMAN-TRU1]]</f>
        <v>5</v>
      </c>
      <c r="X61">
        <f t="shared" si="13"/>
        <v>0.44444444444444442</v>
      </c>
      <c r="Y61">
        <f>step3_validation[[#This Row],[AI_TRU2]]</f>
        <v>6</v>
      </c>
      <c r="Z61">
        <f t="shared" si="14"/>
        <v>0.55555555555555558</v>
      </c>
      <c r="AA61">
        <f>[1]!survey_responses[[#This Row],[Tôi thấy mức thuế tôi phải đóng theo phương án mới là công bằng (người thu nhập như tôi đóng mức này là hợp lý). - HUMAN-TRU2]]</f>
        <v>8</v>
      </c>
      <c r="AB61">
        <f t="shared" si="15"/>
        <v>0.77777777777777779</v>
      </c>
      <c r="AC61">
        <f>step3_validation[[#This Row],[AI_TRU3]]</f>
        <v>7</v>
      </c>
      <c r="AD61">
        <f t="shared" si="16"/>
        <v>0.66666666666666663</v>
      </c>
      <c r="AE61">
        <f>[1]!survey_responses[[#This Row],[Tôi tin tưởng số tiền thuế tôi đóng sẽ được Nhà nước sử dụng hiệu quả để cải thiện dịch vụ công (y tế, đường xá...). - HUMAN-TRU3]]</f>
        <v>4</v>
      </c>
      <c r="AF61">
        <f t="shared" si="17"/>
        <v>0.33333333333333331</v>
      </c>
      <c r="AG61">
        <f>step3_validation[[#This Row],[AI_TRU4]]</f>
        <v>6</v>
      </c>
      <c r="AH61">
        <f t="shared" si="18"/>
        <v>0.55555555555555558</v>
      </c>
      <c r="AI61">
        <f>[1]!survey_responses[[#This Row],[Tôi thấy Nhà nước đã giải thích rõ ràng, minh bạch về lý do và mục tiêu của việc sửa đổi thuế lần này. - HUMAN-TRU4]]</f>
        <v>5</v>
      </c>
      <c r="AJ61">
        <f t="shared" si="19"/>
        <v>0.44444444444444442</v>
      </c>
      <c r="AK61" s="32">
        <f t="shared" si="20"/>
        <v>0.55555555555555558</v>
      </c>
      <c r="AL61" s="32">
        <f t="shared" si="21"/>
        <v>0.5</v>
      </c>
      <c r="AM61" s="7">
        <f t="shared" si="22"/>
        <v>0.66666666666666663</v>
      </c>
      <c r="AN61" s="7">
        <f t="shared" si="23"/>
        <v>0.46296296296296297</v>
      </c>
      <c r="AO61">
        <f>step3_validation[[#This Row],[AI_OUT1]]</f>
        <v>7</v>
      </c>
      <c r="AP61">
        <f t="shared" si="24"/>
        <v>0.66666666666666663</v>
      </c>
      <c r="AQ61">
        <f>[1]!survey_responses[[#This Row],[Sau khi xem xét các quyền lợi và nghĩa vụ, bạn có ủng hộ và tuân thủ chính sách mới hiện nay? - HUMAN-OUT1]]</f>
        <v>5</v>
      </c>
      <c r="AR61">
        <f t="shared" si="25"/>
        <v>0.44444444444444442</v>
      </c>
      <c r="AS61" s="32">
        <f t="shared" si="26"/>
        <v>2</v>
      </c>
    </row>
    <row r="62" spans="1:45" x14ac:dyDescent="0.45">
      <c r="A62">
        <f>step3_validation[[#This Row],[AI_ENF1]]</f>
        <v>8</v>
      </c>
      <c r="B62">
        <f t="shared" si="0"/>
        <v>0.77777777777777779</v>
      </c>
      <c r="C62">
        <f>[1]!survey_responses[[#This Row],[Tôi tin rằng với các quy định quản lý thuế hiện nay, hành vi gian lận hoặc trốn thuế sẽ dễ dàng bị phát hiện và xử lý nghiêm. - HUMAN-ENF1]]</f>
        <v>8</v>
      </c>
      <c r="D62">
        <f t="shared" si="1"/>
        <v>0.77777777777777779</v>
      </c>
      <c r="E62">
        <f>step3_validation[[#This Row],[AI_ENF2]]</f>
        <v>7</v>
      </c>
      <c r="F62">
        <f t="shared" si="2"/>
        <v>0.66666666666666663</v>
      </c>
      <c r="G62">
        <f>[1]!survey_responses[[#This Row],[Tôi tin rằng Nhà nước, cơ quan thuế có đủ khả năng và công nghệ để phát hiện, xử lý nghiêm các hành vi trốn thuế. - HUMAN-ENF2]]</f>
        <v>9</v>
      </c>
      <c r="H62">
        <f t="shared" si="3"/>
        <v>0.88888888888888884</v>
      </c>
      <c r="I62" s="32">
        <f t="shared" si="4"/>
        <v>0.72222222222222221</v>
      </c>
      <c r="J62" s="32">
        <f t="shared" si="5"/>
        <v>0.83333333333333326</v>
      </c>
      <c r="K62">
        <f>step3_validation[[#This Row],[AI_FAC1]]</f>
        <v>6</v>
      </c>
      <c r="L62">
        <f t="shared" si="6"/>
        <v>0.55555555555555558</v>
      </c>
      <c r="M62">
        <f>[1]!survey_responses[[#This Row],[Các thủ tục khai báo thuế VÀ/HOẶC quy trình làm việc với cơ quan thuế đơn giản, tiện lợi, nhanh chóng hơn so với trước đây. - HUMAN-FAC1]]</f>
        <v>9</v>
      </c>
      <c r="N62">
        <f t="shared" si="7"/>
        <v>0.88888888888888884</v>
      </c>
      <c r="O62">
        <f>step3_validation[[#This Row],[AI_FAC2]]</f>
        <v>8</v>
      </c>
      <c r="P62">
        <f t="shared" si="8"/>
        <v>0.77777777777777779</v>
      </c>
      <c r="Q62">
        <f>[1]!survey_responses[[#This Row],[So với trước đây, tôi thấy cách tính thuế và các bậc thuế trong phương án mới đơn giản, dễ hiểu và dễ thực hiện hơn. - HUMAN-FAC2]]</f>
        <v>9</v>
      </c>
      <c r="R62">
        <f t="shared" si="9"/>
        <v>0.88888888888888884</v>
      </c>
      <c r="S62" s="32">
        <f t="shared" si="10"/>
        <v>0.66666666666666674</v>
      </c>
      <c r="T62" s="32">
        <f t="shared" si="11"/>
        <v>0.88888888888888884</v>
      </c>
      <c r="U62">
        <f>step3_validation[[#This Row],[AI_TRU1]]</f>
        <v>7</v>
      </c>
      <c r="V62">
        <f t="shared" si="12"/>
        <v>0.66666666666666663</v>
      </c>
      <c r="W62">
        <f>[1]!survey_responses[[#This Row],[Tôi tin rằng Nhà nước, cơ quan thuế sẽ thực thi chính sách mới một cách khách quan, công tâm và đối xử bình đẳng với mọi người nộp thuế.  - HUMAN-TRU1]]</f>
        <v>9</v>
      </c>
      <c r="X62">
        <f t="shared" si="13"/>
        <v>0.88888888888888884</v>
      </c>
      <c r="Y62">
        <f>step3_validation[[#This Row],[AI_TRU2]]</f>
        <v>9</v>
      </c>
      <c r="Z62">
        <f t="shared" si="14"/>
        <v>0.88888888888888884</v>
      </c>
      <c r="AA62">
        <f>[1]!survey_responses[[#This Row],[Tôi thấy mức thuế tôi phải đóng theo phương án mới là công bằng (người thu nhập như tôi đóng mức này là hợp lý). - HUMAN-TRU2]]</f>
        <v>8</v>
      </c>
      <c r="AB62">
        <f t="shared" si="15"/>
        <v>0.77777777777777779</v>
      </c>
      <c r="AC62">
        <f>step3_validation[[#This Row],[AI_TRU3]]</f>
        <v>8</v>
      </c>
      <c r="AD62">
        <f t="shared" si="16"/>
        <v>0.77777777777777779</v>
      </c>
      <c r="AE62">
        <f>[1]!survey_responses[[#This Row],[Tôi tin tưởng số tiền thuế tôi đóng sẽ được Nhà nước sử dụng hiệu quả để cải thiện dịch vụ công (y tế, đường xá...). - HUMAN-TRU3]]</f>
        <v>8</v>
      </c>
      <c r="AF62">
        <f t="shared" si="17"/>
        <v>0.77777777777777779</v>
      </c>
      <c r="AG62">
        <f>step3_validation[[#This Row],[AI_TRU4]]</f>
        <v>7</v>
      </c>
      <c r="AH62">
        <f t="shared" si="18"/>
        <v>0.66666666666666663</v>
      </c>
      <c r="AI62">
        <f>[1]!survey_responses[[#This Row],[Tôi thấy Nhà nước đã giải thích rõ ràng, minh bạch về lý do và mục tiêu của việc sửa đổi thuế lần này. - HUMAN-TRU4]]</f>
        <v>8</v>
      </c>
      <c r="AJ62">
        <f t="shared" si="19"/>
        <v>0.77777777777777779</v>
      </c>
      <c r="AK62" s="32">
        <f t="shared" si="20"/>
        <v>0.74999999999999989</v>
      </c>
      <c r="AL62" s="32">
        <f t="shared" si="21"/>
        <v>0.80555555555555547</v>
      </c>
      <c r="AM62" s="7">
        <f t="shared" si="22"/>
        <v>0.71296296296296291</v>
      </c>
      <c r="AN62" s="7">
        <f t="shared" si="23"/>
        <v>0.84259259259259256</v>
      </c>
      <c r="AO62">
        <f>step3_validation[[#This Row],[AI_OUT1]]</f>
        <v>9</v>
      </c>
      <c r="AP62">
        <f t="shared" si="24"/>
        <v>0.88888888888888884</v>
      </c>
      <c r="AQ62">
        <f>[1]!survey_responses[[#This Row],[Sau khi xem xét các quyền lợi và nghĩa vụ, bạn có ủng hộ và tuân thủ chính sách mới hiện nay? - HUMAN-OUT1]]</f>
        <v>9</v>
      </c>
      <c r="AR62">
        <f t="shared" si="25"/>
        <v>0.88888888888888884</v>
      </c>
      <c r="AS62" s="32">
        <f t="shared" si="26"/>
        <v>0</v>
      </c>
    </row>
    <row r="63" spans="1:45" x14ac:dyDescent="0.45">
      <c r="A63">
        <f>step3_validation[[#This Row],[AI_ENF1]]</f>
        <v>7</v>
      </c>
      <c r="B63">
        <f t="shared" si="0"/>
        <v>0.66666666666666663</v>
      </c>
      <c r="C63">
        <f>[1]!survey_responses[[#This Row],[Tôi tin rằng với các quy định quản lý thuế hiện nay, hành vi gian lận hoặc trốn thuế sẽ dễ dàng bị phát hiện và xử lý nghiêm. - HUMAN-ENF1]]</f>
        <v>9</v>
      </c>
      <c r="D63">
        <f t="shared" si="1"/>
        <v>0.88888888888888884</v>
      </c>
      <c r="E63">
        <f>step3_validation[[#This Row],[AI_ENF2]]</f>
        <v>8</v>
      </c>
      <c r="F63">
        <f t="shared" si="2"/>
        <v>0.77777777777777779</v>
      </c>
      <c r="G63">
        <f>[1]!survey_responses[[#This Row],[Tôi tin rằng Nhà nước, cơ quan thuế có đủ khả năng và công nghệ để phát hiện, xử lý nghiêm các hành vi trốn thuế. - HUMAN-ENF2]]</f>
        <v>9</v>
      </c>
      <c r="H63">
        <f t="shared" si="3"/>
        <v>0.88888888888888884</v>
      </c>
      <c r="I63" s="32">
        <f t="shared" si="4"/>
        <v>0.72222222222222221</v>
      </c>
      <c r="J63" s="32">
        <f t="shared" si="5"/>
        <v>0.88888888888888884</v>
      </c>
      <c r="K63">
        <f>step3_validation[[#This Row],[AI_FAC1]]</f>
        <v>9</v>
      </c>
      <c r="L63">
        <f t="shared" si="6"/>
        <v>0.88888888888888884</v>
      </c>
      <c r="M63">
        <f>[1]!survey_responses[[#This Row],[Các thủ tục khai báo thuế VÀ/HOẶC quy trình làm việc với cơ quan thuế đơn giản, tiện lợi, nhanh chóng hơn so với trước đây. - HUMAN-FAC1]]</f>
        <v>7</v>
      </c>
      <c r="N63">
        <f t="shared" si="7"/>
        <v>0.66666666666666663</v>
      </c>
      <c r="O63">
        <f>step3_validation[[#This Row],[AI_FAC2]]</f>
        <v>8</v>
      </c>
      <c r="P63">
        <f t="shared" si="8"/>
        <v>0.77777777777777779</v>
      </c>
      <c r="Q63">
        <f>[1]!survey_responses[[#This Row],[So với trước đây, tôi thấy cách tính thuế và các bậc thuế trong phương án mới đơn giản, dễ hiểu và dễ thực hiện hơn. - HUMAN-FAC2]]</f>
        <v>6</v>
      </c>
      <c r="R63">
        <f t="shared" si="9"/>
        <v>0.55555555555555558</v>
      </c>
      <c r="S63" s="32">
        <f t="shared" si="10"/>
        <v>0.83333333333333326</v>
      </c>
      <c r="T63" s="32">
        <f t="shared" si="11"/>
        <v>0.61111111111111116</v>
      </c>
      <c r="U63">
        <f>step3_validation[[#This Row],[AI_TRU1]]</f>
        <v>7</v>
      </c>
      <c r="V63">
        <f t="shared" si="12"/>
        <v>0.66666666666666663</v>
      </c>
      <c r="W63">
        <f>[1]!survey_responses[[#This Row],[Tôi tin rằng Nhà nước, cơ quan thuế sẽ thực thi chính sách mới một cách khách quan, công tâm và đối xử bình đẳng với mọi người nộp thuế.  - HUMAN-TRU1]]</f>
        <v>7</v>
      </c>
      <c r="X63">
        <f t="shared" si="13"/>
        <v>0.66666666666666663</v>
      </c>
      <c r="Y63">
        <f>step3_validation[[#This Row],[AI_TRU2]]</f>
        <v>5</v>
      </c>
      <c r="Z63">
        <f t="shared" si="14"/>
        <v>0.44444444444444442</v>
      </c>
      <c r="AA63">
        <f>[1]!survey_responses[[#This Row],[Tôi thấy mức thuế tôi phải đóng theo phương án mới là công bằng (người thu nhập như tôi đóng mức này là hợp lý). - HUMAN-TRU2]]</f>
        <v>5</v>
      </c>
      <c r="AB63">
        <f t="shared" si="15"/>
        <v>0.44444444444444442</v>
      </c>
      <c r="AC63">
        <f>step3_validation[[#This Row],[AI_TRU3]]</f>
        <v>6</v>
      </c>
      <c r="AD63">
        <f t="shared" si="16"/>
        <v>0.55555555555555558</v>
      </c>
      <c r="AE63">
        <f>[1]!survey_responses[[#This Row],[Tôi tin tưởng số tiền thuế tôi đóng sẽ được Nhà nước sử dụng hiệu quả để cải thiện dịch vụ công (y tế, đường xá...). - HUMAN-TRU3]]</f>
        <v>6</v>
      </c>
      <c r="AF63">
        <f t="shared" si="17"/>
        <v>0.55555555555555558</v>
      </c>
      <c r="AG63">
        <f>step3_validation[[#This Row],[AI_TRU4]]</f>
        <v>4</v>
      </c>
      <c r="AH63">
        <f t="shared" si="18"/>
        <v>0.33333333333333331</v>
      </c>
      <c r="AI63">
        <f>[1]!survey_responses[[#This Row],[Tôi thấy Nhà nước đã giải thích rõ ràng, minh bạch về lý do và mục tiêu của việc sửa đổi thuế lần này. - HUMAN-TRU4]]</f>
        <v>8</v>
      </c>
      <c r="AJ63">
        <f t="shared" si="19"/>
        <v>0.77777777777777779</v>
      </c>
      <c r="AK63" s="32">
        <f t="shared" si="20"/>
        <v>0.5</v>
      </c>
      <c r="AL63" s="32">
        <f t="shared" si="21"/>
        <v>0.61111111111111116</v>
      </c>
      <c r="AM63" s="7">
        <f t="shared" si="22"/>
        <v>0.68518518518518512</v>
      </c>
      <c r="AN63" s="7">
        <f t="shared" si="23"/>
        <v>0.70370370370370372</v>
      </c>
      <c r="AO63">
        <f>step3_validation[[#This Row],[AI_OUT1]]</f>
        <v>6</v>
      </c>
      <c r="AP63">
        <f t="shared" si="24"/>
        <v>0.55555555555555558</v>
      </c>
      <c r="AQ63">
        <f>[1]!survey_responses[[#This Row],[Sau khi xem xét các quyền lợi và nghĩa vụ, bạn có ủng hộ và tuân thủ chính sách mới hiện nay? - HUMAN-OUT1]]</f>
        <v>5</v>
      </c>
      <c r="AR63">
        <f t="shared" si="25"/>
        <v>0.44444444444444442</v>
      </c>
      <c r="AS63" s="32">
        <f t="shared" si="26"/>
        <v>1</v>
      </c>
    </row>
    <row r="64" spans="1:45" x14ac:dyDescent="0.45">
      <c r="A64">
        <f>step3_validation[[#This Row],[AI_ENF1]]</f>
        <v>7</v>
      </c>
      <c r="B64">
        <f t="shared" si="0"/>
        <v>0.66666666666666663</v>
      </c>
      <c r="C64">
        <f>[1]!survey_responses[[#This Row],[Tôi tin rằng với các quy định quản lý thuế hiện nay, hành vi gian lận hoặc trốn thuế sẽ dễ dàng bị phát hiện và xử lý nghiêm. - HUMAN-ENF1]]</f>
        <v>9</v>
      </c>
      <c r="D64">
        <f t="shared" si="1"/>
        <v>0.88888888888888884</v>
      </c>
      <c r="E64">
        <f>step3_validation[[#This Row],[AI_ENF2]]</f>
        <v>8</v>
      </c>
      <c r="F64">
        <f t="shared" si="2"/>
        <v>0.77777777777777779</v>
      </c>
      <c r="G64">
        <f>[1]!survey_responses[[#This Row],[Tôi tin rằng Nhà nước, cơ quan thuế có đủ khả năng và công nghệ để phát hiện, xử lý nghiêm các hành vi trốn thuế. - HUMAN-ENF2]]</f>
        <v>9</v>
      </c>
      <c r="H64">
        <f t="shared" si="3"/>
        <v>0.88888888888888884</v>
      </c>
      <c r="I64" s="32">
        <f t="shared" si="4"/>
        <v>0.72222222222222221</v>
      </c>
      <c r="J64" s="32">
        <f t="shared" si="5"/>
        <v>0.88888888888888884</v>
      </c>
      <c r="K64">
        <f>step3_validation[[#This Row],[AI_FAC1]]</f>
        <v>6</v>
      </c>
      <c r="L64">
        <f t="shared" si="6"/>
        <v>0.55555555555555558</v>
      </c>
      <c r="M64">
        <f>[1]!survey_responses[[#This Row],[Các thủ tục khai báo thuế VÀ/HOẶC quy trình làm việc với cơ quan thuế đơn giản, tiện lợi, nhanh chóng hơn so với trước đây. - HUMAN-FAC1]]</f>
        <v>9</v>
      </c>
      <c r="N64">
        <f t="shared" si="7"/>
        <v>0.88888888888888884</v>
      </c>
      <c r="O64">
        <f>step3_validation[[#This Row],[AI_FAC2]]</f>
        <v>8</v>
      </c>
      <c r="P64">
        <f t="shared" si="8"/>
        <v>0.77777777777777779</v>
      </c>
      <c r="Q64">
        <f>[1]!survey_responses[[#This Row],[So với trước đây, tôi thấy cách tính thuế và các bậc thuế trong phương án mới đơn giản, dễ hiểu và dễ thực hiện hơn. - HUMAN-FAC2]]</f>
        <v>9</v>
      </c>
      <c r="R64">
        <f t="shared" si="9"/>
        <v>0.88888888888888884</v>
      </c>
      <c r="S64" s="32">
        <f t="shared" si="10"/>
        <v>0.66666666666666674</v>
      </c>
      <c r="T64" s="32">
        <f t="shared" si="11"/>
        <v>0.88888888888888884</v>
      </c>
      <c r="U64">
        <f>step3_validation[[#This Row],[AI_TRU1]]</f>
        <v>7</v>
      </c>
      <c r="V64">
        <f t="shared" si="12"/>
        <v>0.66666666666666663</v>
      </c>
      <c r="W64">
        <f>[1]!survey_responses[[#This Row],[Tôi tin rằng Nhà nước, cơ quan thuế sẽ thực thi chính sách mới một cách khách quan, công tâm và đối xử bình đẳng với mọi người nộp thuế.  - HUMAN-TRU1]]</f>
        <v>8</v>
      </c>
      <c r="X64">
        <f t="shared" si="13"/>
        <v>0.77777777777777779</v>
      </c>
      <c r="Y64">
        <f>step3_validation[[#This Row],[AI_TRU2]]</f>
        <v>7</v>
      </c>
      <c r="Z64">
        <f t="shared" si="14"/>
        <v>0.66666666666666663</v>
      </c>
      <c r="AA64">
        <f>[1]!survey_responses[[#This Row],[Tôi thấy mức thuế tôi phải đóng theo phương án mới là công bằng (người thu nhập như tôi đóng mức này là hợp lý). - HUMAN-TRU2]]</f>
        <v>9</v>
      </c>
      <c r="AB64">
        <f t="shared" si="15"/>
        <v>0.88888888888888884</v>
      </c>
      <c r="AC64">
        <f>step3_validation[[#This Row],[AI_TRU3]]</f>
        <v>6</v>
      </c>
      <c r="AD64">
        <f t="shared" si="16"/>
        <v>0.55555555555555558</v>
      </c>
      <c r="AE64">
        <f>[1]!survey_responses[[#This Row],[Tôi tin tưởng số tiền thuế tôi đóng sẽ được Nhà nước sử dụng hiệu quả để cải thiện dịch vụ công (y tế, đường xá...). - HUMAN-TRU3]]</f>
        <v>9</v>
      </c>
      <c r="AF64">
        <f t="shared" si="17"/>
        <v>0.88888888888888884</v>
      </c>
      <c r="AG64">
        <f>step3_validation[[#This Row],[AI_TRU4]]</f>
        <v>6</v>
      </c>
      <c r="AH64">
        <f t="shared" si="18"/>
        <v>0.55555555555555558</v>
      </c>
      <c r="AI64">
        <f>[1]!survey_responses[[#This Row],[Tôi thấy Nhà nước đã giải thích rõ ràng, minh bạch về lý do và mục tiêu của việc sửa đổi thuế lần này. - HUMAN-TRU4]]</f>
        <v>8</v>
      </c>
      <c r="AJ64">
        <f t="shared" si="19"/>
        <v>0.77777777777777779</v>
      </c>
      <c r="AK64" s="32">
        <f t="shared" si="20"/>
        <v>0.61111111111111116</v>
      </c>
      <c r="AL64" s="32">
        <f t="shared" si="21"/>
        <v>0.83333333333333326</v>
      </c>
      <c r="AM64" s="7">
        <f t="shared" si="22"/>
        <v>0.66666666666666663</v>
      </c>
      <c r="AN64" s="7">
        <f t="shared" si="23"/>
        <v>0.87037037037037024</v>
      </c>
      <c r="AO64">
        <f>step3_validation[[#This Row],[AI_OUT1]]</f>
        <v>5</v>
      </c>
      <c r="AP64">
        <f t="shared" si="24"/>
        <v>0.44444444444444442</v>
      </c>
      <c r="AQ64">
        <f>[1]!survey_responses[[#This Row],[Sau khi xem xét các quyền lợi và nghĩa vụ, bạn có ủng hộ và tuân thủ chính sách mới hiện nay? - HUMAN-OUT1]]</f>
        <v>7</v>
      </c>
      <c r="AR64">
        <f t="shared" si="25"/>
        <v>0.66666666666666663</v>
      </c>
      <c r="AS64" s="32">
        <f t="shared" si="26"/>
        <v>2</v>
      </c>
    </row>
    <row r="65" spans="1:45" x14ac:dyDescent="0.45">
      <c r="A65">
        <f>step3_validation[[#This Row],[AI_ENF1]]</f>
        <v>7</v>
      </c>
      <c r="B65">
        <f t="shared" si="0"/>
        <v>0.66666666666666663</v>
      </c>
      <c r="C65">
        <f>[1]!survey_responses[[#This Row],[Tôi tin rằng với các quy định quản lý thuế hiện nay, hành vi gian lận hoặc trốn thuế sẽ dễ dàng bị phát hiện và xử lý nghiêm. - HUMAN-ENF1]]</f>
        <v>9</v>
      </c>
      <c r="D65">
        <f t="shared" si="1"/>
        <v>0.88888888888888884</v>
      </c>
      <c r="E65">
        <f>step3_validation[[#This Row],[AI_ENF2]]</f>
        <v>8</v>
      </c>
      <c r="F65">
        <f t="shared" si="2"/>
        <v>0.77777777777777779</v>
      </c>
      <c r="G65">
        <f>[1]!survey_responses[[#This Row],[Tôi tin rằng Nhà nước, cơ quan thuế có đủ khả năng và công nghệ để phát hiện, xử lý nghiêm các hành vi trốn thuế. - HUMAN-ENF2]]</f>
        <v>10</v>
      </c>
      <c r="H65">
        <f t="shared" si="3"/>
        <v>1</v>
      </c>
      <c r="I65" s="32">
        <f t="shared" si="4"/>
        <v>0.72222222222222221</v>
      </c>
      <c r="J65" s="32">
        <f t="shared" si="5"/>
        <v>0.94444444444444442</v>
      </c>
      <c r="K65">
        <f>step3_validation[[#This Row],[AI_FAC1]]</f>
        <v>6</v>
      </c>
      <c r="L65">
        <f t="shared" si="6"/>
        <v>0.55555555555555558</v>
      </c>
      <c r="M65">
        <f>[1]!survey_responses[[#This Row],[Các thủ tục khai báo thuế VÀ/HOẶC quy trình làm việc với cơ quan thuế đơn giản, tiện lợi, nhanh chóng hơn so với trước đây. - HUMAN-FAC1]]</f>
        <v>9</v>
      </c>
      <c r="N65">
        <f t="shared" si="7"/>
        <v>0.88888888888888884</v>
      </c>
      <c r="O65">
        <f>step3_validation[[#This Row],[AI_FAC2]]</f>
        <v>5</v>
      </c>
      <c r="P65">
        <f t="shared" si="8"/>
        <v>0.44444444444444442</v>
      </c>
      <c r="Q65">
        <f>[1]!survey_responses[[#This Row],[So với trước đây, tôi thấy cách tính thuế và các bậc thuế trong phương án mới đơn giản, dễ hiểu và dễ thực hiện hơn. - HUMAN-FAC2]]</f>
        <v>10</v>
      </c>
      <c r="R65">
        <f t="shared" si="9"/>
        <v>1</v>
      </c>
      <c r="S65" s="32">
        <f t="shared" si="10"/>
        <v>0.5</v>
      </c>
      <c r="T65" s="32">
        <f t="shared" si="11"/>
        <v>0.94444444444444442</v>
      </c>
      <c r="U65">
        <f>step3_validation[[#This Row],[AI_TRU1]]</f>
        <v>8</v>
      </c>
      <c r="V65">
        <f t="shared" si="12"/>
        <v>0.77777777777777779</v>
      </c>
      <c r="W65">
        <f>[1]!survey_responses[[#This Row],[Tôi tin rằng Nhà nước, cơ quan thuế sẽ thực thi chính sách mới một cách khách quan, công tâm và đối xử bình đẳng với mọi người nộp thuế.  - HUMAN-TRU1]]</f>
        <v>10</v>
      </c>
      <c r="X65">
        <f t="shared" si="13"/>
        <v>1</v>
      </c>
      <c r="Y65">
        <f>step3_validation[[#This Row],[AI_TRU2]]</f>
        <v>7</v>
      </c>
      <c r="Z65">
        <f t="shared" si="14"/>
        <v>0.66666666666666663</v>
      </c>
      <c r="AA65">
        <f>[1]!survey_responses[[#This Row],[Tôi thấy mức thuế tôi phải đóng theo phương án mới là công bằng (người thu nhập như tôi đóng mức này là hợp lý). - HUMAN-TRU2]]</f>
        <v>5</v>
      </c>
      <c r="AB65">
        <f t="shared" si="15"/>
        <v>0.44444444444444442</v>
      </c>
      <c r="AC65">
        <f>step3_validation[[#This Row],[AI_TRU3]]</f>
        <v>8</v>
      </c>
      <c r="AD65">
        <f t="shared" si="16"/>
        <v>0.77777777777777779</v>
      </c>
      <c r="AE65">
        <f>[1]!survey_responses[[#This Row],[Tôi tin tưởng số tiền thuế tôi đóng sẽ được Nhà nước sử dụng hiệu quả để cải thiện dịch vụ công (y tế, đường xá...). - HUMAN-TRU3]]</f>
        <v>10</v>
      </c>
      <c r="AF65">
        <f t="shared" si="17"/>
        <v>1</v>
      </c>
      <c r="AG65">
        <f>step3_validation[[#This Row],[AI_TRU4]]</f>
        <v>6</v>
      </c>
      <c r="AH65">
        <f t="shared" si="18"/>
        <v>0.55555555555555558</v>
      </c>
      <c r="AI65">
        <f>[1]!survey_responses[[#This Row],[Tôi thấy Nhà nước đã giải thích rõ ràng, minh bạch về lý do và mục tiêu của việc sửa đổi thuế lần này. - HUMAN-TRU4]]</f>
        <v>7</v>
      </c>
      <c r="AJ65">
        <f t="shared" si="19"/>
        <v>0.66666666666666663</v>
      </c>
      <c r="AK65" s="32">
        <f t="shared" si="20"/>
        <v>0.69444444444444442</v>
      </c>
      <c r="AL65" s="32">
        <f t="shared" si="21"/>
        <v>0.77777777777777779</v>
      </c>
      <c r="AM65" s="7">
        <f t="shared" si="22"/>
        <v>0.63888888888888895</v>
      </c>
      <c r="AN65" s="7">
        <f t="shared" si="23"/>
        <v>0.88888888888888884</v>
      </c>
      <c r="AO65">
        <f>step3_validation[[#This Row],[AI_OUT1]]</f>
        <v>7</v>
      </c>
      <c r="AP65">
        <f t="shared" si="24"/>
        <v>0.66666666666666663</v>
      </c>
      <c r="AQ65">
        <f>[1]!survey_responses[[#This Row],[Sau khi xem xét các quyền lợi và nghĩa vụ, bạn có ủng hộ và tuân thủ chính sách mới hiện nay? - HUMAN-OUT1]]</f>
        <v>9</v>
      </c>
      <c r="AR65">
        <f t="shared" si="25"/>
        <v>0.88888888888888884</v>
      </c>
      <c r="AS65" s="32">
        <f t="shared" si="26"/>
        <v>2</v>
      </c>
    </row>
    <row r="66" spans="1:45" x14ac:dyDescent="0.45">
      <c r="A66">
        <f>step3_validation[[#This Row],[AI_ENF1]]</f>
        <v>7</v>
      </c>
      <c r="B66">
        <f t="shared" si="0"/>
        <v>0.66666666666666663</v>
      </c>
      <c r="C66">
        <f>[1]!survey_responses[[#This Row],[Tôi tin rằng với các quy định quản lý thuế hiện nay, hành vi gian lận hoặc trốn thuế sẽ dễ dàng bị phát hiện và xử lý nghiêm. - HUMAN-ENF1]]</f>
        <v>10</v>
      </c>
      <c r="D66">
        <f t="shared" si="1"/>
        <v>1</v>
      </c>
      <c r="E66">
        <f>step3_validation[[#This Row],[AI_ENF2]]</f>
        <v>6</v>
      </c>
      <c r="F66">
        <f t="shared" si="2"/>
        <v>0.55555555555555558</v>
      </c>
      <c r="G66">
        <f>[1]!survey_responses[[#This Row],[Tôi tin rằng Nhà nước, cơ quan thuế có đủ khả năng và công nghệ để phát hiện, xử lý nghiêm các hành vi trốn thuế. - HUMAN-ENF2]]</f>
        <v>10</v>
      </c>
      <c r="H66">
        <f t="shared" si="3"/>
        <v>1</v>
      </c>
      <c r="I66" s="32">
        <f t="shared" si="4"/>
        <v>0.61111111111111116</v>
      </c>
      <c r="J66" s="32">
        <f t="shared" si="5"/>
        <v>1</v>
      </c>
      <c r="K66">
        <f>step3_validation[[#This Row],[AI_FAC1]]</f>
        <v>8</v>
      </c>
      <c r="L66">
        <f t="shared" si="6"/>
        <v>0.77777777777777779</v>
      </c>
      <c r="M66">
        <f>[1]!survey_responses[[#This Row],[Các thủ tục khai báo thuế VÀ/HOẶC quy trình làm việc với cơ quan thuế đơn giản, tiện lợi, nhanh chóng hơn so với trước đây. - HUMAN-FAC1]]</f>
        <v>10</v>
      </c>
      <c r="N66">
        <f t="shared" si="7"/>
        <v>1</v>
      </c>
      <c r="O66">
        <f>step3_validation[[#This Row],[AI_FAC2]]</f>
        <v>9</v>
      </c>
      <c r="P66">
        <f t="shared" si="8"/>
        <v>0.88888888888888884</v>
      </c>
      <c r="Q66">
        <f>[1]!survey_responses[[#This Row],[So với trước đây, tôi thấy cách tính thuế và các bậc thuế trong phương án mới đơn giản, dễ hiểu và dễ thực hiện hơn. - HUMAN-FAC2]]</f>
        <v>10</v>
      </c>
      <c r="R66">
        <f t="shared" si="9"/>
        <v>1</v>
      </c>
      <c r="S66" s="32">
        <f t="shared" si="10"/>
        <v>0.83333333333333326</v>
      </c>
      <c r="T66" s="32">
        <f t="shared" si="11"/>
        <v>1</v>
      </c>
      <c r="U66">
        <f>step3_validation[[#This Row],[AI_TRU1]]</f>
        <v>6</v>
      </c>
      <c r="V66">
        <f t="shared" si="12"/>
        <v>0.55555555555555558</v>
      </c>
      <c r="W66">
        <f>[1]!survey_responses[[#This Row],[Tôi tin rằng Nhà nước, cơ quan thuế sẽ thực thi chính sách mới một cách khách quan, công tâm và đối xử bình đẳng với mọi người nộp thuế.  - HUMAN-TRU1]]</f>
        <v>10</v>
      </c>
      <c r="X66">
        <f t="shared" si="13"/>
        <v>1</v>
      </c>
      <c r="Y66">
        <f>step3_validation[[#This Row],[AI_TRU2]]</f>
        <v>7</v>
      </c>
      <c r="Z66">
        <f t="shared" si="14"/>
        <v>0.66666666666666663</v>
      </c>
      <c r="AA66">
        <f>[1]!survey_responses[[#This Row],[Tôi thấy mức thuế tôi phải đóng theo phương án mới là công bằng (người thu nhập như tôi đóng mức này là hợp lý). - HUMAN-TRU2]]</f>
        <v>10</v>
      </c>
      <c r="AB66">
        <f t="shared" si="15"/>
        <v>1</v>
      </c>
      <c r="AC66">
        <f>step3_validation[[#This Row],[AI_TRU3]]</f>
        <v>5</v>
      </c>
      <c r="AD66">
        <f t="shared" si="16"/>
        <v>0.44444444444444442</v>
      </c>
      <c r="AE66">
        <f>[1]!survey_responses[[#This Row],[Tôi tin tưởng số tiền thuế tôi đóng sẽ được Nhà nước sử dụng hiệu quả để cải thiện dịch vụ công (y tế, đường xá...). - HUMAN-TRU3]]</f>
        <v>10</v>
      </c>
      <c r="AF66">
        <f t="shared" si="17"/>
        <v>1</v>
      </c>
      <c r="AG66">
        <f>step3_validation[[#This Row],[AI_TRU4]]</f>
        <v>4</v>
      </c>
      <c r="AH66">
        <f t="shared" si="18"/>
        <v>0.33333333333333331</v>
      </c>
      <c r="AI66">
        <f>[1]!survey_responses[[#This Row],[Tôi thấy Nhà nước đã giải thích rõ ràng, minh bạch về lý do và mục tiêu của việc sửa đổi thuế lần này. - HUMAN-TRU4]]</f>
        <v>10</v>
      </c>
      <c r="AJ66">
        <f t="shared" si="19"/>
        <v>1</v>
      </c>
      <c r="AK66" s="32">
        <f t="shared" si="20"/>
        <v>0.5</v>
      </c>
      <c r="AL66" s="32">
        <f t="shared" si="21"/>
        <v>1</v>
      </c>
      <c r="AM66" s="7">
        <f t="shared" si="22"/>
        <v>0.64814814814814814</v>
      </c>
      <c r="AN66" s="7">
        <f t="shared" si="23"/>
        <v>1</v>
      </c>
      <c r="AO66">
        <f>step3_validation[[#This Row],[AI_OUT1]]</f>
        <v>5</v>
      </c>
      <c r="AP66">
        <f t="shared" si="24"/>
        <v>0.44444444444444442</v>
      </c>
      <c r="AQ66">
        <f>[1]!survey_responses[[#This Row],[Sau khi xem xét các quyền lợi và nghĩa vụ, bạn có ủng hộ và tuân thủ chính sách mới hiện nay? - HUMAN-OUT1]]</f>
        <v>10</v>
      </c>
      <c r="AR66">
        <f t="shared" si="25"/>
        <v>1</v>
      </c>
      <c r="AS66" s="32">
        <f t="shared" si="26"/>
        <v>5</v>
      </c>
    </row>
    <row r="67" spans="1:45" x14ac:dyDescent="0.45">
      <c r="A67">
        <f>step3_validation[[#This Row],[AI_ENF1]]</f>
        <v>7</v>
      </c>
      <c r="B67">
        <f t="shared" ref="B67:B130" si="27">(A67-1)/9</f>
        <v>0.66666666666666663</v>
      </c>
      <c r="C67">
        <f>[1]!survey_responses[[#This Row],[Tôi tin rằng với các quy định quản lý thuế hiện nay, hành vi gian lận hoặc trốn thuế sẽ dễ dàng bị phát hiện và xử lý nghiêm. - HUMAN-ENF1]]</f>
        <v>7</v>
      </c>
      <c r="D67">
        <f t="shared" ref="D67:D130" si="28">(C67-1)/9</f>
        <v>0.66666666666666663</v>
      </c>
      <c r="E67">
        <f>step3_validation[[#This Row],[AI_ENF2]]</f>
        <v>8</v>
      </c>
      <c r="F67">
        <f t="shared" ref="F67:F130" si="29">(E67-1)/9</f>
        <v>0.77777777777777779</v>
      </c>
      <c r="G67">
        <f>[1]!survey_responses[[#This Row],[Tôi tin rằng Nhà nước, cơ quan thuế có đủ khả năng và công nghệ để phát hiện, xử lý nghiêm các hành vi trốn thuế. - HUMAN-ENF2]]</f>
        <v>5</v>
      </c>
      <c r="H67">
        <f t="shared" ref="H67:H130" si="30">(G67-1)/9</f>
        <v>0.44444444444444442</v>
      </c>
      <c r="I67" s="32">
        <f t="shared" ref="I67:I130" si="31">AVERAGE(B67,F67)</f>
        <v>0.72222222222222221</v>
      </c>
      <c r="J67" s="32">
        <f t="shared" ref="J67:J130" si="32">AVERAGE(D67,H67)</f>
        <v>0.55555555555555558</v>
      </c>
      <c r="K67">
        <f>step3_validation[[#This Row],[AI_FAC1]]</f>
        <v>6</v>
      </c>
      <c r="L67">
        <f t="shared" ref="L67:L130" si="33">(K67-1)/9</f>
        <v>0.55555555555555558</v>
      </c>
      <c r="M67">
        <f>[1]!survey_responses[[#This Row],[Các thủ tục khai báo thuế VÀ/HOẶC quy trình làm việc với cơ quan thuế đơn giản, tiện lợi, nhanh chóng hơn so với trước đây. - HUMAN-FAC1]]</f>
        <v>3</v>
      </c>
      <c r="N67">
        <f t="shared" ref="N67:N130" si="34">(M67-1)/9</f>
        <v>0.22222222222222221</v>
      </c>
      <c r="O67">
        <f>step3_validation[[#This Row],[AI_FAC2]]</f>
        <v>8</v>
      </c>
      <c r="P67">
        <f t="shared" ref="P67:P130" si="35">(O67-1)/9</f>
        <v>0.77777777777777779</v>
      </c>
      <c r="Q67">
        <f>[1]!survey_responses[[#This Row],[So với trước đây, tôi thấy cách tính thuế và các bậc thuế trong phương án mới đơn giản, dễ hiểu và dễ thực hiện hơn. - HUMAN-FAC2]]</f>
        <v>5</v>
      </c>
      <c r="R67">
        <f t="shared" ref="R67:R130" si="36">(Q67-1)/9</f>
        <v>0.44444444444444442</v>
      </c>
      <c r="S67" s="32">
        <f t="shared" ref="S67:S130" si="37">AVERAGE(L67,P67)</f>
        <v>0.66666666666666674</v>
      </c>
      <c r="T67" s="32">
        <f t="shared" ref="T67:T130" si="38">AVERAGE(N67,R67)</f>
        <v>0.33333333333333331</v>
      </c>
      <c r="U67">
        <f>step3_validation[[#This Row],[AI_TRU1]]</f>
        <v>7</v>
      </c>
      <c r="V67">
        <f t="shared" ref="V67:V130" si="39">(U67-1)/9</f>
        <v>0.66666666666666663</v>
      </c>
      <c r="W67">
        <f>[1]!survey_responses[[#This Row],[Tôi tin rằng Nhà nước, cơ quan thuế sẽ thực thi chính sách mới một cách khách quan, công tâm và đối xử bình đẳng với mọi người nộp thuế.  - HUMAN-TRU1]]</f>
        <v>4</v>
      </c>
      <c r="X67">
        <f t="shared" ref="X67:X130" si="40">(W67-1)/9</f>
        <v>0.33333333333333331</v>
      </c>
      <c r="Y67">
        <f>step3_validation[[#This Row],[AI_TRU2]]</f>
        <v>6</v>
      </c>
      <c r="Z67">
        <f t="shared" ref="Z67:Z130" si="41">(Y67-1)/9</f>
        <v>0.55555555555555558</v>
      </c>
      <c r="AA67">
        <f>[1]!survey_responses[[#This Row],[Tôi thấy mức thuế tôi phải đóng theo phương án mới là công bằng (người thu nhập như tôi đóng mức này là hợp lý). - HUMAN-TRU2]]</f>
        <v>3</v>
      </c>
      <c r="AB67">
        <f t="shared" ref="AB67:AB130" si="42">(AA67-1)/9</f>
        <v>0.22222222222222221</v>
      </c>
      <c r="AC67">
        <f>step3_validation[[#This Row],[AI_TRU3]]</f>
        <v>7</v>
      </c>
      <c r="AD67">
        <f t="shared" ref="AD67:AD130" si="43">(AC67-1)/9</f>
        <v>0.66666666666666663</v>
      </c>
      <c r="AE67">
        <f>[1]!survey_responses[[#This Row],[Tôi tin tưởng số tiền thuế tôi đóng sẽ được Nhà nước sử dụng hiệu quả để cải thiện dịch vụ công (y tế, đường xá...). - HUMAN-TRU3]]</f>
        <v>5</v>
      </c>
      <c r="AF67">
        <f t="shared" ref="AF67:AF130" si="44">(AE67-1)/9</f>
        <v>0.44444444444444442</v>
      </c>
      <c r="AG67">
        <f>step3_validation[[#This Row],[AI_TRU4]]</f>
        <v>5</v>
      </c>
      <c r="AH67">
        <f t="shared" ref="AH67:AH130" si="45">(AG67-1)/9</f>
        <v>0.44444444444444442</v>
      </c>
      <c r="AI67">
        <f>[1]!survey_responses[[#This Row],[Tôi thấy Nhà nước đã giải thích rõ ràng, minh bạch về lý do và mục tiêu của việc sửa đổi thuế lần này. - HUMAN-TRU4]]</f>
        <v>6</v>
      </c>
      <c r="AJ67">
        <f t="shared" ref="AJ67:AJ130" si="46">(AI67-1)/9</f>
        <v>0.55555555555555558</v>
      </c>
      <c r="AK67" s="32">
        <f t="shared" ref="AK67:AK130" si="47">AVERAGE(V67,Z67,AD67,AH67)</f>
        <v>0.58333333333333326</v>
      </c>
      <c r="AL67" s="32">
        <f t="shared" ref="AL67:AL130" si="48">AVERAGE(X67,AB67,AF67,AJ67)</f>
        <v>0.3888888888888889</v>
      </c>
      <c r="AM67" s="7">
        <f t="shared" ref="AM67:AM130" si="49">(I67+S67+AK67)/3</f>
        <v>0.65740740740740733</v>
      </c>
      <c r="AN67" s="7">
        <f t="shared" ref="AN67:AN130" si="50">(J67+T67+AL67)/3</f>
        <v>0.42592592592592587</v>
      </c>
      <c r="AO67">
        <f>step3_validation[[#This Row],[AI_OUT1]]</f>
        <v>6</v>
      </c>
      <c r="AP67">
        <f t="shared" ref="AP67:AP130" si="51">(AO67-1)/9</f>
        <v>0.55555555555555558</v>
      </c>
      <c r="AQ67">
        <f>[1]!survey_responses[[#This Row],[Sau khi xem xét các quyền lợi và nghĩa vụ, bạn có ủng hộ và tuân thủ chính sách mới hiện nay? - HUMAN-OUT1]]</f>
        <v>6</v>
      </c>
      <c r="AR67">
        <f t="shared" ref="AR67:AR130" si="52">(AQ67-1)/9</f>
        <v>0.55555555555555558</v>
      </c>
      <c r="AS67" s="32">
        <f t="shared" ref="AS67:AS130" si="53">ABS(AQ67-AO67)</f>
        <v>0</v>
      </c>
    </row>
    <row r="68" spans="1:45" x14ac:dyDescent="0.45">
      <c r="A68">
        <f>step3_validation[[#This Row],[AI_ENF1]]</f>
        <v>7</v>
      </c>
      <c r="B68">
        <f t="shared" si="27"/>
        <v>0.66666666666666663</v>
      </c>
      <c r="C68">
        <f>[1]!survey_responses[[#This Row],[Tôi tin rằng với các quy định quản lý thuế hiện nay, hành vi gian lận hoặc trốn thuế sẽ dễ dàng bị phát hiện và xử lý nghiêm. - HUMAN-ENF1]]</f>
        <v>5</v>
      </c>
      <c r="D68">
        <f t="shared" si="28"/>
        <v>0.44444444444444442</v>
      </c>
      <c r="E68">
        <f>step3_validation[[#This Row],[AI_ENF2]]</f>
        <v>6</v>
      </c>
      <c r="F68">
        <f t="shared" si="29"/>
        <v>0.55555555555555558</v>
      </c>
      <c r="G68">
        <f>[1]!survey_responses[[#This Row],[Tôi tin rằng Nhà nước, cơ quan thuế có đủ khả năng và công nghệ để phát hiện, xử lý nghiêm các hành vi trốn thuế. - HUMAN-ENF2]]</f>
        <v>5</v>
      </c>
      <c r="H68">
        <f t="shared" si="30"/>
        <v>0.44444444444444442</v>
      </c>
      <c r="I68" s="32">
        <f t="shared" si="31"/>
        <v>0.61111111111111116</v>
      </c>
      <c r="J68" s="32">
        <f t="shared" si="32"/>
        <v>0.44444444444444442</v>
      </c>
      <c r="K68">
        <f>step3_validation[[#This Row],[AI_FAC1]]</f>
        <v>8</v>
      </c>
      <c r="L68">
        <f t="shared" si="33"/>
        <v>0.77777777777777779</v>
      </c>
      <c r="M68">
        <f>[1]!survey_responses[[#This Row],[Các thủ tục khai báo thuế VÀ/HOẶC quy trình làm việc với cơ quan thuế đơn giản, tiện lợi, nhanh chóng hơn so với trước đây. - HUMAN-FAC1]]</f>
        <v>4</v>
      </c>
      <c r="N68">
        <f t="shared" si="34"/>
        <v>0.33333333333333331</v>
      </c>
      <c r="O68">
        <f>step3_validation[[#This Row],[AI_FAC2]]</f>
        <v>9</v>
      </c>
      <c r="P68">
        <f t="shared" si="35"/>
        <v>0.88888888888888884</v>
      </c>
      <c r="Q68">
        <f>[1]!survey_responses[[#This Row],[So với trước đây, tôi thấy cách tính thuế và các bậc thuế trong phương án mới đơn giản, dễ hiểu và dễ thực hiện hơn. - HUMAN-FAC2]]</f>
        <v>4</v>
      </c>
      <c r="R68">
        <f t="shared" si="36"/>
        <v>0.33333333333333331</v>
      </c>
      <c r="S68" s="32">
        <f t="shared" si="37"/>
        <v>0.83333333333333326</v>
      </c>
      <c r="T68" s="32">
        <f t="shared" si="38"/>
        <v>0.33333333333333331</v>
      </c>
      <c r="U68">
        <f>step3_validation[[#This Row],[AI_TRU1]]</f>
        <v>8</v>
      </c>
      <c r="V68">
        <f t="shared" si="39"/>
        <v>0.77777777777777779</v>
      </c>
      <c r="W68">
        <f>[1]!survey_responses[[#This Row],[Tôi tin rằng Nhà nước, cơ quan thuế sẽ thực thi chính sách mới một cách khách quan, công tâm và đối xử bình đẳng với mọi người nộp thuế.  - HUMAN-TRU1]]</f>
        <v>2</v>
      </c>
      <c r="X68">
        <f t="shared" si="40"/>
        <v>0.1111111111111111</v>
      </c>
      <c r="Y68">
        <f>step3_validation[[#This Row],[AI_TRU2]]</f>
        <v>7</v>
      </c>
      <c r="Z68">
        <f t="shared" si="41"/>
        <v>0.66666666666666663</v>
      </c>
      <c r="AA68">
        <f>[1]!survey_responses[[#This Row],[Tôi thấy mức thuế tôi phải đóng theo phương án mới là công bằng (người thu nhập như tôi đóng mức này là hợp lý). - HUMAN-TRU2]]</f>
        <v>3</v>
      </c>
      <c r="AB68">
        <f t="shared" si="42"/>
        <v>0.22222222222222221</v>
      </c>
      <c r="AC68">
        <f>step3_validation[[#This Row],[AI_TRU3]]</f>
        <v>6</v>
      </c>
      <c r="AD68">
        <f t="shared" si="43"/>
        <v>0.55555555555555558</v>
      </c>
      <c r="AE68">
        <f>[1]!survey_responses[[#This Row],[Tôi tin tưởng số tiền thuế tôi đóng sẽ được Nhà nước sử dụng hiệu quả để cải thiện dịch vụ công (y tế, đường xá...). - HUMAN-TRU3]]</f>
        <v>2</v>
      </c>
      <c r="AF68">
        <f t="shared" si="44"/>
        <v>0.1111111111111111</v>
      </c>
      <c r="AG68">
        <f>step3_validation[[#This Row],[AI_TRU4]]</f>
        <v>7</v>
      </c>
      <c r="AH68">
        <f t="shared" si="45"/>
        <v>0.66666666666666663</v>
      </c>
      <c r="AI68">
        <f>[1]!survey_responses[[#This Row],[Tôi thấy Nhà nước đã giải thích rõ ràng, minh bạch về lý do và mục tiêu của việc sửa đổi thuế lần này. - HUMAN-TRU4]]</f>
        <v>3</v>
      </c>
      <c r="AJ68">
        <f t="shared" si="46"/>
        <v>0.22222222222222221</v>
      </c>
      <c r="AK68" s="32">
        <f t="shared" si="47"/>
        <v>0.66666666666666663</v>
      </c>
      <c r="AL68" s="32">
        <f t="shared" si="48"/>
        <v>0.16666666666666666</v>
      </c>
      <c r="AM68" s="7">
        <f t="shared" si="49"/>
        <v>0.70370370370370372</v>
      </c>
      <c r="AN68" s="7">
        <f t="shared" si="50"/>
        <v>0.31481481481481477</v>
      </c>
      <c r="AO68">
        <f>step3_validation[[#This Row],[AI_OUT1]]</f>
        <v>8</v>
      </c>
      <c r="AP68">
        <f t="shared" si="51"/>
        <v>0.77777777777777779</v>
      </c>
      <c r="AQ68">
        <f>[1]!survey_responses[[#This Row],[Sau khi xem xét các quyền lợi và nghĩa vụ, bạn có ủng hộ và tuân thủ chính sách mới hiện nay? - HUMAN-OUT1]]</f>
        <v>3</v>
      </c>
      <c r="AR68">
        <f t="shared" si="52"/>
        <v>0.22222222222222221</v>
      </c>
      <c r="AS68" s="32">
        <f t="shared" si="53"/>
        <v>5</v>
      </c>
    </row>
    <row r="69" spans="1:45" x14ac:dyDescent="0.45">
      <c r="A69">
        <f>step3_validation[[#This Row],[AI_ENF1]]</f>
        <v>7</v>
      </c>
      <c r="B69">
        <f t="shared" si="27"/>
        <v>0.66666666666666663</v>
      </c>
      <c r="C69">
        <f>[1]!survey_responses[[#This Row],[Tôi tin rằng với các quy định quản lý thuế hiện nay, hành vi gian lận hoặc trốn thuế sẽ dễ dàng bị phát hiện và xử lý nghiêm. - HUMAN-ENF1]]</f>
        <v>4</v>
      </c>
      <c r="D69">
        <f t="shared" si="28"/>
        <v>0.33333333333333331</v>
      </c>
      <c r="E69">
        <f>step3_validation[[#This Row],[AI_ENF2]]</f>
        <v>8</v>
      </c>
      <c r="F69">
        <f t="shared" si="29"/>
        <v>0.77777777777777779</v>
      </c>
      <c r="G69">
        <f>[1]!survey_responses[[#This Row],[Tôi tin rằng Nhà nước, cơ quan thuế có đủ khả năng và công nghệ để phát hiện, xử lý nghiêm các hành vi trốn thuế. - HUMAN-ENF2]]</f>
        <v>3</v>
      </c>
      <c r="H69">
        <f t="shared" si="30"/>
        <v>0.22222222222222221</v>
      </c>
      <c r="I69" s="32">
        <f t="shared" si="31"/>
        <v>0.72222222222222221</v>
      </c>
      <c r="J69" s="32">
        <f t="shared" si="32"/>
        <v>0.27777777777777779</v>
      </c>
      <c r="K69">
        <f>step3_validation[[#This Row],[AI_FAC1]]</f>
        <v>9</v>
      </c>
      <c r="L69">
        <f t="shared" si="33"/>
        <v>0.88888888888888884</v>
      </c>
      <c r="M69">
        <f>[1]!survey_responses[[#This Row],[Các thủ tục khai báo thuế VÀ/HOẶC quy trình làm việc với cơ quan thuế đơn giản, tiện lợi, nhanh chóng hơn so với trước đây. - HUMAN-FAC1]]</f>
        <v>1</v>
      </c>
      <c r="N69">
        <f t="shared" si="34"/>
        <v>0</v>
      </c>
      <c r="O69">
        <f>step3_validation[[#This Row],[AI_FAC2]]</f>
        <v>6</v>
      </c>
      <c r="P69">
        <f t="shared" si="35"/>
        <v>0.55555555555555558</v>
      </c>
      <c r="Q69">
        <f>[1]!survey_responses[[#This Row],[So với trước đây, tôi thấy cách tính thuế và các bậc thuế trong phương án mới đơn giản, dễ hiểu và dễ thực hiện hơn. - HUMAN-FAC2]]</f>
        <v>5</v>
      </c>
      <c r="R69">
        <f t="shared" si="36"/>
        <v>0.44444444444444442</v>
      </c>
      <c r="S69" s="32">
        <f t="shared" si="37"/>
        <v>0.72222222222222221</v>
      </c>
      <c r="T69" s="32">
        <f t="shared" si="38"/>
        <v>0.22222222222222221</v>
      </c>
      <c r="U69">
        <f>step3_validation[[#This Row],[AI_TRU1]]</f>
        <v>8</v>
      </c>
      <c r="V69">
        <f t="shared" si="39"/>
        <v>0.77777777777777779</v>
      </c>
      <c r="W69">
        <f>[1]!survey_responses[[#This Row],[Tôi tin rằng Nhà nước, cơ quan thuế sẽ thực thi chính sách mới một cách khách quan, công tâm và đối xử bình đẳng với mọi người nộp thuế.  - HUMAN-TRU1]]</f>
        <v>4</v>
      </c>
      <c r="X69">
        <f t="shared" si="40"/>
        <v>0.33333333333333331</v>
      </c>
      <c r="Y69">
        <f>step3_validation[[#This Row],[AI_TRU2]]</f>
        <v>7</v>
      </c>
      <c r="Z69">
        <f t="shared" si="41"/>
        <v>0.66666666666666663</v>
      </c>
      <c r="AA69">
        <f>[1]!survey_responses[[#This Row],[Tôi thấy mức thuế tôi phải đóng theo phương án mới là công bằng (người thu nhập như tôi đóng mức này là hợp lý). - HUMAN-TRU2]]</f>
        <v>3</v>
      </c>
      <c r="AB69">
        <f t="shared" si="42"/>
        <v>0.22222222222222221</v>
      </c>
      <c r="AC69">
        <f>step3_validation[[#This Row],[AI_TRU3]]</f>
        <v>8</v>
      </c>
      <c r="AD69">
        <f t="shared" si="43"/>
        <v>0.77777777777777779</v>
      </c>
      <c r="AE69">
        <f>[1]!survey_responses[[#This Row],[Tôi tin tưởng số tiền thuế tôi đóng sẽ được Nhà nước sử dụng hiệu quả để cải thiện dịch vụ công (y tế, đường xá...). - HUMAN-TRU3]]</f>
        <v>1</v>
      </c>
      <c r="AF69">
        <f t="shared" si="44"/>
        <v>0</v>
      </c>
      <c r="AG69">
        <f>step3_validation[[#This Row],[AI_TRU4]]</f>
        <v>6</v>
      </c>
      <c r="AH69">
        <f t="shared" si="45"/>
        <v>0.55555555555555558</v>
      </c>
      <c r="AI69">
        <f>[1]!survey_responses[[#This Row],[Tôi thấy Nhà nước đã giải thích rõ ràng, minh bạch về lý do và mục tiêu của việc sửa đổi thuế lần này. - HUMAN-TRU4]]</f>
        <v>3</v>
      </c>
      <c r="AJ69">
        <f t="shared" si="46"/>
        <v>0.22222222222222221</v>
      </c>
      <c r="AK69" s="32">
        <f t="shared" si="47"/>
        <v>0.69444444444444442</v>
      </c>
      <c r="AL69" s="32">
        <f t="shared" si="48"/>
        <v>0.19444444444444445</v>
      </c>
      <c r="AM69" s="7">
        <f t="shared" si="49"/>
        <v>0.71296296296296291</v>
      </c>
      <c r="AN69" s="7">
        <f t="shared" si="50"/>
        <v>0.23148148148148148</v>
      </c>
      <c r="AO69">
        <f>step3_validation[[#This Row],[AI_OUT1]]</f>
        <v>7</v>
      </c>
      <c r="AP69">
        <f t="shared" si="51"/>
        <v>0.66666666666666663</v>
      </c>
      <c r="AQ69">
        <f>[1]!survey_responses[[#This Row],[Sau khi xem xét các quyền lợi và nghĩa vụ, bạn có ủng hộ và tuân thủ chính sách mới hiện nay? - HUMAN-OUT1]]</f>
        <v>5</v>
      </c>
      <c r="AR69">
        <f t="shared" si="52"/>
        <v>0.44444444444444442</v>
      </c>
      <c r="AS69" s="32">
        <f t="shared" si="53"/>
        <v>2</v>
      </c>
    </row>
    <row r="70" spans="1:45" x14ac:dyDescent="0.45">
      <c r="A70">
        <f>step3_validation[[#This Row],[AI_ENF1]]</f>
        <v>7</v>
      </c>
      <c r="B70">
        <f t="shared" si="27"/>
        <v>0.66666666666666663</v>
      </c>
      <c r="C70">
        <f>[1]!survey_responses[[#This Row],[Tôi tin rằng với các quy định quản lý thuế hiện nay, hành vi gian lận hoặc trốn thuế sẽ dễ dàng bị phát hiện và xử lý nghiêm. - HUMAN-ENF1]]</f>
        <v>7</v>
      </c>
      <c r="D70">
        <f t="shared" si="28"/>
        <v>0.66666666666666663</v>
      </c>
      <c r="E70">
        <f>step3_validation[[#This Row],[AI_ENF2]]</f>
        <v>7</v>
      </c>
      <c r="F70">
        <f t="shared" si="29"/>
        <v>0.66666666666666663</v>
      </c>
      <c r="G70">
        <f>[1]!survey_responses[[#This Row],[Tôi tin rằng Nhà nước, cơ quan thuế có đủ khả năng và công nghệ để phát hiện, xử lý nghiêm các hành vi trốn thuế. - HUMAN-ENF2]]</f>
        <v>7</v>
      </c>
      <c r="H70">
        <f t="shared" si="30"/>
        <v>0.66666666666666663</v>
      </c>
      <c r="I70" s="32">
        <f t="shared" si="31"/>
        <v>0.66666666666666663</v>
      </c>
      <c r="J70" s="32">
        <f t="shared" si="32"/>
        <v>0.66666666666666663</v>
      </c>
      <c r="K70">
        <f>step3_validation[[#This Row],[AI_FAC1]]</f>
        <v>8</v>
      </c>
      <c r="L70">
        <f t="shared" si="33"/>
        <v>0.77777777777777779</v>
      </c>
      <c r="M70">
        <f>[1]!survey_responses[[#This Row],[Các thủ tục khai báo thuế VÀ/HOẶC quy trình làm việc với cơ quan thuế đơn giản, tiện lợi, nhanh chóng hơn so với trước đây. - HUMAN-FAC1]]</f>
        <v>8</v>
      </c>
      <c r="N70">
        <f t="shared" si="34"/>
        <v>0.77777777777777779</v>
      </c>
      <c r="O70">
        <f>step3_validation[[#This Row],[AI_FAC2]]</f>
        <v>8</v>
      </c>
      <c r="P70">
        <f t="shared" si="35"/>
        <v>0.77777777777777779</v>
      </c>
      <c r="Q70">
        <f>[1]!survey_responses[[#This Row],[So với trước đây, tôi thấy cách tính thuế và các bậc thuế trong phương án mới đơn giản, dễ hiểu và dễ thực hiện hơn. - HUMAN-FAC2]]</f>
        <v>9</v>
      </c>
      <c r="R70">
        <f t="shared" si="36"/>
        <v>0.88888888888888884</v>
      </c>
      <c r="S70" s="32">
        <f t="shared" si="37"/>
        <v>0.77777777777777779</v>
      </c>
      <c r="T70" s="32">
        <f t="shared" si="38"/>
        <v>0.83333333333333326</v>
      </c>
      <c r="U70">
        <f>step3_validation[[#This Row],[AI_TRU1]]</f>
        <v>7</v>
      </c>
      <c r="V70">
        <f t="shared" si="39"/>
        <v>0.66666666666666663</v>
      </c>
      <c r="W70">
        <f>[1]!survey_responses[[#This Row],[Tôi tin rằng Nhà nước, cơ quan thuế sẽ thực thi chính sách mới một cách khách quan, công tâm và đối xử bình đẳng với mọi người nộp thuế.  - HUMAN-TRU1]]</f>
        <v>8</v>
      </c>
      <c r="X70">
        <f t="shared" si="40"/>
        <v>0.77777777777777779</v>
      </c>
      <c r="Y70">
        <f>step3_validation[[#This Row],[AI_TRU2]]</f>
        <v>7</v>
      </c>
      <c r="Z70">
        <f t="shared" si="41"/>
        <v>0.66666666666666663</v>
      </c>
      <c r="AA70">
        <f>[1]!survey_responses[[#This Row],[Tôi thấy mức thuế tôi phải đóng theo phương án mới là công bằng (người thu nhập như tôi đóng mức này là hợp lý). - HUMAN-TRU2]]</f>
        <v>10</v>
      </c>
      <c r="AB70">
        <f t="shared" si="42"/>
        <v>1</v>
      </c>
      <c r="AC70">
        <f>step3_validation[[#This Row],[AI_TRU3]]</f>
        <v>7</v>
      </c>
      <c r="AD70">
        <f t="shared" si="43"/>
        <v>0.66666666666666663</v>
      </c>
      <c r="AE70">
        <f>[1]!survey_responses[[#This Row],[Tôi tin tưởng số tiền thuế tôi đóng sẽ được Nhà nước sử dụng hiệu quả để cải thiện dịch vụ công (y tế, đường xá...). - HUMAN-TRU3]]</f>
        <v>9</v>
      </c>
      <c r="AF70">
        <f t="shared" si="44"/>
        <v>0.88888888888888884</v>
      </c>
      <c r="AG70">
        <f>step3_validation[[#This Row],[AI_TRU4]]</f>
        <v>6</v>
      </c>
      <c r="AH70">
        <f t="shared" si="45"/>
        <v>0.55555555555555558</v>
      </c>
      <c r="AI70">
        <f>[1]!survey_responses[[#This Row],[Tôi thấy Nhà nước đã giải thích rõ ràng, minh bạch về lý do và mục tiêu của việc sửa đổi thuế lần này. - HUMAN-TRU4]]</f>
        <v>9</v>
      </c>
      <c r="AJ70">
        <f t="shared" si="46"/>
        <v>0.88888888888888884</v>
      </c>
      <c r="AK70" s="32">
        <f t="shared" si="47"/>
        <v>0.63888888888888884</v>
      </c>
      <c r="AL70" s="32">
        <f t="shared" si="48"/>
        <v>0.88888888888888884</v>
      </c>
      <c r="AM70" s="7">
        <f t="shared" si="49"/>
        <v>0.69444444444444431</v>
      </c>
      <c r="AN70" s="7">
        <f t="shared" si="50"/>
        <v>0.79629629629629628</v>
      </c>
      <c r="AO70">
        <f>step3_validation[[#This Row],[AI_OUT1]]</f>
        <v>8</v>
      </c>
      <c r="AP70">
        <f t="shared" si="51"/>
        <v>0.77777777777777779</v>
      </c>
      <c r="AQ70">
        <f>[1]!survey_responses[[#This Row],[Sau khi xem xét các quyền lợi và nghĩa vụ, bạn có ủng hộ và tuân thủ chính sách mới hiện nay? - HUMAN-OUT1]]</f>
        <v>9</v>
      </c>
      <c r="AR70">
        <f t="shared" si="52"/>
        <v>0.88888888888888884</v>
      </c>
      <c r="AS70" s="32">
        <f t="shared" si="53"/>
        <v>1</v>
      </c>
    </row>
    <row r="71" spans="1:45" x14ac:dyDescent="0.45">
      <c r="A71">
        <f>step3_validation[[#This Row],[AI_ENF1]]</f>
        <v>7</v>
      </c>
      <c r="B71">
        <f t="shared" si="27"/>
        <v>0.66666666666666663</v>
      </c>
      <c r="C71">
        <f>[1]!survey_responses[[#This Row],[Tôi tin rằng với các quy định quản lý thuế hiện nay, hành vi gian lận hoặc trốn thuế sẽ dễ dàng bị phát hiện và xử lý nghiêm. - HUMAN-ENF1]]</f>
        <v>6</v>
      </c>
      <c r="D71">
        <f t="shared" si="28"/>
        <v>0.55555555555555558</v>
      </c>
      <c r="E71">
        <f>step3_validation[[#This Row],[AI_ENF2]]</f>
        <v>8</v>
      </c>
      <c r="F71">
        <f t="shared" si="29"/>
        <v>0.77777777777777779</v>
      </c>
      <c r="G71">
        <f>[1]!survey_responses[[#This Row],[Tôi tin rằng Nhà nước, cơ quan thuế có đủ khả năng và công nghệ để phát hiện, xử lý nghiêm các hành vi trốn thuế. - HUMAN-ENF2]]</f>
        <v>6</v>
      </c>
      <c r="H71">
        <f t="shared" si="30"/>
        <v>0.55555555555555558</v>
      </c>
      <c r="I71" s="32">
        <f t="shared" si="31"/>
        <v>0.72222222222222221</v>
      </c>
      <c r="J71" s="32">
        <f t="shared" si="32"/>
        <v>0.55555555555555558</v>
      </c>
      <c r="K71">
        <f>step3_validation[[#This Row],[AI_FAC1]]</f>
        <v>9</v>
      </c>
      <c r="L71">
        <f t="shared" si="33"/>
        <v>0.88888888888888884</v>
      </c>
      <c r="M71">
        <f>[1]!survey_responses[[#This Row],[Các thủ tục khai báo thuế VÀ/HOẶC quy trình làm việc với cơ quan thuế đơn giản, tiện lợi, nhanh chóng hơn so với trước đây. - HUMAN-FAC1]]</f>
        <v>5</v>
      </c>
      <c r="N71">
        <f t="shared" si="34"/>
        <v>0.44444444444444442</v>
      </c>
      <c r="O71">
        <f>step3_validation[[#This Row],[AI_FAC2]]</f>
        <v>8</v>
      </c>
      <c r="P71">
        <f t="shared" si="35"/>
        <v>0.77777777777777779</v>
      </c>
      <c r="Q71">
        <f>[1]!survey_responses[[#This Row],[So với trước đây, tôi thấy cách tính thuế và các bậc thuế trong phương án mới đơn giản, dễ hiểu và dễ thực hiện hơn. - HUMAN-FAC2]]</f>
        <v>5</v>
      </c>
      <c r="R71">
        <f t="shared" si="36"/>
        <v>0.44444444444444442</v>
      </c>
      <c r="S71" s="32">
        <f t="shared" si="37"/>
        <v>0.83333333333333326</v>
      </c>
      <c r="T71" s="32">
        <f t="shared" si="38"/>
        <v>0.44444444444444442</v>
      </c>
      <c r="U71">
        <f>step3_validation[[#This Row],[AI_TRU1]]</f>
        <v>7</v>
      </c>
      <c r="V71">
        <f t="shared" si="39"/>
        <v>0.66666666666666663</v>
      </c>
      <c r="W71">
        <f>[1]!survey_responses[[#This Row],[Tôi tin rằng Nhà nước, cơ quan thuế sẽ thực thi chính sách mới một cách khách quan, công tâm và đối xử bình đẳng với mọi người nộp thuế.  - HUMAN-TRU1]]</f>
        <v>5</v>
      </c>
      <c r="X71">
        <f t="shared" si="40"/>
        <v>0.44444444444444442</v>
      </c>
      <c r="Y71">
        <f>step3_validation[[#This Row],[AI_TRU2]]</f>
        <v>8</v>
      </c>
      <c r="Z71">
        <f t="shared" si="41"/>
        <v>0.77777777777777779</v>
      </c>
      <c r="AA71">
        <f>[1]!survey_responses[[#This Row],[Tôi thấy mức thuế tôi phải đóng theo phương án mới là công bằng (người thu nhập như tôi đóng mức này là hợp lý). - HUMAN-TRU2]]</f>
        <v>1</v>
      </c>
      <c r="AB71">
        <f t="shared" si="42"/>
        <v>0</v>
      </c>
      <c r="AC71">
        <f>step3_validation[[#This Row],[AI_TRU3]]</f>
        <v>7</v>
      </c>
      <c r="AD71">
        <f t="shared" si="43"/>
        <v>0.66666666666666663</v>
      </c>
      <c r="AE71">
        <f>[1]!survey_responses[[#This Row],[Tôi tin tưởng số tiền thuế tôi đóng sẽ được Nhà nước sử dụng hiệu quả để cải thiện dịch vụ công (y tế, đường xá...). - HUMAN-TRU3]]</f>
        <v>5</v>
      </c>
      <c r="AF71">
        <f t="shared" si="44"/>
        <v>0.44444444444444442</v>
      </c>
      <c r="AG71">
        <f>step3_validation[[#This Row],[AI_TRU4]]</f>
        <v>7</v>
      </c>
      <c r="AH71">
        <f t="shared" si="45"/>
        <v>0.66666666666666663</v>
      </c>
      <c r="AI71">
        <f>[1]!survey_responses[[#This Row],[Tôi thấy Nhà nước đã giải thích rõ ràng, minh bạch về lý do và mục tiêu của việc sửa đổi thuế lần này. - HUMAN-TRU4]]</f>
        <v>5</v>
      </c>
      <c r="AJ71">
        <f t="shared" si="46"/>
        <v>0.44444444444444442</v>
      </c>
      <c r="AK71" s="32">
        <f t="shared" si="47"/>
        <v>0.69444444444444442</v>
      </c>
      <c r="AL71" s="32">
        <f t="shared" si="48"/>
        <v>0.33333333333333331</v>
      </c>
      <c r="AM71" s="7">
        <f t="shared" si="49"/>
        <v>0.75</v>
      </c>
      <c r="AN71" s="7">
        <f t="shared" si="50"/>
        <v>0.44444444444444442</v>
      </c>
      <c r="AO71">
        <f>step3_validation[[#This Row],[AI_OUT1]]</f>
        <v>8</v>
      </c>
      <c r="AP71">
        <f t="shared" si="51"/>
        <v>0.77777777777777779</v>
      </c>
      <c r="AQ71">
        <f>[1]!survey_responses[[#This Row],[Sau khi xem xét các quyền lợi và nghĩa vụ, bạn có ủng hộ và tuân thủ chính sách mới hiện nay? - HUMAN-OUT1]]</f>
        <v>5</v>
      </c>
      <c r="AR71">
        <f t="shared" si="52"/>
        <v>0.44444444444444442</v>
      </c>
      <c r="AS71" s="32">
        <f t="shared" si="53"/>
        <v>3</v>
      </c>
    </row>
    <row r="72" spans="1:45" x14ac:dyDescent="0.45">
      <c r="A72">
        <f>step3_validation[[#This Row],[AI_ENF1]]</f>
        <v>8</v>
      </c>
      <c r="B72">
        <f t="shared" si="27"/>
        <v>0.77777777777777779</v>
      </c>
      <c r="C72">
        <f>[1]!survey_responses[[#This Row],[Tôi tin rằng với các quy định quản lý thuế hiện nay, hành vi gian lận hoặc trốn thuế sẽ dễ dàng bị phát hiện và xử lý nghiêm. - HUMAN-ENF1]]</f>
        <v>3</v>
      </c>
      <c r="D72">
        <f t="shared" si="28"/>
        <v>0.22222222222222221</v>
      </c>
      <c r="E72">
        <f>step3_validation[[#This Row],[AI_ENF2]]</f>
        <v>9</v>
      </c>
      <c r="F72">
        <f t="shared" si="29"/>
        <v>0.88888888888888884</v>
      </c>
      <c r="G72">
        <f>[1]!survey_responses[[#This Row],[Tôi tin rằng Nhà nước, cơ quan thuế có đủ khả năng và công nghệ để phát hiện, xử lý nghiêm các hành vi trốn thuế. - HUMAN-ENF2]]</f>
        <v>3</v>
      </c>
      <c r="H72">
        <f t="shared" si="30"/>
        <v>0.22222222222222221</v>
      </c>
      <c r="I72" s="32">
        <f t="shared" si="31"/>
        <v>0.83333333333333326</v>
      </c>
      <c r="J72" s="32">
        <f t="shared" si="32"/>
        <v>0.22222222222222221</v>
      </c>
      <c r="K72">
        <f>step3_validation[[#This Row],[AI_FAC1]]</f>
        <v>8</v>
      </c>
      <c r="L72">
        <f t="shared" si="33"/>
        <v>0.77777777777777779</v>
      </c>
      <c r="M72">
        <f>[1]!survey_responses[[#This Row],[Các thủ tục khai báo thuế VÀ/HOẶC quy trình làm việc với cơ quan thuế đơn giản, tiện lợi, nhanh chóng hơn so với trước đây. - HUMAN-FAC1]]</f>
        <v>3</v>
      </c>
      <c r="N72">
        <f t="shared" si="34"/>
        <v>0.22222222222222221</v>
      </c>
      <c r="O72">
        <f>step3_validation[[#This Row],[AI_FAC2]]</f>
        <v>9</v>
      </c>
      <c r="P72">
        <f t="shared" si="35"/>
        <v>0.88888888888888884</v>
      </c>
      <c r="Q72">
        <f>[1]!survey_responses[[#This Row],[So với trước đây, tôi thấy cách tính thuế và các bậc thuế trong phương án mới đơn giản, dễ hiểu và dễ thực hiện hơn. - HUMAN-FAC2]]</f>
        <v>5</v>
      </c>
      <c r="R72">
        <f t="shared" si="36"/>
        <v>0.44444444444444442</v>
      </c>
      <c r="S72" s="32">
        <f t="shared" si="37"/>
        <v>0.83333333333333326</v>
      </c>
      <c r="T72" s="32">
        <f t="shared" si="38"/>
        <v>0.33333333333333331</v>
      </c>
      <c r="U72">
        <f>step3_validation[[#This Row],[AI_TRU1]]</f>
        <v>7</v>
      </c>
      <c r="V72">
        <f t="shared" si="39"/>
        <v>0.66666666666666663</v>
      </c>
      <c r="W72">
        <f>[1]!survey_responses[[#This Row],[Tôi tin rằng Nhà nước, cơ quan thuế sẽ thực thi chính sách mới một cách khách quan, công tâm và đối xử bình đẳng với mọi người nộp thuế.  - HUMAN-TRU1]]</f>
        <v>3</v>
      </c>
      <c r="X72">
        <f t="shared" si="40"/>
        <v>0.22222222222222221</v>
      </c>
      <c r="Y72">
        <f>step3_validation[[#This Row],[AI_TRU2]]</f>
        <v>8</v>
      </c>
      <c r="Z72">
        <f t="shared" si="41"/>
        <v>0.77777777777777779</v>
      </c>
      <c r="AA72">
        <f>[1]!survey_responses[[#This Row],[Tôi thấy mức thuế tôi phải đóng theo phương án mới là công bằng (người thu nhập như tôi đóng mức này là hợp lý). - HUMAN-TRU2]]</f>
        <v>3</v>
      </c>
      <c r="AB72">
        <f t="shared" si="42"/>
        <v>0.22222222222222221</v>
      </c>
      <c r="AC72">
        <f>step3_validation[[#This Row],[AI_TRU3]]</f>
        <v>7</v>
      </c>
      <c r="AD72">
        <f t="shared" si="43"/>
        <v>0.66666666666666663</v>
      </c>
      <c r="AE72">
        <f>[1]!survey_responses[[#This Row],[Tôi tin tưởng số tiền thuế tôi đóng sẽ được Nhà nước sử dụng hiệu quả để cải thiện dịch vụ công (y tế, đường xá...). - HUMAN-TRU3]]</f>
        <v>3</v>
      </c>
      <c r="AF72">
        <f t="shared" si="44"/>
        <v>0.22222222222222221</v>
      </c>
      <c r="AG72">
        <f>step3_validation[[#This Row],[AI_TRU4]]</f>
        <v>6</v>
      </c>
      <c r="AH72">
        <f t="shared" si="45"/>
        <v>0.55555555555555558</v>
      </c>
      <c r="AI72">
        <f>[1]!survey_responses[[#This Row],[Tôi thấy Nhà nước đã giải thích rõ ràng, minh bạch về lý do và mục tiêu của việc sửa đổi thuế lần này. - HUMAN-TRU4]]</f>
        <v>3</v>
      </c>
      <c r="AJ72">
        <f t="shared" si="46"/>
        <v>0.22222222222222221</v>
      </c>
      <c r="AK72" s="32">
        <f t="shared" si="47"/>
        <v>0.66666666666666674</v>
      </c>
      <c r="AL72" s="32">
        <f t="shared" si="48"/>
        <v>0.22222222222222221</v>
      </c>
      <c r="AM72" s="7">
        <f t="shared" si="49"/>
        <v>0.77777777777777768</v>
      </c>
      <c r="AN72" s="7">
        <f t="shared" si="50"/>
        <v>0.25925925925925924</v>
      </c>
      <c r="AO72">
        <f>step3_validation[[#This Row],[AI_OUT1]]</f>
        <v>8</v>
      </c>
      <c r="AP72">
        <f t="shared" si="51"/>
        <v>0.77777777777777779</v>
      </c>
      <c r="AQ72">
        <f>[1]!survey_responses[[#This Row],[Sau khi xem xét các quyền lợi và nghĩa vụ, bạn có ủng hộ và tuân thủ chính sách mới hiện nay? - HUMAN-OUT1]]</f>
        <v>4</v>
      </c>
      <c r="AR72">
        <f t="shared" si="52"/>
        <v>0.33333333333333331</v>
      </c>
      <c r="AS72" s="32">
        <f t="shared" si="53"/>
        <v>4</v>
      </c>
    </row>
    <row r="73" spans="1:45" x14ac:dyDescent="0.45">
      <c r="A73">
        <f>step3_validation[[#This Row],[AI_ENF1]]</f>
        <v>8</v>
      </c>
      <c r="B73">
        <f t="shared" si="27"/>
        <v>0.77777777777777779</v>
      </c>
      <c r="C73">
        <f>[1]!survey_responses[[#This Row],[Tôi tin rằng với các quy định quản lý thuế hiện nay, hành vi gian lận hoặc trốn thuế sẽ dễ dàng bị phát hiện và xử lý nghiêm. - HUMAN-ENF1]]</f>
        <v>8</v>
      </c>
      <c r="D73">
        <f t="shared" si="28"/>
        <v>0.77777777777777779</v>
      </c>
      <c r="E73">
        <f>step3_validation[[#This Row],[AI_ENF2]]</f>
        <v>9</v>
      </c>
      <c r="F73">
        <f t="shared" si="29"/>
        <v>0.88888888888888884</v>
      </c>
      <c r="G73">
        <f>[1]!survey_responses[[#This Row],[Tôi tin rằng Nhà nước, cơ quan thuế có đủ khả năng và công nghệ để phát hiện, xử lý nghiêm các hành vi trốn thuế. - HUMAN-ENF2]]</f>
        <v>8</v>
      </c>
      <c r="H73">
        <f t="shared" si="30"/>
        <v>0.77777777777777779</v>
      </c>
      <c r="I73" s="32">
        <f t="shared" si="31"/>
        <v>0.83333333333333326</v>
      </c>
      <c r="J73" s="32">
        <f t="shared" si="32"/>
        <v>0.77777777777777779</v>
      </c>
      <c r="K73">
        <f>step3_validation[[#This Row],[AI_FAC1]]</f>
        <v>7</v>
      </c>
      <c r="L73">
        <f t="shared" si="33"/>
        <v>0.66666666666666663</v>
      </c>
      <c r="M73">
        <f>[1]!survey_responses[[#This Row],[Các thủ tục khai báo thuế VÀ/HOẶC quy trình làm việc với cơ quan thuế đơn giản, tiện lợi, nhanh chóng hơn so với trước đây. - HUMAN-FAC1]]</f>
        <v>4</v>
      </c>
      <c r="N73">
        <f t="shared" si="34"/>
        <v>0.33333333333333331</v>
      </c>
      <c r="O73">
        <f>step3_validation[[#This Row],[AI_FAC2]]</f>
        <v>8</v>
      </c>
      <c r="P73">
        <f t="shared" si="35"/>
        <v>0.77777777777777779</v>
      </c>
      <c r="Q73">
        <f>[1]!survey_responses[[#This Row],[So với trước đây, tôi thấy cách tính thuế và các bậc thuế trong phương án mới đơn giản, dễ hiểu và dễ thực hiện hơn. - HUMAN-FAC2]]</f>
        <v>2</v>
      </c>
      <c r="R73">
        <f t="shared" si="36"/>
        <v>0.1111111111111111</v>
      </c>
      <c r="S73" s="32">
        <f t="shared" si="37"/>
        <v>0.72222222222222221</v>
      </c>
      <c r="T73" s="32">
        <f t="shared" si="38"/>
        <v>0.22222222222222221</v>
      </c>
      <c r="U73">
        <f>step3_validation[[#This Row],[AI_TRU1]]</f>
        <v>7</v>
      </c>
      <c r="V73">
        <f t="shared" si="39"/>
        <v>0.66666666666666663</v>
      </c>
      <c r="W73">
        <f>[1]!survey_responses[[#This Row],[Tôi tin rằng Nhà nước, cơ quan thuế sẽ thực thi chính sách mới một cách khách quan, công tâm và đối xử bình đẳng với mọi người nộp thuế.  - HUMAN-TRU1]]</f>
        <v>6</v>
      </c>
      <c r="X73">
        <f t="shared" si="40"/>
        <v>0.55555555555555558</v>
      </c>
      <c r="Y73">
        <f>step3_validation[[#This Row],[AI_TRU2]]</f>
        <v>6</v>
      </c>
      <c r="Z73">
        <f t="shared" si="41"/>
        <v>0.55555555555555558</v>
      </c>
      <c r="AA73">
        <f>[1]!survey_responses[[#This Row],[Tôi thấy mức thuế tôi phải đóng theo phương án mới là công bằng (người thu nhập như tôi đóng mức này là hợp lý). - HUMAN-TRU2]]</f>
        <v>3</v>
      </c>
      <c r="AB73">
        <f t="shared" si="42"/>
        <v>0.22222222222222221</v>
      </c>
      <c r="AC73">
        <f>step3_validation[[#This Row],[AI_TRU3]]</f>
        <v>7</v>
      </c>
      <c r="AD73">
        <f t="shared" si="43"/>
        <v>0.66666666666666663</v>
      </c>
      <c r="AE73">
        <f>[1]!survey_responses[[#This Row],[Tôi tin tưởng số tiền thuế tôi đóng sẽ được Nhà nước sử dụng hiệu quả để cải thiện dịch vụ công (y tế, đường xá...). - HUMAN-TRU3]]</f>
        <v>8</v>
      </c>
      <c r="AF73">
        <f t="shared" si="44"/>
        <v>0.77777777777777779</v>
      </c>
      <c r="AG73">
        <f>step3_validation[[#This Row],[AI_TRU4]]</f>
        <v>5</v>
      </c>
      <c r="AH73">
        <f t="shared" si="45"/>
        <v>0.44444444444444442</v>
      </c>
      <c r="AI73">
        <f>[1]!survey_responses[[#This Row],[Tôi thấy Nhà nước đã giải thích rõ ràng, minh bạch về lý do và mục tiêu của việc sửa đổi thuế lần này. - HUMAN-TRU4]]</f>
        <v>4</v>
      </c>
      <c r="AJ73">
        <f t="shared" si="46"/>
        <v>0.33333333333333331</v>
      </c>
      <c r="AK73" s="32">
        <f t="shared" si="47"/>
        <v>0.58333333333333326</v>
      </c>
      <c r="AL73" s="32">
        <f t="shared" si="48"/>
        <v>0.47222222222222221</v>
      </c>
      <c r="AM73" s="7">
        <f t="shared" si="49"/>
        <v>0.7129629629629628</v>
      </c>
      <c r="AN73" s="7">
        <f t="shared" si="50"/>
        <v>0.49074074074074076</v>
      </c>
      <c r="AO73">
        <f>step3_validation[[#This Row],[AI_OUT1]]</f>
        <v>7</v>
      </c>
      <c r="AP73">
        <f t="shared" si="51"/>
        <v>0.66666666666666663</v>
      </c>
      <c r="AQ73">
        <f>[1]!survey_responses[[#This Row],[Sau khi xem xét các quyền lợi và nghĩa vụ, bạn có ủng hộ và tuân thủ chính sách mới hiện nay? - HUMAN-OUT1]]</f>
        <v>8</v>
      </c>
      <c r="AR73">
        <f t="shared" si="52"/>
        <v>0.77777777777777779</v>
      </c>
      <c r="AS73" s="32">
        <f t="shared" si="53"/>
        <v>1</v>
      </c>
    </row>
    <row r="74" spans="1:45" x14ac:dyDescent="0.45">
      <c r="A74">
        <f>step3_validation[[#This Row],[AI_ENF1]]</f>
        <v>5</v>
      </c>
      <c r="B74">
        <f t="shared" si="27"/>
        <v>0.44444444444444442</v>
      </c>
      <c r="C74">
        <f>[1]!survey_responses[[#This Row],[Tôi tin rằng với các quy định quản lý thuế hiện nay, hành vi gian lận hoặc trốn thuế sẽ dễ dàng bị phát hiện và xử lý nghiêm. - HUMAN-ENF1]]</f>
        <v>5</v>
      </c>
      <c r="D74">
        <f t="shared" si="28"/>
        <v>0.44444444444444442</v>
      </c>
      <c r="E74">
        <f>step3_validation[[#This Row],[AI_ENF2]]</f>
        <v>6</v>
      </c>
      <c r="F74">
        <f t="shared" si="29"/>
        <v>0.55555555555555558</v>
      </c>
      <c r="G74">
        <f>[1]!survey_responses[[#This Row],[Tôi tin rằng Nhà nước, cơ quan thuế có đủ khả năng và công nghệ để phát hiện, xử lý nghiêm các hành vi trốn thuế. - HUMAN-ENF2]]</f>
        <v>5</v>
      </c>
      <c r="H74">
        <f t="shared" si="30"/>
        <v>0.44444444444444442</v>
      </c>
      <c r="I74" s="32">
        <f t="shared" si="31"/>
        <v>0.5</v>
      </c>
      <c r="J74" s="32">
        <f t="shared" si="32"/>
        <v>0.44444444444444442</v>
      </c>
      <c r="K74">
        <f>step3_validation[[#This Row],[AI_FAC1]]</f>
        <v>7</v>
      </c>
      <c r="L74">
        <f t="shared" si="33"/>
        <v>0.66666666666666663</v>
      </c>
      <c r="M74">
        <f>[1]!survey_responses[[#This Row],[Các thủ tục khai báo thuế VÀ/HOẶC quy trình làm việc với cơ quan thuế đơn giản, tiện lợi, nhanh chóng hơn so với trước đây. - HUMAN-FAC1]]</f>
        <v>5</v>
      </c>
      <c r="N74">
        <f t="shared" si="34"/>
        <v>0.44444444444444442</v>
      </c>
      <c r="O74">
        <f>step3_validation[[#This Row],[AI_FAC2]]</f>
        <v>8</v>
      </c>
      <c r="P74">
        <f t="shared" si="35"/>
        <v>0.77777777777777779</v>
      </c>
      <c r="Q74">
        <f>[1]!survey_responses[[#This Row],[So với trước đây, tôi thấy cách tính thuế và các bậc thuế trong phương án mới đơn giản, dễ hiểu và dễ thực hiện hơn. - HUMAN-FAC2]]</f>
        <v>5</v>
      </c>
      <c r="R74">
        <f t="shared" si="36"/>
        <v>0.44444444444444442</v>
      </c>
      <c r="S74" s="32">
        <f t="shared" si="37"/>
        <v>0.72222222222222221</v>
      </c>
      <c r="T74" s="32">
        <f t="shared" si="38"/>
        <v>0.44444444444444442</v>
      </c>
      <c r="U74">
        <f>step3_validation[[#This Row],[AI_TRU1]]</f>
        <v>6</v>
      </c>
      <c r="V74">
        <f t="shared" si="39"/>
        <v>0.55555555555555558</v>
      </c>
      <c r="W74">
        <f>[1]!survey_responses[[#This Row],[Tôi tin rằng Nhà nước, cơ quan thuế sẽ thực thi chính sách mới một cách khách quan, công tâm và đối xử bình đẳng với mọi người nộp thuế.  - HUMAN-TRU1]]</f>
        <v>5</v>
      </c>
      <c r="X74">
        <f t="shared" si="40"/>
        <v>0.44444444444444442</v>
      </c>
      <c r="Y74">
        <f>step3_validation[[#This Row],[AI_TRU2]]</f>
        <v>8</v>
      </c>
      <c r="Z74">
        <f t="shared" si="41"/>
        <v>0.77777777777777779</v>
      </c>
      <c r="AA74">
        <f>[1]!survey_responses[[#This Row],[Tôi thấy mức thuế tôi phải đóng theo phương án mới là công bằng (người thu nhập như tôi đóng mức này là hợp lý). - HUMAN-TRU2]]</f>
        <v>10</v>
      </c>
      <c r="AB74">
        <f t="shared" si="42"/>
        <v>1</v>
      </c>
      <c r="AC74">
        <f>step3_validation[[#This Row],[AI_TRU3]]</f>
        <v>7</v>
      </c>
      <c r="AD74">
        <f t="shared" si="43"/>
        <v>0.66666666666666663</v>
      </c>
      <c r="AE74">
        <f>[1]!survey_responses[[#This Row],[Tôi tin tưởng số tiền thuế tôi đóng sẽ được Nhà nước sử dụng hiệu quả để cải thiện dịch vụ công (y tế, đường xá...). - HUMAN-TRU3]]</f>
        <v>5</v>
      </c>
      <c r="AF74">
        <f t="shared" si="44"/>
        <v>0.44444444444444442</v>
      </c>
      <c r="AG74">
        <f>step3_validation[[#This Row],[AI_TRU4]]</f>
        <v>6</v>
      </c>
      <c r="AH74">
        <f t="shared" si="45"/>
        <v>0.55555555555555558</v>
      </c>
      <c r="AI74">
        <f>[1]!survey_responses[[#This Row],[Tôi thấy Nhà nước đã giải thích rõ ràng, minh bạch về lý do và mục tiêu của việc sửa đổi thuế lần này. - HUMAN-TRU4]]</f>
        <v>5</v>
      </c>
      <c r="AJ74">
        <f t="shared" si="46"/>
        <v>0.44444444444444442</v>
      </c>
      <c r="AK74" s="32">
        <f t="shared" si="47"/>
        <v>0.63888888888888884</v>
      </c>
      <c r="AL74" s="32">
        <f t="shared" si="48"/>
        <v>0.58333333333333326</v>
      </c>
      <c r="AM74" s="7">
        <f t="shared" si="49"/>
        <v>0.62037037037037035</v>
      </c>
      <c r="AN74" s="7">
        <f t="shared" si="50"/>
        <v>0.4907407407407407</v>
      </c>
      <c r="AO74">
        <f>step3_validation[[#This Row],[AI_OUT1]]</f>
        <v>7</v>
      </c>
      <c r="AP74">
        <f t="shared" si="51"/>
        <v>0.66666666666666663</v>
      </c>
      <c r="AQ74">
        <f>[1]!survey_responses[[#This Row],[Sau khi xem xét các quyền lợi và nghĩa vụ, bạn có ủng hộ và tuân thủ chính sách mới hiện nay? - HUMAN-OUT1]]</f>
        <v>10</v>
      </c>
      <c r="AR74">
        <f t="shared" si="52"/>
        <v>1</v>
      </c>
      <c r="AS74" s="32">
        <f t="shared" si="53"/>
        <v>3</v>
      </c>
    </row>
    <row r="75" spans="1:45" x14ac:dyDescent="0.45">
      <c r="A75">
        <f>step3_validation[[#This Row],[AI_ENF1]]</f>
        <v>8</v>
      </c>
      <c r="B75">
        <f t="shared" si="27"/>
        <v>0.77777777777777779</v>
      </c>
      <c r="C75">
        <f>[1]!survey_responses[[#This Row],[Tôi tin rằng với các quy định quản lý thuế hiện nay, hành vi gian lận hoặc trốn thuế sẽ dễ dàng bị phát hiện và xử lý nghiêm. - HUMAN-ENF1]]</f>
        <v>5</v>
      </c>
      <c r="D75">
        <f t="shared" si="28"/>
        <v>0.44444444444444442</v>
      </c>
      <c r="E75">
        <f>step3_validation[[#This Row],[AI_ENF2]]</f>
        <v>7</v>
      </c>
      <c r="F75">
        <f t="shared" si="29"/>
        <v>0.66666666666666663</v>
      </c>
      <c r="G75">
        <f>[1]!survey_responses[[#This Row],[Tôi tin rằng Nhà nước, cơ quan thuế có đủ khả năng và công nghệ để phát hiện, xử lý nghiêm các hành vi trốn thuế. - HUMAN-ENF2]]</f>
        <v>10</v>
      </c>
      <c r="H75">
        <f t="shared" si="30"/>
        <v>1</v>
      </c>
      <c r="I75" s="32">
        <f t="shared" si="31"/>
        <v>0.72222222222222221</v>
      </c>
      <c r="J75" s="32">
        <f t="shared" si="32"/>
        <v>0.72222222222222221</v>
      </c>
      <c r="K75">
        <f>step3_validation[[#This Row],[AI_FAC1]]</f>
        <v>6</v>
      </c>
      <c r="L75">
        <f t="shared" si="33"/>
        <v>0.55555555555555558</v>
      </c>
      <c r="M75">
        <f>[1]!survey_responses[[#This Row],[Các thủ tục khai báo thuế VÀ/HOẶC quy trình làm việc với cơ quan thuế đơn giản, tiện lợi, nhanh chóng hơn so với trước đây. - HUMAN-FAC1]]</f>
        <v>2</v>
      </c>
      <c r="N75">
        <f t="shared" si="34"/>
        <v>0.1111111111111111</v>
      </c>
      <c r="O75">
        <f>step3_validation[[#This Row],[AI_FAC2]]</f>
        <v>7</v>
      </c>
      <c r="P75">
        <f t="shared" si="35"/>
        <v>0.66666666666666663</v>
      </c>
      <c r="Q75">
        <f>[1]!survey_responses[[#This Row],[So với trước đây, tôi thấy cách tính thuế và các bậc thuế trong phương án mới đơn giản, dễ hiểu và dễ thực hiện hơn. - HUMAN-FAC2]]</f>
        <v>8</v>
      </c>
      <c r="R75">
        <f t="shared" si="36"/>
        <v>0.77777777777777779</v>
      </c>
      <c r="S75" s="32">
        <f t="shared" si="37"/>
        <v>0.61111111111111116</v>
      </c>
      <c r="T75" s="32">
        <f t="shared" si="38"/>
        <v>0.44444444444444442</v>
      </c>
      <c r="U75">
        <f>step3_validation[[#This Row],[AI_TRU1]]</f>
        <v>5</v>
      </c>
      <c r="V75">
        <f t="shared" si="39"/>
        <v>0.44444444444444442</v>
      </c>
      <c r="W75">
        <f>[1]!survey_responses[[#This Row],[Tôi tin rằng Nhà nước, cơ quan thuế sẽ thực thi chính sách mới một cách khách quan, công tâm và đối xử bình đẳng với mọi người nộp thuế.  - HUMAN-TRU1]]</f>
        <v>5</v>
      </c>
      <c r="X75">
        <f t="shared" si="40"/>
        <v>0.44444444444444442</v>
      </c>
      <c r="Y75">
        <f>step3_validation[[#This Row],[AI_TRU2]]</f>
        <v>6</v>
      </c>
      <c r="Z75">
        <f t="shared" si="41"/>
        <v>0.55555555555555558</v>
      </c>
      <c r="AA75">
        <f>[1]!survey_responses[[#This Row],[Tôi thấy mức thuế tôi phải đóng theo phương án mới là công bằng (người thu nhập như tôi đóng mức này là hợp lý). - HUMAN-TRU2]]</f>
        <v>5</v>
      </c>
      <c r="AB75">
        <f t="shared" si="42"/>
        <v>0.44444444444444442</v>
      </c>
      <c r="AC75">
        <f>step3_validation[[#This Row],[AI_TRU3]]</f>
        <v>7</v>
      </c>
      <c r="AD75">
        <f t="shared" si="43"/>
        <v>0.66666666666666663</v>
      </c>
      <c r="AE75">
        <f>[1]!survey_responses[[#This Row],[Tôi tin tưởng số tiền thuế tôi đóng sẽ được Nhà nước sử dụng hiệu quả để cải thiện dịch vụ công (y tế, đường xá...). - HUMAN-TRU3]]</f>
        <v>1</v>
      </c>
      <c r="AF75">
        <f t="shared" si="44"/>
        <v>0</v>
      </c>
      <c r="AG75">
        <f>step3_validation[[#This Row],[AI_TRU4]]</f>
        <v>5</v>
      </c>
      <c r="AH75">
        <f t="shared" si="45"/>
        <v>0.44444444444444442</v>
      </c>
      <c r="AI75">
        <f>[1]!survey_responses[[#This Row],[Tôi thấy Nhà nước đã giải thích rõ ràng, minh bạch về lý do và mục tiêu của việc sửa đổi thuế lần này. - HUMAN-TRU4]]</f>
        <v>4</v>
      </c>
      <c r="AJ75">
        <f t="shared" si="46"/>
        <v>0.33333333333333331</v>
      </c>
      <c r="AK75" s="32">
        <f t="shared" si="47"/>
        <v>0.52777777777777768</v>
      </c>
      <c r="AL75" s="32">
        <f t="shared" si="48"/>
        <v>0.30555555555555552</v>
      </c>
      <c r="AM75" s="7">
        <f t="shared" si="49"/>
        <v>0.62037037037037035</v>
      </c>
      <c r="AN75" s="7">
        <f t="shared" si="50"/>
        <v>0.4907407407407407</v>
      </c>
      <c r="AO75">
        <f>step3_validation[[#This Row],[AI_OUT1]]</f>
        <v>6</v>
      </c>
      <c r="AP75">
        <f t="shared" si="51"/>
        <v>0.55555555555555558</v>
      </c>
      <c r="AQ75">
        <f>[1]!survey_responses[[#This Row],[Sau khi xem xét các quyền lợi và nghĩa vụ, bạn có ủng hộ và tuân thủ chính sách mới hiện nay? - HUMAN-OUT1]]</f>
        <v>5</v>
      </c>
      <c r="AR75">
        <f t="shared" si="52"/>
        <v>0.44444444444444442</v>
      </c>
      <c r="AS75" s="32">
        <f t="shared" si="53"/>
        <v>1</v>
      </c>
    </row>
    <row r="76" spans="1:45" x14ac:dyDescent="0.45">
      <c r="A76">
        <f>step3_validation[[#This Row],[AI_ENF1]]</f>
        <v>5</v>
      </c>
      <c r="B76">
        <f t="shared" si="27"/>
        <v>0.44444444444444442</v>
      </c>
      <c r="C76">
        <f>[1]!survey_responses[[#This Row],[Tôi tin rằng với các quy định quản lý thuế hiện nay, hành vi gian lận hoặc trốn thuế sẽ dễ dàng bị phát hiện và xử lý nghiêm. - HUMAN-ENF1]]</f>
        <v>8</v>
      </c>
      <c r="D76">
        <f t="shared" si="28"/>
        <v>0.77777777777777779</v>
      </c>
      <c r="E76">
        <f>step3_validation[[#This Row],[AI_ENF2]]</f>
        <v>6</v>
      </c>
      <c r="F76">
        <f t="shared" si="29"/>
        <v>0.55555555555555558</v>
      </c>
      <c r="G76">
        <f>[1]!survey_responses[[#This Row],[Tôi tin rằng Nhà nước, cơ quan thuế có đủ khả năng và công nghệ để phát hiện, xử lý nghiêm các hành vi trốn thuế. - HUMAN-ENF2]]</f>
        <v>9</v>
      </c>
      <c r="H76">
        <f t="shared" si="30"/>
        <v>0.88888888888888884</v>
      </c>
      <c r="I76" s="32">
        <f t="shared" si="31"/>
        <v>0.5</v>
      </c>
      <c r="J76" s="32">
        <f t="shared" si="32"/>
        <v>0.83333333333333326</v>
      </c>
      <c r="K76">
        <f>step3_validation[[#This Row],[AI_FAC1]]</f>
        <v>8</v>
      </c>
      <c r="L76">
        <f t="shared" si="33"/>
        <v>0.77777777777777779</v>
      </c>
      <c r="M76">
        <f>[1]!survey_responses[[#This Row],[Các thủ tục khai báo thuế VÀ/HOẶC quy trình làm việc với cơ quan thuế đơn giản, tiện lợi, nhanh chóng hơn so với trước đây. - HUMAN-FAC1]]</f>
        <v>9</v>
      </c>
      <c r="N76">
        <f t="shared" si="34"/>
        <v>0.88888888888888884</v>
      </c>
      <c r="O76">
        <f>step3_validation[[#This Row],[AI_FAC2]]</f>
        <v>7</v>
      </c>
      <c r="P76">
        <f t="shared" si="35"/>
        <v>0.66666666666666663</v>
      </c>
      <c r="Q76">
        <f>[1]!survey_responses[[#This Row],[So với trước đây, tôi thấy cách tính thuế và các bậc thuế trong phương án mới đơn giản, dễ hiểu và dễ thực hiện hơn. - HUMAN-FAC2]]</f>
        <v>9</v>
      </c>
      <c r="R76">
        <f t="shared" si="36"/>
        <v>0.88888888888888884</v>
      </c>
      <c r="S76" s="32">
        <f t="shared" si="37"/>
        <v>0.72222222222222221</v>
      </c>
      <c r="T76" s="32">
        <f t="shared" si="38"/>
        <v>0.88888888888888884</v>
      </c>
      <c r="U76">
        <f>step3_validation[[#This Row],[AI_TRU1]]</f>
        <v>8</v>
      </c>
      <c r="V76">
        <f t="shared" si="39"/>
        <v>0.77777777777777779</v>
      </c>
      <c r="W76">
        <f>[1]!survey_responses[[#This Row],[Tôi tin rằng Nhà nước, cơ quan thuế sẽ thực thi chính sách mới một cách khách quan, công tâm và đối xử bình đẳng với mọi người nộp thuế.  - HUMAN-TRU1]]</f>
        <v>3</v>
      </c>
      <c r="X76">
        <f t="shared" si="40"/>
        <v>0.22222222222222221</v>
      </c>
      <c r="Y76">
        <f>step3_validation[[#This Row],[AI_TRU2]]</f>
        <v>7</v>
      </c>
      <c r="Z76">
        <f t="shared" si="41"/>
        <v>0.66666666666666663</v>
      </c>
      <c r="AA76">
        <f>[1]!survey_responses[[#This Row],[Tôi thấy mức thuế tôi phải đóng theo phương án mới là công bằng (người thu nhập như tôi đóng mức này là hợp lý). - HUMAN-TRU2]]</f>
        <v>3</v>
      </c>
      <c r="AB76">
        <f t="shared" si="42"/>
        <v>0.22222222222222221</v>
      </c>
      <c r="AC76">
        <f>step3_validation[[#This Row],[AI_TRU3]]</f>
        <v>6</v>
      </c>
      <c r="AD76">
        <f t="shared" si="43"/>
        <v>0.55555555555555558</v>
      </c>
      <c r="AE76">
        <f>[1]!survey_responses[[#This Row],[Tôi tin tưởng số tiền thuế tôi đóng sẽ được Nhà nước sử dụng hiệu quả để cải thiện dịch vụ công (y tế, đường xá...). - HUMAN-TRU3]]</f>
        <v>2</v>
      </c>
      <c r="AF76">
        <f t="shared" si="44"/>
        <v>0.1111111111111111</v>
      </c>
      <c r="AG76">
        <f>step3_validation[[#This Row],[AI_TRU4]]</f>
        <v>4</v>
      </c>
      <c r="AH76">
        <f t="shared" si="45"/>
        <v>0.33333333333333331</v>
      </c>
      <c r="AI76">
        <f>[1]!survey_responses[[#This Row],[Tôi thấy Nhà nước đã giải thích rõ ràng, minh bạch về lý do và mục tiêu của việc sửa đổi thuế lần này. - HUMAN-TRU4]]</f>
        <v>2</v>
      </c>
      <c r="AJ76">
        <f t="shared" si="46"/>
        <v>0.1111111111111111</v>
      </c>
      <c r="AK76" s="32">
        <f t="shared" si="47"/>
        <v>0.58333333333333337</v>
      </c>
      <c r="AL76" s="32">
        <f t="shared" si="48"/>
        <v>0.16666666666666669</v>
      </c>
      <c r="AM76" s="7">
        <f t="shared" si="49"/>
        <v>0.60185185185185197</v>
      </c>
      <c r="AN76" s="7">
        <f t="shared" si="50"/>
        <v>0.62962962962962965</v>
      </c>
      <c r="AO76">
        <f>step3_validation[[#This Row],[AI_OUT1]]</f>
        <v>7</v>
      </c>
      <c r="AP76">
        <f t="shared" si="51"/>
        <v>0.66666666666666663</v>
      </c>
      <c r="AQ76">
        <f>[1]!survey_responses[[#This Row],[Sau khi xem xét các quyền lợi và nghĩa vụ, bạn có ủng hộ và tuân thủ chính sách mới hiện nay? - HUMAN-OUT1]]</f>
        <v>6</v>
      </c>
      <c r="AR76">
        <f t="shared" si="52"/>
        <v>0.55555555555555558</v>
      </c>
      <c r="AS76" s="32">
        <f t="shared" si="53"/>
        <v>1</v>
      </c>
    </row>
    <row r="77" spans="1:45" x14ac:dyDescent="0.45">
      <c r="A77">
        <f>step3_validation[[#This Row],[AI_ENF1]]</f>
        <v>7</v>
      </c>
      <c r="B77">
        <f t="shared" si="27"/>
        <v>0.66666666666666663</v>
      </c>
      <c r="C77">
        <f>[1]!survey_responses[[#This Row],[Tôi tin rằng với các quy định quản lý thuế hiện nay, hành vi gian lận hoặc trốn thuế sẽ dễ dàng bị phát hiện và xử lý nghiêm. - HUMAN-ENF1]]</f>
        <v>5</v>
      </c>
      <c r="D77">
        <f t="shared" si="28"/>
        <v>0.44444444444444442</v>
      </c>
      <c r="E77">
        <f>step3_validation[[#This Row],[AI_ENF2]]</f>
        <v>6</v>
      </c>
      <c r="F77">
        <f t="shared" si="29"/>
        <v>0.55555555555555558</v>
      </c>
      <c r="G77">
        <f>[1]!survey_responses[[#This Row],[Tôi tin rằng Nhà nước, cơ quan thuế có đủ khả năng và công nghệ để phát hiện, xử lý nghiêm các hành vi trốn thuế. - HUMAN-ENF2]]</f>
        <v>5</v>
      </c>
      <c r="H77">
        <f t="shared" si="30"/>
        <v>0.44444444444444442</v>
      </c>
      <c r="I77" s="32">
        <f t="shared" si="31"/>
        <v>0.61111111111111116</v>
      </c>
      <c r="J77" s="32">
        <f t="shared" si="32"/>
        <v>0.44444444444444442</v>
      </c>
      <c r="K77">
        <f>step3_validation[[#This Row],[AI_FAC1]]</f>
        <v>8</v>
      </c>
      <c r="L77">
        <f t="shared" si="33"/>
        <v>0.77777777777777779</v>
      </c>
      <c r="M77">
        <f>[1]!survey_responses[[#This Row],[Các thủ tục khai báo thuế VÀ/HOẶC quy trình làm việc với cơ quan thuế đơn giản, tiện lợi, nhanh chóng hơn so với trước đây. - HUMAN-FAC1]]</f>
        <v>5</v>
      </c>
      <c r="N77">
        <f t="shared" si="34"/>
        <v>0.44444444444444442</v>
      </c>
      <c r="O77">
        <f>step3_validation[[#This Row],[AI_FAC2]]</f>
        <v>9</v>
      </c>
      <c r="P77">
        <f t="shared" si="35"/>
        <v>0.88888888888888884</v>
      </c>
      <c r="Q77">
        <f>[1]!survey_responses[[#This Row],[So với trước đây, tôi thấy cách tính thuế và các bậc thuế trong phương án mới đơn giản, dễ hiểu và dễ thực hiện hơn. - HUMAN-FAC2]]</f>
        <v>5</v>
      </c>
      <c r="R77">
        <f t="shared" si="36"/>
        <v>0.44444444444444442</v>
      </c>
      <c r="S77" s="32">
        <f t="shared" si="37"/>
        <v>0.83333333333333326</v>
      </c>
      <c r="T77" s="32">
        <f t="shared" si="38"/>
        <v>0.44444444444444442</v>
      </c>
      <c r="U77">
        <f>step3_validation[[#This Row],[AI_TRU1]]</f>
        <v>6</v>
      </c>
      <c r="V77">
        <f t="shared" si="39"/>
        <v>0.55555555555555558</v>
      </c>
      <c r="W77">
        <f>[1]!survey_responses[[#This Row],[Tôi tin rằng Nhà nước, cơ quan thuế sẽ thực thi chính sách mới một cách khách quan, công tâm và đối xử bình đẳng với mọi người nộp thuế.  - HUMAN-TRU1]]</f>
        <v>5</v>
      </c>
      <c r="X77">
        <f t="shared" si="40"/>
        <v>0.44444444444444442</v>
      </c>
      <c r="Y77">
        <f>step3_validation[[#This Row],[AI_TRU2]]</f>
        <v>7</v>
      </c>
      <c r="Z77">
        <f t="shared" si="41"/>
        <v>0.66666666666666663</v>
      </c>
      <c r="AA77">
        <f>[1]!survey_responses[[#This Row],[Tôi thấy mức thuế tôi phải đóng theo phương án mới là công bằng (người thu nhập như tôi đóng mức này là hợp lý). - HUMAN-TRU2]]</f>
        <v>5</v>
      </c>
      <c r="AB77">
        <f t="shared" si="42"/>
        <v>0.44444444444444442</v>
      </c>
      <c r="AC77">
        <f>step3_validation[[#This Row],[AI_TRU3]]</f>
        <v>6</v>
      </c>
      <c r="AD77">
        <f t="shared" si="43"/>
        <v>0.55555555555555558</v>
      </c>
      <c r="AE77">
        <f>[1]!survey_responses[[#This Row],[Tôi tin tưởng số tiền thuế tôi đóng sẽ được Nhà nước sử dụng hiệu quả để cải thiện dịch vụ công (y tế, đường xá...). - HUMAN-TRU3]]</f>
        <v>5</v>
      </c>
      <c r="AF77">
        <f t="shared" si="44"/>
        <v>0.44444444444444442</v>
      </c>
      <c r="AG77">
        <f>step3_validation[[#This Row],[AI_TRU4]]</f>
        <v>5</v>
      </c>
      <c r="AH77">
        <f t="shared" si="45"/>
        <v>0.44444444444444442</v>
      </c>
      <c r="AI77">
        <f>[1]!survey_responses[[#This Row],[Tôi thấy Nhà nước đã giải thích rõ ràng, minh bạch về lý do và mục tiêu của việc sửa đổi thuế lần này. - HUMAN-TRU4]]</f>
        <v>5</v>
      </c>
      <c r="AJ77">
        <f t="shared" si="46"/>
        <v>0.44444444444444442</v>
      </c>
      <c r="AK77" s="32">
        <f t="shared" si="47"/>
        <v>0.55555555555555558</v>
      </c>
      <c r="AL77" s="32">
        <f t="shared" si="48"/>
        <v>0.44444444444444442</v>
      </c>
      <c r="AM77" s="7">
        <f t="shared" si="49"/>
        <v>0.66666666666666663</v>
      </c>
      <c r="AN77" s="7">
        <f t="shared" si="50"/>
        <v>0.44444444444444442</v>
      </c>
      <c r="AO77">
        <f>step3_validation[[#This Row],[AI_OUT1]]</f>
        <v>6</v>
      </c>
      <c r="AP77">
        <f t="shared" si="51"/>
        <v>0.55555555555555558</v>
      </c>
      <c r="AQ77">
        <f>[1]!survey_responses[[#This Row],[Sau khi xem xét các quyền lợi và nghĩa vụ, bạn có ủng hộ và tuân thủ chính sách mới hiện nay? - HUMAN-OUT1]]</f>
        <v>5</v>
      </c>
      <c r="AR77">
        <f t="shared" si="52"/>
        <v>0.44444444444444442</v>
      </c>
      <c r="AS77" s="32">
        <f t="shared" si="53"/>
        <v>1</v>
      </c>
    </row>
    <row r="78" spans="1:45" x14ac:dyDescent="0.45">
      <c r="A78">
        <f>step3_validation[[#This Row],[AI_ENF1]]</f>
        <v>8</v>
      </c>
      <c r="B78">
        <f t="shared" si="27"/>
        <v>0.77777777777777779</v>
      </c>
      <c r="C78">
        <f>[1]!survey_responses[[#This Row],[Tôi tin rằng với các quy định quản lý thuế hiện nay, hành vi gian lận hoặc trốn thuế sẽ dễ dàng bị phát hiện và xử lý nghiêm. - HUMAN-ENF1]]</f>
        <v>8</v>
      </c>
      <c r="D78">
        <f t="shared" si="28"/>
        <v>0.77777777777777779</v>
      </c>
      <c r="E78">
        <f>step3_validation[[#This Row],[AI_ENF2]]</f>
        <v>7</v>
      </c>
      <c r="F78">
        <f t="shared" si="29"/>
        <v>0.66666666666666663</v>
      </c>
      <c r="G78">
        <f>[1]!survey_responses[[#This Row],[Tôi tin rằng Nhà nước, cơ quan thuế có đủ khả năng và công nghệ để phát hiện, xử lý nghiêm các hành vi trốn thuế. - HUMAN-ENF2]]</f>
        <v>8</v>
      </c>
      <c r="H78">
        <f t="shared" si="30"/>
        <v>0.77777777777777779</v>
      </c>
      <c r="I78" s="32">
        <f t="shared" si="31"/>
        <v>0.72222222222222221</v>
      </c>
      <c r="J78" s="32">
        <f t="shared" si="32"/>
        <v>0.77777777777777779</v>
      </c>
      <c r="K78">
        <f>step3_validation[[#This Row],[AI_FAC1]]</f>
        <v>9</v>
      </c>
      <c r="L78">
        <f t="shared" si="33"/>
        <v>0.88888888888888884</v>
      </c>
      <c r="M78">
        <f>[1]!survey_responses[[#This Row],[Các thủ tục khai báo thuế VÀ/HOẶC quy trình làm việc với cơ quan thuế đơn giản, tiện lợi, nhanh chóng hơn so với trước đây. - HUMAN-FAC1]]</f>
        <v>8</v>
      </c>
      <c r="N78">
        <f t="shared" si="34"/>
        <v>0.77777777777777779</v>
      </c>
      <c r="O78">
        <f>step3_validation[[#This Row],[AI_FAC2]]</f>
        <v>8</v>
      </c>
      <c r="P78">
        <f t="shared" si="35"/>
        <v>0.77777777777777779</v>
      </c>
      <c r="Q78">
        <f>[1]!survey_responses[[#This Row],[So với trước đây, tôi thấy cách tính thuế và các bậc thuế trong phương án mới đơn giản, dễ hiểu và dễ thực hiện hơn. - HUMAN-FAC2]]</f>
        <v>8</v>
      </c>
      <c r="R78">
        <f t="shared" si="36"/>
        <v>0.77777777777777779</v>
      </c>
      <c r="S78" s="32">
        <f t="shared" si="37"/>
        <v>0.83333333333333326</v>
      </c>
      <c r="T78" s="32">
        <f t="shared" si="38"/>
        <v>0.77777777777777779</v>
      </c>
      <c r="U78">
        <f>step3_validation[[#This Row],[AI_TRU1]]</f>
        <v>7</v>
      </c>
      <c r="V78">
        <f t="shared" si="39"/>
        <v>0.66666666666666663</v>
      </c>
      <c r="W78">
        <f>[1]!survey_responses[[#This Row],[Tôi tin rằng Nhà nước, cơ quan thuế sẽ thực thi chính sách mới một cách khách quan, công tâm và đối xử bình đẳng với mọi người nộp thuế.  - HUMAN-TRU1]]</f>
        <v>9</v>
      </c>
      <c r="X78">
        <f t="shared" si="40"/>
        <v>0.88888888888888884</v>
      </c>
      <c r="Y78">
        <f>step3_validation[[#This Row],[AI_TRU2]]</f>
        <v>6</v>
      </c>
      <c r="Z78">
        <f t="shared" si="41"/>
        <v>0.55555555555555558</v>
      </c>
      <c r="AA78">
        <f>[1]!survey_responses[[#This Row],[Tôi thấy mức thuế tôi phải đóng theo phương án mới là công bằng (người thu nhập như tôi đóng mức này là hợp lý). - HUMAN-TRU2]]</f>
        <v>7</v>
      </c>
      <c r="AB78">
        <f t="shared" si="42"/>
        <v>0.66666666666666663</v>
      </c>
      <c r="AC78">
        <f>step3_validation[[#This Row],[AI_TRU3]]</f>
        <v>6</v>
      </c>
      <c r="AD78">
        <f t="shared" si="43"/>
        <v>0.55555555555555558</v>
      </c>
      <c r="AE78">
        <f>[1]!survey_responses[[#This Row],[Tôi tin tưởng số tiền thuế tôi đóng sẽ được Nhà nước sử dụng hiệu quả để cải thiện dịch vụ công (y tế, đường xá...). - HUMAN-TRU3]]</f>
        <v>9</v>
      </c>
      <c r="AF78">
        <f t="shared" si="44"/>
        <v>0.88888888888888884</v>
      </c>
      <c r="AG78">
        <f>step3_validation[[#This Row],[AI_TRU4]]</f>
        <v>7</v>
      </c>
      <c r="AH78">
        <f t="shared" si="45"/>
        <v>0.66666666666666663</v>
      </c>
      <c r="AI78">
        <f>[1]!survey_responses[[#This Row],[Tôi thấy Nhà nước đã giải thích rõ ràng, minh bạch về lý do và mục tiêu của việc sửa đổi thuế lần này. - HUMAN-TRU4]]</f>
        <v>10</v>
      </c>
      <c r="AJ78">
        <f t="shared" si="46"/>
        <v>1</v>
      </c>
      <c r="AK78" s="32">
        <f t="shared" si="47"/>
        <v>0.61111111111111116</v>
      </c>
      <c r="AL78" s="32">
        <f t="shared" si="48"/>
        <v>0.86111111111111105</v>
      </c>
      <c r="AM78" s="7">
        <f t="shared" si="49"/>
        <v>0.72222222222222221</v>
      </c>
      <c r="AN78" s="7">
        <f t="shared" si="50"/>
        <v>0.80555555555555547</v>
      </c>
      <c r="AO78">
        <f>step3_validation[[#This Row],[AI_OUT1]]</f>
        <v>8</v>
      </c>
      <c r="AP78">
        <f t="shared" si="51"/>
        <v>0.77777777777777779</v>
      </c>
      <c r="AQ78">
        <f>[1]!survey_responses[[#This Row],[Sau khi xem xét các quyền lợi và nghĩa vụ, bạn có ủng hộ và tuân thủ chính sách mới hiện nay? - HUMAN-OUT1]]</f>
        <v>8</v>
      </c>
      <c r="AR78">
        <f t="shared" si="52"/>
        <v>0.77777777777777779</v>
      </c>
      <c r="AS78" s="32">
        <f t="shared" si="53"/>
        <v>0</v>
      </c>
    </row>
    <row r="79" spans="1:45" x14ac:dyDescent="0.45">
      <c r="A79">
        <f>step3_validation[[#This Row],[AI_ENF1]]</f>
        <v>8</v>
      </c>
      <c r="B79">
        <f t="shared" si="27"/>
        <v>0.77777777777777779</v>
      </c>
      <c r="C79">
        <f>[1]!survey_responses[[#This Row],[Tôi tin rằng với các quy định quản lý thuế hiện nay, hành vi gian lận hoặc trốn thuế sẽ dễ dàng bị phát hiện và xử lý nghiêm. - HUMAN-ENF1]]</f>
        <v>8</v>
      </c>
      <c r="D79">
        <f t="shared" si="28"/>
        <v>0.77777777777777779</v>
      </c>
      <c r="E79">
        <f>step3_validation[[#This Row],[AI_ENF2]]</f>
        <v>9</v>
      </c>
      <c r="F79">
        <f t="shared" si="29"/>
        <v>0.88888888888888884</v>
      </c>
      <c r="G79">
        <f>[1]!survey_responses[[#This Row],[Tôi tin rằng Nhà nước, cơ quan thuế có đủ khả năng và công nghệ để phát hiện, xử lý nghiêm các hành vi trốn thuế. - HUMAN-ENF2]]</f>
        <v>7</v>
      </c>
      <c r="H79">
        <f t="shared" si="30"/>
        <v>0.66666666666666663</v>
      </c>
      <c r="I79" s="32">
        <f t="shared" si="31"/>
        <v>0.83333333333333326</v>
      </c>
      <c r="J79" s="32">
        <f t="shared" si="32"/>
        <v>0.72222222222222221</v>
      </c>
      <c r="K79">
        <f>step3_validation[[#This Row],[AI_FAC1]]</f>
        <v>8</v>
      </c>
      <c r="L79">
        <f t="shared" si="33"/>
        <v>0.77777777777777779</v>
      </c>
      <c r="M79">
        <f>[1]!survey_responses[[#This Row],[Các thủ tục khai báo thuế VÀ/HOẶC quy trình làm việc với cơ quan thuế đơn giản, tiện lợi, nhanh chóng hơn so với trước đây. - HUMAN-FAC1]]</f>
        <v>9</v>
      </c>
      <c r="N79">
        <f t="shared" si="34"/>
        <v>0.88888888888888884</v>
      </c>
      <c r="O79">
        <f>step3_validation[[#This Row],[AI_FAC2]]</f>
        <v>7</v>
      </c>
      <c r="P79">
        <f t="shared" si="35"/>
        <v>0.66666666666666663</v>
      </c>
      <c r="Q79">
        <f>[1]!survey_responses[[#This Row],[So với trước đây, tôi thấy cách tính thuế và các bậc thuế trong phương án mới đơn giản, dễ hiểu và dễ thực hiện hơn. - HUMAN-FAC2]]</f>
        <v>8</v>
      </c>
      <c r="R79">
        <f t="shared" si="36"/>
        <v>0.77777777777777779</v>
      </c>
      <c r="S79" s="32">
        <f t="shared" si="37"/>
        <v>0.72222222222222221</v>
      </c>
      <c r="T79" s="32">
        <f t="shared" si="38"/>
        <v>0.83333333333333326</v>
      </c>
      <c r="U79">
        <f>step3_validation[[#This Row],[AI_TRU1]]</f>
        <v>8</v>
      </c>
      <c r="V79">
        <f t="shared" si="39"/>
        <v>0.77777777777777779</v>
      </c>
      <c r="W79">
        <f>[1]!survey_responses[[#This Row],[Tôi tin rằng Nhà nước, cơ quan thuế sẽ thực thi chính sách mới một cách khách quan, công tâm và đối xử bình đẳng với mọi người nộp thuế.  - HUMAN-TRU1]]</f>
        <v>8</v>
      </c>
      <c r="X79">
        <f t="shared" si="40"/>
        <v>0.77777777777777779</v>
      </c>
      <c r="Y79">
        <f>step3_validation[[#This Row],[AI_TRU2]]</f>
        <v>7</v>
      </c>
      <c r="Z79">
        <f t="shared" si="41"/>
        <v>0.66666666666666663</v>
      </c>
      <c r="AA79">
        <f>[1]!survey_responses[[#This Row],[Tôi thấy mức thuế tôi phải đóng theo phương án mới là công bằng (người thu nhập như tôi đóng mức này là hợp lý). - HUMAN-TRU2]]</f>
        <v>8</v>
      </c>
      <c r="AB79">
        <f t="shared" si="42"/>
        <v>0.77777777777777779</v>
      </c>
      <c r="AC79">
        <f>step3_validation[[#This Row],[AI_TRU3]]</f>
        <v>8</v>
      </c>
      <c r="AD79">
        <f t="shared" si="43"/>
        <v>0.77777777777777779</v>
      </c>
      <c r="AE79">
        <f>[1]!survey_responses[[#This Row],[Tôi tin tưởng số tiền thuế tôi đóng sẽ được Nhà nước sử dụng hiệu quả để cải thiện dịch vụ công (y tế, đường xá...). - HUMAN-TRU3]]</f>
        <v>6</v>
      </c>
      <c r="AF79">
        <f t="shared" si="44"/>
        <v>0.55555555555555558</v>
      </c>
      <c r="AG79">
        <f>step3_validation[[#This Row],[AI_TRU4]]</f>
        <v>6</v>
      </c>
      <c r="AH79">
        <f t="shared" si="45"/>
        <v>0.55555555555555558</v>
      </c>
      <c r="AI79">
        <f>[1]!survey_responses[[#This Row],[Tôi thấy Nhà nước đã giải thích rõ ràng, minh bạch về lý do và mục tiêu của việc sửa đổi thuế lần này. - HUMAN-TRU4]]</f>
        <v>6</v>
      </c>
      <c r="AJ79">
        <f t="shared" si="46"/>
        <v>0.55555555555555558</v>
      </c>
      <c r="AK79" s="32">
        <f t="shared" si="47"/>
        <v>0.69444444444444442</v>
      </c>
      <c r="AL79" s="32">
        <f t="shared" si="48"/>
        <v>0.66666666666666674</v>
      </c>
      <c r="AM79" s="7">
        <f t="shared" si="49"/>
        <v>0.75</v>
      </c>
      <c r="AN79" s="7">
        <f t="shared" si="50"/>
        <v>0.74074074074074081</v>
      </c>
      <c r="AO79">
        <f>step3_validation[[#This Row],[AI_OUT1]]</f>
        <v>8</v>
      </c>
      <c r="AP79">
        <f t="shared" si="51"/>
        <v>0.77777777777777779</v>
      </c>
      <c r="AQ79">
        <f>[1]!survey_responses[[#This Row],[Sau khi xem xét các quyền lợi và nghĩa vụ, bạn có ủng hộ và tuân thủ chính sách mới hiện nay? - HUMAN-OUT1]]</f>
        <v>7</v>
      </c>
      <c r="AR79">
        <f t="shared" si="52"/>
        <v>0.66666666666666663</v>
      </c>
      <c r="AS79" s="32">
        <f t="shared" si="53"/>
        <v>1</v>
      </c>
    </row>
    <row r="80" spans="1:45" x14ac:dyDescent="0.45">
      <c r="A80">
        <f>step3_validation[[#This Row],[AI_ENF1]]</f>
        <v>8</v>
      </c>
      <c r="B80">
        <f t="shared" si="27"/>
        <v>0.77777777777777779</v>
      </c>
      <c r="C80">
        <f>[1]!survey_responses[[#This Row],[Tôi tin rằng với các quy định quản lý thuế hiện nay, hành vi gian lận hoặc trốn thuế sẽ dễ dàng bị phát hiện và xử lý nghiêm. - HUMAN-ENF1]]</f>
        <v>6</v>
      </c>
      <c r="D80">
        <f t="shared" si="28"/>
        <v>0.55555555555555558</v>
      </c>
      <c r="E80">
        <f>step3_validation[[#This Row],[AI_ENF2]]</f>
        <v>7</v>
      </c>
      <c r="F80">
        <f t="shared" si="29"/>
        <v>0.66666666666666663</v>
      </c>
      <c r="G80">
        <f>[1]!survey_responses[[#This Row],[Tôi tin rằng Nhà nước, cơ quan thuế có đủ khả năng và công nghệ để phát hiện, xử lý nghiêm các hành vi trốn thuế. - HUMAN-ENF2]]</f>
        <v>2</v>
      </c>
      <c r="H80">
        <f t="shared" si="30"/>
        <v>0.1111111111111111</v>
      </c>
      <c r="I80" s="32">
        <f t="shared" si="31"/>
        <v>0.72222222222222221</v>
      </c>
      <c r="J80" s="32">
        <f t="shared" si="32"/>
        <v>0.33333333333333337</v>
      </c>
      <c r="K80">
        <f>step3_validation[[#This Row],[AI_FAC1]]</f>
        <v>6</v>
      </c>
      <c r="L80">
        <f t="shared" si="33"/>
        <v>0.55555555555555558</v>
      </c>
      <c r="M80">
        <f>[1]!survey_responses[[#This Row],[Các thủ tục khai báo thuế VÀ/HOẶC quy trình làm việc với cơ quan thuế đơn giản, tiện lợi, nhanh chóng hơn so với trước đây. - HUMAN-FAC1]]</f>
        <v>3</v>
      </c>
      <c r="N80">
        <f t="shared" si="34"/>
        <v>0.22222222222222221</v>
      </c>
      <c r="O80">
        <f>step3_validation[[#This Row],[AI_FAC2]]</f>
        <v>7</v>
      </c>
      <c r="P80">
        <f t="shared" si="35"/>
        <v>0.66666666666666663</v>
      </c>
      <c r="Q80">
        <f>[1]!survey_responses[[#This Row],[So với trước đây, tôi thấy cách tính thuế và các bậc thuế trong phương án mới đơn giản, dễ hiểu và dễ thực hiện hơn. - HUMAN-FAC2]]</f>
        <v>2</v>
      </c>
      <c r="R80">
        <f t="shared" si="36"/>
        <v>0.1111111111111111</v>
      </c>
      <c r="S80" s="32">
        <f t="shared" si="37"/>
        <v>0.61111111111111116</v>
      </c>
      <c r="T80" s="32">
        <f t="shared" si="38"/>
        <v>0.16666666666666666</v>
      </c>
      <c r="U80">
        <f>step3_validation[[#This Row],[AI_TRU1]]</f>
        <v>8</v>
      </c>
      <c r="V80">
        <f t="shared" si="39"/>
        <v>0.77777777777777779</v>
      </c>
      <c r="W80">
        <f>[1]!survey_responses[[#This Row],[Tôi tin rằng Nhà nước, cơ quan thuế sẽ thực thi chính sách mới một cách khách quan, công tâm và đối xử bình đẳng với mọi người nộp thuế.  - HUMAN-TRU1]]</f>
        <v>3</v>
      </c>
      <c r="X80">
        <f t="shared" si="40"/>
        <v>0.22222222222222221</v>
      </c>
      <c r="Y80">
        <f>step3_validation[[#This Row],[AI_TRU2]]</f>
        <v>6</v>
      </c>
      <c r="Z80">
        <f t="shared" si="41"/>
        <v>0.55555555555555558</v>
      </c>
      <c r="AA80">
        <f>[1]!survey_responses[[#This Row],[Tôi thấy mức thuế tôi phải đóng theo phương án mới là công bằng (người thu nhập như tôi đóng mức này là hợp lý). - HUMAN-TRU2]]</f>
        <v>7</v>
      </c>
      <c r="AB80">
        <f t="shared" si="42"/>
        <v>0.66666666666666663</v>
      </c>
      <c r="AC80">
        <f>step3_validation[[#This Row],[AI_TRU3]]</f>
        <v>5</v>
      </c>
      <c r="AD80">
        <f t="shared" si="43"/>
        <v>0.44444444444444442</v>
      </c>
      <c r="AE80">
        <f>[1]!survey_responses[[#This Row],[Tôi tin tưởng số tiền thuế tôi đóng sẽ được Nhà nước sử dụng hiệu quả để cải thiện dịch vụ công (y tế, đường xá...). - HUMAN-TRU3]]</f>
        <v>5</v>
      </c>
      <c r="AF80">
        <f t="shared" si="44"/>
        <v>0.44444444444444442</v>
      </c>
      <c r="AG80">
        <f>step3_validation[[#This Row],[AI_TRU4]]</f>
        <v>6</v>
      </c>
      <c r="AH80">
        <f t="shared" si="45"/>
        <v>0.55555555555555558</v>
      </c>
      <c r="AI80">
        <f>[1]!survey_responses[[#This Row],[Tôi thấy Nhà nước đã giải thích rõ ràng, minh bạch về lý do và mục tiêu của việc sửa đổi thuế lần này. - HUMAN-TRU4]]</f>
        <v>5</v>
      </c>
      <c r="AJ80">
        <f t="shared" si="46"/>
        <v>0.44444444444444442</v>
      </c>
      <c r="AK80" s="32">
        <f t="shared" si="47"/>
        <v>0.58333333333333337</v>
      </c>
      <c r="AL80" s="32">
        <f t="shared" si="48"/>
        <v>0.44444444444444442</v>
      </c>
      <c r="AM80" s="7">
        <f t="shared" si="49"/>
        <v>0.63888888888888895</v>
      </c>
      <c r="AN80" s="7">
        <f t="shared" si="50"/>
        <v>0.31481481481481483</v>
      </c>
      <c r="AO80">
        <f>step3_validation[[#This Row],[AI_OUT1]]</f>
        <v>7</v>
      </c>
      <c r="AP80">
        <f t="shared" si="51"/>
        <v>0.66666666666666663</v>
      </c>
      <c r="AQ80">
        <f>[1]!survey_responses[[#This Row],[Sau khi xem xét các quyền lợi và nghĩa vụ, bạn có ủng hộ và tuân thủ chính sách mới hiện nay? - HUMAN-OUT1]]</f>
        <v>7</v>
      </c>
      <c r="AR80">
        <f t="shared" si="52"/>
        <v>0.66666666666666663</v>
      </c>
      <c r="AS80" s="32">
        <f t="shared" si="53"/>
        <v>0</v>
      </c>
    </row>
    <row r="81" spans="1:45" x14ac:dyDescent="0.45">
      <c r="A81">
        <f>step3_validation[[#This Row],[AI_ENF1]]</f>
        <v>7</v>
      </c>
      <c r="B81">
        <f t="shared" si="27"/>
        <v>0.66666666666666663</v>
      </c>
      <c r="C81">
        <f>[1]!survey_responses[[#This Row],[Tôi tin rằng với các quy định quản lý thuế hiện nay, hành vi gian lận hoặc trốn thuế sẽ dễ dàng bị phát hiện và xử lý nghiêm. - HUMAN-ENF1]]</f>
        <v>8</v>
      </c>
      <c r="D81">
        <f t="shared" si="28"/>
        <v>0.77777777777777779</v>
      </c>
      <c r="E81">
        <f>step3_validation[[#This Row],[AI_ENF2]]</f>
        <v>9</v>
      </c>
      <c r="F81">
        <f t="shared" si="29"/>
        <v>0.88888888888888884</v>
      </c>
      <c r="G81">
        <f>[1]!survey_responses[[#This Row],[Tôi tin rằng Nhà nước, cơ quan thuế có đủ khả năng và công nghệ để phát hiện, xử lý nghiêm các hành vi trốn thuế. - HUMAN-ENF2]]</f>
        <v>8</v>
      </c>
      <c r="H81">
        <f t="shared" si="30"/>
        <v>0.77777777777777779</v>
      </c>
      <c r="I81" s="32">
        <f t="shared" si="31"/>
        <v>0.77777777777777768</v>
      </c>
      <c r="J81" s="32">
        <f t="shared" si="32"/>
        <v>0.77777777777777779</v>
      </c>
      <c r="K81">
        <f>step3_validation[[#This Row],[AI_FAC1]]</f>
        <v>6</v>
      </c>
      <c r="L81">
        <f t="shared" si="33"/>
        <v>0.55555555555555558</v>
      </c>
      <c r="M81">
        <f>[1]!survey_responses[[#This Row],[Các thủ tục khai báo thuế VÀ/HOẶC quy trình làm việc với cơ quan thuế đơn giản, tiện lợi, nhanh chóng hơn so với trước đây. - HUMAN-FAC1]]</f>
        <v>8</v>
      </c>
      <c r="N81">
        <f t="shared" si="34"/>
        <v>0.77777777777777779</v>
      </c>
      <c r="O81">
        <f>step3_validation[[#This Row],[AI_FAC2]]</f>
        <v>8</v>
      </c>
      <c r="P81">
        <f t="shared" si="35"/>
        <v>0.77777777777777779</v>
      </c>
      <c r="Q81">
        <f>[1]!survey_responses[[#This Row],[So với trước đây, tôi thấy cách tính thuế và các bậc thuế trong phương án mới đơn giản, dễ hiểu và dễ thực hiện hơn. - HUMAN-FAC2]]</f>
        <v>8</v>
      </c>
      <c r="R81">
        <f t="shared" si="36"/>
        <v>0.77777777777777779</v>
      </c>
      <c r="S81" s="32">
        <f t="shared" si="37"/>
        <v>0.66666666666666674</v>
      </c>
      <c r="T81" s="32">
        <f t="shared" si="38"/>
        <v>0.77777777777777779</v>
      </c>
      <c r="U81">
        <f>step3_validation[[#This Row],[AI_TRU1]]</f>
        <v>7</v>
      </c>
      <c r="V81">
        <f t="shared" si="39"/>
        <v>0.66666666666666663</v>
      </c>
      <c r="W81">
        <f>[1]!survey_responses[[#This Row],[Tôi tin rằng Nhà nước, cơ quan thuế sẽ thực thi chính sách mới một cách khách quan, công tâm và đối xử bình đẳng với mọi người nộp thuế.  - HUMAN-TRU1]]</f>
        <v>8</v>
      </c>
      <c r="X81">
        <f t="shared" si="40"/>
        <v>0.77777777777777779</v>
      </c>
      <c r="Y81">
        <f>step3_validation[[#This Row],[AI_TRU2]]</f>
        <v>6</v>
      </c>
      <c r="Z81">
        <f t="shared" si="41"/>
        <v>0.55555555555555558</v>
      </c>
      <c r="AA81">
        <f>[1]!survey_responses[[#This Row],[Tôi thấy mức thuế tôi phải đóng theo phương án mới là công bằng (người thu nhập như tôi đóng mức này là hợp lý). - HUMAN-TRU2]]</f>
        <v>8</v>
      </c>
      <c r="AB81">
        <f t="shared" si="42"/>
        <v>0.77777777777777779</v>
      </c>
      <c r="AC81">
        <f>step3_validation[[#This Row],[AI_TRU3]]</f>
        <v>7</v>
      </c>
      <c r="AD81">
        <f t="shared" si="43"/>
        <v>0.66666666666666663</v>
      </c>
      <c r="AE81">
        <f>[1]!survey_responses[[#This Row],[Tôi tin tưởng số tiền thuế tôi đóng sẽ được Nhà nước sử dụng hiệu quả để cải thiện dịch vụ công (y tế, đường xá...). - HUMAN-TRU3]]</f>
        <v>8</v>
      </c>
      <c r="AF81">
        <f t="shared" si="44"/>
        <v>0.77777777777777779</v>
      </c>
      <c r="AG81">
        <f>step3_validation[[#This Row],[AI_TRU4]]</f>
        <v>8</v>
      </c>
      <c r="AH81">
        <f t="shared" si="45"/>
        <v>0.77777777777777779</v>
      </c>
      <c r="AI81">
        <f>[1]!survey_responses[[#This Row],[Tôi thấy Nhà nước đã giải thích rõ ràng, minh bạch về lý do và mục tiêu của việc sửa đổi thuế lần này. - HUMAN-TRU4]]</f>
        <v>8</v>
      </c>
      <c r="AJ81">
        <f t="shared" si="46"/>
        <v>0.77777777777777779</v>
      </c>
      <c r="AK81" s="32">
        <f t="shared" si="47"/>
        <v>0.66666666666666663</v>
      </c>
      <c r="AL81" s="32">
        <f t="shared" si="48"/>
        <v>0.77777777777777779</v>
      </c>
      <c r="AM81" s="7">
        <f t="shared" si="49"/>
        <v>0.70370370370370372</v>
      </c>
      <c r="AN81" s="7">
        <f t="shared" si="50"/>
        <v>0.77777777777777779</v>
      </c>
      <c r="AO81">
        <f>step3_validation[[#This Row],[AI_OUT1]]</f>
        <v>7</v>
      </c>
      <c r="AP81">
        <f t="shared" si="51"/>
        <v>0.66666666666666663</v>
      </c>
      <c r="AQ81">
        <f>[1]!survey_responses[[#This Row],[Sau khi xem xét các quyền lợi và nghĩa vụ, bạn có ủng hộ và tuân thủ chính sách mới hiện nay? - HUMAN-OUT1]]</f>
        <v>8</v>
      </c>
      <c r="AR81">
        <f t="shared" si="52"/>
        <v>0.77777777777777779</v>
      </c>
      <c r="AS81" s="32">
        <f t="shared" si="53"/>
        <v>1</v>
      </c>
    </row>
    <row r="82" spans="1:45" x14ac:dyDescent="0.45">
      <c r="A82">
        <f>step3_validation[[#This Row],[AI_ENF1]]</f>
        <v>8</v>
      </c>
      <c r="B82">
        <f t="shared" si="27"/>
        <v>0.77777777777777779</v>
      </c>
      <c r="C82">
        <f>[1]!survey_responses[[#This Row],[Tôi tin rằng với các quy định quản lý thuế hiện nay, hành vi gian lận hoặc trốn thuế sẽ dễ dàng bị phát hiện và xử lý nghiêm. - HUMAN-ENF1]]</f>
        <v>7</v>
      </c>
      <c r="D82">
        <f t="shared" si="28"/>
        <v>0.66666666666666663</v>
      </c>
      <c r="E82">
        <f>step3_validation[[#This Row],[AI_ENF2]]</f>
        <v>7</v>
      </c>
      <c r="F82">
        <f t="shared" si="29"/>
        <v>0.66666666666666663</v>
      </c>
      <c r="G82">
        <f>[1]!survey_responses[[#This Row],[Tôi tin rằng Nhà nước, cơ quan thuế có đủ khả năng và công nghệ để phát hiện, xử lý nghiêm các hành vi trốn thuế. - HUMAN-ENF2]]</f>
        <v>7</v>
      </c>
      <c r="H82">
        <f t="shared" si="30"/>
        <v>0.66666666666666663</v>
      </c>
      <c r="I82" s="32">
        <f t="shared" si="31"/>
        <v>0.72222222222222221</v>
      </c>
      <c r="J82" s="32">
        <f t="shared" si="32"/>
        <v>0.66666666666666663</v>
      </c>
      <c r="K82">
        <f>step3_validation[[#This Row],[AI_FAC1]]</f>
        <v>9</v>
      </c>
      <c r="L82">
        <f t="shared" si="33"/>
        <v>0.88888888888888884</v>
      </c>
      <c r="M82">
        <f>[1]!survey_responses[[#This Row],[Các thủ tục khai báo thuế VÀ/HOẶC quy trình làm việc với cơ quan thuế đơn giản, tiện lợi, nhanh chóng hơn so với trước đây. - HUMAN-FAC1]]</f>
        <v>5</v>
      </c>
      <c r="N82">
        <f t="shared" si="34"/>
        <v>0.44444444444444442</v>
      </c>
      <c r="O82">
        <f>step3_validation[[#This Row],[AI_FAC2]]</f>
        <v>8</v>
      </c>
      <c r="P82">
        <f t="shared" si="35"/>
        <v>0.77777777777777779</v>
      </c>
      <c r="Q82">
        <f>[1]!survey_responses[[#This Row],[So với trước đây, tôi thấy cách tính thuế và các bậc thuế trong phương án mới đơn giản, dễ hiểu và dễ thực hiện hơn. - HUMAN-FAC2]]</f>
        <v>5</v>
      </c>
      <c r="R82">
        <f t="shared" si="36"/>
        <v>0.44444444444444442</v>
      </c>
      <c r="S82" s="32">
        <f t="shared" si="37"/>
        <v>0.83333333333333326</v>
      </c>
      <c r="T82" s="32">
        <f t="shared" si="38"/>
        <v>0.44444444444444442</v>
      </c>
      <c r="U82">
        <f>step3_validation[[#This Row],[AI_TRU1]]</f>
        <v>9</v>
      </c>
      <c r="V82">
        <f t="shared" si="39"/>
        <v>0.88888888888888884</v>
      </c>
      <c r="W82">
        <f>[1]!survey_responses[[#This Row],[Tôi tin rằng Nhà nước, cơ quan thuế sẽ thực thi chính sách mới một cách khách quan, công tâm và đối xử bình đẳng với mọi người nộp thuế.  - HUMAN-TRU1]]</f>
        <v>6</v>
      </c>
      <c r="X82">
        <f t="shared" si="40"/>
        <v>0.55555555555555558</v>
      </c>
      <c r="Y82">
        <f>step3_validation[[#This Row],[AI_TRU2]]</f>
        <v>7</v>
      </c>
      <c r="Z82">
        <f t="shared" si="41"/>
        <v>0.66666666666666663</v>
      </c>
      <c r="AA82">
        <f>[1]!survey_responses[[#This Row],[Tôi thấy mức thuế tôi phải đóng theo phương án mới là công bằng (người thu nhập như tôi đóng mức này là hợp lý). - HUMAN-TRU2]]</f>
        <v>5</v>
      </c>
      <c r="AB82">
        <f t="shared" si="42"/>
        <v>0.44444444444444442</v>
      </c>
      <c r="AC82">
        <f>step3_validation[[#This Row],[AI_TRU3]]</f>
        <v>6</v>
      </c>
      <c r="AD82">
        <f t="shared" si="43"/>
        <v>0.55555555555555558</v>
      </c>
      <c r="AE82">
        <f>[1]!survey_responses[[#This Row],[Tôi tin tưởng số tiền thuế tôi đóng sẽ được Nhà nước sử dụng hiệu quả để cải thiện dịch vụ công (y tế, đường xá...). - HUMAN-TRU3]]</f>
        <v>8</v>
      </c>
      <c r="AF82">
        <f t="shared" si="44"/>
        <v>0.77777777777777779</v>
      </c>
      <c r="AG82">
        <f>step3_validation[[#This Row],[AI_TRU4]]</f>
        <v>5</v>
      </c>
      <c r="AH82">
        <f t="shared" si="45"/>
        <v>0.44444444444444442</v>
      </c>
      <c r="AI82">
        <f>[1]!survey_responses[[#This Row],[Tôi thấy Nhà nước đã giải thích rõ ràng, minh bạch về lý do và mục tiêu của việc sửa đổi thuế lần này. - HUMAN-TRU4]]</f>
        <v>6</v>
      </c>
      <c r="AJ82">
        <f t="shared" si="46"/>
        <v>0.55555555555555558</v>
      </c>
      <c r="AK82" s="32">
        <f t="shared" si="47"/>
        <v>0.63888888888888884</v>
      </c>
      <c r="AL82" s="32">
        <f t="shared" si="48"/>
        <v>0.58333333333333326</v>
      </c>
      <c r="AM82" s="7">
        <f t="shared" si="49"/>
        <v>0.7314814814814814</v>
      </c>
      <c r="AN82" s="7">
        <f t="shared" si="50"/>
        <v>0.56481481481481477</v>
      </c>
      <c r="AO82">
        <f>step3_validation[[#This Row],[AI_OUT1]]</f>
        <v>7</v>
      </c>
      <c r="AP82">
        <f t="shared" si="51"/>
        <v>0.66666666666666663</v>
      </c>
      <c r="AQ82">
        <f>[1]!survey_responses[[#This Row],[Sau khi xem xét các quyền lợi và nghĩa vụ, bạn có ủng hộ và tuân thủ chính sách mới hiện nay? - HUMAN-OUT1]]</f>
        <v>8</v>
      </c>
      <c r="AR82">
        <f t="shared" si="52"/>
        <v>0.77777777777777779</v>
      </c>
      <c r="AS82" s="32">
        <f t="shared" si="53"/>
        <v>1</v>
      </c>
    </row>
    <row r="83" spans="1:45" x14ac:dyDescent="0.45">
      <c r="A83">
        <f>step3_validation[[#This Row],[AI_ENF1]]</f>
        <v>7</v>
      </c>
      <c r="B83">
        <f t="shared" si="27"/>
        <v>0.66666666666666663</v>
      </c>
      <c r="C83">
        <f>[1]!survey_responses[[#This Row],[Tôi tin rằng với các quy định quản lý thuế hiện nay, hành vi gian lận hoặc trốn thuế sẽ dễ dàng bị phát hiện và xử lý nghiêm. - HUMAN-ENF1]]</f>
        <v>8</v>
      </c>
      <c r="D83">
        <f t="shared" si="28"/>
        <v>0.77777777777777779</v>
      </c>
      <c r="E83">
        <f>step3_validation[[#This Row],[AI_ENF2]]</f>
        <v>6</v>
      </c>
      <c r="F83">
        <f t="shared" si="29"/>
        <v>0.55555555555555558</v>
      </c>
      <c r="G83">
        <f>[1]!survey_responses[[#This Row],[Tôi tin rằng Nhà nước, cơ quan thuế có đủ khả năng và công nghệ để phát hiện, xử lý nghiêm các hành vi trốn thuế. - HUMAN-ENF2]]</f>
        <v>9</v>
      </c>
      <c r="H83">
        <f t="shared" si="30"/>
        <v>0.88888888888888884</v>
      </c>
      <c r="I83" s="32">
        <f t="shared" si="31"/>
        <v>0.61111111111111116</v>
      </c>
      <c r="J83" s="32">
        <f t="shared" si="32"/>
        <v>0.83333333333333326</v>
      </c>
      <c r="K83">
        <f>step3_validation[[#This Row],[AI_FAC1]]</f>
        <v>8</v>
      </c>
      <c r="L83">
        <f t="shared" si="33"/>
        <v>0.77777777777777779</v>
      </c>
      <c r="M83">
        <f>[1]!survey_responses[[#This Row],[Các thủ tục khai báo thuế VÀ/HOẶC quy trình làm việc với cơ quan thuế đơn giản, tiện lợi, nhanh chóng hơn so với trước đây. - HUMAN-FAC1]]</f>
        <v>5</v>
      </c>
      <c r="N83">
        <f t="shared" si="34"/>
        <v>0.44444444444444442</v>
      </c>
      <c r="O83">
        <f>step3_validation[[#This Row],[AI_FAC2]]</f>
        <v>9</v>
      </c>
      <c r="P83">
        <f t="shared" si="35"/>
        <v>0.88888888888888884</v>
      </c>
      <c r="Q83">
        <f>[1]!survey_responses[[#This Row],[So với trước đây, tôi thấy cách tính thuế và các bậc thuế trong phương án mới đơn giản, dễ hiểu và dễ thực hiện hơn. - HUMAN-FAC2]]</f>
        <v>5</v>
      </c>
      <c r="R83">
        <f t="shared" si="36"/>
        <v>0.44444444444444442</v>
      </c>
      <c r="S83" s="32">
        <f t="shared" si="37"/>
        <v>0.83333333333333326</v>
      </c>
      <c r="T83" s="32">
        <f t="shared" si="38"/>
        <v>0.44444444444444442</v>
      </c>
      <c r="U83">
        <f>step3_validation[[#This Row],[AI_TRU1]]</f>
        <v>6</v>
      </c>
      <c r="V83">
        <f t="shared" si="39"/>
        <v>0.55555555555555558</v>
      </c>
      <c r="W83">
        <f>[1]!survey_responses[[#This Row],[Tôi tin rằng Nhà nước, cơ quan thuế sẽ thực thi chính sách mới một cách khách quan, công tâm và đối xử bình đẳng với mọi người nộp thuế.  - HUMAN-TRU1]]</f>
        <v>5</v>
      </c>
      <c r="X83">
        <f t="shared" si="40"/>
        <v>0.44444444444444442</v>
      </c>
      <c r="Y83">
        <f>step3_validation[[#This Row],[AI_TRU2]]</f>
        <v>7</v>
      </c>
      <c r="Z83">
        <f t="shared" si="41"/>
        <v>0.66666666666666663</v>
      </c>
      <c r="AA83">
        <f>[1]!survey_responses[[#This Row],[Tôi thấy mức thuế tôi phải đóng theo phương án mới là công bằng (người thu nhập như tôi đóng mức này là hợp lý). - HUMAN-TRU2]]</f>
        <v>5</v>
      </c>
      <c r="AB83">
        <f t="shared" si="42"/>
        <v>0.44444444444444442</v>
      </c>
      <c r="AC83">
        <f>step3_validation[[#This Row],[AI_TRU3]]</f>
        <v>6</v>
      </c>
      <c r="AD83">
        <f t="shared" si="43"/>
        <v>0.55555555555555558</v>
      </c>
      <c r="AE83">
        <f>[1]!survey_responses[[#This Row],[Tôi tin tưởng số tiền thuế tôi đóng sẽ được Nhà nước sử dụng hiệu quả để cải thiện dịch vụ công (y tế, đường xá...). - HUMAN-TRU3]]</f>
        <v>1</v>
      </c>
      <c r="AF83">
        <f t="shared" si="44"/>
        <v>0</v>
      </c>
      <c r="AG83">
        <f>step3_validation[[#This Row],[AI_TRU4]]</f>
        <v>5</v>
      </c>
      <c r="AH83">
        <f t="shared" si="45"/>
        <v>0.44444444444444442</v>
      </c>
      <c r="AI83">
        <f>[1]!survey_responses[[#This Row],[Tôi thấy Nhà nước đã giải thích rõ ràng, minh bạch về lý do và mục tiêu của việc sửa đổi thuế lần này. - HUMAN-TRU4]]</f>
        <v>5</v>
      </c>
      <c r="AJ83">
        <f t="shared" si="46"/>
        <v>0.44444444444444442</v>
      </c>
      <c r="AK83" s="32">
        <f t="shared" si="47"/>
        <v>0.55555555555555558</v>
      </c>
      <c r="AL83" s="32">
        <f t="shared" si="48"/>
        <v>0.33333333333333331</v>
      </c>
      <c r="AM83" s="7">
        <f t="shared" si="49"/>
        <v>0.66666666666666663</v>
      </c>
      <c r="AN83" s="7">
        <f t="shared" si="50"/>
        <v>0.53703703703703698</v>
      </c>
      <c r="AO83">
        <f>step3_validation[[#This Row],[AI_OUT1]]</f>
        <v>6</v>
      </c>
      <c r="AP83">
        <f t="shared" si="51"/>
        <v>0.55555555555555558</v>
      </c>
      <c r="AQ83">
        <f>[1]!survey_responses[[#This Row],[Sau khi xem xét các quyền lợi và nghĩa vụ, bạn có ủng hộ và tuân thủ chính sách mới hiện nay? - HUMAN-OUT1]]</f>
        <v>5</v>
      </c>
      <c r="AR83">
        <f t="shared" si="52"/>
        <v>0.44444444444444442</v>
      </c>
      <c r="AS83" s="32">
        <f t="shared" si="53"/>
        <v>1</v>
      </c>
    </row>
    <row r="84" spans="1:45" x14ac:dyDescent="0.45">
      <c r="A84">
        <f>step3_validation[[#This Row],[AI_ENF1]]</f>
        <v>7</v>
      </c>
      <c r="B84">
        <f t="shared" si="27"/>
        <v>0.66666666666666663</v>
      </c>
      <c r="C84">
        <f>[1]!survey_responses[[#This Row],[Tôi tin rằng với các quy định quản lý thuế hiện nay, hành vi gian lận hoặc trốn thuế sẽ dễ dàng bị phát hiện và xử lý nghiêm. - HUMAN-ENF1]]</f>
        <v>10</v>
      </c>
      <c r="D84">
        <f t="shared" si="28"/>
        <v>1</v>
      </c>
      <c r="E84">
        <f>step3_validation[[#This Row],[AI_ENF2]]</f>
        <v>7</v>
      </c>
      <c r="F84">
        <f t="shared" si="29"/>
        <v>0.66666666666666663</v>
      </c>
      <c r="G84">
        <f>[1]!survey_responses[[#This Row],[Tôi tin rằng Nhà nước, cơ quan thuế có đủ khả năng và công nghệ để phát hiện, xử lý nghiêm các hành vi trốn thuế. - HUMAN-ENF2]]</f>
        <v>8</v>
      </c>
      <c r="H84">
        <f t="shared" si="30"/>
        <v>0.77777777777777779</v>
      </c>
      <c r="I84" s="32">
        <f t="shared" si="31"/>
        <v>0.66666666666666663</v>
      </c>
      <c r="J84" s="32">
        <f t="shared" si="32"/>
        <v>0.88888888888888884</v>
      </c>
      <c r="K84">
        <f>step3_validation[[#This Row],[AI_FAC1]]</f>
        <v>8</v>
      </c>
      <c r="L84">
        <f t="shared" si="33"/>
        <v>0.77777777777777779</v>
      </c>
      <c r="M84">
        <f>[1]!survey_responses[[#This Row],[Các thủ tục khai báo thuế VÀ/HOẶC quy trình làm việc với cơ quan thuế đơn giản, tiện lợi, nhanh chóng hơn so với trước đây. - HUMAN-FAC1]]</f>
        <v>8</v>
      </c>
      <c r="N84">
        <f t="shared" si="34"/>
        <v>0.77777777777777779</v>
      </c>
      <c r="O84">
        <f>step3_validation[[#This Row],[AI_FAC2]]</f>
        <v>8</v>
      </c>
      <c r="P84">
        <f t="shared" si="35"/>
        <v>0.77777777777777779</v>
      </c>
      <c r="Q84">
        <f>[1]!survey_responses[[#This Row],[So với trước đây, tôi thấy cách tính thuế và các bậc thuế trong phương án mới đơn giản, dễ hiểu và dễ thực hiện hơn. - HUMAN-FAC2]]</f>
        <v>7</v>
      </c>
      <c r="R84">
        <f t="shared" si="36"/>
        <v>0.66666666666666663</v>
      </c>
      <c r="S84" s="32">
        <f t="shared" si="37"/>
        <v>0.77777777777777779</v>
      </c>
      <c r="T84" s="32">
        <f t="shared" si="38"/>
        <v>0.72222222222222221</v>
      </c>
      <c r="U84">
        <f>step3_validation[[#This Row],[AI_TRU1]]</f>
        <v>8</v>
      </c>
      <c r="V84">
        <f t="shared" si="39"/>
        <v>0.77777777777777779</v>
      </c>
      <c r="W84">
        <f>[1]!survey_responses[[#This Row],[Tôi tin rằng Nhà nước, cơ quan thuế sẽ thực thi chính sách mới một cách khách quan, công tâm và đối xử bình đẳng với mọi người nộp thuế.  - HUMAN-TRU1]]</f>
        <v>7</v>
      </c>
      <c r="X84">
        <f t="shared" si="40"/>
        <v>0.66666666666666663</v>
      </c>
      <c r="Y84">
        <f>step3_validation[[#This Row],[AI_TRU2]]</f>
        <v>8</v>
      </c>
      <c r="Z84">
        <f t="shared" si="41"/>
        <v>0.77777777777777779</v>
      </c>
      <c r="AA84">
        <f>[1]!survey_responses[[#This Row],[Tôi thấy mức thuế tôi phải đóng theo phương án mới là công bằng (người thu nhập như tôi đóng mức này là hợp lý). - HUMAN-TRU2]]</f>
        <v>6</v>
      </c>
      <c r="AB84">
        <f t="shared" si="42"/>
        <v>0.55555555555555558</v>
      </c>
      <c r="AC84">
        <f>step3_validation[[#This Row],[AI_TRU3]]</f>
        <v>8</v>
      </c>
      <c r="AD84">
        <f t="shared" si="43"/>
        <v>0.77777777777777779</v>
      </c>
      <c r="AE84">
        <f>[1]!survey_responses[[#This Row],[Tôi tin tưởng số tiền thuế tôi đóng sẽ được Nhà nước sử dụng hiệu quả để cải thiện dịch vụ công (y tế, đường xá...). - HUMAN-TRU3]]</f>
        <v>7</v>
      </c>
      <c r="AF84">
        <f t="shared" si="44"/>
        <v>0.66666666666666663</v>
      </c>
      <c r="AG84">
        <f>step3_validation[[#This Row],[AI_TRU4]]</f>
        <v>6</v>
      </c>
      <c r="AH84">
        <f t="shared" si="45"/>
        <v>0.55555555555555558</v>
      </c>
      <c r="AI84">
        <f>[1]!survey_responses[[#This Row],[Tôi thấy Nhà nước đã giải thích rõ ràng, minh bạch về lý do và mục tiêu của việc sửa đổi thuế lần này. - HUMAN-TRU4]]</f>
        <v>6</v>
      </c>
      <c r="AJ84">
        <f t="shared" si="46"/>
        <v>0.55555555555555558</v>
      </c>
      <c r="AK84" s="32">
        <f t="shared" si="47"/>
        <v>0.72222222222222232</v>
      </c>
      <c r="AL84" s="32">
        <f t="shared" si="48"/>
        <v>0.61111111111111116</v>
      </c>
      <c r="AM84" s="7">
        <f t="shared" si="49"/>
        <v>0.72222222222222232</v>
      </c>
      <c r="AN84" s="7">
        <f t="shared" si="50"/>
        <v>0.74074074074074081</v>
      </c>
      <c r="AO84">
        <f>step3_validation[[#This Row],[AI_OUT1]]</f>
        <v>7</v>
      </c>
      <c r="AP84">
        <f t="shared" si="51"/>
        <v>0.66666666666666663</v>
      </c>
      <c r="AQ84">
        <f>[1]!survey_responses[[#This Row],[Sau khi xem xét các quyền lợi và nghĩa vụ, bạn có ủng hộ và tuân thủ chính sách mới hiện nay? - HUMAN-OUT1]]</f>
        <v>8</v>
      </c>
      <c r="AR84">
        <f t="shared" si="52"/>
        <v>0.77777777777777779</v>
      </c>
      <c r="AS84" s="32">
        <f t="shared" si="53"/>
        <v>1</v>
      </c>
    </row>
    <row r="85" spans="1:45" x14ac:dyDescent="0.45">
      <c r="A85">
        <f>step3_validation[[#This Row],[AI_ENF1]]</f>
        <v>7</v>
      </c>
      <c r="B85">
        <f t="shared" si="27"/>
        <v>0.66666666666666663</v>
      </c>
      <c r="C85">
        <f>[1]!survey_responses[[#This Row],[Tôi tin rằng với các quy định quản lý thuế hiện nay, hành vi gian lận hoặc trốn thuế sẽ dễ dàng bị phát hiện và xử lý nghiêm. - HUMAN-ENF1]]</f>
        <v>6</v>
      </c>
      <c r="D85">
        <f t="shared" si="28"/>
        <v>0.55555555555555558</v>
      </c>
      <c r="E85">
        <f>step3_validation[[#This Row],[AI_ENF2]]</f>
        <v>8</v>
      </c>
      <c r="F85">
        <f t="shared" si="29"/>
        <v>0.77777777777777779</v>
      </c>
      <c r="G85">
        <f>[1]!survey_responses[[#This Row],[Tôi tin rằng Nhà nước, cơ quan thuế có đủ khả năng và công nghệ để phát hiện, xử lý nghiêm các hành vi trốn thuế. - HUMAN-ENF2]]</f>
        <v>7</v>
      </c>
      <c r="H85">
        <f t="shared" si="30"/>
        <v>0.66666666666666663</v>
      </c>
      <c r="I85" s="32">
        <f t="shared" si="31"/>
        <v>0.72222222222222221</v>
      </c>
      <c r="J85" s="32">
        <f t="shared" si="32"/>
        <v>0.61111111111111116</v>
      </c>
      <c r="K85">
        <f>step3_validation[[#This Row],[AI_FAC1]]</f>
        <v>6</v>
      </c>
      <c r="L85">
        <f t="shared" si="33"/>
        <v>0.55555555555555558</v>
      </c>
      <c r="M85">
        <f>[1]!survey_responses[[#This Row],[Các thủ tục khai báo thuế VÀ/HOẶC quy trình làm việc với cơ quan thuế đơn giản, tiện lợi, nhanh chóng hơn so với trước đây. - HUMAN-FAC1]]</f>
        <v>5</v>
      </c>
      <c r="N85">
        <f t="shared" si="34"/>
        <v>0.44444444444444442</v>
      </c>
      <c r="O85">
        <f>step3_validation[[#This Row],[AI_FAC2]]</f>
        <v>8</v>
      </c>
      <c r="P85">
        <f t="shared" si="35"/>
        <v>0.77777777777777779</v>
      </c>
      <c r="Q85">
        <f>[1]!survey_responses[[#This Row],[So với trước đây, tôi thấy cách tính thuế và các bậc thuế trong phương án mới đơn giản, dễ hiểu và dễ thực hiện hơn. - HUMAN-FAC2]]</f>
        <v>5</v>
      </c>
      <c r="R85">
        <f t="shared" si="36"/>
        <v>0.44444444444444442</v>
      </c>
      <c r="S85" s="32">
        <f t="shared" si="37"/>
        <v>0.66666666666666674</v>
      </c>
      <c r="T85" s="32">
        <f t="shared" si="38"/>
        <v>0.44444444444444442</v>
      </c>
      <c r="U85">
        <f>step3_validation[[#This Row],[AI_TRU1]]</f>
        <v>6</v>
      </c>
      <c r="V85">
        <f t="shared" si="39"/>
        <v>0.55555555555555558</v>
      </c>
      <c r="W85">
        <f>[1]!survey_responses[[#This Row],[Tôi tin rằng Nhà nước, cơ quan thuế sẽ thực thi chính sách mới một cách khách quan, công tâm và đối xử bình đẳng với mọi người nộp thuế.  - HUMAN-TRU1]]</f>
        <v>5</v>
      </c>
      <c r="X85">
        <f t="shared" si="40"/>
        <v>0.44444444444444442</v>
      </c>
      <c r="Y85">
        <f>step3_validation[[#This Row],[AI_TRU2]]</f>
        <v>7</v>
      </c>
      <c r="Z85">
        <f t="shared" si="41"/>
        <v>0.66666666666666663</v>
      </c>
      <c r="AA85">
        <f>[1]!survey_responses[[#This Row],[Tôi thấy mức thuế tôi phải đóng theo phương án mới là công bằng (người thu nhập như tôi đóng mức này là hợp lý). - HUMAN-TRU2]]</f>
        <v>5</v>
      </c>
      <c r="AB85">
        <f t="shared" si="42"/>
        <v>0.44444444444444442</v>
      </c>
      <c r="AC85">
        <f>step3_validation[[#This Row],[AI_TRU3]]</f>
        <v>5</v>
      </c>
      <c r="AD85">
        <f t="shared" si="43"/>
        <v>0.44444444444444442</v>
      </c>
      <c r="AE85">
        <f>[1]!survey_responses[[#This Row],[Tôi tin tưởng số tiền thuế tôi đóng sẽ được Nhà nước sử dụng hiệu quả để cải thiện dịch vụ công (y tế, đường xá...). - HUMAN-TRU3]]</f>
        <v>5</v>
      </c>
      <c r="AF85">
        <f t="shared" si="44"/>
        <v>0.44444444444444442</v>
      </c>
      <c r="AG85">
        <f>step3_validation[[#This Row],[AI_TRU4]]</f>
        <v>6</v>
      </c>
      <c r="AH85">
        <f t="shared" si="45"/>
        <v>0.55555555555555558</v>
      </c>
      <c r="AI85">
        <f>[1]!survey_responses[[#This Row],[Tôi thấy Nhà nước đã giải thích rõ ràng, minh bạch về lý do và mục tiêu của việc sửa đổi thuế lần này. - HUMAN-TRU4]]</f>
        <v>5</v>
      </c>
      <c r="AJ85">
        <f t="shared" si="46"/>
        <v>0.44444444444444442</v>
      </c>
      <c r="AK85" s="32">
        <f t="shared" si="47"/>
        <v>0.55555555555555558</v>
      </c>
      <c r="AL85" s="32">
        <f t="shared" si="48"/>
        <v>0.44444444444444442</v>
      </c>
      <c r="AM85" s="7">
        <f t="shared" si="49"/>
        <v>0.64814814814814814</v>
      </c>
      <c r="AN85" s="7">
        <f t="shared" si="50"/>
        <v>0.5</v>
      </c>
      <c r="AO85">
        <f>step3_validation[[#This Row],[AI_OUT1]]</f>
        <v>5</v>
      </c>
      <c r="AP85">
        <f t="shared" si="51"/>
        <v>0.44444444444444442</v>
      </c>
      <c r="AQ85">
        <f>[1]!survey_responses[[#This Row],[Sau khi xem xét các quyền lợi và nghĩa vụ, bạn có ủng hộ và tuân thủ chính sách mới hiện nay? - HUMAN-OUT1]]</f>
        <v>5</v>
      </c>
      <c r="AR85">
        <f t="shared" si="52"/>
        <v>0.44444444444444442</v>
      </c>
      <c r="AS85" s="32">
        <f t="shared" si="53"/>
        <v>0</v>
      </c>
    </row>
    <row r="86" spans="1:45" x14ac:dyDescent="0.45">
      <c r="A86">
        <f>step3_validation[[#This Row],[AI_ENF1]]</f>
        <v>7</v>
      </c>
      <c r="B86">
        <f t="shared" si="27"/>
        <v>0.66666666666666663</v>
      </c>
      <c r="C86">
        <f>[1]!survey_responses[[#This Row],[Tôi tin rằng với các quy định quản lý thuế hiện nay, hành vi gian lận hoặc trốn thuế sẽ dễ dàng bị phát hiện và xử lý nghiêm. - HUMAN-ENF1]]</f>
        <v>9</v>
      </c>
      <c r="D86">
        <f t="shared" si="28"/>
        <v>0.88888888888888884</v>
      </c>
      <c r="E86">
        <f>step3_validation[[#This Row],[AI_ENF2]]</f>
        <v>7</v>
      </c>
      <c r="F86">
        <f t="shared" si="29"/>
        <v>0.66666666666666663</v>
      </c>
      <c r="G86">
        <f>[1]!survey_responses[[#This Row],[Tôi tin rằng Nhà nước, cơ quan thuế có đủ khả năng và công nghệ để phát hiện, xử lý nghiêm các hành vi trốn thuế. - HUMAN-ENF2]]</f>
        <v>9</v>
      </c>
      <c r="H86">
        <f t="shared" si="30"/>
        <v>0.88888888888888884</v>
      </c>
      <c r="I86" s="32">
        <f t="shared" si="31"/>
        <v>0.66666666666666663</v>
      </c>
      <c r="J86" s="32">
        <f t="shared" si="32"/>
        <v>0.88888888888888884</v>
      </c>
      <c r="K86">
        <f>step3_validation[[#This Row],[AI_FAC1]]</f>
        <v>6</v>
      </c>
      <c r="L86">
        <f t="shared" si="33"/>
        <v>0.55555555555555558</v>
      </c>
      <c r="M86">
        <f>[1]!survey_responses[[#This Row],[Các thủ tục khai báo thuế VÀ/HOẶC quy trình làm việc với cơ quan thuế đơn giản, tiện lợi, nhanh chóng hơn so với trước đây. - HUMAN-FAC1]]</f>
        <v>8</v>
      </c>
      <c r="N86">
        <f t="shared" si="34"/>
        <v>0.77777777777777779</v>
      </c>
      <c r="O86">
        <f>step3_validation[[#This Row],[AI_FAC2]]</f>
        <v>6</v>
      </c>
      <c r="P86">
        <f t="shared" si="35"/>
        <v>0.55555555555555558</v>
      </c>
      <c r="Q86">
        <f>[1]!survey_responses[[#This Row],[So với trước đây, tôi thấy cách tính thuế và các bậc thuế trong phương án mới đơn giản, dễ hiểu và dễ thực hiện hơn. - HUMAN-FAC2]]</f>
        <v>9</v>
      </c>
      <c r="R86">
        <f t="shared" si="36"/>
        <v>0.88888888888888884</v>
      </c>
      <c r="S86" s="32">
        <f t="shared" si="37"/>
        <v>0.55555555555555558</v>
      </c>
      <c r="T86" s="32">
        <f t="shared" si="38"/>
        <v>0.83333333333333326</v>
      </c>
      <c r="U86">
        <f>step3_validation[[#This Row],[AI_TRU1]]</f>
        <v>5</v>
      </c>
      <c r="V86">
        <f t="shared" si="39"/>
        <v>0.44444444444444442</v>
      </c>
      <c r="W86">
        <f>[1]!survey_responses[[#This Row],[Tôi tin rằng Nhà nước, cơ quan thuế sẽ thực thi chính sách mới một cách khách quan, công tâm và đối xử bình đẳng với mọi người nộp thuế.  - HUMAN-TRU1]]</f>
        <v>9</v>
      </c>
      <c r="X86">
        <f t="shared" si="40"/>
        <v>0.88888888888888884</v>
      </c>
      <c r="Y86">
        <f>step3_validation[[#This Row],[AI_TRU2]]</f>
        <v>5</v>
      </c>
      <c r="Z86">
        <f t="shared" si="41"/>
        <v>0.44444444444444442</v>
      </c>
      <c r="AA86">
        <f>[1]!survey_responses[[#This Row],[Tôi thấy mức thuế tôi phải đóng theo phương án mới là công bằng (người thu nhập như tôi đóng mức này là hợp lý). - HUMAN-TRU2]]</f>
        <v>9</v>
      </c>
      <c r="AB86">
        <f t="shared" si="42"/>
        <v>0.88888888888888884</v>
      </c>
      <c r="AC86">
        <f>step3_validation[[#This Row],[AI_TRU3]]</f>
        <v>4</v>
      </c>
      <c r="AD86">
        <f t="shared" si="43"/>
        <v>0.33333333333333331</v>
      </c>
      <c r="AE86">
        <f>[1]!survey_responses[[#This Row],[Tôi tin tưởng số tiền thuế tôi đóng sẽ được Nhà nước sử dụng hiệu quả để cải thiện dịch vụ công (y tế, đường xá...). - HUMAN-TRU3]]</f>
        <v>7</v>
      </c>
      <c r="AF86">
        <f t="shared" si="44"/>
        <v>0.66666666666666663</v>
      </c>
      <c r="AG86">
        <f>step3_validation[[#This Row],[AI_TRU4]]</f>
        <v>5</v>
      </c>
      <c r="AH86">
        <f t="shared" si="45"/>
        <v>0.44444444444444442</v>
      </c>
      <c r="AI86">
        <f>[1]!survey_responses[[#This Row],[Tôi thấy Nhà nước đã giải thích rõ ràng, minh bạch về lý do và mục tiêu của việc sửa đổi thuế lần này. - HUMAN-TRU4]]</f>
        <v>8</v>
      </c>
      <c r="AJ86">
        <f t="shared" si="46"/>
        <v>0.77777777777777779</v>
      </c>
      <c r="AK86" s="32">
        <f t="shared" si="47"/>
        <v>0.41666666666666663</v>
      </c>
      <c r="AL86" s="32">
        <f t="shared" si="48"/>
        <v>0.80555555555555547</v>
      </c>
      <c r="AM86" s="7">
        <f t="shared" si="49"/>
        <v>0.54629629629629628</v>
      </c>
      <c r="AN86" s="7">
        <f t="shared" si="50"/>
        <v>0.84259259259259256</v>
      </c>
      <c r="AO86">
        <f>step3_validation[[#This Row],[AI_OUT1]]</f>
        <v>4</v>
      </c>
      <c r="AP86">
        <f t="shared" si="51"/>
        <v>0.33333333333333331</v>
      </c>
      <c r="AQ86">
        <f>[1]!survey_responses[[#This Row],[Sau khi xem xét các quyền lợi và nghĩa vụ, bạn có ủng hộ và tuân thủ chính sách mới hiện nay? - HUMAN-OUT1]]</f>
        <v>8</v>
      </c>
      <c r="AR86">
        <f t="shared" si="52"/>
        <v>0.77777777777777779</v>
      </c>
      <c r="AS86" s="32">
        <f t="shared" si="53"/>
        <v>4</v>
      </c>
    </row>
    <row r="87" spans="1:45" x14ac:dyDescent="0.45">
      <c r="A87">
        <f>step3_validation[[#This Row],[AI_ENF1]]</f>
        <v>8</v>
      </c>
      <c r="B87">
        <f t="shared" si="27"/>
        <v>0.77777777777777779</v>
      </c>
      <c r="C87">
        <f>[1]!survey_responses[[#This Row],[Tôi tin rằng với các quy định quản lý thuế hiện nay, hành vi gian lận hoặc trốn thuế sẽ dễ dàng bị phát hiện và xử lý nghiêm. - HUMAN-ENF1]]</f>
        <v>5</v>
      </c>
      <c r="D87">
        <f t="shared" si="28"/>
        <v>0.44444444444444442</v>
      </c>
      <c r="E87">
        <f>step3_validation[[#This Row],[AI_ENF2]]</f>
        <v>8</v>
      </c>
      <c r="F87">
        <f t="shared" si="29"/>
        <v>0.77777777777777779</v>
      </c>
      <c r="G87">
        <f>[1]!survey_responses[[#This Row],[Tôi tin rằng Nhà nước, cơ quan thuế có đủ khả năng và công nghệ để phát hiện, xử lý nghiêm các hành vi trốn thuế. - HUMAN-ENF2]]</f>
        <v>5</v>
      </c>
      <c r="H87">
        <f t="shared" si="30"/>
        <v>0.44444444444444442</v>
      </c>
      <c r="I87" s="32">
        <f t="shared" si="31"/>
        <v>0.77777777777777779</v>
      </c>
      <c r="J87" s="32">
        <f t="shared" si="32"/>
        <v>0.44444444444444442</v>
      </c>
      <c r="K87">
        <f>step3_validation[[#This Row],[AI_FAC1]]</f>
        <v>9</v>
      </c>
      <c r="L87">
        <f t="shared" si="33"/>
        <v>0.88888888888888884</v>
      </c>
      <c r="M87">
        <f>[1]!survey_responses[[#This Row],[Các thủ tục khai báo thuế VÀ/HOẶC quy trình làm việc với cơ quan thuế đơn giản, tiện lợi, nhanh chóng hơn so với trước đây. - HUMAN-FAC1]]</f>
        <v>10</v>
      </c>
      <c r="N87">
        <f t="shared" si="34"/>
        <v>1</v>
      </c>
      <c r="O87">
        <f>step3_validation[[#This Row],[AI_FAC2]]</f>
        <v>8</v>
      </c>
      <c r="P87">
        <f t="shared" si="35"/>
        <v>0.77777777777777779</v>
      </c>
      <c r="Q87">
        <f>[1]!survey_responses[[#This Row],[So với trước đây, tôi thấy cách tính thuế và các bậc thuế trong phương án mới đơn giản, dễ hiểu và dễ thực hiện hơn. - HUMAN-FAC2]]</f>
        <v>4</v>
      </c>
      <c r="R87">
        <f t="shared" si="36"/>
        <v>0.33333333333333331</v>
      </c>
      <c r="S87" s="32">
        <f t="shared" si="37"/>
        <v>0.83333333333333326</v>
      </c>
      <c r="T87" s="32">
        <f t="shared" si="38"/>
        <v>0.66666666666666663</v>
      </c>
      <c r="U87">
        <f>step3_validation[[#This Row],[AI_TRU1]]</f>
        <v>7</v>
      </c>
      <c r="V87">
        <f t="shared" si="39"/>
        <v>0.66666666666666663</v>
      </c>
      <c r="W87">
        <f>[1]!survey_responses[[#This Row],[Tôi tin rằng Nhà nước, cơ quan thuế sẽ thực thi chính sách mới một cách khách quan, công tâm và đối xử bình đẳng với mọi người nộp thuế.  - HUMAN-TRU1]]</f>
        <v>4</v>
      </c>
      <c r="X87">
        <f t="shared" si="40"/>
        <v>0.33333333333333331</v>
      </c>
      <c r="Y87">
        <f>step3_validation[[#This Row],[AI_TRU2]]</f>
        <v>8</v>
      </c>
      <c r="Z87">
        <f t="shared" si="41"/>
        <v>0.77777777777777779</v>
      </c>
      <c r="AA87">
        <f>[1]!survey_responses[[#This Row],[Tôi thấy mức thuế tôi phải đóng theo phương án mới là công bằng (người thu nhập như tôi đóng mức này là hợp lý). - HUMAN-TRU2]]</f>
        <v>5</v>
      </c>
      <c r="AB87">
        <f t="shared" si="42"/>
        <v>0.44444444444444442</v>
      </c>
      <c r="AC87">
        <f>step3_validation[[#This Row],[AI_TRU3]]</f>
        <v>7</v>
      </c>
      <c r="AD87">
        <f t="shared" si="43"/>
        <v>0.66666666666666663</v>
      </c>
      <c r="AE87">
        <f>[1]!survey_responses[[#This Row],[Tôi tin tưởng số tiền thuế tôi đóng sẽ được Nhà nước sử dụng hiệu quả để cải thiện dịch vụ công (y tế, đường xá...). - HUMAN-TRU3]]</f>
        <v>5</v>
      </c>
      <c r="AF87">
        <f t="shared" si="44"/>
        <v>0.44444444444444442</v>
      </c>
      <c r="AG87">
        <f>step3_validation[[#This Row],[AI_TRU4]]</f>
        <v>6</v>
      </c>
      <c r="AH87">
        <f t="shared" si="45"/>
        <v>0.55555555555555558</v>
      </c>
      <c r="AI87">
        <f>[1]!survey_responses[[#This Row],[Tôi thấy Nhà nước đã giải thích rõ ràng, minh bạch về lý do và mục tiêu của việc sửa đổi thuế lần này. - HUMAN-TRU4]]</f>
        <v>8</v>
      </c>
      <c r="AJ87">
        <f t="shared" si="46"/>
        <v>0.77777777777777779</v>
      </c>
      <c r="AK87" s="32">
        <f t="shared" si="47"/>
        <v>0.66666666666666674</v>
      </c>
      <c r="AL87" s="32">
        <f t="shared" si="48"/>
        <v>0.5</v>
      </c>
      <c r="AM87" s="7">
        <f t="shared" si="49"/>
        <v>0.75925925925925919</v>
      </c>
      <c r="AN87" s="7">
        <f t="shared" si="50"/>
        <v>0.53703703703703709</v>
      </c>
      <c r="AO87">
        <f>step3_validation[[#This Row],[AI_OUT1]]</f>
        <v>7</v>
      </c>
      <c r="AP87">
        <f t="shared" si="51"/>
        <v>0.66666666666666663</v>
      </c>
      <c r="AQ87">
        <f>[1]!survey_responses[[#This Row],[Sau khi xem xét các quyền lợi và nghĩa vụ, bạn có ủng hộ và tuân thủ chính sách mới hiện nay? - HUMAN-OUT1]]</f>
        <v>8</v>
      </c>
      <c r="AR87">
        <f t="shared" si="52"/>
        <v>0.77777777777777779</v>
      </c>
      <c r="AS87" s="32">
        <f t="shared" si="53"/>
        <v>1</v>
      </c>
    </row>
    <row r="88" spans="1:45" x14ac:dyDescent="0.45">
      <c r="A88">
        <f>step3_validation[[#This Row],[AI_ENF1]]</f>
        <v>7</v>
      </c>
      <c r="B88">
        <f t="shared" si="27"/>
        <v>0.66666666666666663</v>
      </c>
      <c r="C88">
        <f>[1]!survey_responses[[#This Row],[Tôi tin rằng với các quy định quản lý thuế hiện nay, hành vi gian lận hoặc trốn thuế sẽ dễ dàng bị phát hiện và xử lý nghiêm. - HUMAN-ENF1]]</f>
        <v>10</v>
      </c>
      <c r="D88">
        <f t="shared" si="28"/>
        <v>1</v>
      </c>
      <c r="E88">
        <f>step3_validation[[#This Row],[AI_ENF2]]</f>
        <v>8</v>
      </c>
      <c r="F88">
        <f t="shared" si="29"/>
        <v>0.77777777777777779</v>
      </c>
      <c r="G88">
        <f>[1]!survey_responses[[#This Row],[Tôi tin rằng Nhà nước, cơ quan thuế có đủ khả năng và công nghệ để phát hiện, xử lý nghiêm các hành vi trốn thuế. - HUMAN-ENF2]]</f>
        <v>9</v>
      </c>
      <c r="H88">
        <f t="shared" si="30"/>
        <v>0.88888888888888884</v>
      </c>
      <c r="I88" s="32">
        <f t="shared" si="31"/>
        <v>0.72222222222222221</v>
      </c>
      <c r="J88" s="32">
        <f t="shared" si="32"/>
        <v>0.94444444444444442</v>
      </c>
      <c r="K88">
        <f>step3_validation[[#This Row],[AI_FAC1]]</f>
        <v>6</v>
      </c>
      <c r="L88">
        <f t="shared" si="33"/>
        <v>0.55555555555555558</v>
      </c>
      <c r="M88">
        <f>[1]!survey_responses[[#This Row],[Các thủ tục khai báo thuế VÀ/HOẶC quy trình làm việc với cơ quan thuế đơn giản, tiện lợi, nhanh chóng hơn so với trước đây. - HUMAN-FAC1]]</f>
        <v>9</v>
      </c>
      <c r="N88">
        <f t="shared" si="34"/>
        <v>0.88888888888888884</v>
      </c>
      <c r="O88">
        <f>step3_validation[[#This Row],[AI_FAC2]]</f>
        <v>9</v>
      </c>
      <c r="P88">
        <f t="shared" si="35"/>
        <v>0.88888888888888884</v>
      </c>
      <c r="Q88">
        <f>[1]!survey_responses[[#This Row],[So với trước đây, tôi thấy cách tính thuế và các bậc thuế trong phương án mới đơn giản, dễ hiểu và dễ thực hiện hơn. - HUMAN-FAC2]]</f>
        <v>9</v>
      </c>
      <c r="R88">
        <f t="shared" si="36"/>
        <v>0.88888888888888884</v>
      </c>
      <c r="S88" s="32">
        <f t="shared" si="37"/>
        <v>0.72222222222222221</v>
      </c>
      <c r="T88" s="32">
        <f t="shared" si="38"/>
        <v>0.88888888888888884</v>
      </c>
      <c r="U88">
        <f>step3_validation[[#This Row],[AI_TRU1]]</f>
        <v>7</v>
      </c>
      <c r="V88">
        <f t="shared" si="39"/>
        <v>0.66666666666666663</v>
      </c>
      <c r="W88">
        <f>[1]!survey_responses[[#This Row],[Tôi tin rằng Nhà nước, cơ quan thuế sẽ thực thi chính sách mới một cách khách quan, công tâm và đối xử bình đẳng với mọi người nộp thuế.  - HUMAN-TRU1]]</f>
        <v>9</v>
      </c>
      <c r="X88">
        <f t="shared" si="40"/>
        <v>0.88888888888888884</v>
      </c>
      <c r="Y88">
        <f>step3_validation[[#This Row],[AI_TRU2]]</f>
        <v>8</v>
      </c>
      <c r="Z88">
        <f t="shared" si="41"/>
        <v>0.77777777777777779</v>
      </c>
      <c r="AA88">
        <f>[1]!survey_responses[[#This Row],[Tôi thấy mức thuế tôi phải đóng theo phương án mới là công bằng (người thu nhập như tôi đóng mức này là hợp lý). - HUMAN-TRU2]]</f>
        <v>9</v>
      </c>
      <c r="AB88">
        <f t="shared" si="42"/>
        <v>0.88888888888888884</v>
      </c>
      <c r="AC88">
        <f>step3_validation[[#This Row],[AI_TRU3]]</f>
        <v>7</v>
      </c>
      <c r="AD88">
        <f t="shared" si="43"/>
        <v>0.66666666666666663</v>
      </c>
      <c r="AE88">
        <f>[1]!survey_responses[[#This Row],[Tôi tin tưởng số tiền thuế tôi đóng sẽ được Nhà nước sử dụng hiệu quả để cải thiện dịch vụ công (y tế, đường xá...). - HUMAN-TRU3]]</f>
        <v>10</v>
      </c>
      <c r="AF88">
        <f t="shared" si="44"/>
        <v>1</v>
      </c>
      <c r="AG88">
        <f>step3_validation[[#This Row],[AI_TRU4]]</f>
        <v>8</v>
      </c>
      <c r="AH88">
        <f t="shared" si="45"/>
        <v>0.77777777777777779</v>
      </c>
      <c r="AI88">
        <f>[1]!survey_responses[[#This Row],[Tôi thấy Nhà nước đã giải thích rõ ràng, minh bạch về lý do và mục tiêu của việc sửa đổi thuế lần này. - HUMAN-TRU4]]</f>
        <v>9</v>
      </c>
      <c r="AJ88">
        <f t="shared" si="46"/>
        <v>0.88888888888888884</v>
      </c>
      <c r="AK88" s="32">
        <f t="shared" si="47"/>
        <v>0.72222222222222221</v>
      </c>
      <c r="AL88" s="32">
        <f t="shared" si="48"/>
        <v>0.91666666666666663</v>
      </c>
      <c r="AM88" s="7">
        <f t="shared" si="49"/>
        <v>0.72222222222222221</v>
      </c>
      <c r="AN88" s="7">
        <f t="shared" si="50"/>
        <v>0.91666666666666663</v>
      </c>
      <c r="AO88">
        <f>step3_validation[[#This Row],[AI_OUT1]]</f>
        <v>6</v>
      </c>
      <c r="AP88">
        <f t="shared" si="51"/>
        <v>0.55555555555555558</v>
      </c>
      <c r="AQ88">
        <f>[1]!survey_responses[[#This Row],[Sau khi xem xét các quyền lợi và nghĩa vụ, bạn có ủng hộ và tuân thủ chính sách mới hiện nay? - HUMAN-OUT1]]</f>
        <v>10</v>
      </c>
      <c r="AR88">
        <f t="shared" si="52"/>
        <v>1</v>
      </c>
      <c r="AS88" s="32">
        <f t="shared" si="53"/>
        <v>4</v>
      </c>
    </row>
    <row r="89" spans="1:45" x14ac:dyDescent="0.45">
      <c r="A89">
        <f>step3_validation[[#This Row],[AI_ENF1]]</f>
        <v>7</v>
      </c>
      <c r="B89">
        <f t="shared" si="27"/>
        <v>0.66666666666666663</v>
      </c>
      <c r="C89">
        <f>[1]!survey_responses[[#This Row],[Tôi tin rằng với các quy định quản lý thuế hiện nay, hành vi gian lận hoặc trốn thuế sẽ dễ dàng bị phát hiện và xử lý nghiêm. - HUMAN-ENF1]]</f>
        <v>10</v>
      </c>
      <c r="D89">
        <f t="shared" si="28"/>
        <v>1</v>
      </c>
      <c r="E89">
        <f>step3_validation[[#This Row],[AI_ENF2]]</f>
        <v>8</v>
      </c>
      <c r="F89">
        <f t="shared" si="29"/>
        <v>0.77777777777777779</v>
      </c>
      <c r="G89">
        <f>[1]!survey_responses[[#This Row],[Tôi tin rằng Nhà nước, cơ quan thuế có đủ khả năng và công nghệ để phát hiện, xử lý nghiêm các hành vi trốn thuế. - HUMAN-ENF2]]</f>
        <v>10</v>
      </c>
      <c r="H89">
        <f t="shared" si="30"/>
        <v>1</v>
      </c>
      <c r="I89" s="32">
        <f t="shared" si="31"/>
        <v>0.72222222222222221</v>
      </c>
      <c r="J89" s="32">
        <f t="shared" si="32"/>
        <v>1</v>
      </c>
      <c r="K89">
        <f>step3_validation[[#This Row],[AI_FAC1]]</f>
        <v>6</v>
      </c>
      <c r="L89">
        <f t="shared" si="33"/>
        <v>0.55555555555555558</v>
      </c>
      <c r="M89">
        <f>[1]!survey_responses[[#This Row],[Các thủ tục khai báo thuế VÀ/HOẶC quy trình làm việc với cơ quan thuế đơn giản, tiện lợi, nhanh chóng hơn so với trước đây. - HUMAN-FAC1]]</f>
        <v>10</v>
      </c>
      <c r="N89">
        <f t="shared" si="34"/>
        <v>1</v>
      </c>
      <c r="O89">
        <f>step3_validation[[#This Row],[AI_FAC2]]</f>
        <v>9</v>
      </c>
      <c r="P89">
        <f t="shared" si="35"/>
        <v>0.88888888888888884</v>
      </c>
      <c r="Q89">
        <f>[1]!survey_responses[[#This Row],[So với trước đây, tôi thấy cách tính thuế và các bậc thuế trong phương án mới đơn giản, dễ hiểu và dễ thực hiện hơn. - HUMAN-FAC2]]</f>
        <v>10</v>
      </c>
      <c r="R89">
        <f t="shared" si="36"/>
        <v>1</v>
      </c>
      <c r="S89" s="32">
        <f t="shared" si="37"/>
        <v>0.72222222222222221</v>
      </c>
      <c r="T89" s="32">
        <f t="shared" si="38"/>
        <v>1</v>
      </c>
      <c r="U89">
        <f>step3_validation[[#This Row],[AI_TRU1]]</f>
        <v>7</v>
      </c>
      <c r="V89">
        <f t="shared" si="39"/>
        <v>0.66666666666666663</v>
      </c>
      <c r="W89">
        <f>[1]!survey_responses[[#This Row],[Tôi tin rằng Nhà nước, cơ quan thuế sẽ thực thi chính sách mới một cách khách quan, công tâm và đối xử bình đẳng với mọi người nộp thuế.  - HUMAN-TRU1]]</f>
        <v>10</v>
      </c>
      <c r="X89">
        <f t="shared" si="40"/>
        <v>1</v>
      </c>
      <c r="Y89">
        <f>step3_validation[[#This Row],[AI_TRU2]]</f>
        <v>8</v>
      </c>
      <c r="Z89">
        <f t="shared" si="41"/>
        <v>0.77777777777777779</v>
      </c>
      <c r="AA89">
        <f>[1]!survey_responses[[#This Row],[Tôi thấy mức thuế tôi phải đóng theo phương án mới là công bằng (người thu nhập như tôi đóng mức này là hợp lý). - HUMAN-TRU2]]</f>
        <v>10</v>
      </c>
      <c r="AB89">
        <f t="shared" si="42"/>
        <v>1</v>
      </c>
      <c r="AC89">
        <f>step3_validation[[#This Row],[AI_TRU3]]</f>
        <v>7</v>
      </c>
      <c r="AD89">
        <f t="shared" si="43"/>
        <v>0.66666666666666663</v>
      </c>
      <c r="AE89">
        <f>[1]!survey_responses[[#This Row],[Tôi tin tưởng số tiền thuế tôi đóng sẽ được Nhà nước sử dụng hiệu quả để cải thiện dịch vụ công (y tế, đường xá...). - HUMAN-TRU3]]</f>
        <v>10</v>
      </c>
      <c r="AF89">
        <f t="shared" si="44"/>
        <v>1</v>
      </c>
      <c r="AG89">
        <f>step3_validation[[#This Row],[AI_TRU4]]</f>
        <v>6</v>
      </c>
      <c r="AH89">
        <f t="shared" si="45"/>
        <v>0.55555555555555558</v>
      </c>
      <c r="AI89">
        <f>[1]!survey_responses[[#This Row],[Tôi thấy Nhà nước đã giải thích rõ ràng, minh bạch về lý do và mục tiêu của việc sửa đổi thuế lần này. - HUMAN-TRU4]]</f>
        <v>10</v>
      </c>
      <c r="AJ89">
        <f t="shared" si="46"/>
        <v>1</v>
      </c>
      <c r="AK89" s="32">
        <f t="shared" si="47"/>
        <v>0.66666666666666674</v>
      </c>
      <c r="AL89" s="32">
        <f t="shared" si="48"/>
        <v>1</v>
      </c>
      <c r="AM89" s="7">
        <f t="shared" si="49"/>
        <v>0.70370370370370372</v>
      </c>
      <c r="AN89" s="7">
        <f t="shared" si="50"/>
        <v>1</v>
      </c>
      <c r="AO89">
        <f>step3_validation[[#This Row],[AI_OUT1]]</f>
        <v>7</v>
      </c>
      <c r="AP89">
        <f t="shared" si="51"/>
        <v>0.66666666666666663</v>
      </c>
      <c r="AQ89">
        <f>[1]!survey_responses[[#This Row],[Sau khi xem xét các quyền lợi và nghĩa vụ, bạn có ủng hộ và tuân thủ chính sách mới hiện nay? - HUMAN-OUT1]]</f>
        <v>10</v>
      </c>
      <c r="AR89">
        <f t="shared" si="52"/>
        <v>1</v>
      </c>
      <c r="AS89" s="32">
        <f t="shared" si="53"/>
        <v>3</v>
      </c>
    </row>
    <row r="90" spans="1:45" x14ac:dyDescent="0.45">
      <c r="A90">
        <f>step3_validation[[#This Row],[AI_ENF1]]</f>
        <v>4</v>
      </c>
      <c r="B90">
        <f t="shared" si="27"/>
        <v>0.33333333333333331</v>
      </c>
      <c r="C90">
        <f>[1]!survey_responses[[#This Row],[Tôi tin rằng với các quy định quản lý thuế hiện nay, hành vi gian lận hoặc trốn thuế sẽ dễ dàng bị phát hiện và xử lý nghiêm. - HUMAN-ENF1]]</f>
        <v>10</v>
      </c>
      <c r="D90">
        <f t="shared" si="28"/>
        <v>1</v>
      </c>
      <c r="E90">
        <f>step3_validation[[#This Row],[AI_ENF2]]</f>
        <v>5</v>
      </c>
      <c r="F90">
        <f t="shared" si="29"/>
        <v>0.44444444444444442</v>
      </c>
      <c r="G90">
        <f>[1]!survey_responses[[#This Row],[Tôi tin rằng Nhà nước, cơ quan thuế có đủ khả năng và công nghệ để phát hiện, xử lý nghiêm các hành vi trốn thuế. - HUMAN-ENF2]]</f>
        <v>9</v>
      </c>
      <c r="H90">
        <f t="shared" si="30"/>
        <v>0.88888888888888884</v>
      </c>
      <c r="I90" s="32">
        <f t="shared" si="31"/>
        <v>0.38888888888888884</v>
      </c>
      <c r="J90" s="32">
        <f t="shared" si="32"/>
        <v>0.94444444444444442</v>
      </c>
      <c r="K90">
        <f>step3_validation[[#This Row],[AI_FAC1]]</f>
        <v>8</v>
      </c>
      <c r="L90">
        <f t="shared" si="33"/>
        <v>0.77777777777777779</v>
      </c>
      <c r="M90">
        <f>[1]!survey_responses[[#This Row],[Các thủ tục khai báo thuế VÀ/HOẶC quy trình làm việc với cơ quan thuế đơn giản, tiện lợi, nhanh chóng hơn so với trước đây. - HUMAN-FAC1]]</f>
        <v>9</v>
      </c>
      <c r="N90">
        <f t="shared" si="34"/>
        <v>0.88888888888888884</v>
      </c>
      <c r="O90">
        <f>step3_validation[[#This Row],[AI_FAC2]]</f>
        <v>7</v>
      </c>
      <c r="P90">
        <f t="shared" si="35"/>
        <v>0.66666666666666663</v>
      </c>
      <c r="Q90">
        <f>[1]!survey_responses[[#This Row],[So với trước đây, tôi thấy cách tính thuế và các bậc thuế trong phương án mới đơn giản, dễ hiểu và dễ thực hiện hơn. - HUMAN-FAC2]]</f>
        <v>9</v>
      </c>
      <c r="R90">
        <f t="shared" si="36"/>
        <v>0.88888888888888884</v>
      </c>
      <c r="S90" s="32">
        <f t="shared" si="37"/>
        <v>0.72222222222222221</v>
      </c>
      <c r="T90" s="32">
        <f t="shared" si="38"/>
        <v>0.88888888888888884</v>
      </c>
      <c r="U90">
        <f>step3_validation[[#This Row],[AI_TRU1]]</f>
        <v>5</v>
      </c>
      <c r="V90">
        <f t="shared" si="39"/>
        <v>0.44444444444444442</v>
      </c>
      <c r="W90">
        <f>[1]!survey_responses[[#This Row],[Tôi tin rằng Nhà nước, cơ quan thuế sẽ thực thi chính sách mới một cách khách quan, công tâm và đối xử bình đẳng với mọi người nộp thuế.  - HUMAN-TRU1]]</f>
        <v>10</v>
      </c>
      <c r="X90">
        <f t="shared" si="40"/>
        <v>1</v>
      </c>
      <c r="Y90">
        <f>step3_validation[[#This Row],[AI_TRU2]]</f>
        <v>6</v>
      </c>
      <c r="Z90">
        <f t="shared" si="41"/>
        <v>0.55555555555555558</v>
      </c>
      <c r="AA90">
        <f>[1]!survey_responses[[#This Row],[Tôi thấy mức thuế tôi phải đóng theo phương án mới là công bằng (người thu nhập như tôi đóng mức này là hợp lý). - HUMAN-TRU2]]</f>
        <v>9</v>
      </c>
      <c r="AB90">
        <f t="shared" si="42"/>
        <v>0.88888888888888884</v>
      </c>
      <c r="AC90">
        <f>step3_validation[[#This Row],[AI_TRU3]]</f>
        <v>4</v>
      </c>
      <c r="AD90">
        <f t="shared" si="43"/>
        <v>0.33333333333333331</v>
      </c>
      <c r="AE90">
        <f>[1]!survey_responses[[#This Row],[Tôi tin tưởng số tiền thuế tôi đóng sẽ được Nhà nước sử dụng hiệu quả để cải thiện dịch vụ công (y tế, đường xá...). - HUMAN-TRU3]]</f>
        <v>9</v>
      </c>
      <c r="AF90">
        <f t="shared" si="44"/>
        <v>0.88888888888888884</v>
      </c>
      <c r="AG90">
        <f>step3_validation[[#This Row],[AI_TRU4]]</f>
        <v>5</v>
      </c>
      <c r="AH90">
        <f t="shared" si="45"/>
        <v>0.44444444444444442</v>
      </c>
      <c r="AI90">
        <f>[1]!survey_responses[[#This Row],[Tôi thấy Nhà nước đã giải thích rõ ràng, minh bạch về lý do và mục tiêu của việc sửa đổi thuế lần này. - HUMAN-TRU4]]</f>
        <v>8</v>
      </c>
      <c r="AJ90">
        <f t="shared" si="46"/>
        <v>0.77777777777777779</v>
      </c>
      <c r="AK90" s="32">
        <f t="shared" si="47"/>
        <v>0.44444444444444442</v>
      </c>
      <c r="AL90" s="32">
        <f t="shared" si="48"/>
        <v>0.88888888888888884</v>
      </c>
      <c r="AM90" s="7">
        <f t="shared" si="49"/>
        <v>0.51851851851851849</v>
      </c>
      <c r="AN90" s="7">
        <f t="shared" si="50"/>
        <v>0.90740740740740744</v>
      </c>
      <c r="AO90">
        <f>step3_validation[[#This Row],[AI_OUT1]]</f>
        <v>6</v>
      </c>
      <c r="AP90">
        <f t="shared" si="51"/>
        <v>0.55555555555555558</v>
      </c>
      <c r="AQ90">
        <f>[1]!survey_responses[[#This Row],[Sau khi xem xét các quyền lợi và nghĩa vụ, bạn có ủng hộ và tuân thủ chính sách mới hiện nay? - HUMAN-OUT1]]</f>
        <v>9</v>
      </c>
      <c r="AR90">
        <f t="shared" si="52"/>
        <v>0.88888888888888884</v>
      </c>
      <c r="AS90" s="32">
        <f t="shared" si="53"/>
        <v>3</v>
      </c>
    </row>
    <row r="91" spans="1:45" x14ac:dyDescent="0.45">
      <c r="A91">
        <f>step3_validation[[#This Row],[AI_ENF1]]</f>
        <v>5</v>
      </c>
      <c r="B91">
        <f t="shared" si="27"/>
        <v>0.44444444444444442</v>
      </c>
      <c r="C91">
        <f>[1]!survey_responses[[#This Row],[Tôi tin rằng với các quy định quản lý thuế hiện nay, hành vi gian lận hoặc trốn thuế sẽ dễ dàng bị phát hiện và xử lý nghiêm. - HUMAN-ENF1]]</f>
        <v>6</v>
      </c>
      <c r="D91">
        <f t="shared" si="28"/>
        <v>0.55555555555555558</v>
      </c>
      <c r="E91">
        <f>step3_validation[[#This Row],[AI_ENF2]]</f>
        <v>6</v>
      </c>
      <c r="F91">
        <f t="shared" si="29"/>
        <v>0.55555555555555558</v>
      </c>
      <c r="G91">
        <f>[1]!survey_responses[[#This Row],[Tôi tin rằng Nhà nước, cơ quan thuế có đủ khả năng và công nghệ để phát hiện, xử lý nghiêm các hành vi trốn thuế. - HUMAN-ENF2]]</f>
        <v>10</v>
      </c>
      <c r="H91">
        <f t="shared" si="30"/>
        <v>1</v>
      </c>
      <c r="I91" s="32">
        <f t="shared" si="31"/>
        <v>0.5</v>
      </c>
      <c r="J91" s="32">
        <f t="shared" si="32"/>
        <v>0.77777777777777779</v>
      </c>
      <c r="K91">
        <f>step3_validation[[#This Row],[AI_FAC1]]</f>
        <v>7</v>
      </c>
      <c r="L91">
        <f t="shared" si="33"/>
        <v>0.66666666666666663</v>
      </c>
      <c r="M91">
        <f>[1]!survey_responses[[#This Row],[Các thủ tục khai báo thuế VÀ/HOẶC quy trình làm việc với cơ quan thuế đơn giản, tiện lợi, nhanh chóng hơn so với trước đây. - HUMAN-FAC1]]</f>
        <v>8</v>
      </c>
      <c r="N91">
        <f t="shared" si="34"/>
        <v>0.77777777777777779</v>
      </c>
      <c r="O91">
        <f>step3_validation[[#This Row],[AI_FAC2]]</f>
        <v>8</v>
      </c>
      <c r="P91">
        <f t="shared" si="35"/>
        <v>0.77777777777777779</v>
      </c>
      <c r="Q91">
        <f>[1]!survey_responses[[#This Row],[So với trước đây, tôi thấy cách tính thuế và các bậc thuế trong phương án mới đơn giản, dễ hiểu và dễ thực hiện hơn. - HUMAN-FAC2]]</f>
        <v>9</v>
      </c>
      <c r="R91">
        <f t="shared" si="36"/>
        <v>0.88888888888888884</v>
      </c>
      <c r="S91" s="32">
        <f t="shared" si="37"/>
        <v>0.72222222222222221</v>
      </c>
      <c r="T91" s="32">
        <f t="shared" si="38"/>
        <v>0.83333333333333326</v>
      </c>
      <c r="U91">
        <f>step3_validation[[#This Row],[AI_TRU1]]</f>
        <v>4</v>
      </c>
      <c r="V91">
        <f t="shared" si="39"/>
        <v>0.33333333333333331</v>
      </c>
      <c r="W91">
        <f>[1]!survey_responses[[#This Row],[Tôi tin rằng Nhà nước, cơ quan thuế sẽ thực thi chính sách mới một cách khách quan, công tâm và đối xử bình đẳng với mọi người nộp thuế.  - HUMAN-TRU1]]</f>
        <v>9</v>
      </c>
      <c r="X91">
        <f t="shared" si="40"/>
        <v>0.88888888888888884</v>
      </c>
      <c r="Y91">
        <f>step3_validation[[#This Row],[AI_TRU2]]</f>
        <v>6</v>
      </c>
      <c r="Z91">
        <f t="shared" si="41"/>
        <v>0.55555555555555558</v>
      </c>
      <c r="AA91">
        <f>[1]!survey_responses[[#This Row],[Tôi thấy mức thuế tôi phải đóng theo phương án mới là công bằng (người thu nhập như tôi đóng mức này là hợp lý). - HUMAN-TRU2]]</f>
        <v>9</v>
      </c>
      <c r="AB91">
        <f t="shared" si="42"/>
        <v>0.88888888888888884</v>
      </c>
      <c r="AC91">
        <f>step3_validation[[#This Row],[AI_TRU3]]</f>
        <v>5</v>
      </c>
      <c r="AD91">
        <f t="shared" si="43"/>
        <v>0.44444444444444442</v>
      </c>
      <c r="AE91">
        <f>[1]!survey_responses[[#This Row],[Tôi tin tưởng số tiền thuế tôi đóng sẽ được Nhà nước sử dụng hiệu quả để cải thiện dịch vụ công (y tế, đường xá...). - HUMAN-TRU3]]</f>
        <v>8</v>
      </c>
      <c r="AF91">
        <f t="shared" si="44"/>
        <v>0.77777777777777779</v>
      </c>
      <c r="AG91">
        <f>step3_validation[[#This Row],[AI_TRU4]]</f>
        <v>5</v>
      </c>
      <c r="AH91">
        <f t="shared" si="45"/>
        <v>0.44444444444444442</v>
      </c>
      <c r="AI91">
        <f>[1]!survey_responses[[#This Row],[Tôi thấy Nhà nước đã giải thích rõ ràng, minh bạch về lý do và mục tiêu của việc sửa đổi thuế lần này. - HUMAN-TRU4]]</f>
        <v>8</v>
      </c>
      <c r="AJ91">
        <f t="shared" si="46"/>
        <v>0.77777777777777779</v>
      </c>
      <c r="AK91" s="32">
        <f t="shared" si="47"/>
        <v>0.44444444444444442</v>
      </c>
      <c r="AL91" s="32">
        <f t="shared" si="48"/>
        <v>0.83333333333333326</v>
      </c>
      <c r="AM91" s="7">
        <f t="shared" si="49"/>
        <v>0.55555555555555558</v>
      </c>
      <c r="AN91" s="7">
        <f t="shared" si="50"/>
        <v>0.81481481481481488</v>
      </c>
      <c r="AO91">
        <f>step3_validation[[#This Row],[AI_OUT1]]</f>
        <v>6</v>
      </c>
      <c r="AP91">
        <f t="shared" si="51"/>
        <v>0.55555555555555558</v>
      </c>
      <c r="AQ91">
        <f>[1]!survey_responses[[#This Row],[Sau khi xem xét các quyền lợi và nghĩa vụ, bạn có ủng hộ và tuân thủ chính sách mới hiện nay? - HUMAN-OUT1]]</f>
        <v>9</v>
      </c>
      <c r="AR91">
        <f t="shared" si="52"/>
        <v>0.88888888888888884</v>
      </c>
      <c r="AS91" s="32">
        <f t="shared" si="53"/>
        <v>3</v>
      </c>
    </row>
    <row r="92" spans="1:45" x14ac:dyDescent="0.45">
      <c r="A92">
        <f>step3_validation[[#This Row],[AI_ENF1]]</f>
        <v>7</v>
      </c>
      <c r="B92">
        <f t="shared" si="27"/>
        <v>0.66666666666666663</v>
      </c>
      <c r="C92">
        <f>[1]!survey_responses[[#This Row],[Tôi tin rằng với các quy định quản lý thuế hiện nay, hành vi gian lận hoặc trốn thuế sẽ dễ dàng bị phát hiện và xử lý nghiêm. - HUMAN-ENF1]]</f>
        <v>10</v>
      </c>
      <c r="D92">
        <f t="shared" si="28"/>
        <v>1</v>
      </c>
      <c r="E92">
        <f>step3_validation[[#This Row],[AI_ENF2]]</f>
        <v>6</v>
      </c>
      <c r="F92">
        <f t="shared" si="29"/>
        <v>0.55555555555555558</v>
      </c>
      <c r="G92">
        <f>[1]!survey_responses[[#This Row],[Tôi tin rằng Nhà nước, cơ quan thuế có đủ khả năng và công nghệ để phát hiện, xử lý nghiêm các hành vi trốn thuế. - HUMAN-ENF2]]</f>
        <v>9</v>
      </c>
      <c r="H92">
        <f t="shared" si="30"/>
        <v>0.88888888888888884</v>
      </c>
      <c r="I92" s="32">
        <f t="shared" si="31"/>
        <v>0.61111111111111116</v>
      </c>
      <c r="J92" s="32">
        <f t="shared" si="32"/>
        <v>0.94444444444444442</v>
      </c>
      <c r="K92">
        <f>step3_validation[[#This Row],[AI_FAC1]]</f>
        <v>8</v>
      </c>
      <c r="L92">
        <f t="shared" si="33"/>
        <v>0.77777777777777779</v>
      </c>
      <c r="M92">
        <f>[1]!survey_responses[[#This Row],[Các thủ tục khai báo thuế VÀ/HOẶC quy trình làm việc với cơ quan thuế đơn giản, tiện lợi, nhanh chóng hơn so với trước đây. - HUMAN-FAC1]]</f>
        <v>9</v>
      </c>
      <c r="N92">
        <f t="shared" si="34"/>
        <v>0.88888888888888884</v>
      </c>
      <c r="O92">
        <f>step3_validation[[#This Row],[AI_FAC2]]</f>
        <v>9</v>
      </c>
      <c r="P92">
        <f t="shared" si="35"/>
        <v>0.88888888888888884</v>
      </c>
      <c r="Q92">
        <f>[1]!survey_responses[[#This Row],[So với trước đây, tôi thấy cách tính thuế và các bậc thuế trong phương án mới đơn giản, dễ hiểu và dễ thực hiện hơn. - HUMAN-FAC2]]</f>
        <v>9</v>
      </c>
      <c r="R92">
        <f t="shared" si="36"/>
        <v>0.88888888888888884</v>
      </c>
      <c r="S92" s="32">
        <f t="shared" si="37"/>
        <v>0.83333333333333326</v>
      </c>
      <c r="T92" s="32">
        <f t="shared" si="38"/>
        <v>0.88888888888888884</v>
      </c>
      <c r="U92">
        <f>step3_validation[[#This Row],[AI_TRU1]]</f>
        <v>8</v>
      </c>
      <c r="V92">
        <f t="shared" si="39"/>
        <v>0.77777777777777779</v>
      </c>
      <c r="W92">
        <f>[1]!survey_responses[[#This Row],[Tôi tin rằng Nhà nước, cơ quan thuế sẽ thực thi chính sách mới một cách khách quan, công tâm và đối xử bình đẳng với mọi người nộp thuế.  - HUMAN-TRU1]]</f>
        <v>10</v>
      </c>
      <c r="X92">
        <f t="shared" si="40"/>
        <v>1</v>
      </c>
      <c r="Y92">
        <f>step3_validation[[#This Row],[AI_TRU2]]</f>
        <v>7</v>
      </c>
      <c r="Z92">
        <f t="shared" si="41"/>
        <v>0.66666666666666663</v>
      </c>
      <c r="AA92">
        <f>[1]!survey_responses[[#This Row],[Tôi thấy mức thuế tôi phải đóng theo phương án mới là công bằng (người thu nhập như tôi đóng mức này là hợp lý). - HUMAN-TRU2]]</f>
        <v>9</v>
      </c>
      <c r="AB92">
        <f t="shared" si="42"/>
        <v>0.88888888888888884</v>
      </c>
      <c r="AC92">
        <f>step3_validation[[#This Row],[AI_TRU3]]</f>
        <v>6</v>
      </c>
      <c r="AD92">
        <f t="shared" si="43"/>
        <v>0.55555555555555558</v>
      </c>
      <c r="AE92">
        <f>[1]!survey_responses[[#This Row],[Tôi tin tưởng số tiền thuế tôi đóng sẽ được Nhà nước sử dụng hiệu quả để cải thiện dịch vụ công (y tế, đường xá...). - HUMAN-TRU3]]</f>
        <v>8</v>
      </c>
      <c r="AF92">
        <f t="shared" si="44"/>
        <v>0.77777777777777779</v>
      </c>
      <c r="AG92">
        <f>step3_validation[[#This Row],[AI_TRU4]]</f>
        <v>7</v>
      </c>
      <c r="AH92">
        <f t="shared" si="45"/>
        <v>0.66666666666666663</v>
      </c>
      <c r="AI92">
        <f>[1]!survey_responses[[#This Row],[Tôi thấy Nhà nước đã giải thích rõ ràng, minh bạch về lý do và mục tiêu của việc sửa đổi thuế lần này. - HUMAN-TRU4]]</f>
        <v>8</v>
      </c>
      <c r="AJ92">
        <f t="shared" si="46"/>
        <v>0.77777777777777779</v>
      </c>
      <c r="AK92" s="32">
        <f t="shared" si="47"/>
        <v>0.66666666666666663</v>
      </c>
      <c r="AL92" s="32">
        <f t="shared" si="48"/>
        <v>0.86111111111111105</v>
      </c>
      <c r="AM92" s="7">
        <f t="shared" si="49"/>
        <v>0.70370370370370372</v>
      </c>
      <c r="AN92" s="7">
        <f t="shared" si="50"/>
        <v>0.89814814814814803</v>
      </c>
      <c r="AO92">
        <f>step3_validation[[#This Row],[AI_OUT1]]</f>
        <v>8</v>
      </c>
      <c r="AP92">
        <f t="shared" si="51"/>
        <v>0.77777777777777779</v>
      </c>
      <c r="AQ92">
        <f>[1]!survey_responses[[#This Row],[Sau khi xem xét các quyền lợi và nghĩa vụ, bạn có ủng hộ và tuân thủ chính sách mới hiện nay? - HUMAN-OUT1]]</f>
        <v>10</v>
      </c>
      <c r="AR92">
        <f t="shared" si="52"/>
        <v>1</v>
      </c>
      <c r="AS92" s="32">
        <f t="shared" si="53"/>
        <v>2</v>
      </c>
    </row>
    <row r="93" spans="1:45" x14ac:dyDescent="0.45">
      <c r="A93">
        <f>step3_validation[[#This Row],[AI_ENF1]]</f>
        <v>7</v>
      </c>
      <c r="B93">
        <f t="shared" si="27"/>
        <v>0.66666666666666663</v>
      </c>
      <c r="C93">
        <f>[1]!survey_responses[[#This Row],[Tôi tin rằng với các quy định quản lý thuế hiện nay, hành vi gian lận hoặc trốn thuế sẽ dễ dàng bị phát hiện và xử lý nghiêm. - HUMAN-ENF1]]</f>
        <v>10</v>
      </c>
      <c r="D93">
        <f t="shared" si="28"/>
        <v>1</v>
      </c>
      <c r="E93">
        <f>step3_validation[[#This Row],[AI_ENF2]]</f>
        <v>6</v>
      </c>
      <c r="F93">
        <f t="shared" si="29"/>
        <v>0.55555555555555558</v>
      </c>
      <c r="G93">
        <f>[1]!survey_responses[[#This Row],[Tôi tin rằng Nhà nước, cơ quan thuế có đủ khả năng và công nghệ để phát hiện, xử lý nghiêm các hành vi trốn thuế. - HUMAN-ENF2]]</f>
        <v>10</v>
      </c>
      <c r="H93">
        <f t="shared" si="30"/>
        <v>1</v>
      </c>
      <c r="I93" s="32">
        <f t="shared" si="31"/>
        <v>0.61111111111111116</v>
      </c>
      <c r="J93" s="32">
        <f t="shared" si="32"/>
        <v>1</v>
      </c>
      <c r="K93">
        <f>step3_validation[[#This Row],[AI_FAC1]]</f>
        <v>5</v>
      </c>
      <c r="L93">
        <f t="shared" si="33"/>
        <v>0.44444444444444442</v>
      </c>
      <c r="M93">
        <f>[1]!survey_responses[[#This Row],[Các thủ tục khai báo thuế VÀ/HOẶC quy trình làm việc với cơ quan thuế đơn giản, tiện lợi, nhanh chóng hơn so với trước đây. - HUMAN-FAC1]]</f>
        <v>10</v>
      </c>
      <c r="N93">
        <f t="shared" si="34"/>
        <v>1</v>
      </c>
      <c r="O93">
        <f>step3_validation[[#This Row],[AI_FAC2]]</f>
        <v>4</v>
      </c>
      <c r="P93">
        <f t="shared" si="35"/>
        <v>0.33333333333333331</v>
      </c>
      <c r="Q93">
        <f>[1]!survey_responses[[#This Row],[So với trước đây, tôi thấy cách tính thuế và các bậc thuế trong phương án mới đơn giản, dễ hiểu và dễ thực hiện hơn. - HUMAN-FAC2]]</f>
        <v>10</v>
      </c>
      <c r="R93">
        <f t="shared" si="36"/>
        <v>1</v>
      </c>
      <c r="S93" s="32">
        <f t="shared" si="37"/>
        <v>0.38888888888888884</v>
      </c>
      <c r="T93" s="32">
        <f t="shared" si="38"/>
        <v>1</v>
      </c>
      <c r="U93">
        <f>step3_validation[[#This Row],[AI_TRU1]]</f>
        <v>3</v>
      </c>
      <c r="V93">
        <f t="shared" si="39"/>
        <v>0.22222222222222221</v>
      </c>
      <c r="W93">
        <f>[1]!survey_responses[[#This Row],[Tôi tin rằng Nhà nước, cơ quan thuế sẽ thực thi chính sách mới một cách khách quan, công tâm và đối xử bình đẳng với mọi người nộp thuế.  - HUMAN-TRU1]]</f>
        <v>10</v>
      </c>
      <c r="X93">
        <f t="shared" si="40"/>
        <v>1</v>
      </c>
      <c r="Y93">
        <f>step3_validation[[#This Row],[AI_TRU2]]</f>
        <v>5</v>
      </c>
      <c r="Z93">
        <f t="shared" si="41"/>
        <v>0.44444444444444442</v>
      </c>
      <c r="AA93">
        <f>[1]!survey_responses[[#This Row],[Tôi thấy mức thuế tôi phải đóng theo phương án mới là công bằng (người thu nhập như tôi đóng mức này là hợp lý). - HUMAN-TRU2]]</f>
        <v>1</v>
      </c>
      <c r="AB93">
        <f t="shared" si="42"/>
        <v>0</v>
      </c>
      <c r="AC93">
        <f>step3_validation[[#This Row],[AI_TRU3]]</f>
        <v>4</v>
      </c>
      <c r="AD93">
        <f t="shared" si="43"/>
        <v>0.33333333333333331</v>
      </c>
      <c r="AE93">
        <f>[1]!survey_responses[[#This Row],[Tôi tin tưởng số tiền thuế tôi đóng sẽ được Nhà nước sử dụng hiệu quả để cải thiện dịch vụ công (y tế, đường xá...). - HUMAN-TRU3]]</f>
        <v>10</v>
      </c>
      <c r="AF93">
        <f t="shared" si="44"/>
        <v>1</v>
      </c>
      <c r="AG93">
        <f>step3_validation[[#This Row],[AI_TRU4]]</f>
        <v>2</v>
      </c>
      <c r="AH93">
        <f t="shared" si="45"/>
        <v>0.1111111111111111</v>
      </c>
      <c r="AI93">
        <f>[1]!survey_responses[[#This Row],[Tôi thấy Nhà nước đã giải thích rõ ràng, minh bạch về lý do và mục tiêu của việc sửa đổi thuế lần này. - HUMAN-TRU4]]</f>
        <v>10</v>
      </c>
      <c r="AJ93">
        <f t="shared" si="46"/>
        <v>1</v>
      </c>
      <c r="AK93" s="32">
        <f t="shared" si="47"/>
        <v>0.27777777777777779</v>
      </c>
      <c r="AL93" s="32">
        <f t="shared" si="48"/>
        <v>0.75</v>
      </c>
      <c r="AM93" s="7">
        <f t="shared" si="49"/>
        <v>0.42592592592592587</v>
      </c>
      <c r="AN93" s="7">
        <f t="shared" si="50"/>
        <v>0.91666666666666663</v>
      </c>
      <c r="AO93">
        <f>step3_validation[[#This Row],[AI_OUT1]]</f>
        <v>3</v>
      </c>
      <c r="AP93">
        <f t="shared" si="51"/>
        <v>0.22222222222222221</v>
      </c>
      <c r="AQ93">
        <f>[1]!survey_responses[[#This Row],[Sau khi xem xét các quyền lợi và nghĩa vụ, bạn có ủng hộ và tuân thủ chính sách mới hiện nay? - HUMAN-OUT1]]</f>
        <v>10</v>
      </c>
      <c r="AR93">
        <f t="shared" si="52"/>
        <v>1</v>
      </c>
      <c r="AS93" s="32">
        <f t="shared" si="53"/>
        <v>7</v>
      </c>
    </row>
    <row r="94" spans="1:45" x14ac:dyDescent="0.45">
      <c r="A94">
        <f>step3_validation[[#This Row],[AI_ENF1]]</f>
        <v>6</v>
      </c>
      <c r="B94">
        <f t="shared" si="27"/>
        <v>0.55555555555555558</v>
      </c>
      <c r="C94">
        <f>[1]!survey_responses[[#This Row],[Tôi tin rằng với các quy định quản lý thuế hiện nay, hành vi gian lận hoặc trốn thuế sẽ dễ dàng bị phát hiện và xử lý nghiêm. - HUMAN-ENF1]]</f>
        <v>5</v>
      </c>
      <c r="D94">
        <f t="shared" si="28"/>
        <v>0.44444444444444442</v>
      </c>
      <c r="E94">
        <f>step3_validation[[#This Row],[AI_ENF2]]</f>
        <v>5</v>
      </c>
      <c r="F94">
        <f t="shared" si="29"/>
        <v>0.44444444444444442</v>
      </c>
      <c r="G94">
        <f>[1]!survey_responses[[#This Row],[Tôi tin rằng Nhà nước, cơ quan thuế có đủ khả năng và công nghệ để phát hiện, xử lý nghiêm các hành vi trốn thuế. - HUMAN-ENF2]]</f>
        <v>8</v>
      </c>
      <c r="H94">
        <f t="shared" si="30"/>
        <v>0.77777777777777779</v>
      </c>
      <c r="I94" s="32">
        <f t="shared" si="31"/>
        <v>0.5</v>
      </c>
      <c r="J94" s="32">
        <f t="shared" si="32"/>
        <v>0.61111111111111116</v>
      </c>
      <c r="K94">
        <f>step3_validation[[#This Row],[AI_FAC1]]</f>
        <v>7</v>
      </c>
      <c r="L94">
        <f t="shared" si="33"/>
        <v>0.66666666666666663</v>
      </c>
      <c r="M94">
        <f>[1]!survey_responses[[#This Row],[Các thủ tục khai báo thuế VÀ/HOẶC quy trình làm việc với cơ quan thuế đơn giản, tiện lợi, nhanh chóng hơn so với trước đây. - HUMAN-FAC1]]</f>
        <v>4</v>
      </c>
      <c r="N94">
        <f t="shared" si="34"/>
        <v>0.33333333333333331</v>
      </c>
      <c r="O94">
        <f>step3_validation[[#This Row],[AI_FAC2]]</f>
        <v>6</v>
      </c>
      <c r="P94">
        <f t="shared" si="35"/>
        <v>0.55555555555555558</v>
      </c>
      <c r="Q94">
        <f>[1]!survey_responses[[#This Row],[So với trước đây, tôi thấy cách tính thuế và các bậc thuế trong phương án mới đơn giản, dễ hiểu và dễ thực hiện hơn. - HUMAN-FAC2]]</f>
        <v>9</v>
      </c>
      <c r="R94">
        <f t="shared" si="36"/>
        <v>0.88888888888888884</v>
      </c>
      <c r="S94" s="32">
        <f t="shared" si="37"/>
        <v>0.61111111111111116</v>
      </c>
      <c r="T94" s="32">
        <f t="shared" si="38"/>
        <v>0.61111111111111105</v>
      </c>
      <c r="U94">
        <f>step3_validation[[#This Row],[AI_TRU1]]</f>
        <v>8</v>
      </c>
      <c r="V94">
        <f t="shared" si="39"/>
        <v>0.77777777777777779</v>
      </c>
      <c r="W94">
        <f>[1]!survey_responses[[#This Row],[Tôi tin rằng Nhà nước, cơ quan thuế sẽ thực thi chính sách mới một cách khách quan, công tâm và đối xử bình đẳng với mọi người nộp thuế.  - HUMAN-TRU1]]</f>
        <v>7</v>
      </c>
      <c r="X94">
        <f t="shared" si="40"/>
        <v>0.66666666666666663</v>
      </c>
      <c r="Y94">
        <f>step3_validation[[#This Row],[AI_TRU2]]</f>
        <v>5</v>
      </c>
      <c r="Z94">
        <f t="shared" si="41"/>
        <v>0.44444444444444442</v>
      </c>
      <c r="AA94">
        <f>[1]!survey_responses[[#This Row],[Tôi thấy mức thuế tôi phải đóng theo phương án mới là công bằng (người thu nhập như tôi đóng mức này là hợp lý). - HUMAN-TRU2]]</f>
        <v>5</v>
      </c>
      <c r="AB94">
        <f t="shared" si="42"/>
        <v>0.44444444444444442</v>
      </c>
      <c r="AC94">
        <f>step3_validation[[#This Row],[AI_TRU3]]</f>
        <v>8</v>
      </c>
      <c r="AD94">
        <f t="shared" si="43"/>
        <v>0.77777777777777779</v>
      </c>
      <c r="AE94">
        <f>[1]!survey_responses[[#This Row],[Tôi tin tưởng số tiền thuế tôi đóng sẽ được Nhà nước sử dụng hiệu quả để cải thiện dịch vụ công (y tế, đường xá...). - HUMAN-TRU3]]</f>
        <v>7</v>
      </c>
      <c r="AF94">
        <f t="shared" si="44"/>
        <v>0.66666666666666663</v>
      </c>
      <c r="AG94">
        <f>step3_validation[[#This Row],[AI_TRU4]]</f>
        <v>7</v>
      </c>
      <c r="AH94">
        <f t="shared" si="45"/>
        <v>0.66666666666666663</v>
      </c>
      <c r="AI94">
        <f>[1]!survey_responses[[#This Row],[Tôi thấy Nhà nước đã giải thích rõ ràng, minh bạch về lý do và mục tiêu của việc sửa đổi thuế lần này. - HUMAN-TRU4]]</f>
        <v>8</v>
      </c>
      <c r="AJ94">
        <f t="shared" si="46"/>
        <v>0.77777777777777779</v>
      </c>
      <c r="AK94" s="32">
        <f t="shared" si="47"/>
        <v>0.66666666666666663</v>
      </c>
      <c r="AL94" s="32">
        <f t="shared" si="48"/>
        <v>0.63888888888888884</v>
      </c>
      <c r="AM94" s="7">
        <f t="shared" si="49"/>
        <v>0.59259259259259256</v>
      </c>
      <c r="AN94" s="7">
        <f t="shared" si="50"/>
        <v>0.62037037037037035</v>
      </c>
      <c r="AO94">
        <f>step3_validation[[#This Row],[AI_OUT1]]</f>
        <v>7</v>
      </c>
      <c r="AP94">
        <f t="shared" si="51"/>
        <v>0.66666666666666663</v>
      </c>
      <c r="AQ94">
        <f>[1]!survey_responses[[#This Row],[Sau khi xem xét các quyền lợi và nghĩa vụ, bạn có ủng hộ và tuân thủ chính sách mới hiện nay? - HUMAN-OUT1]]</f>
        <v>10</v>
      </c>
      <c r="AR94">
        <f t="shared" si="52"/>
        <v>1</v>
      </c>
      <c r="AS94" s="32">
        <f t="shared" si="53"/>
        <v>3</v>
      </c>
    </row>
    <row r="95" spans="1:45" x14ac:dyDescent="0.45">
      <c r="A95">
        <f>step3_validation[[#This Row],[AI_ENF1]]</f>
        <v>7</v>
      </c>
      <c r="B95">
        <f t="shared" si="27"/>
        <v>0.66666666666666663</v>
      </c>
      <c r="C95">
        <f>[1]!survey_responses[[#This Row],[Tôi tin rằng với các quy định quản lý thuế hiện nay, hành vi gian lận hoặc trốn thuế sẽ dễ dàng bị phát hiện và xử lý nghiêm. - HUMAN-ENF1]]</f>
        <v>9</v>
      </c>
      <c r="D95">
        <f t="shared" si="28"/>
        <v>0.88888888888888884</v>
      </c>
      <c r="E95">
        <f>step3_validation[[#This Row],[AI_ENF2]]</f>
        <v>8</v>
      </c>
      <c r="F95">
        <f t="shared" si="29"/>
        <v>0.77777777777777779</v>
      </c>
      <c r="G95">
        <f>[1]!survey_responses[[#This Row],[Tôi tin rằng Nhà nước, cơ quan thuế có đủ khả năng và công nghệ để phát hiện, xử lý nghiêm các hành vi trốn thuế. - HUMAN-ENF2]]</f>
        <v>7</v>
      </c>
      <c r="H95">
        <f t="shared" si="30"/>
        <v>0.66666666666666663</v>
      </c>
      <c r="I95" s="32">
        <f t="shared" si="31"/>
        <v>0.72222222222222221</v>
      </c>
      <c r="J95" s="32">
        <f t="shared" si="32"/>
        <v>0.77777777777777768</v>
      </c>
      <c r="K95">
        <f>step3_validation[[#This Row],[AI_FAC1]]</f>
        <v>9</v>
      </c>
      <c r="L95">
        <f t="shared" si="33"/>
        <v>0.88888888888888884</v>
      </c>
      <c r="M95">
        <f>[1]!survey_responses[[#This Row],[Các thủ tục khai báo thuế VÀ/HOẶC quy trình làm việc với cơ quan thuế đơn giản, tiện lợi, nhanh chóng hơn so với trước đây. - HUMAN-FAC1]]</f>
        <v>5</v>
      </c>
      <c r="N95">
        <f t="shared" si="34"/>
        <v>0.44444444444444442</v>
      </c>
      <c r="O95">
        <f>step3_validation[[#This Row],[AI_FAC2]]</f>
        <v>8</v>
      </c>
      <c r="P95">
        <f t="shared" si="35"/>
        <v>0.77777777777777779</v>
      </c>
      <c r="Q95">
        <f>[1]!survey_responses[[#This Row],[So với trước đây, tôi thấy cách tính thuế và các bậc thuế trong phương án mới đơn giản, dễ hiểu và dễ thực hiện hơn. - HUMAN-FAC2]]</f>
        <v>7</v>
      </c>
      <c r="R95">
        <f t="shared" si="36"/>
        <v>0.66666666666666663</v>
      </c>
      <c r="S95" s="32">
        <f t="shared" si="37"/>
        <v>0.83333333333333326</v>
      </c>
      <c r="T95" s="32">
        <f t="shared" si="38"/>
        <v>0.55555555555555558</v>
      </c>
      <c r="U95">
        <f>step3_validation[[#This Row],[AI_TRU1]]</f>
        <v>7</v>
      </c>
      <c r="V95">
        <f t="shared" si="39"/>
        <v>0.66666666666666663</v>
      </c>
      <c r="W95">
        <f>[1]!survey_responses[[#This Row],[Tôi tin rằng Nhà nước, cơ quan thuế sẽ thực thi chính sách mới một cách khách quan, công tâm và đối xử bình đẳng với mọi người nộp thuế.  - HUMAN-TRU1]]</f>
        <v>5</v>
      </c>
      <c r="X95">
        <f t="shared" si="40"/>
        <v>0.44444444444444442</v>
      </c>
      <c r="Y95">
        <f>step3_validation[[#This Row],[AI_TRU2]]</f>
        <v>6</v>
      </c>
      <c r="Z95">
        <f t="shared" si="41"/>
        <v>0.55555555555555558</v>
      </c>
      <c r="AA95">
        <f>[1]!survey_responses[[#This Row],[Tôi thấy mức thuế tôi phải đóng theo phương án mới là công bằng (người thu nhập như tôi đóng mức này là hợp lý). - HUMAN-TRU2]]</f>
        <v>8</v>
      </c>
      <c r="AB95">
        <f t="shared" si="42"/>
        <v>0.77777777777777779</v>
      </c>
      <c r="AC95">
        <f>step3_validation[[#This Row],[AI_TRU3]]</f>
        <v>6</v>
      </c>
      <c r="AD95">
        <f t="shared" si="43"/>
        <v>0.55555555555555558</v>
      </c>
      <c r="AE95">
        <f>[1]!survey_responses[[#This Row],[Tôi tin tưởng số tiền thuế tôi đóng sẽ được Nhà nước sử dụng hiệu quả để cải thiện dịch vụ công (y tế, đường xá...). - HUMAN-TRU3]]</f>
        <v>5</v>
      </c>
      <c r="AF95">
        <f t="shared" si="44"/>
        <v>0.44444444444444442</v>
      </c>
      <c r="AG95">
        <f>step3_validation[[#This Row],[AI_TRU4]]</f>
        <v>5</v>
      </c>
      <c r="AH95">
        <f t="shared" si="45"/>
        <v>0.44444444444444442</v>
      </c>
      <c r="AI95">
        <f>[1]!survey_responses[[#This Row],[Tôi thấy Nhà nước đã giải thích rõ ràng, minh bạch về lý do và mục tiêu của việc sửa đổi thuế lần này. - HUMAN-TRU4]]</f>
        <v>5</v>
      </c>
      <c r="AJ95">
        <f t="shared" si="46"/>
        <v>0.44444444444444442</v>
      </c>
      <c r="AK95" s="32">
        <f t="shared" si="47"/>
        <v>0.55555555555555558</v>
      </c>
      <c r="AL95" s="32">
        <f t="shared" si="48"/>
        <v>0.52777777777777779</v>
      </c>
      <c r="AM95" s="7">
        <f t="shared" si="49"/>
        <v>0.70370370370370361</v>
      </c>
      <c r="AN95" s="7">
        <f t="shared" si="50"/>
        <v>0.62037037037037035</v>
      </c>
      <c r="AO95">
        <f>step3_validation[[#This Row],[AI_OUT1]]</f>
        <v>7</v>
      </c>
      <c r="AP95">
        <f t="shared" si="51"/>
        <v>0.66666666666666663</v>
      </c>
      <c r="AQ95">
        <f>[1]!survey_responses[[#This Row],[Sau khi xem xét các quyền lợi và nghĩa vụ, bạn có ủng hộ và tuân thủ chính sách mới hiện nay? - HUMAN-OUT1]]</f>
        <v>7</v>
      </c>
      <c r="AR95">
        <f t="shared" si="52"/>
        <v>0.66666666666666663</v>
      </c>
      <c r="AS95" s="32">
        <f t="shared" si="53"/>
        <v>0</v>
      </c>
    </row>
    <row r="96" spans="1:45" x14ac:dyDescent="0.45">
      <c r="A96">
        <f>step3_validation[[#This Row],[AI_ENF1]]</f>
        <v>7</v>
      </c>
      <c r="B96">
        <f t="shared" si="27"/>
        <v>0.66666666666666663</v>
      </c>
      <c r="C96">
        <f>[1]!survey_responses[[#This Row],[Tôi tin rằng với các quy định quản lý thuế hiện nay, hành vi gian lận hoặc trốn thuế sẽ dễ dàng bị phát hiện và xử lý nghiêm. - HUMAN-ENF1]]</f>
        <v>4</v>
      </c>
      <c r="D96">
        <f t="shared" si="28"/>
        <v>0.33333333333333331</v>
      </c>
      <c r="E96">
        <f>step3_validation[[#This Row],[AI_ENF2]]</f>
        <v>8</v>
      </c>
      <c r="F96">
        <f t="shared" si="29"/>
        <v>0.77777777777777779</v>
      </c>
      <c r="G96">
        <f>[1]!survey_responses[[#This Row],[Tôi tin rằng Nhà nước, cơ quan thuế có đủ khả năng và công nghệ để phát hiện, xử lý nghiêm các hành vi trốn thuế. - HUMAN-ENF2]]</f>
        <v>6</v>
      </c>
      <c r="H96">
        <f t="shared" si="30"/>
        <v>0.55555555555555558</v>
      </c>
      <c r="I96" s="32">
        <f t="shared" si="31"/>
        <v>0.72222222222222221</v>
      </c>
      <c r="J96" s="32">
        <f t="shared" si="32"/>
        <v>0.44444444444444442</v>
      </c>
      <c r="K96">
        <f>step3_validation[[#This Row],[AI_FAC1]]</f>
        <v>6</v>
      </c>
      <c r="L96">
        <f t="shared" si="33"/>
        <v>0.55555555555555558</v>
      </c>
      <c r="M96">
        <f>[1]!survey_responses[[#This Row],[Các thủ tục khai báo thuế VÀ/HOẶC quy trình làm việc với cơ quan thuế đơn giản, tiện lợi, nhanh chóng hơn so với trước đây. - HUMAN-FAC1]]</f>
        <v>5</v>
      </c>
      <c r="N96">
        <f t="shared" si="34"/>
        <v>0.44444444444444442</v>
      </c>
      <c r="O96">
        <f>step3_validation[[#This Row],[AI_FAC2]]</f>
        <v>9</v>
      </c>
      <c r="P96">
        <f t="shared" si="35"/>
        <v>0.88888888888888884</v>
      </c>
      <c r="Q96">
        <f>[1]!survey_responses[[#This Row],[So với trước đây, tôi thấy cách tính thuế và các bậc thuế trong phương án mới đơn giản, dễ hiểu và dễ thực hiện hơn. - HUMAN-FAC2]]</f>
        <v>5</v>
      </c>
      <c r="R96">
        <f t="shared" si="36"/>
        <v>0.44444444444444442</v>
      </c>
      <c r="S96" s="32">
        <f t="shared" si="37"/>
        <v>0.72222222222222221</v>
      </c>
      <c r="T96" s="32">
        <f t="shared" si="38"/>
        <v>0.44444444444444442</v>
      </c>
      <c r="U96">
        <f>step3_validation[[#This Row],[AI_TRU1]]</f>
        <v>7</v>
      </c>
      <c r="V96">
        <f t="shared" si="39"/>
        <v>0.66666666666666663</v>
      </c>
      <c r="W96">
        <f>[1]!survey_responses[[#This Row],[Tôi tin rằng Nhà nước, cơ quan thuế sẽ thực thi chính sách mới một cách khách quan, công tâm và đối xử bình đẳng với mọi người nộp thuế.  - HUMAN-TRU1]]</f>
        <v>4</v>
      </c>
      <c r="X96">
        <f t="shared" si="40"/>
        <v>0.33333333333333331</v>
      </c>
      <c r="Y96">
        <f>step3_validation[[#This Row],[AI_TRU2]]</f>
        <v>6</v>
      </c>
      <c r="Z96">
        <f t="shared" si="41"/>
        <v>0.55555555555555558</v>
      </c>
      <c r="AA96">
        <f>[1]!survey_responses[[#This Row],[Tôi thấy mức thuế tôi phải đóng theo phương án mới là công bằng (người thu nhập như tôi đóng mức này là hợp lý). - HUMAN-TRU2]]</f>
        <v>4</v>
      </c>
      <c r="AB96">
        <f t="shared" si="42"/>
        <v>0.33333333333333331</v>
      </c>
      <c r="AC96">
        <f>step3_validation[[#This Row],[AI_TRU3]]</f>
        <v>8</v>
      </c>
      <c r="AD96">
        <f t="shared" si="43"/>
        <v>0.77777777777777779</v>
      </c>
      <c r="AE96">
        <f>[1]!survey_responses[[#This Row],[Tôi tin tưởng số tiền thuế tôi đóng sẽ được Nhà nước sử dụng hiệu quả để cải thiện dịch vụ công (y tế, đường xá...). - HUMAN-TRU3]]</f>
        <v>3</v>
      </c>
      <c r="AF96">
        <f t="shared" si="44"/>
        <v>0.22222222222222221</v>
      </c>
      <c r="AG96">
        <f>step3_validation[[#This Row],[AI_TRU4]]</f>
        <v>7</v>
      </c>
      <c r="AH96">
        <f t="shared" si="45"/>
        <v>0.66666666666666663</v>
      </c>
      <c r="AI96">
        <f>[1]!survey_responses[[#This Row],[Tôi thấy Nhà nước đã giải thích rõ ràng, minh bạch về lý do và mục tiêu của việc sửa đổi thuế lần này. - HUMAN-TRU4]]</f>
        <v>4</v>
      </c>
      <c r="AJ96">
        <f t="shared" si="46"/>
        <v>0.33333333333333331</v>
      </c>
      <c r="AK96" s="32">
        <f t="shared" si="47"/>
        <v>0.66666666666666663</v>
      </c>
      <c r="AL96" s="32">
        <f t="shared" si="48"/>
        <v>0.30555555555555552</v>
      </c>
      <c r="AM96" s="7">
        <f t="shared" si="49"/>
        <v>0.70370370370370372</v>
      </c>
      <c r="AN96" s="7">
        <f t="shared" si="50"/>
        <v>0.39814814814814814</v>
      </c>
      <c r="AO96">
        <f>step3_validation[[#This Row],[AI_OUT1]]</f>
        <v>7</v>
      </c>
      <c r="AP96">
        <f t="shared" si="51"/>
        <v>0.66666666666666663</v>
      </c>
      <c r="AQ96">
        <f>[1]!survey_responses[[#This Row],[Sau khi xem xét các quyền lợi và nghĩa vụ, bạn có ủng hộ và tuân thủ chính sách mới hiện nay? - HUMAN-OUT1]]</f>
        <v>3</v>
      </c>
      <c r="AR96">
        <f t="shared" si="52"/>
        <v>0.22222222222222221</v>
      </c>
      <c r="AS96" s="32">
        <f t="shared" si="53"/>
        <v>4</v>
      </c>
    </row>
    <row r="97" spans="1:45" x14ac:dyDescent="0.45">
      <c r="A97">
        <f>step3_validation[[#This Row],[AI_ENF1]]</f>
        <v>7</v>
      </c>
      <c r="B97">
        <f t="shared" si="27"/>
        <v>0.66666666666666663</v>
      </c>
      <c r="C97">
        <f>[1]!survey_responses[[#This Row],[Tôi tin rằng với các quy định quản lý thuế hiện nay, hành vi gian lận hoặc trốn thuế sẽ dễ dàng bị phát hiện và xử lý nghiêm. - HUMAN-ENF1]]</f>
        <v>8</v>
      </c>
      <c r="D97">
        <f t="shared" si="28"/>
        <v>0.77777777777777779</v>
      </c>
      <c r="E97">
        <f>step3_validation[[#This Row],[AI_ENF2]]</f>
        <v>8</v>
      </c>
      <c r="F97">
        <f t="shared" si="29"/>
        <v>0.77777777777777779</v>
      </c>
      <c r="G97">
        <f>[1]!survey_responses[[#This Row],[Tôi tin rằng Nhà nước, cơ quan thuế có đủ khả năng và công nghệ để phát hiện, xử lý nghiêm các hành vi trốn thuế. - HUMAN-ENF2]]</f>
        <v>7</v>
      </c>
      <c r="H97">
        <f t="shared" si="30"/>
        <v>0.66666666666666663</v>
      </c>
      <c r="I97" s="32">
        <f t="shared" si="31"/>
        <v>0.72222222222222221</v>
      </c>
      <c r="J97" s="32">
        <f t="shared" si="32"/>
        <v>0.72222222222222221</v>
      </c>
      <c r="K97">
        <f>step3_validation[[#This Row],[AI_FAC1]]</f>
        <v>6</v>
      </c>
      <c r="L97">
        <f t="shared" si="33"/>
        <v>0.55555555555555558</v>
      </c>
      <c r="M97">
        <f>[1]!survey_responses[[#This Row],[Các thủ tục khai báo thuế VÀ/HOẶC quy trình làm việc với cơ quan thuế đơn giản, tiện lợi, nhanh chóng hơn so với trước đây. - HUMAN-FAC1]]</f>
        <v>5</v>
      </c>
      <c r="N97">
        <f t="shared" si="34"/>
        <v>0.44444444444444442</v>
      </c>
      <c r="O97">
        <f>step3_validation[[#This Row],[AI_FAC2]]</f>
        <v>9</v>
      </c>
      <c r="P97">
        <f t="shared" si="35"/>
        <v>0.88888888888888884</v>
      </c>
      <c r="Q97">
        <f>[1]!survey_responses[[#This Row],[So với trước đây, tôi thấy cách tính thuế và các bậc thuế trong phương án mới đơn giản, dễ hiểu và dễ thực hiện hơn. - HUMAN-FAC2]]</f>
        <v>7</v>
      </c>
      <c r="R97">
        <f t="shared" si="36"/>
        <v>0.66666666666666663</v>
      </c>
      <c r="S97" s="32">
        <f t="shared" si="37"/>
        <v>0.72222222222222221</v>
      </c>
      <c r="T97" s="32">
        <f t="shared" si="38"/>
        <v>0.55555555555555558</v>
      </c>
      <c r="U97">
        <f>step3_validation[[#This Row],[AI_TRU1]]</f>
        <v>8</v>
      </c>
      <c r="V97">
        <f t="shared" si="39"/>
        <v>0.77777777777777779</v>
      </c>
      <c r="W97">
        <f>[1]!survey_responses[[#This Row],[Tôi tin rằng Nhà nước, cơ quan thuế sẽ thực thi chính sách mới một cách khách quan, công tâm và đối xử bình đẳng với mọi người nộp thuế.  - HUMAN-TRU1]]</f>
        <v>7</v>
      </c>
      <c r="X97">
        <f t="shared" si="40"/>
        <v>0.66666666666666663</v>
      </c>
      <c r="Y97">
        <f>step3_validation[[#This Row],[AI_TRU2]]</f>
        <v>9</v>
      </c>
      <c r="Z97">
        <f t="shared" si="41"/>
        <v>0.88888888888888884</v>
      </c>
      <c r="AA97">
        <f>[1]!survey_responses[[#This Row],[Tôi thấy mức thuế tôi phải đóng theo phương án mới là công bằng (người thu nhập như tôi đóng mức này là hợp lý). - HUMAN-TRU2]]</f>
        <v>5</v>
      </c>
      <c r="AB97">
        <f t="shared" si="42"/>
        <v>0.44444444444444442</v>
      </c>
      <c r="AC97">
        <f>step3_validation[[#This Row],[AI_TRU3]]</f>
        <v>8</v>
      </c>
      <c r="AD97">
        <f t="shared" si="43"/>
        <v>0.77777777777777779</v>
      </c>
      <c r="AE97">
        <f>[1]!survey_responses[[#This Row],[Tôi tin tưởng số tiền thuế tôi đóng sẽ được Nhà nước sử dụng hiệu quả để cải thiện dịch vụ công (y tế, đường xá...). - HUMAN-TRU3]]</f>
        <v>5</v>
      </c>
      <c r="AF97">
        <f t="shared" si="44"/>
        <v>0.44444444444444442</v>
      </c>
      <c r="AG97">
        <f>step3_validation[[#This Row],[AI_TRU4]]</f>
        <v>7</v>
      </c>
      <c r="AH97">
        <f t="shared" si="45"/>
        <v>0.66666666666666663</v>
      </c>
      <c r="AI97">
        <f>[1]!survey_responses[[#This Row],[Tôi thấy Nhà nước đã giải thích rõ ràng, minh bạch về lý do và mục tiêu của việc sửa đổi thuế lần này. - HUMAN-TRU4]]</f>
        <v>7</v>
      </c>
      <c r="AJ97">
        <f t="shared" si="46"/>
        <v>0.66666666666666663</v>
      </c>
      <c r="AK97" s="32">
        <f t="shared" si="47"/>
        <v>0.77777777777777768</v>
      </c>
      <c r="AL97" s="32">
        <f t="shared" si="48"/>
        <v>0.55555555555555558</v>
      </c>
      <c r="AM97" s="7">
        <f t="shared" si="49"/>
        <v>0.74074074074074081</v>
      </c>
      <c r="AN97" s="7">
        <f t="shared" si="50"/>
        <v>0.61111111111111105</v>
      </c>
      <c r="AO97">
        <f>step3_validation[[#This Row],[AI_OUT1]]</f>
        <v>8</v>
      </c>
      <c r="AP97">
        <f t="shared" si="51"/>
        <v>0.77777777777777779</v>
      </c>
      <c r="AQ97">
        <f>[1]!survey_responses[[#This Row],[Sau khi xem xét các quyền lợi và nghĩa vụ, bạn có ủng hộ và tuân thủ chính sách mới hiện nay? - HUMAN-OUT1]]</f>
        <v>7</v>
      </c>
      <c r="AR97">
        <f t="shared" si="52"/>
        <v>0.66666666666666663</v>
      </c>
      <c r="AS97" s="32">
        <f t="shared" si="53"/>
        <v>1</v>
      </c>
    </row>
    <row r="98" spans="1:45" x14ac:dyDescent="0.45">
      <c r="A98">
        <f>step3_validation[[#This Row],[AI_ENF1]]</f>
        <v>7</v>
      </c>
      <c r="B98">
        <f t="shared" si="27"/>
        <v>0.66666666666666663</v>
      </c>
      <c r="C98">
        <f>[1]!survey_responses[[#This Row],[Tôi tin rằng với các quy định quản lý thuế hiện nay, hành vi gian lận hoặc trốn thuế sẽ dễ dàng bị phát hiện và xử lý nghiêm. - HUMAN-ENF1]]</f>
        <v>6</v>
      </c>
      <c r="D98">
        <f t="shared" si="28"/>
        <v>0.55555555555555558</v>
      </c>
      <c r="E98">
        <f>step3_validation[[#This Row],[AI_ENF2]]</f>
        <v>8</v>
      </c>
      <c r="F98">
        <f t="shared" si="29"/>
        <v>0.77777777777777779</v>
      </c>
      <c r="G98">
        <f>[1]!survey_responses[[#This Row],[Tôi tin rằng Nhà nước, cơ quan thuế có đủ khả năng và công nghệ để phát hiện, xử lý nghiêm các hành vi trốn thuế. - HUMAN-ENF2]]</f>
        <v>6</v>
      </c>
      <c r="H98">
        <f t="shared" si="30"/>
        <v>0.55555555555555558</v>
      </c>
      <c r="I98" s="32">
        <f t="shared" si="31"/>
        <v>0.72222222222222221</v>
      </c>
      <c r="J98" s="32">
        <f t="shared" si="32"/>
        <v>0.55555555555555558</v>
      </c>
      <c r="K98">
        <f>step3_validation[[#This Row],[AI_FAC1]]</f>
        <v>6</v>
      </c>
      <c r="L98">
        <f t="shared" si="33"/>
        <v>0.55555555555555558</v>
      </c>
      <c r="M98">
        <f>[1]!survey_responses[[#This Row],[Các thủ tục khai báo thuế VÀ/HOẶC quy trình làm việc với cơ quan thuế đơn giản, tiện lợi, nhanh chóng hơn so với trước đây. - HUMAN-FAC1]]</f>
        <v>5</v>
      </c>
      <c r="N98">
        <f t="shared" si="34"/>
        <v>0.44444444444444442</v>
      </c>
      <c r="O98">
        <f>step3_validation[[#This Row],[AI_FAC2]]</f>
        <v>8</v>
      </c>
      <c r="P98">
        <f t="shared" si="35"/>
        <v>0.77777777777777779</v>
      </c>
      <c r="Q98">
        <f>[1]!survey_responses[[#This Row],[So với trước đây, tôi thấy cách tính thuế và các bậc thuế trong phương án mới đơn giản, dễ hiểu và dễ thực hiện hơn. - HUMAN-FAC2]]</f>
        <v>5</v>
      </c>
      <c r="R98">
        <f t="shared" si="36"/>
        <v>0.44444444444444442</v>
      </c>
      <c r="S98" s="32">
        <f t="shared" si="37"/>
        <v>0.66666666666666674</v>
      </c>
      <c r="T98" s="32">
        <f t="shared" si="38"/>
        <v>0.44444444444444442</v>
      </c>
      <c r="U98">
        <f>step3_validation[[#This Row],[AI_TRU1]]</f>
        <v>7</v>
      </c>
      <c r="V98">
        <f t="shared" si="39"/>
        <v>0.66666666666666663</v>
      </c>
      <c r="W98">
        <f>[1]!survey_responses[[#This Row],[Tôi tin rằng Nhà nước, cơ quan thuế sẽ thực thi chính sách mới một cách khách quan, công tâm và đối xử bình đẳng với mọi người nộp thuế.  - HUMAN-TRU1]]</f>
        <v>5</v>
      </c>
      <c r="X98">
        <f t="shared" si="40"/>
        <v>0.44444444444444442</v>
      </c>
      <c r="Y98">
        <f>step3_validation[[#This Row],[AI_TRU2]]</f>
        <v>7</v>
      </c>
      <c r="Z98">
        <f t="shared" si="41"/>
        <v>0.66666666666666663</v>
      </c>
      <c r="AA98">
        <f>[1]!survey_responses[[#This Row],[Tôi thấy mức thuế tôi phải đóng theo phương án mới là công bằng (người thu nhập như tôi đóng mức này là hợp lý). - HUMAN-TRU2]]</f>
        <v>5</v>
      </c>
      <c r="AB98">
        <f t="shared" si="42"/>
        <v>0.44444444444444442</v>
      </c>
      <c r="AC98">
        <f>step3_validation[[#This Row],[AI_TRU3]]</f>
        <v>6</v>
      </c>
      <c r="AD98">
        <f t="shared" si="43"/>
        <v>0.55555555555555558</v>
      </c>
      <c r="AE98">
        <f>[1]!survey_responses[[#This Row],[Tôi tin tưởng số tiền thuế tôi đóng sẽ được Nhà nước sử dụng hiệu quả để cải thiện dịch vụ công (y tế, đường xá...). - HUMAN-TRU3]]</f>
        <v>5</v>
      </c>
      <c r="AF98">
        <f t="shared" si="44"/>
        <v>0.44444444444444442</v>
      </c>
      <c r="AG98">
        <f>step3_validation[[#This Row],[AI_TRU4]]</f>
        <v>7</v>
      </c>
      <c r="AH98">
        <f t="shared" si="45"/>
        <v>0.66666666666666663</v>
      </c>
      <c r="AI98">
        <f>[1]!survey_responses[[#This Row],[Tôi thấy Nhà nước đã giải thích rõ ràng, minh bạch về lý do và mục tiêu của việc sửa đổi thuế lần này. - HUMAN-TRU4]]</f>
        <v>5</v>
      </c>
      <c r="AJ98">
        <f t="shared" si="46"/>
        <v>0.44444444444444442</v>
      </c>
      <c r="AK98" s="32">
        <f t="shared" si="47"/>
        <v>0.63888888888888884</v>
      </c>
      <c r="AL98" s="32">
        <f t="shared" si="48"/>
        <v>0.44444444444444442</v>
      </c>
      <c r="AM98" s="7">
        <f t="shared" si="49"/>
        <v>0.67592592592592593</v>
      </c>
      <c r="AN98" s="7">
        <f t="shared" si="50"/>
        <v>0.48148148148148145</v>
      </c>
      <c r="AO98">
        <f>step3_validation[[#This Row],[AI_OUT1]]</f>
        <v>6</v>
      </c>
      <c r="AP98">
        <f t="shared" si="51"/>
        <v>0.55555555555555558</v>
      </c>
      <c r="AQ98">
        <f>[1]!survey_responses[[#This Row],[Sau khi xem xét các quyền lợi và nghĩa vụ, bạn có ủng hộ và tuân thủ chính sách mới hiện nay? - HUMAN-OUT1]]</f>
        <v>5</v>
      </c>
      <c r="AR98">
        <f t="shared" si="52"/>
        <v>0.44444444444444442</v>
      </c>
      <c r="AS98" s="32">
        <f t="shared" si="53"/>
        <v>1</v>
      </c>
    </row>
    <row r="99" spans="1:45" x14ac:dyDescent="0.45">
      <c r="A99">
        <f>step3_validation[[#This Row],[AI_ENF1]]</f>
        <v>7</v>
      </c>
      <c r="B99">
        <f t="shared" si="27"/>
        <v>0.66666666666666663</v>
      </c>
      <c r="C99">
        <f>[1]!survey_responses[[#This Row],[Tôi tin rằng với các quy định quản lý thuế hiện nay, hành vi gian lận hoặc trốn thuế sẽ dễ dàng bị phát hiện và xử lý nghiêm. - HUMAN-ENF1]]</f>
        <v>8</v>
      </c>
      <c r="D99">
        <f t="shared" si="28"/>
        <v>0.77777777777777779</v>
      </c>
      <c r="E99">
        <f>step3_validation[[#This Row],[AI_ENF2]]</f>
        <v>6</v>
      </c>
      <c r="F99">
        <f t="shared" si="29"/>
        <v>0.55555555555555558</v>
      </c>
      <c r="G99">
        <f>[1]!survey_responses[[#This Row],[Tôi tin rằng Nhà nước, cơ quan thuế có đủ khả năng và công nghệ để phát hiện, xử lý nghiêm các hành vi trốn thuế. - HUMAN-ENF2]]</f>
        <v>8</v>
      </c>
      <c r="H99">
        <f t="shared" si="30"/>
        <v>0.77777777777777779</v>
      </c>
      <c r="I99" s="32">
        <f t="shared" si="31"/>
        <v>0.61111111111111116</v>
      </c>
      <c r="J99" s="32">
        <f t="shared" si="32"/>
        <v>0.77777777777777779</v>
      </c>
      <c r="K99">
        <f>step3_validation[[#This Row],[AI_FAC1]]</f>
        <v>8</v>
      </c>
      <c r="L99">
        <f t="shared" si="33"/>
        <v>0.77777777777777779</v>
      </c>
      <c r="M99">
        <f>[1]!survey_responses[[#This Row],[Các thủ tục khai báo thuế VÀ/HOẶC quy trình làm việc với cơ quan thuế đơn giản, tiện lợi, nhanh chóng hơn so với trước đây. - HUMAN-FAC1]]</f>
        <v>5</v>
      </c>
      <c r="N99">
        <f t="shared" si="34"/>
        <v>0.44444444444444442</v>
      </c>
      <c r="O99">
        <f>step3_validation[[#This Row],[AI_FAC2]]</f>
        <v>7</v>
      </c>
      <c r="P99">
        <f t="shared" si="35"/>
        <v>0.66666666666666663</v>
      </c>
      <c r="Q99">
        <f>[1]!survey_responses[[#This Row],[So với trước đây, tôi thấy cách tính thuế và các bậc thuế trong phương án mới đơn giản, dễ hiểu và dễ thực hiện hơn. - HUMAN-FAC2]]</f>
        <v>8</v>
      </c>
      <c r="R99">
        <f t="shared" si="36"/>
        <v>0.77777777777777779</v>
      </c>
      <c r="S99" s="32">
        <f t="shared" si="37"/>
        <v>0.72222222222222221</v>
      </c>
      <c r="T99" s="32">
        <f t="shared" si="38"/>
        <v>0.61111111111111116</v>
      </c>
      <c r="U99">
        <f>step3_validation[[#This Row],[AI_TRU1]]</f>
        <v>8</v>
      </c>
      <c r="V99">
        <f t="shared" si="39"/>
        <v>0.77777777777777779</v>
      </c>
      <c r="W99">
        <f>[1]!survey_responses[[#This Row],[Tôi tin rằng Nhà nước, cơ quan thuế sẽ thực thi chính sách mới một cách khách quan, công tâm và đối xử bình đẳng với mọi người nộp thuế.  - HUMAN-TRU1]]</f>
        <v>6</v>
      </c>
      <c r="X99">
        <f t="shared" si="40"/>
        <v>0.55555555555555558</v>
      </c>
      <c r="Y99">
        <f>step3_validation[[#This Row],[AI_TRU2]]</f>
        <v>7</v>
      </c>
      <c r="Z99">
        <f t="shared" si="41"/>
        <v>0.66666666666666663</v>
      </c>
      <c r="AA99">
        <f>[1]!survey_responses[[#This Row],[Tôi thấy mức thuế tôi phải đóng theo phương án mới là công bằng (người thu nhập như tôi đóng mức này là hợp lý). - HUMAN-TRU2]]</f>
        <v>9</v>
      </c>
      <c r="AB99">
        <f t="shared" si="42"/>
        <v>0.88888888888888884</v>
      </c>
      <c r="AC99">
        <f>step3_validation[[#This Row],[AI_TRU3]]</f>
        <v>6</v>
      </c>
      <c r="AD99">
        <f t="shared" si="43"/>
        <v>0.55555555555555558</v>
      </c>
      <c r="AE99">
        <f>[1]!survey_responses[[#This Row],[Tôi tin tưởng số tiền thuế tôi đóng sẽ được Nhà nước sử dụng hiệu quả để cải thiện dịch vụ công (y tế, đường xá...). - HUMAN-TRU3]]</f>
        <v>5</v>
      </c>
      <c r="AF99">
        <f t="shared" si="44"/>
        <v>0.44444444444444442</v>
      </c>
      <c r="AG99">
        <f>step3_validation[[#This Row],[AI_TRU4]]</f>
        <v>5</v>
      </c>
      <c r="AH99">
        <f t="shared" si="45"/>
        <v>0.44444444444444442</v>
      </c>
      <c r="AI99">
        <f>[1]!survey_responses[[#This Row],[Tôi thấy Nhà nước đã giải thích rõ ràng, minh bạch về lý do và mục tiêu của việc sửa đổi thuế lần này. - HUMAN-TRU4]]</f>
        <v>7</v>
      </c>
      <c r="AJ99">
        <f t="shared" si="46"/>
        <v>0.66666666666666663</v>
      </c>
      <c r="AK99" s="32">
        <f t="shared" si="47"/>
        <v>0.61111111111111116</v>
      </c>
      <c r="AL99" s="32">
        <f t="shared" si="48"/>
        <v>0.63888888888888884</v>
      </c>
      <c r="AM99" s="7">
        <f t="shared" si="49"/>
        <v>0.64814814814814825</v>
      </c>
      <c r="AN99" s="7">
        <f t="shared" si="50"/>
        <v>0.67592592592592593</v>
      </c>
      <c r="AO99">
        <f>step3_validation[[#This Row],[AI_OUT1]]</f>
        <v>7</v>
      </c>
      <c r="AP99">
        <f t="shared" si="51"/>
        <v>0.66666666666666663</v>
      </c>
      <c r="AQ99">
        <f>[1]!survey_responses[[#This Row],[Sau khi xem xét các quyền lợi và nghĩa vụ, bạn có ủng hộ và tuân thủ chính sách mới hiện nay? - HUMAN-OUT1]]</f>
        <v>8</v>
      </c>
      <c r="AR99">
        <f t="shared" si="52"/>
        <v>0.77777777777777779</v>
      </c>
      <c r="AS99" s="32">
        <f t="shared" si="53"/>
        <v>1</v>
      </c>
    </row>
    <row r="100" spans="1:45" x14ac:dyDescent="0.45">
      <c r="A100">
        <f>step3_validation[[#This Row],[AI_ENF1]]</f>
        <v>7</v>
      </c>
      <c r="B100">
        <f t="shared" si="27"/>
        <v>0.66666666666666663</v>
      </c>
      <c r="C100">
        <f>[1]!survey_responses[[#This Row],[Tôi tin rằng với các quy định quản lý thuế hiện nay, hành vi gian lận hoặc trốn thuế sẽ dễ dàng bị phát hiện và xử lý nghiêm. - HUMAN-ENF1]]</f>
        <v>6</v>
      </c>
      <c r="D100">
        <f t="shared" si="28"/>
        <v>0.55555555555555558</v>
      </c>
      <c r="E100">
        <f>step3_validation[[#This Row],[AI_ENF2]]</f>
        <v>6</v>
      </c>
      <c r="F100">
        <f t="shared" si="29"/>
        <v>0.55555555555555558</v>
      </c>
      <c r="G100">
        <f>[1]!survey_responses[[#This Row],[Tôi tin rằng Nhà nước, cơ quan thuế có đủ khả năng và công nghệ để phát hiện, xử lý nghiêm các hành vi trốn thuế. - HUMAN-ENF2]]</f>
        <v>6</v>
      </c>
      <c r="H100">
        <f t="shared" si="30"/>
        <v>0.55555555555555558</v>
      </c>
      <c r="I100" s="32">
        <f t="shared" si="31"/>
        <v>0.61111111111111116</v>
      </c>
      <c r="J100" s="32">
        <f t="shared" si="32"/>
        <v>0.55555555555555558</v>
      </c>
      <c r="K100">
        <f>step3_validation[[#This Row],[AI_FAC1]]</f>
        <v>8</v>
      </c>
      <c r="L100">
        <f t="shared" si="33"/>
        <v>0.77777777777777779</v>
      </c>
      <c r="M100">
        <f>[1]!survey_responses[[#This Row],[Các thủ tục khai báo thuế VÀ/HOẶC quy trình làm việc với cơ quan thuế đơn giản, tiện lợi, nhanh chóng hơn so với trước đây. - HUMAN-FAC1]]</f>
        <v>3</v>
      </c>
      <c r="N100">
        <f t="shared" si="34"/>
        <v>0.22222222222222221</v>
      </c>
      <c r="O100">
        <f>step3_validation[[#This Row],[AI_FAC2]]</f>
        <v>7</v>
      </c>
      <c r="P100">
        <f t="shared" si="35"/>
        <v>0.66666666666666663</v>
      </c>
      <c r="Q100">
        <f>[1]!survey_responses[[#This Row],[So với trước đây, tôi thấy cách tính thuế và các bậc thuế trong phương án mới đơn giản, dễ hiểu và dễ thực hiện hơn. - HUMAN-FAC2]]</f>
        <v>6</v>
      </c>
      <c r="R100">
        <f t="shared" si="36"/>
        <v>0.55555555555555558</v>
      </c>
      <c r="S100" s="32">
        <f t="shared" si="37"/>
        <v>0.72222222222222221</v>
      </c>
      <c r="T100" s="32">
        <f t="shared" si="38"/>
        <v>0.3888888888888889</v>
      </c>
      <c r="U100">
        <f>step3_validation[[#This Row],[AI_TRU1]]</f>
        <v>8</v>
      </c>
      <c r="V100">
        <f t="shared" si="39"/>
        <v>0.77777777777777779</v>
      </c>
      <c r="W100">
        <f>[1]!survey_responses[[#This Row],[Tôi tin rằng Nhà nước, cơ quan thuế sẽ thực thi chính sách mới một cách khách quan, công tâm và đối xử bình đẳng với mọi người nộp thuế.  - HUMAN-TRU1]]</f>
        <v>5</v>
      </c>
      <c r="X100">
        <f t="shared" si="40"/>
        <v>0.44444444444444442</v>
      </c>
      <c r="Y100">
        <f>step3_validation[[#This Row],[AI_TRU2]]</f>
        <v>7</v>
      </c>
      <c r="Z100">
        <f t="shared" si="41"/>
        <v>0.66666666666666663</v>
      </c>
      <c r="AA100">
        <f>[1]!survey_responses[[#This Row],[Tôi thấy mức thuế tôi phải đóng theo phương án mới là công bằng (người thu nhập như tôi đóng mức này là hợp lý). - HUMAN-TRU2]]</f>
        <v>6</v>
      </c>
      <c r="AB100">
        <f t="shared" si="42"/>
        <v>0.55555555555555558</v>
      </c>
      <c r="AC100">
        <f>step3_validation[[#This Row],[AI_TRU3]]</f>
        <v>6</v>
      </c>
      <c r="AD100">
        <f t="shared" si="43"/>
        <v>0.55555555555555558</v>
      </c>
      <c r="AE100">
        <f>[1]!survey_responses[[#This Row],[Tôi tin tưởng số tiền thuế tôi đóng sẽ được Nhà nước sử dụng hiệu quả để cải thiện dịch vụ công (y tế, đường xá...). - HUMAN-TRU3]]</f>
        <v>5</v>
      </c>
      <c r="AF100">
        <f t="shared" si="44"/>
        <v>0.44444444444444442</v>
      </c>
      <c r="AG100">
        <f>step3_validation[[#This Row],[AI_TRU4]]</f>
        <v>5</v>
      </c>
      <c r="AH100">
        <f t="shared" si="45"/>
        <v>0.44444444444444442</v>
      </c>
      <c r="AI100">
        <f>[1]!survey_responses[[#This Row],[Tôi thấy Nhà nước đã giải thích rõ ràng, minh bạch về lý do và mục tiêu của việc sửa đổi thuế lần này. - HUMAN-TRU4]]</f>
        <v>6</v>
      </c>
      <c r="AJ100">
        <f t="shared" si="46"/>
        <v>0.55555555555555558</v>
      </c>
      <c r="AK100" s="32">
        <f t="shared" si="47"/>
        <v>0.61111111111111116</v>
      </c>
      <c r="AL100" s="32">
        <f t="shared" si="48"/>
        <v>0.5</v>
      </c>
      <c r="AM100" s="7">
        <f t="shared" si="49"/>
        <v>0.64814814814814825</v>
      </c>
      <c r="AN100" s="7">
        <f t="shared" si="50"/>
        <v>0.48148148148148145</v>
      </c>
      <c r="AO100">
        <f>step3_validation[[#This Row],[AI_OUT1]]</f>
        <v>7</v>
      </c>
      <c r="AP100">
        <f t="shared" si="51"/>
        <v>0.66666666666666663</v>
      </c>
      <c r="AQ100">
        <f>[1]!survey_responses[[#This Row],[Sau khi xem xét các quyền lợi và nghĩa vụ, bạn có ủng hộ và tuân thủ chính sách mới hiện nay? - HUMAN-OUT1]]</f>
        <v>6</v>
      </c>
      <c r="AR100">
        <f t="shared" si="52"/>
        <v>0.55555555555555558</v>
      </c>
      <c r="AS100" s="32">
        <f t="shared" si="53"/>
        <v>1</v>
      </c>
    </row>
    <row r="101" spans="1:45" x14ac:dyDescent="0.45">
      <c r="A101">
        <f>step3_validation[[#This Row],[AI_ENF1]]</f>
        <v>7</v>
      </c>
      <c r="B101">
        <f t="shared" si="27"/>
        <v>0.66666666666666663</v>
      </c>
      <c r="C101">
        <f>[1]!survey_responses[[#This Row],[Tôi tin rằng với các quy định quản lý thuế hiện nay, hành vi gian lận hoặc trốn thuế sẽ dễ dàng bị phát hiện và xử lý nghiêm. - HUMAN-ENF1]]</f>
        <v>8</v>
      </c>
      <c r="D101">
        <f t="shared" si="28"/>
        <v>0.77777777777777779</v>
      </c>
      <c r="E101">
        <f>step3_validation[[#This Row],[AI_ENF2]]</f>
        <v>8</v>
      </c>
      <c r="F101">
        <f t="shared" si="29"/>
        <v>0.77777777777777779</v>
      </c>
      <c r="G101">
        <f>[1]!survey_responses[[#This Row],[Tôi tin rằng Nhà nước, cơ quan thuế có đủ khả năng và công nghệ để phát hiện, xử lý nghiêm các hành vi trốn thuế. - HUMAN-ENF2]]</f>
        <v>8</v>
      </c>
      <c r="H101">
        <f t="shared" si="30"/>
        <v>0.77777777777777779</v>
      </c>
      <c r="I101" s="32">
        <f t="shared" si="31"/>
        <v>0.72222222222222221</v>
      </c>
      <c r="J101" s="32">
        <f t="shared" si="32"/>
        <v>0.77777777777777779</v>
      </c>
      <c r="K101">
        <f>step3_validation[[#This Row],[AI_FAC1]]</f>
        <v>6</v>
      </c>
      <c r="L101">
        <f t="shared" si="33"/>
        <v>0.55555555555555558</v>
      </c>
      <c r="M101">
        <f>[1]!survey_responses[[#This Row],[Các thủ tục khai báo thuế VÀ/HOẶC quy trình làm việc với cơ quan thuế đơn giản, tiện lợi, nhanh chóng hơn so với trước đây. - HUMAN-FAC1]]</f>
        <v>8</v>
      </c>
      <c r="N101">
        <f t="shared" si="34"/>
        <v>0.77777777777777779</v>
      </c>
      <c r="O101">
        <f>step3_validation[[#This Row],[AI_FAC2]]</f>
        <v>7</v>
      </c>
      <c r="P101">
        <f t="shared" si="35"/>
        <v>0.66666666666666663</v>
      </c>
      <c r="Q101">
        <f>[1]!survey_responses[[#This Row],[So với trước đây, tôi thấy cách tính thuế và các bậc thuế trong phương án mới đơn giản, dễ hiểu và dễ thực hiện hơn. - HUMAN-FAC2]]</f>
        <v>10</v>
      </c>
      <c r="R101">
        <f t="shared" si="36"/>
        <v>1</v>
      </c>
      <c r="S101" s="32">
        <f t="shared" si="37"/>
        <v>0.61111111111111116</v>
      </c>
      <c r="T101" s="32">
        <f t="shared" si="38"/>
        <v>0.88888888888888884</v>
      </c>
      <c r="U101">
        <f>step3_validation[[#This Row],[AI_TRU1]]</f>
        <v>8</v>
      </c>
      <c r="V101">
        <f t="shared" si="39"/>
        <v>0.77777777777777779</v>
      </c>
      <c r="W101">
        <f>[1]!survey_responses[[#This Row],[Tôi tin rằng Nhà nước, cơ quan thuế sẽ thực thi chính sách mới một cách khách quan, công tâm và đối xử bình đẳng với mọi người nộp thuế.  - HUMAN-TRU1]]</f>
        <v>10</v>
      </c>
      <c r="X101">
        <f t="shared" si="40"/>
        <v>1</v>
      </c>
      <c r="Y101">
        <f>step3_validation[[#This Row],[AI_TRU2]]</f>
        <v>7</v>
      </c>
      <c r="Z101">
        <f t="shared" si="41"/>
        <v>0.66666666666666663</v>
      </c>
      <c r="AA101">
        <f>[1]!survey_responses[[#This Row],[Tôi thấy mức thuế tôi phải đóng theo phương án mới là công bằng (người thu nhập như tôi đóng mức này là hợp lý). - HUMAN-TRU2]]</f>
        <v>10</v>
      </c>
      <c r="AB101">
        <f t="shared" si="42"/>
        <v>1</v>
      </c>
      <c r="AC101">
        <f>step3_validation[[#This Row],[AI_TRU3]]</f>
        <v>6</v>
      </c>
      <c r="AD101">
        <f t="shared" si="43"/>
        <v>0.55555555555555558</v>
      </c>
      <c r="AE101">
        <f>[1]!survey_responses[[#This Row],[Tôi tin tưởng số tiền thuế tôi đóng sẽ được Nhà nước sử dụng hiệu quả để cải thiện dịch vụ công (y tế, đường xá...). - HUMAN-TRU3]]</f>
        <v>10</v>
      </c>
      <c r="AF101">
        <f t="shared" si="44"/>
        <v>1</v>
      </c>
      <c r="AG101">
        <f>step3_validation[[#This Row],[AI_TRU4]]</f>
        <v>8</v>
      </c>
      <c r="AH101">
        <f t="shared" si="45"/>
        <v>0.77777777777777779</v>
      </c>
      <c r="AI101">
        <f>[1]!survey_responses[[#This Row],[Tôi thấy Nhà nước đã giải thích rõ ràng, minh bạch về lý do và mục tiêu của việc sửa đổi thuế lần này. - HUMAN-TRU4]]</f>
        <v>10</v>
      </c>
      <c r="AJ101">
        <f t="shared" si="46"/>
        <v>1</v>
      </c>
      <c r="AK101" s="32">
        <f t="shared" si="47"/>
        <v>0.69444444444444442</v>
      </c>
      <c r="AL101" s="32">
        <f t="shared" si="48"/>
        <v>1</v>
      </c>
      <c r="AM101" s="7">
        <f t="shared" si="49"/>
        <v>0.67592592592592593</v>
      </c>
      <c r="AN101" s="7">
        <f t="shared" si="50"/>
        <v>0.88888888888888884</v>
      </c>
      <c r="AO101">
        <f>step3_validation[[#This Row],[AI_OUT1]]</f>
        <v>7</v>
      </c>
      <c r="AP101">
        <f t="shared" si="51"/>
        <v>0.66666666666666663</v>
      </c>
      <c r="AQ101">
        <f>[1]!survey_responses[[#This Row],[Sau khi xem xét các quyền lợi và nghĩa vụ, bạn có ủng hộ và tuân thủ chính sách mới hiện nay? - HUMAN-OUT1]]</f>
        <v>10</v>
      </c>
      <c r="AR101">
        <f t="shared" si="52"/>
        <v>1</v>
      </c>
      <c r="AS101" s="32">
        <f t="shared" si="53"/>
        <v>3</v>
      </c>
    </row>
    <row r="102" spans="1:45" x14ac:dyDescent="0.45">
      <c r="A102">
        <f>step3_validation[[#This Row],[AI_ENF1]]</f>
        <v>9</v>
      </c>
      <c r="B102">
        <f t="shared" si="27"/>
        <v>0.88888888888888884</v>
      </c>
      <c r="C102">
        <f>[1]!survey_responses[[#This Row],[Tôi tin rằng với các quy định quản lý thuế hiện nay, hành vi gian lận hoặc trốn thuế sẽ dễ dàng bị phát hiện và xử lý nghiêm. - HUMAN-ENF1]]</f>
        <v>8</v>
      </c>
      <c r="D102">
        <f t="shared" si="28"/>
        <v>0.77777777777777779</v>
      </c>
      <c r="E102">
        <f>step3_validation[[#This Row],[AI_ENF2]]</f>
        <v>8</v>
      </c>
      <c r="F102">
        <f t="shared" si="29"/>
        <v>0.77777777777777779</v>
      </c>
      <c r="G102">
        <f>[1]!survey_responses[[#This Row],[Tôi tin rằng Nhà nước, cơ quan thuế có đủ khả năng và công nghệ để phát hiện, xử lý nghiêm các hành vi trốn thuế. - HUMAN-ENF2]]</f>
        <v>8</v>
      </c>
      <c r="H102">
        <f t="shared" si="30"/>
        <v>0.77777777777777779</v>
      </c>
      <c r="I102" s="32">
        <f t="shared" si="31"/>
        <v>0.83333333333333326</v>
      </c>
      <c r="J102" s="32">
        <f t="shared" si="32"/>
        <v>0.77777777777777779</v>
      </c>
      <c r="K102">
        <f>step3_validation[[#This Row],[AI_FAC1]]</f>
        <v>7</v>
      </c>
      <c r="L102">
        <f t="shared" si="33"/>
        <v>0.66666666666666663</v>
      </c>
      <c r="M102">
        <f>[1]!survey_responses[[#This Row],[Các thủ tục khai báo thuế VÀ/HOẶC quy trình làm việc với cơ quan thuế đơn giản, tiện lợi, nhanh chóng hơn so với trước đây. - HUMAN-FAC1]]</f>
        <v>7</v>
      </c>
      <c r="N102">
        <f t="shared" si="34"/>
        <v>0.66666666666666663</v>
      </c>
      <c r="O102">
        <f>step3_validation[[#This Row],[AI_FAC2]]</f>
        <v>8</v>
      </c>
      <c r="P102">
        <f t="shared" si="35"/>
        <v>0.77777777777777779</v>
      </c>
      <c r="Q102">
        <f>[1]!survey_responses[[#This Row],[So với trước đây, tôi thấy cách tính thuế và các bậc thuế trong phương án mới đơn giản, dễ hiểu và dễ thực hiện hơn. - HUMAN-FAC2]]</f>
        <v>8</v>
      </c>
      <c r="R102">
        <f t="shared" si="36"/>
        <v>0.77777777777777779</v>
      </c>
      <c r="S102" s="32">
        <f t="shared" si="37"/>
        <v>0.72222222222222221</v>
      </c>
      <c r="T102" s="32">
        <f t="shared" si="38"/>
        <v>0.72222222222222221</v>
      </c>
      <c r="U102">
        <f>step3_validation[[#This Row],[AI_TRU1]]</f>
        <v>8</v>
      </c>
      <c r="V102">
        <f t="shared" si="39"/>
        <v>0.77777777777777779</v>
      </c>
      <c r="W102">
        <f>[1]!survey_responses[[#This Row],[Tôi tin rằng Nhà nước, cơ quan thuế sẽ thực thi chính sách mới một cách khách quan, công tâm và đối xử bình đẳng với mọi người nộp thuế.  - HUMAN-TRU1]]</f>
        <v>8</v>
      </c>
      <c r="X102">
        <f t="shared" si="40"/>
        <v>0.77777777777777779</v>
      </c>
      <c r="Y102">
        <f>step3_validation[[#This Row],[AI_TRU2]]</f>
        <v>7</v>
      </c>
      <c r="Z102">
        <f t="shared" si="41"/>
        <v>0.66666666666666663</v>
      </c>
      <c r="AA102">
        <f>[1]!survey_responses[[#This Row],[Tôi thấy mức thuế tôi phải đóng theo phương án mới là công bằng (người thu nhập như tôi đóng mức này là hợp lý). - HUMAN-TRU2]]</f>
        <v>7</v>
      </c>
      <c r="AB102">
        <f t="shared" si="42"/>
        <v>0.66666666666666663</v>
      </c>
      <c r="AC102">
        <f>step3_validation[[#This Row],[AI_TRU3]]</f>
        <v>8</v>
      </c>
      <c r="AD102">
        <f t="shared" si="43"/>
        <v>0.77777777777777779</v>
      </c>
      <c r="AE102">
        <f>[1]!survey_responses[[#This Row],[Tôi tin tưởng số tiền thuế tôi đóng sẽ được Nhà nước sử dụng hiệu quả để cải thiện dịch vụ công (y tế, đường xá...). - HUMAN-TRU3]]</f>
        <v>7</v>
      </c>
      <c r="AF102">
        <f t="shared" si="44"/>
        <v>0.66666666666666663</v>
      </c>
      <c r="AG102">
        <f>step3_validation[[#This Row],[AI_TRU4]]</f>
        <v>6</v>
      </c>
      <c r="AH102">
        <f t="shared" si="45"/>
        <v>0.55555555555555558</v>
      </c>
      <c r="AI102">
        <f>[1]!survey_responses[[#This Row],[Tôi thấy Nhà nước đã giải thích rõ ràng, minh bạch về lý do và mục tiêu của việc sửa đổi thuế lần này. - HUMAN-TRU4]]</f>
        <v>7</v>
      </c>
      <c r="AJ102">
        <f t="shared" si="46"/>
        <v>0.66666666666666663</v>
      </c>
      <c r="AK102" s="32">
        <f t="shared" si="47"/>
        <v>0.69444444444444442</v>
      </c>
      <c r="AL102" s="32">
        <f t="shared" si="48"/>
        <v>0.69444444444444442</v>
      </c>
      <c r="AM102" s="7">
        <f t="shared" si="49"/>
        <v>0.75</v>
      </c>
      <c r="AN102" s="7">
        <f t="shared" si="50"/>
        <v>0.73148148148148151</v>
      </c>
      <c r="AO102">
        <f>step3_validation[[#This Row],[AI_OUT1]]</f>
        <v>7</v>
      </c>
      <c r="AP102">
        <f t="shared" si="51"/>
        <v>0.66666666666666663</v>
      </c>
      <c r="AQ102">
        <f>[1]!survey_responses[[#This Row],[Sau khi xem xét các quyền lợi và nghĩa vụ, bạn có ủng hộ và tuân thủ chính sách mới hiện nay? - HUMAN-OUT1]]</f>
        <v>8</v>
      </c>
      <c r="AR102">
        <f t="shared" si="52"/>
        <v>0.77777777777777779</v>
      </c>
      <c r="AS102" s="32">
        <f t="shared" si="53"/>
        <v>1</v>
      </c>
    </row>
    <row r="103" spans="1:45" x14ac:dyDescent="0.45">
      <c r="A103">
        <f>step3_validation[[#This Row],[AI_ENF1]]</f>
        <v>5</v>
      </c>
      <c r="B103">
        <f t="shared" si="27"/>
        <v>0.44444444444444442</v>
      </c>
      <c r="C103">
        <f>[1]!survey_responses[[#This Row],[Tôi tin rằng với các quy định quản lý thuế hiện nay, hành vi gian lận hoặc trốn thuế sẽ dễ dàng bị phát hiện và xử lý nghiêm. - HUMAN-ENF1]]</f>
        <v>5</v>
      </c>
      <c r="D103">
        <f t="shared" si="28"/>
        <v>0.44444444444444442</v>
      </c>
      <c r="E103">
        <f>step3_validation[[#This Row],[AI_ENF2]]</f>
        <v>6</v>
      </c>
      <c r="F103">
        <f t="shared" si="29"/>
        <v>0.55555555555555558</v>
      </c>
      <c r="G103">
        <f>[1]!survey_responses[[#This Row],[Tôi tin rằng Nhà nước, cơ quan thuế có đủ khả năng và công nghệ để phát hiện, xử lý nghiêm các hành vi trốn thuế. - HUMAN-ENF2]]</f>
        <v>5</v>
      </c>
      <c r="H103">
        <f t="shared" si="30"/>
        <v>0.44444444444444442</v>
      </c>
      <c r="I103" s="32">
        <f t="shared" si="31"/>
        <v>0.5</v>
      </c>
      <c r="J103" s="32">
        <f t="shared" si="32"/>
        <v>0.44444444444444442</v>
      </c>
      <c r="K103">
        <f>step3_validation[[#This Row],[AI_FAC1]]</f>
        <v>4</v>
      </c>
      <c r="L103">
        <f t="shared" si="33"/>
        <v>0.33333333333333331</v>
      </c>
      <c r="M103">
        <f>[1]!survey_responses[[#This Row],[Các thủ tục khai báo thuế VÀ/HOẶC quy trình làm việc với cơ quan thuế đơn giản, tiện lợi, nhanh chóng hơn so với trước đây. - HUMAN-FAC1]]</f>
        <v>5</v>
      </c>
      <c r="N103">
        <f t="shared" si="34"/>
        <v>0.44444444444444442</v>
      </c>
      <c r="O103">
        <f>step3_validation[[#This Row],[AI_FAC2]]</f>
        <v>5</v>
      </c>
      <c r="P103">
        <f t="shared" si="35"/>
        <v>0.44444444444444442</v>
      </c>
      <c r="Q103">
        <f>[1]!survey_responses[[#This Row],[So với trước đây, tôi thấy cách tính thuế và các bậc thuế trong phương án mới đơn giản, dễ hiểu và dễ thực hiện hơn. - HUMAN-FAC2]]</f>
        <v>5</v>
      </c>
      <c r="R103">
        <f t="shared" si="36"/>
        <v>0.44444444444444442</v>
      </c>
      <c r="S103" s="32">
        <f t="shared" si="37"/>
        <v>0.38888888888888884</v>
      </c>
      <c r="T103" s="32">
        <f t="shared" si="38"/>
        <v>0.44444444444444442</v>
      </c>
      <c r="U103">
        <f>step3_validation[[#This Row],[AI_TRU1]]</f>
        <v>7</v>
      </c>
      <c r="V103">
        <f t="shared" si="39"/>
        <v>0.66666666666666663</v>
      </c>
      <c r="W103">
        <f>[1]!survey_responses[[#This Row],[Tôi tin rằng Nhà nước, cơ quan thuế sẽ thực thi chính sách mới một cách khách quan, công tâm và đối xử bình đẳng với mọi người nộp thuế.  - HUMAN-TRU1]]</f>
        <v>5</v>
      </c>
      <c r="X103">
        <f t="shared" si="40"/>
        <v>0.44444444444444442</v>
      </c>
      <c r="Y103">
        <f>step3_validation[[#This Row],[AI_TRU2]]</f>
        <v>6</v>
      </c>
      <c r="Z103">
        <f t="shared" si="41"/>
        <v>0.55555555555555558</v>
      </c>
      <c r="AA103">
        <f>[1]!survey_responses[[#This Row],[Tôi thấy mức thuế tôi phải đóng theo phương án mới là công bằng (người thu nhập như tôi đóng mức này là hợp lý). - HUMAN-TRU2]]</f>
        <v>5</v>
      </c>
      <c r="AB103">
        <f t="shared" si="42"/>
        <v>0.44444444444444442</v>
      </c>
      <c r="AC103">
        <f>step3_validation[[#This Row],[AI_TRU3]]</f>
        <v>5</v>
      </c>
      <c r="AD103">
        <f t="shared" si="43"/>
        <v>0.44444444444444442</v>
      </c>
      <c r="AE103">
        <f>[1]!survey_responses[[#This Row],[Tôi tin tưởng số tiền thuế tôi đóng sẽ được Nhà nước sử dụng hiệu quả để cải thiện dịch vụ công (y tế, đường xá...). - HUMAN-TRU3]]</f>
        <v>5</v>
      </c>
      <c r="AF103">
        <f t="shared" si="44"/>
        <v>0.44444444444444442</v>
      </c>
      <c r="AG103">
        <f>step3_validation[[#This Row],[AI_TRU4]]</f>
        <v>4</v>
      </c>
      <c r="AH103">
        <f t="shared" si="45"/>
        <v>0.33333333333333331</v>
      </c>
      <c r="AI103">
        <f>[1]!survey_responses[[#This Row],[Tôi thấy Nhà nước đã giải thích rõ ràng, minh bạch về lý do và mục tiêu của việc sửa đổi thuế lần này. - HUMAN-TRU4]]</f>
        <v>5</v>
      </c>
      <c r="AJ103">
        <f t="shared" si="46"/>
        <v>0.44444444444444442</v>
      </c>
      <c r="AK103" s="32">
        <f t="shared" si="47"/>
        <v>0.5</v>
      </c>
      <c r="AL103" s="32">
        <f t="shared" si="48"/>
        <v>0.44444444444444442</v>
      </c>
      <c r="AM103" s="7">
        <f t="shared" si="49"/>
        <v>0.46296296296296297</v>
      </c>
      <c r="AN103" s="7">
        <f t="shared" si="50"/>
        <v>0.44444444444444442</v>
      </c>
      <c r="AO103">
        <f>step3_validation[[#This Row],[AI_OUT1]]</f>
        <v>5</v>
      </c>
      <c r="AP103">
        <f t="shared" si="51"/>
        <v>0.44444444444444442</v>
      </c>
      <c r="AQ103">
        <f>[1]!survey_responses[[#This Row],[Sau khi xem xét các quyền lợi và nghĩa vụ, bạn có ủng hộ và tuân thủ chính sách mới hiện nay? - HUMAN-OUT1]]</f>
        <v>5</v>
      </c>
      <c r="AR103">
        <f t="shared" si="52"/>
        <v>0.44444444444444442</v>
      </c>
      <c r="AS103" s="32">
        <f t="shared" si="53"/>
        <v>0</v>
      </c>
    </row>
    <row r="104" spans="1:45" x14ac:dyDescent="0.45">
      <c r="A104">
        <f>step3_validation[[#This Row],[AI_ENF1]]</f>
        <v>7</v>
      </c>
      <c r="B104">
        <f t="shared" si="27"/>
        <v>0.66666666666666663</v>
      </c>
      <c r="C104">
        <f>[1]!survey_responses[[#This Row],[Tôi tin rằng với các quy định quản lý thuế hiện nay, hành vi gian lận hoặc trốn thuế sẽ dễ dàng bị phát hiện và xử lý nghiêm. - HUMAN-ENF1]]</f>
        <v>8</v>
      </c>
      <c r="D104">
        <f t="shared" si="28"/>
        <v>0.77777777777777779</v>
      </c>
      <c r="E104">
        <f>step3_validation[[#This Row],[AI_ENF2]]</f>
        <v>6</v>
      </c>
      <c r="F104">
        <f t="shared" si="29"/>
        <v>0.55555555555555558</v>
      </c>
      <c r="G104">
        <f>[1]!survey_responses[[#This Row],[Tôi tin rằng Nhà nước, cơ quan thuế có đủ khả năng và công nghệ để phát hiện, xử lý nghiêm các hành vi trốn thuế. - HUMAN-ENF2]]</f>
        <v>8</v>
      </c>
      <c r="H104">
        <f t="shared" si="30"/>
        <v>0.77777777777777779</v>
      </c>
      <c r="I104" s="32">
        <f t="shared" si="31"/>
        <v>0.61111111111111116</v>
      </c>
      <c r="J104" s="32">
        <f t="shared" si="32"/>
        <v>0.77777777777777779</v>
      </c>
      <c r="K104">
        <f>step3_validation[[#This Row],[AI_FAC1]]</f>
        <v>8</v>
      </c>
      <c r="L104">
        <f t="shared" si="33"/>
        <v>0.77777777777777779</v>
      </c>
      <c r="M104">
        <f>[1]!survey_responses[[#This Row],[Các thủ tục khai báo thuế VÀ/HOẶC quy trình làm việc với cơ quan thuế đơn giản, tiện lợi, nhanh chóng hơn so với trước đây. - HUMAN-FAC1]]</f>
        <v>5</v>
      </c>
      <c r="N104">
        <f t="shared" si="34"/>
        <v>0.44444444444444442</v>
      </c>
      <c r="O104">
        <f>step3_validation[[#This Row],[AI_FAC2]]</f>
        <v>7</v>
      </c>
      <c r="P104">
        <f t="shared" si="35"/>
        <v>0.66666666666666663</v>
      </c>
      <c r="Q104">
        <f>[1]!survey_responses[[#This Row],[So với trước đây, tôi thấy cách tính thuế và các bậc thuế trong phương án mới đơn giản, dễ hiểu và dễ thực hiện hơn. - HUMAN-FAC2]]</f>
        <v>8</v>
      </c>
      <c r="R104">
        <f t="shared" si="36"/>
        <v>0.77777777777777779</v>
      </c>
      <c r="S104" s="32">
        <f t="shared" si="37"/>
        <v>0.72222222222222221</v>
      </c>
      <c r="T104" s="32">
        <f t="shared" si="38"/>
        <v>0.61111111111111116</v>
      </c>
      <c r="U104">
        <f>step3_validation[[#This Row],[AI_TRU1]]</f>
        <v>8</v>
      </c>
      <c r="V104">
        <f t="shared" si="39"/>
        <v>0.77777777777777779</v>
      </c>
      <c r="W104">
        <f>[1]!survey_responses[[#This Row],[Tôi tin rằng Nhà nước, cơ quan thuế sẽ thực thi chính sách mới một cách khách quan, công tâm và đối xử bình đẳng với mọi người nộp thuế.  - HUMAN-TRU1]]</f>
        <v>5</v>
      </c>
      <c r="X104">
        <f t="shared" si="40"/>
        <v>0.44444444444444442</v>
      </c>
      <c r="Y104">
        <f>step3_validation[[#This Row],[AI_TRU2]]</f>
        <v>6</v>
      </c>
      <c r="Z104">
        <f t="shared" si="41"/>
        <v>0.55555555555555558</v>
      </c>
      <c r="AA104">
        <f>[1]!survey_responses[[#This Row],[Tôi thấy mức thuế tôi phải đóng theo phương án mới là công bằng (người thu nhập như tôi đóng mức này là hợp lý). - HUMAN-TRU2]]</f>
        <v>5</v>
      </c>
      <c r="AB104">
        <f t="shared" si="42"/>
        <v>0.44444444444444442</v>
      </c>
      <c r="AC104">
        <f>step3_validation[[#This Row],[AI_TRU3]]</f>
        <v>7</v>
      </c>
      <c r="AD104">
        <f t="shared" si="43"/>
        <v>0.66666666666666663</v>
      </c>
      <c r="AE104">
        <f>[1]!survey_responses[[#This Row],[Tôi tin tưởng số tiền thuế tôi đóng sẽ được Nhà nước sử dụng hiệu quả để cải thiện dịch vụ công (y tế, đường xá...). - HUMAN-TRU3]]</f>
        <v>6</v>
      </c>
      <c r="AF104">
        <f t="shared" si="44"/>
        <v>0.55555555555555558</v>
      </c>
      <c r="AG104">
        <f>step3_validation[[#This Row],[AI_TRU4]]</f>
        <v>5</v>
      </c>
      <c r="AH104">
        <f t="shared" si="45"/>
        <v>0.44444444444444442</v>
      </c>
      <c r="AI104">
        <f>[1]!survey_responses[[#This Row],[Tôi thấy Nhà nước đã giải thích rõ ràng, minh bạch về lý do và mục tiêu của việc sửa đổi thuế lần này. - HUMAN-TRU4]]</f>
        <v>6</v>
      </c>
      <c r="AJ104">
        <f t="shared" si="46"/>
        <v>0.55555555555555558</v>
      </c>
      <c r="AK104" s="32">
        <f t="shared" si="47"/>
        <v>0.61111111111111116</v>
      </c>
      <c r="AL104" s="32">
        <f t="shared" si="48"/>
        <v>0.5</v>
      </c>
      <c r="AM104" s="7">
        <f t="shared" si="49"/>
        <v>0.64814814814814825</v>
      </c>
      <c r="AN104" s="7">
        <f t="shared" si="50"/>
        <v>0.62962962962962965</v>
      </c>
      <c r="AO104">
        <f>step3_validation[[#This Row],[AI_OUT1]]</f>
        <v>7</v>
      </c>
      <c r="AP104">
        <f t="shared" si="51"/>
        <v>0.66666666666666663</v>
      </c>
      <c r="AQ104">
        <f>[1]!survey_responses[[#This Row],[Sau khi xem xét các quyền lợi và nghĩa vụ, bạn có ủng hộ và tuân thủ chính sách mới hiện nay? - HUMAN-OUT1]]</f>
        <v>5</v>
      </c>
      <c r="AR104">
        <f t="shared" si="52"/>
        <v>0.44444444444444442</v>
      </c>
      <c r="AS104" s="32">
        <f t="shared" si="53"/>
        <v>2</v>
      </c>
    </row>
    <row r="105" spans="1:45" x14ac:dyDescent="0.45">
      <c r="A105">
        <f>step3_validation[[#This Row],[AI_ENF1]]</f>
        <v>7</v>
      </c>
      <c r="B105">
        <f t="shared" si="27"/>
        <v>0.66666666666666663</v>
      </c>
      <c r="C105">
        <f>[1]!survey_responses[[#This Row],[Tôi tin rằng với các quy định quản lý thuế hiện nay, hành vi gian lận hoặc trốn thuế sẽ dễ dàng bị phát hiện và xử lý nghiêm. - HUMAN-ENF1]]</f>
        <v>6</v>
      </c>
      <c r="D105">
        <f t="shared" si="28"/>
        <v>0.55555555555555558</v>
      </c>
      <c r="E105">
        <f>step3_validation[[#This Row],[AI_ENF2]]</f>
        <v>8</v>
      </c>
      <c r="F105">
        <f t="shared" si="29"/>
        <v>0.77777777777777779</v>
      </c>
      <c r="G105">
        <f>[1]!survey_responses[[#This Row],[Tôi tin rằng Nhà nước, cơ quan thuế có đủ khả năng và công nghệ để phát hiện, xử lý nghiêm các hành vi trốn thuế. - HUMAN-ENF2]]</f>
        <v>7</v>
      </c>
      <c r="H105">
        <f t="shared" si="30"/>
        <v>0.66666666666666663</v>
      </c>
      <c r="I105" s="32">
        <f t="shared" si="31"/>
        <v>0.72222222222222221</v>
      </c>
      <c r="J105" s="32">
        <f t="shared" si="32"/>
        <v>0.61111111111111116</v>
      </c>
      <c r="K105">
        <f>step3_validation[[#This Row],[AI_FAC1]]</f>
        <v>6</v>
      </c>
      <c r="L105">
        <f t="shared" si="33"/>
        <v>0.55555555555555558</v>
      </c>
      <c r="M105">
        <f>[1]!survey_responses[[#This Row],[Các thủ tục khai báo thuế VÀ/HOẶC quy trình làm việc với cơ quan thuế đơn giản, tiện lợi, nhanh chóng hơn so với trước đây. - HUMAN-FAC1]]</f>
        <v>6</v>
      </c>
      <c r="N105">
        <f t="shared" si="34"/>
        <v>0.55555555555555558</v>
      </c>
      <c r="O105">
        <f>step3_validation[[#This Row],[AI_FAC2]]</f>
        <v>8</v>
      </c>
      <c r="P105">
        <f t="shared" si="35"/>
        <v>0.77777777777777779</v>
      </c>
      <c r="Q105">
        <f>[1]!survey_responses[[#This Row],[So với trước đây, tôi thấy cách tính thuế và các bậc thuế trong phương án mới đơn giản, dễ hiểu và dễ thực hiện hơn. - HUMAN-FAC2]]</f>
        <v>8</v>
      </c>
      <c r="R105">
        <f t="shared" si="36"/>
        <v>0.77777777777777779</v>
      </c>
      <c r="S105" s="32">
        <f t="shared" si="37"/>
        <v>0.66666666666666674</v>
      </c>
      <c r="T105" s="32">
        <f t="shared" si="38"/>
        <v>0.66666666666666674</v>
      </c>
      <c r="U105">
        <f>step3_validation[[#This Row],[AI_TRU1]]</f>
        <v>6</v>
      </c>
      <c r="V105">
        <f t="shared" si="39"/>
        <v>0.55555555555555558</v>
      </c>
      <c r="W105">
        <f>[1]!survey_responses[[#This Row],[Tôi tin rằng Nhà nước, cơ quan thuế sẽ thực thi chính sách mới một cách khách quan, công tâm và đối xử bình đẳng với mọi người nộp thuế.  - HUMAN-TRU1]]</f>
        <v>6</v>
      </c>
      <c r="X105">
        <f t="shared" si="40"/>
        <v>0.55555555555555558</v>
      </c>
      <c r="Y105">
        <f>step3_validation[[#This Row],[AI_TRU2]]</f>
        <v>7</v>
      </c>
      <c r="Z105">
        <f t="shared" si="41"/>
        <v>0.66666666666666663</v>
      </c>
      <c r="AA105">
        <f>[1]!survey_responses[[#This Row],[Tôi thấy mức thuế tôi phải đóng theo phương án mới là công bằng (người thu nhập như tôi đóng mức này là hợp lý). - HUMAN-TRU2]]</f>
        <v>7</v>
      </c>
      <c r="AB105">
        <f t="shared" si="42"/>
        <v>0.66666666666666663</v>
      </c>
      <c r="AC105">
        <f>step3_validation[[#This Row],[AI_TRU3]]</f>
        <v>6</v>
      </c>
      <c r="AD105">
        <f t="shared" si="43"/>
        <v>0.55555555555555558</v>
      </c>
      <c r="AE105">
        <f>[1]!survey_responses[[#This Row],[Tôi tin tưởng số tiền thuế tôi đóng sẽ được Nhà nước sử dụng hiệu quả để cải thiện dịch vụ công (y tế, đường xá...). - HUMAN-TRU3]]</f>
        <v>6</v>
      </c>
      <c r="AF105">
        <f t="shared" si="44"/>
        <v>0.55555555555555558</v>
      </c>
      <c r="AG105">
        <f>step3_validation[[#This Row],[AI_TRU4]]</f>
        <v>7</v>
      </c>
      <c r="AH105">
        <f t="shared" si="45"/>
        <v>0.66666666666666663</v>
      </c>
      <c r="AI105">
        <f>[1]!survey_responses[[#This Row],[Tôi thấy Nhà nước đã giải thích rõ ràng, minh bạch về lý do và mục tiêu của việc sửa đổi thuế lần này. - HUMAN-TRU4]]</f>
        <v>6</v>
      </c>
      <c r="AJ105">
        <f t="shared" si="46"/>
        <v>0.55555555555555558</v>
      </c>
      <c r="AK105" s="32">
        <f t="shared" si="47"/>
        <v>0.61111111111111116</v>
      </c>
      <c r="AL105" s="32">
        <f t="shared" si="48"/>
        <v>0.58333333333333337</v>
      </c>
      <c r="AM105" s="7">
        <f t="shared" si="49"/>
        <v>0.66666666666666663</v>
      </c>
      <c r="AN105" s="7">
        <f t="shared" si="50"/>
        <v>0.62037037037037035</v>
      </c>
      <c r="AO105">
        <f>step3_validation[[#This Row],[AI_OUT1]]</f>
        <v>8</v>
      </c>
      <c r="AP105">
        <f t="shared" si="51"/>
        <v>0.77777777777777779</v>
      </c>
      <c r="AQ105">
        <f>[1]!survey_responses[[#This Row],[Sau khi xem xét các quyền lợi và nghĩa vụ, bạn có ủng hộ và tuân thủ chính sách mới hiện nay? - HUMAN-OUT1]]</f>
        <v>7</v>
      </c>
      <c r="AR105">
        <f t="shared" si="52"/>
        <v>0.66666666666666663</v>
      </c>
      <c r="AS105" s="32">
        <f t="shared" si="53"/>
        <v>1</v>
      </c>
    </row>
    <row r="106" spans="1:45" x14ac:dyDescent="0.45">
      <c r="A106">
        <f>step3_validation[[#This Row],[AI_ENF1]]</f>
        <v>7</v>
      </c>
      <c r="B106">
        <f t="shared" si="27"/>
        <v>0.66666666666666663</v>
      </c>
      <c r="C106">
        <f>[1]!survey_responses[[#This Row],[Tôi tin rằng với các quy định quản lý thuế hiện nay, hành vi gian lận hoặc trốn thuế sẽ dễ dàng bị phát hiện và xử lý nghiêm. - HUMAN-ENF1]]</f>
        <v>9</v>
      </c>
      <c r="D106">
        <f t="shared" si="28"/>
        <v>0.88888888888888884</v>
      </c>
      <c r="E106">
        <f>step3_validation[[#This Row],[AI_ENF2]]</f>
        <v>6</v>
      </c>
      <c r="F106">
        <f t="shared" si="29"/>
        <v>0.55555555555555558</v>
      </c>
      <c r="G106">
        <f>[1]!survey_responses[[#This Row],[Tôi tin rằng Nhà nước, cơ quan thuế có đủ khả năng và công nghệ để phát hiện, xử lý nghiêm các hành vi trốn thuế. - HUMAN-ENF2]]</f>
        <v>10</v>
      </c>
      <c r="H106">
        <f t="shared" si="30"/>
        <v>1</v>
      </c>
      <c r="I106" s="32">
        <f t="shared" si="31"/>
        <v>0.61111111111111116</v>
      </c>
      <c r="J106" s="32">
        <f t="shared" si="32"/>
        <v>0.94444444444444442</v>
      </c>
      <c r="K106">
        <f>step3_validation[[#This Row],[AI_FAC1]]</f>
        <v>8</v>
      </c>
      <c r="L106">
        <f t="shared" si="33"/>
        <v>0.77777777777777779</v>
      </c>
      <c r="M106">
        <f>[1]!survey_responses[[#This Row],[Các thủ tục khai báo thuế VÀ/HOẶC quy trình làm việc với cơ quan thuế đơn giản, tiện lợi, nhanh chóng hơn so với trước đây. - HUMAN-FAC1]]</f>
        <v>8</v>
      </c>
      <c r="N106">
        <f t="shared" si="34"/>
        <v>0.77777777777777779</v>
      </c>
      <c r="O106">
        <f>step3_validation[[#This Row],[AI_FAC2]]</f>
        <v>7</v>
      </c>
      <c r="P106">
        <f t="shared" si="35"/>
        <v>0.66666666666666663</v>
      </c>
      <c r="Q106">
        <f>[1]!survey_responses[[#This Row],[So với trước đây, tôi thấy cách tính thuế và các bậc thuế trong phương án mới đơn giản, dễ hiểu và dễ thực hiện hơn. - HUMAN-FAC2]]</f>
        <v>8</v>
      </c>
      <c r="R106">
        <f t="shared" si="36"/>
        <v>0.77777777777777779</v>
      </c>
      <c r="S106" s="32">
        <f t="shared" si="37"/>
        <v>0.72222222222222221</v>
      </c>
      <c r="T106" s="32">
        <f t="shared" si="38"/>
        <v>0.77777777777777779</v>
      </c>
      <c r="U106">
        <f>step3_validation[[#This Row],[AI_TRU1]]</f>
        <v>8</v>
      </c>
      <c r="V106">
        <f t="shared" si="39"/>
        <v>0.77777777777777779</v>
      </c>
      <c r="W106">
        <f>[1]!survey_responses[[#This Row],[Tôi tin rằng Nhà nước, cơ quan thuế sẽ thực thi chính sách mới một cách khách quan, công tâm và đối xử bình đẳng với mọi người nộp thuế.  - HUMAN-TRU1]]</f>
        <v>9</v>
      </c>
      <c r="X106">
        <f t="shared" si="40"/>
        <v>0.88888888888888884</v>
      </c>
      <c r="Y106">
        <f>step3_validation[[#This Row],[AI_TRU2]]</f>
        <v>7</v>
      </c>
      <c r="Z106">
        <f t="shared" si="41"/>
        <v>0.66666666666666663</v>
      </c>
      <c r="AA106">
        <f>[1]!survey_responses[[#This Row],[Tôi thấy mức thuế tôi phải đóng theo phương án mới là công bằng (người thu nhập như tôi đóng mức này là hợp lý). - HUMAN-TRU2]]</f>
        <v>9</v>
      </c>
      <c r="AB106">
        <f t="shared" si="42"/>
        <v>0.88888888888888884</v>
      </c>
      <c r="AC106">
        <f>step3_validation[[#This Row],[AI_TRU3]]</f>
        <v>6</v>
      </c>
      <c r="AD106">
        <f t="shared" si="43"/>
        <v>0.55555555555555558</v>
      </c>
      <c r="AE106">
        <f>[1]!survey_responses[[#This Row],[Tôi tin tưởng số tiền thuế tôi đóng sẽ được Nhà nước sử dụng hiệu quả để cải thiện dịch vụ công (y tế, đường xá...). - HUMAN-TRU3]]</f>
        <v>8</v>
      </c>
      <c r="AF106">
        <f t="shared" si="44"/>
        <v>0.77777777777777779</v>
      </c>
      <c r="AG106">
        <f>step3_validation[[#This Row],[AI_TRU4]]</f>
        <v>5</v>
      </c>
      <c r="AH106">
        <f t="shared" si="45"/>
        <v>0.44444444444444442</v>
      </c>
      <c r="AI106">
        <f>[1]!survey_responses[[#This Row],[Tôi thấy Nhà nước đã giải thích rõ ràng, minh bạch về lý do và mục tiêu của việc sửa đổi thuế lần này. - HUMAN-TRU4]]</f>
        <v>6</v>
      </c>
      <c r="AJ106">
        <f t="shared" si="46"/>
        <v>0.55555555555555558</v>
      </c>
      <c r="AK106" s="32">
        <f t="shared" si="47"/>
        <v>0.61111111111111116</v>
      </c>
      <c r="AL106" s="32">
        <f t="shared" si="48"/>
        <v>0.77777777777777768</v>
      </c>
      <c r="AM106" s="7">
        <f t="shared" si="49"/>
        <v>0.64814814814814825</v>
      </c>
      <c r="AN106" s="7">
        <f t="shared" si="50"/>
        <v>0.83333333333333337</v>
      </c>
      <c r="AO106">
        <f>step3_validation[[#This Row],[AI_OUT1]]</f>
        <v>6</v>
      </c>
      <c r="AP106">
        <f t="shared" si="51"/>
        <v>0.55555555555555558</v>
      </c>
      <c r="AQ106">
        <f>[1]!survey_responses[[#This Row],[Sau khi xem xét các quyền lợi và nghĩa vụ, bạn có ủng hộ và tuân thủ chính sách mới hiện nay? - HUMAN-OUT1]]</f>
        <v>9</v>
      </c>
      <c r="AR106">
        <f t="shared" si="52"/>
        <v>0.88888888888888884</v>
      </c>
      <c r="AS106" s="32">
        <f t="shared" si="53"/>
        <v>3</v>
      </c>
    </row>
    <row r="107" spans="1:45" x14ac:dyDescent="0.45">
      <c r="A107">
        <f>step3_validation[[#This Row],[AI_ENF1]]</f>
        <v>8</v>
      </c>
      <c r="B107">
        <f t="shared" si="27"/>
        <v>0.77777777777777779</v>
      </c>
      <c r="C107">
        <f>[1]!survey_responses[[#This Row],[Tôi tin rằng với các quy định quản lý thuế hiện nay, hành vi gian lận hoặc trốn thuế sẽ dễ dàng bị phát hiện và xử lý nghiêm. - HUMAN-ENF1]]</f>
        <v>10</v>
      </c>
      <c r="D107">
        <f t="shared" si="28"/>
        <v>1</v>
      </c>
      <c r="E107">
        <f>step3_validation[[#This Row],[AI_ENF2]]</f>
        <v>7</v>
      </c>
      <c r="F107">
        <f t="shared" si="29"/>
        <v>0.66666666666666663</v>
      </c>
      <c r="G107">
        <f>[1]!survey_responses[[#This Row],[Tôi tin rằng Nhà nước, cơ quan thuế có đủ khả năng và công nghệ để phát hiện, xử lý nghiêm các hành vi trốn thuế. - HUMAN-ENF2]]</f>
        <v>5</v>
      </c>
      <c r="H107">
        <f t="shared" si="30"/>
        <v>0.44444444444444442</v>
      </c>
      <c r="I107" s="32">
        <f t="shared" si="31"/>
        <v>0.72222222222222221</v>
      </c>
      <c r="J107" s="32">
        <f t="shared" si="32"/>
        <v>0.72222222222222221</v>
      </c>
      <c r="K107">
        <f>step3_validation[[#This Row],[AI_FAC1]]</f>
        <v>6</v>
      </c>
      <c r="L107">
        <f t="shared" si="33"/>
        <v>0.55555555555555558</v>
      </c>
      <c r="M107">
        <f>[1]!survey_responses[[#This Row],[Các thủ tục khai báo thuế VÀ/HOẶC quy trình làm việc với cơ quan thuế đơn giản, tiện lợi, nhanh chóng hơn so với trước đây. - HUMAN-FAC1]]</f>
        <v>8</v>
      </c>
      <c r="N107">
        <f t="shared" si="34"/>
        <v>0.77777777777777779</v>
      </c>
      <c r="O107">
        <f>step3_validation[[#This Row],[AI_FAC2]]</f>
        <v>7</v>
      </c>
      <c r="P107">
        <f t="shared" si="35"/>
        <v>0.66666666666666663</v>
      </c>
      <c r="Q107">
        <f>[1]!survey_responses[[#This Row],[So với trước đây, tôi thấy cách tính thuế và các bậc thuế trong phương án mới đơn giản, dễ hiểu và dễ thực hiện hơn. - HUMAN-FAC2]]</f>
        <v>8</v>
      </c>
      <c r="R107">
        <f t="shared" si="36"/>
        <v>0.77777777777777779</v>
      </c>
      <c r="S107" s="32">
        <f t="shared" si="37"/>
        <v>0.61111111111111116</v>
      </c>
      <c r="T107" s="32">
        <f t="shared" si="38"/>
        <v>0.77777777777777779</v>
      </c>
      <c r="U107">
        <f>step3_validation[[#This Row],[AI_TRU1]]</f>
        <v>6</v>
      </c>
      <c r="V107">
        <f t="shared" si="39"/>
        <v>0.55555555555555558</v>
      </c>
      <c r="W107">
        <f>[1]!survey_responses[[#This Row],[Tôi tin rằng Nhà nước, cơ quan thuế sẽ thực thi chính sách mới một cách khách quan, công tâm và đối xử bình đẳng với mọi người nộp thuế.  - HUMAN-TRU1]]</f>
        <v>10</v>
      </c>
      <c r="X107">
        <f t="shared" si="40"/>
        <v>1</v>
      </c>
      <c r="Y107">
        <f>step3_validation[[#This Row],[AI_TRU2]]</f>
        <v>7</v>
      </c>
      <c r="Z107">
        <f t="shared" si="41"/>
        <v>0.66666666666666663</v>
      </c>
      <c r="AA107">
        <f>[1]!survey_responses[[#This Row],[Tôi thấy mức thuế tôi phải đóng theo phương án mới là công bằng (người thu nhập như tôi đóng mức này là hợp lý). - HUMAN-TRU2]]</f>
        <v>10</v>
      </c>
      <c r="AB107">
        <f t="shared" si="42"/>
        <v>1</v>
      </c>
      <c r="AC107">
        <f>step3_validation[[#This Row],[AI_TRU3]]</f>
        <v>6</v>
      </c>
      <c r="AD107">
        <f t="shared" si="43"/>
        <v>0.55555555555555558</v>
      </c>
      <c r="AE107">
        <f>[1]!survey_responses[[#This Row],[Tôi tin tưởng số tiền thuế tôi đóng sẽ được Nhà nước sử dụng hiệu quả để cải thiện dịch vụ công (y tế, đường xá...). - HUMAN-TRU3]]</f>
        <v>10</v>
      </c>
      <c r="AF107">
        <f t="shared" si="44"/>
        <v>1</v>
      </c>
      <c r="AG107">
        <f>step3_validation[[#This Row],[AI_TRU4]]</f>
        <v>7</v>
      </c>
      <c r="AH107">
        <f t="shared" si="45"/>
        <v>0.66666666666666663</v>
      </c>
      <c r="AI107">
        <f>[1]!survey_responses[[#This Row],[Tôi thấy Nhà nước đã giải thích rõ ràng, minh bạch về lý do và mục tiêu của việc sửa đổi thuế lần này. - HUMAN-TRU4]]</f>
        <v>10</v>
      </c>
      <c r="AJ107">
        <f t="shared" si="46"/>
        <v>1</v>
      </c>
      <c r="AK107" s="32">
        <f t="shared" si="47"/>
        <v>0.61111111111111116</v>
      </c>
      <c r="AL107" s="32">
        <f t="shared" si="48"/>
        <v>1</v>
      </c>
      <c r="AM107" s="7">
        <f t="shared" si="49"/>
        <v>0.64814814814814825</v>
      </c>
      <c r="AN107" s="7">
        <f t="shared" si="50"/>
        <v>0.83333333333333337</v>
      </c>
      <c r="AO107">
        <f>step3_validation[[#This Row],[AI_OUT1]]</f>
        <v>8</v>
      </c>
      <c r="AP107">
        <f t="shared" si="51"/>
        <v>0.77777777777777779</v>
      </c>
      <c r="AQ107">
        <f>[1]!survey_responses[[#This Row],[Sau khi xem xét các quyền lợi và nghĩa vụ, bạn có ủng hộ và tuân thủ chính sách mới hiện nay? - HUMAN-OUT1]]</f>
        <v>10</v>
      </c>
      <c r="AR107">
        <f t="shared" si="52"/>
        <v>1</v>
      </c>
      <c r="AS107" s="32">
        <f t="shared" si="53"/>
        <v>2</v>
      </c>
    </row>
    <row r="108" spans="1:45" x14ac:dyDescent="0.45">
      <c r="A108">
        <f>step3_validation[[#This Row],[AI_ENF1]]</f>
        <v>7</v>
      </c>
      <c r="B108">
        <f t="shared" si="27"/>
        <v>0.66666666666666663</v>
      </c>
      <c r="C108">
        <f>[1]!survey_responses[[#This Row],[Tôi tin rằng với các quy định quản lý thuế hiện nay, hành vi gian lận hoặc trốn thuế sẽ dễ dàng bị phát hiện và xử lý nghiêm. - HUMAN-ENF1]]</f>
        <v>7</v>
      </c>
      <c r="D108">
        <f t="shared" si="28"/>
        <v>0.66666666666666663</v>
      </c>
      <c r="E108">
        <f>step3_validation[[#This Row],[AI_ENF2]]</f>
        <v>8</v>
      </c>
      <c r="F108">
        <f t="shared" si="29"/>
        <v>0.77777777777777779</v>
      </c>
      <c r="G108">
        <f>[1]!survey_responses[[#This Row],[Tôi tin rằng Nhà nước, cơ quan thuế có đủ khả năng và công nghệ để phát hiện, xử lý nghiêm các hành vi trốn thuế. - HUMAN-ENF2]]</f>
        <v>7</v>
      </c>
      <c r="H108">
        <f t="shared" si="30"/>
        <v>0.66666666666666663</v>
      </c>
      <c r="I108" s="32">
        <f t="shared" si="31"/>
        <v>0.72222222222222221</v>
      </c>
      <c r="J108" s="32">
        <f t="shared" si="32"/>
        <v>0.66666666666666663</v>
      </c>
      <c r="K108">
        <f>step3_validation[[#This Row],[AI_FAC1]]</f>
        <v>6</v>
      </c>
      <c r="L108">
        <f t="shared" si="33"/>
        <v>0.55555555555555558</v>
      </c>
      <c r="M108">
        <f>[1]!survey_responses[[#This Row],[Các thủ tục khai báo thuế VÀ/HOẶC quy trình làm việc với cơ quan thuế đơn giản, tiện lợi, nhanh chóng hơn so với trước đây. - HUMAN-FAC1]]</f>
        <v>7</v>
      </c>
      <c r="N108">
        <f t="shared" si="34"/>
        <v>0.66666666666666663</v>
      </c>
      <c r="O108">
        <f>step3_validation[[#This Row],[AI_FAC2]]</f>
        <v>9</v>
      </c>
      <c r="P108">
        <f t="shared" si="35"/>
        <v>0.88888888888888884</v>
      </c>
      <c r="Q108">
        <f>[1]!survey_responses[[#This Row],[So với trước đây, tôi thấy cách tính thuế và các bậc thuế trong phương án mới đơn giản, dễ hiểu và dễ thực hiện hơn. - HUMAN-FAC2]]</f>
        <v>7</v>
      </c>
      <c r="R108">
        <f t="shared" si="36"/>
        <v>0.66666666666666663</v>
      </c>
      <c r="S108" s="32">
        <f t="shared" si="37"/>
        <v>0.72222222222222221</v>
      </c>
      <c r="T108" s="32">
        <f t="shared" si="38"/>
        <v>0.66666666666666663</v>
      </c>
      <c r="U108">
        <f>step3_validation[[#This Row],[AI_TRU1]]</f>
        <v>7</v>
      </c>
      <c r="V108">
        <f t="shared" si="39"/>
        <v>0.66666666666666663</v>
      </c>
      <c r="W108">
        <f>[1]!survey_responses[[#This Row],[Tôi tin rằng Nhà nước, cơ quan thuế sẽ thực thi chính sách mới một cách khách quan, công tâm và đối xử bình đẳng với mọi người nộp thuế.  - HUMAN-TRU1]]</f>
        <v>7</v>
      </c>
      <c r="X108">
        <f t="shared" si="40"/>
        <v>0.66666666666666663</v>
      </c>
      <c r="Y108">
        <f>step3_validation[[#This Row],[AI_TRU2]]</f>
        <v>8</v>
      </c>
      <c r="Z108">
        <f t="shared" si="41"/>
        <v>0.77777777777777779</v>
      </c>
      <c r="AA108">
        <f>[1]!survey_responses[[#This Row],[Tôi thấy mức thuế tôi phải đóng theo phương án mới là công bằng (người thu nhập như tôi đóng mức này là hợp lý). - HUMAN-TRU2]]</f>
        <v>7</v>
      </c>
      <c r="AB108">
        <f t="shared" si="42"/>
        <v>0.66666666666666663</v>
      </c>
      <c r="AC108">
        <f>step3_validation[[#This Row],[AI_TRU3]]</f>
        <v>7</v>
      </c>
      <c r="AD108">
        <f t="shared" si="43"/>
        <v>0.66666666666666663</v>
      </c>
      <c r="AE108">
        <f>[1]!survey_responses[[#This Row],[Tôi tin tưởng số tiền thuế tôi đóng sẽ được Nhà nước sử dụng hiệu quả để cải thiện dịch vụ công (y tế, đường xá...). - HUMAN-TRU3]]</f>
        <v>7</v>
      </c>
      <c r="AF108">
        <f t="shared" si="44"/>
        <v>0.66666666666666663</v>
      </c>
      <c r="AG108">
        <f>step3_validation[[#This Row],[AI_TRU4]]</f>
        <v>6</v>
      </c>
      <c r="AH108">
        <f t="shared" si="45"/>
        <v>0.55555555555555558</v>
      </c>
      <c r="AI108">
        <f>[1]!survey_responses[[#This Row],[Tôi thấy Nhà nước đã giải thích rõ ràng, minh bạch về lý do và mục tiêu của việc sửa đổi thuế lần này. - HUMAN-TRU4]]</f>
        <v>7</v>
      </c>
      <c r="AJ108">
        <f t="shared" si="46"/>
        <v>0.66666666666666663</v>
      </c>
      <c r="AK108" s="32">
        <f t="shared" si="47"/>
        <v>0.66666666666666674</v>
      </c>
      <c r="AL108" s="32">
        <f t="shared" si="48"/>
        <v>0.66666666666666663</v>
      </c>
      <c r="AM108" s="7">
        <f t="shared" si="49"/>
        <v>0.70370370370370372</v>
      </c>
      <c r="AN108" s="7">
        <f t="shared" si="50"/>
        <v>0.66666666666666663</v>
      </c>
      <c r="AO108">
        <f>step3_validation[[#This Row],[AI_OUT1]]</f>
        <v>8</v>
      </c>
      <c r="AP108">
        <f t="shared" si="51"/>
        <v>0.77777777777777779</v>
      </c>
      <c r="AQ108">
        <f>[1]!survey_responses[[#This Row],[Sau khi xem xét các quyền lợi và nghĩa vụ, bạn có ủng hộ và tuân thủ chính sách mới hiện nay? - HUMAN-OUT1]]</f>
        <v>8</v>
      </c>
      <c r="AR108">
        <f t="shared" si="52"/>
        <v>0.77777777777777779</v>
      </c>
      <c r="AS108" s="32">
        <f t="shared" si="53"/>
        <v>0</v>
      </c>
    </row>
    <row r="109" spans="1:45" x14ac:dyDescent="0.45">
      <c r="A109">
        <f>step3_validation[[#This Row],[AI_ENF1]]</f>
        <v>8</v>
      </c>
      <c r="B109">
        <f t="shared" si="27"/>
        <v>0.77777777777777779</v>
      </c>
      <c r="C109">
        <f>[1]!survey_responses[[#This Row],[Tôi tin rằng với các quy định quản lý thuế hiện nay, hành vi gian lận hoặc trốn thuế sẽ dễ dàng bị phát hiện và xử lý nghiêm. - HUMAN-ENF1]]</f>
        <v>5</v>
      </c>
      <c r="D109">
        <f t="shared" si="28"/>
        <v>0.44444444444444442</v>
      </c>
      <c r="E109">
        <f>step3_validation[[#This Row],[AI_ENF2]]</f>
        <v>7</v>
      </c>
      <c r="F109">
        <f t="shared" si="29"/>
        <v>0.66666666666666663</v>
      </c>
      <c r="G109">
        <f>[1]!survey_responses[[#This Row],[Tôi tin rằng Nhà nước, cơ quan thuế có đủ khả năng và công nghệ để phát hiện, xử lý nghiêm các hành vi trốn thuế. - HUMAN-ENF2]]</f>
        <v>10</v>
      </c>
      <c r="H109">
        <f t="shared" si="30"/>
        <v>1</v>
      </c>
      <c r="I109" s="32">
        <f t="shared" si="31"/>
        <v>0.72222222222222221</v>
      </c>
      <c r="J109" s="32">
        <f t="shared" si="32"/>
        <v>0.72222222222222221</v>
      </c>
      <c r="K109">
        <f>step3_validation[[#This Row],[AI_FAC1]]</f>
        <v>8</v>
      </c>
      <c r="L109">
        <f t="shared" si="33"/>
        <v>0.77777777777777779</v>
      </c>
      <c r="M109">
        <f>[1]!survey_responses[[#This Row],[Các thủ tục khai báo thuế VÀ/HOẶC quy trình làm việc với cơ quan thuế đơn giản, tiện lợi, nhanh chóng hơn so với trước đây. - HUMAN-FAC1]]</f>
        <v>5</v>
      </c>
      <c r="N109">
        <f t="shared" si="34"/>
        <v>0.44444444444444442</v>
      </c>
      <c r="O109">
        <f>step3_validation[[#This Row],[AI_FAC2]]</f>
        <v>7</v>
      </c>
      <c r="P109">
        <f t="shared" si="35"/>
        <v>0.66666666666666663</v>
      </c>
      <c r="Q109">
        <f>[1]!survey_responses[[#This Row],[So với trước đây, tôi thấy cách tính thuế và các bậc thuế trong phương án mới đơn giản, dễ hiểu và dễ thực hiện hơn. - HUMAN-FAC2]]</f>
        <v>5</v>
      </c>
      <c r="R109">
        <f t="shared" si="36"/>
        <v>0.44444444444444442</v>
      </c>
      <c r="S109" s="32">
        <f t="shared" si="37"/>
        <v>0.72222222222222221</v>
      </c>
      <c r="T109" s="32">
        <f t="shared" si="38"/>
        <v>0.44444444444444442</v>
      </c>
      <c r="U109">
        <f>step3_validation[[#This Row],[AI_TRU1]]</f>
        <v>6</v>
      </c>
      <c r="V109">
        <f t="shared" si="39"/>
        <v>0.55555555555555558</v>
      </c>
      <c r="W109">
        <f>[1]!survey_responses[[#This Row],[Tôi tin rằng Nhà nước, cơ quan thuế sẽ thực thi chính sách mới một cách khách quan, công tâm và đối xử bình đẳng với mọi người nộp thuế.  - HUMAN-TRU1]]</f>
        <v>5</v>
      </c>
      <c r="X109">
        <f t="shared" si="40"/>
        <v>0.44444444444444442</v>
      </c>
      <c r="Y109">
        <f>step3_validation[[#This Row],[AI_TRU2]]</f>
        <v>7</v>
      </c>
      <c r="Z109">
        <f t="shared" si="41"/>
        <v>0.66666666666666663</v>
      </c>
      <c r="AA109">
        <f>[1]!survey_responses[[#This Row],[Tôi thấy mức thuế tôi phải đóng theo phương án mới là công bằng (người thu nhập như tôi đóng mức này là hợp lý). - HUMAN-TRU2]]</f>
        <v>5</v>
      </c>
      <c r="AB109">
        <f t="shared" si="42"/>
        <v>0.44444444444444442</v>
      </c>
      <c r="AC109">
        <f>step3_validation[[#This Row],[AI_TRU3]]</f>
        <v>6</v>
      </c>
      <c r="AD109">
        <f t="shared" si="43"/>
        <v>0.55555555555555558</v>
      </c>
      <c r="AE109">
        <f>[1]!survey_responses[[#This Row],[Tôi tin tưởng số tiền thuế tôi đóng sẽ được Nhà nước sử dụng hiệu quả để cải thiện dịch vụ công (y tế, đường xá...). - HUMAN-TRU3]]</f>
        <v>8</v>
      </c>
      <c r="AF109">
        <f t="shared" si="44"/>
        <v>0.77777777777777779</v>
      </c>
      <c r="AG109">
        <f>step3_validation[[#This Row],[AI_TRU4]]</f>
        <v>5</v>
      </c>
      <c r="AH109">
        <f t="shared" si="45"/>
        <v>0.44444444444444442</v>
      </c>
      <c r="AI109">
        <f>[1]!survey_responses[[#This Row],[Tôi thấy Nhà nước đã giải thích rõ ràng, minh bạch về lý do và mục tiêu của việc sửa đổi thuế lần này. - HUMAN-TRU4]]</f>
        <v>5</v>
      </c>
      <c r="AJ109">
        <f t="shared" si="46"/>
        <v>0.44444444444444442</v>
      </c>
      <c r="AK109" s="32">
        <f t="shared" si="47"/>
        <v>0.55555555555555558</v>
      </c>
      <c r="AL109" s="32">
        <f t="shared" si="48"/>
        <v>0.52777777777777768</v>
      </c>
      <c r="AM109" s="7">
        <f t="shared" si="49"/>
        <v>0.66666666666666663</v>
      </c>
      <c r="AN109" s="7">
        <f t="shared" si="50"/>
        <v>0.56481481481481477</v>
      </c>
      <c r="AO109">
        <f>step3_validation[[#This Row],[AI_OUT1]]</f>
        <v>7</v>
      </c>
      <c r="AP109">
        <f t="shared" si="51"/>
        <v>0.66666666666666663</v>
      </c>
      <c r="AQ109">
        <f>[1]!survey_responses[[#This Row],[Sau khi xem xét các quyền lợi và nghĩa vụ, bạn có ủng hộ và tuân thủ chính sách mới hiện nay? - HUMAN-OUT1]]</f>
        <v>6</v>
      </c>
      <c r="AR109">
        <f t="shared" si="52"/>
        <v>0.55555555555555558</v>
      </c>
      <c r="AS109" s="32">
        <f t="shared" si="53"/>
        <v>1</v>
      </c>
    </row>
    <row r="110" spans="1:45" x14ac:dyDescent="0.45">
      <c r="A110">
        <f>step3_validation[[#This Row],[AI_ENF1]]</f>
        <v>8</v>
      </c>
      <c r="B110">
        <f t="shared" si="27"/>
        <v>0.77777777777777779</v>
      </c>
      <c r="C110">
        <f>[1]!survey_responses[[#This Row],[Tôi tin rằng với các quy định quản lý thuế hiện nay, hành vi gian lận hoặc trốn thuế sẽ dễ dàng bị phát hiện và xử lý nghiêm. - HUMAN-ENF1]]</f>
        <v>10</v>
      </c>
      <c r="D110">
        <f t="shared" si="28"/>
        <v>1</v>
      </c>
      <c r="E110">
        <f>step3_validation[[#This Row],[AI_ENF2]]</f>
        <v>9</v>
      </c>
      <c r="F110">
        <f t="shared" si="29"/>
        <v>0.88888888888888884</v>
      </c>
      <c r="G110">
        <f>[1]!survey_responses[[#This Row],[Tôi tin rằng Nhà nước, cơ quan thuế có đủ khả năng và công nghệ để phát hiện, xử lý nghiêm các hành vi trốn thuế. - HUMAN-ENF2]]</f>
        <v>10</v>
      </c>
      <c r="H110">
        <f t="shared" si="30"/>
        <v>1</v>
      </c>
      <c r="I110" s="32">
        <f t="shared" si="31"/>
        <v>0.83333333333333326</v>
      </c>
      <c r="J110" s="32">
        <f t="shared" si="32"/>
        <v>1</v>
      </c>
      <c r="K110">
        <f>step3_validation[[#This Row],[AI_FAC1]]</f>
        <v>7</v>
      </c>
      <c r="L110">
        <f t="shared" si="33"/>
        <v>0.66666666666666663</v>
      </c>
      <c r="M110">
        <f>[1]!survey_responses[[#This Row],[Các thủ tục khai báo thuế VÀ/HOẶC quy trình làm việc với cơ quan thuế đơn giản, tiện lợi, nhanh chóng hơn so với trước đây. - HUMAN-FAC1]]</f>
        <v>10</v>
      </c>
      <c r="N110">
        <f t="shared" si="34"/>
        <v>1</v>
      </c>
      <c r="O110">
        <f>step3_validation[[#This Row],[AI_FAC2]]</f>
        <v>8</v>
      </c>
      <c r="P110">
        <f t="shared" si="35"/>
        <v>0.77777777777777779</v>
      </c>
      <c r="Q110">
        <f>[1]!survey_responses[[#This Row],[So với trước đây, tôi thấy cách tính thuế và các bậc thuế trong phương án mới đơn giản, dễ hiểu và dễ thực hiện hơn. - HUMAN-FAC2]]</f>
        <v>10</v>
      </c>
      <c r="R110">
        <f t="shared" si="36"/>
        <v>1</v>
      </c>
      <c r="S110" s="32">
        <f t="shared" si="37"/>
        <v>0.72222222222222221</v>
      </c>
      <c r="T110" s="32">
        <f t="shared" si="38"/>
        <v>1</v>
      </c>
      <c r="U110">
        <f>step3_validation[[#This Row],[AI_TRU1]]</f>
        <v>7</v>
      </c>
      <c r="V110">
        <f t="shared" si="39"/>
        <v>0.66666666666666663</v>
      </c>
      <c r="W110">
        <f>[1]!survey_responses[[#This Row],[Tôi tin rằng Nhà nước, cơ quan thuế sẽ thực thi chính sách mới một cách khách quan, công tâm và đối xử bình đẳng với mọi người nộp thuế.  - HUMAN-TRU1]]</f>
        <v>10</v>
      </c>
      <c r="X110">
        <f t="shared" si="40"/>
        <v>1</v>
      </c>
      <c r="Y110">
        <f>step3_validation[[#This Row],[AI_TRU2]]</f>
        <v>6</v>
      </c>
      <c r="Z110">
        <f t="shared" si="41"/>
        <v>0.55555555555555558</v>
      </c>
      <c r="AA110">
        <f>[1]!survey_responses[[#This Row],[Tôi thấy mức thuế tôi phải đóng theo phương án mới là công bằng (người thu nhập như tôi đóng mức này là hợp lý). - HUMAN-TRU2]]</f>
        <v>10</v>
      </c>
      <c r="AB110">
        <f t="shared" si="42"/>
        <v>1</v>
      </c>
      <c r="AC110">
        <f>step3_validation[[#This Row],[AI_TRU3]]</f>
        <v>7</v>
      </c>
      <c r="AD110">
        <f t="shared" si="43"/>
        <v>0.66666666666666663</v>
      </c>
      <c r="AE110">
        <f>[1]!survey_responses[[#This Row],[Tôi tin tưởng số tiền thuế tôi đóng sẽ được Nhà nước sử dụng hiệu quả để cải thiện dịch vụ công (y tế, đường xá...). - HUMAN-TRU3]]</f>
        <v>10</v>
      </c>
      <c r="AF110">
        <f t="shared" si="44"/>
        <v>1</v>
      </c>
      <c r="AG110">
        <f>step3_validation[[#This Row],[AI_TRU4]]</f>
        <v>5</v>
      </c>
      <c r="AH110">
        <f t="shared" si="45"/>
        <v>0.44444444444444442</v>
      </c>
      <c r="AI110">
        <f>[1]!survey_responses[[#This Row],[Tôi thấy Nhà nước đã giải thích rõ ràng, minh bạch về lý do và mục tiêu của việc sửa đổi thuế lần này. - HUMAN-TRU4]]</f>
        <v>10</v>
      </c>
      <c r="AJ110">
        <f t="shared" si="46"/>
        <v>1</v>
      </c>
      <c r="AK110" s="32">
        <f t="shared" si="47"/>
        <v>0.58333333333333326</v>
      </c>
      <c r="AL110" s="32">
        <f t="shared" si="48"/>
        <v>1</v>
      </c>
      <c r="AM110" s="7">
        <f t="shared" si="49"/>
        <v>0.7129629629629628</v>
      </c>
      <c r="AN110" s="7">
        <f t="shared" si="50"/>
        <v>1</v>
      </c>
      <c r="AO110">
        <f>step3_validation[[#This Row],[AI_OUT1]]</f>
        <v>7</v>
      </c>
      <c r="AP110">
        <f t="shared" si="51"/>
        <v>0.66666666666666663</v>
      </c>
      <c r="AQ110">
        <f>[1]!survey_responses[[#This Row],[Sau khi xem xét các quyền lợi và nghĩa vụ, bạn có ủng hộ và tuân thủ chính sách mới hiện nay? - HUMAN-OUT1]]</f>
        <v>10</v>
      </c>
      <c r="AR110">
        <f t="shared" si="52"/>
        <v>1</v>
      </c>
      <c r="AS110" s="32">
        <f t="shared" si="53"/>
        <v>3</v>
      </c>
    </row>
    <row r="111" spans="1:45" x14ac:dyDescent="0.45">
      <c r="A111">
        <f>step3_validation[[#This Row],[AI_ENF1]]</f>
        <v>7</v>
      </c>
      <c r="B111">
        <f t="shared" si="27"/>
        <v>0.66666666666666663</v>
      </c>
      <c r="C111">
        <f>[1]!survey_responses[[#This Row],[Tôi tin rằng với các quy định quản lý thuế hiện nay, hành vi gian lận hoặc trốn thuế sẽ dễ dàng bị phát hiện và xử lý nghiêm. - HUMAN-ENF1]]</f>
        <v>7</v>
      </c>
      <c r="D111">
        <f t="shared" si="28"/>
        <v>0.66666666666666663</v>
      </c>
      <c r="E111">
        <f>step3_validation[[#This Row],[AI_ENF2]]</f>
        <v>8</v>
      </c>
      <c r="F111">
        <f t="shared" si="29"/>
        <v>0.77777777777777779</v>
      </c>
      <c r="G111">
        <f>[1]!survey_responses[[#This Row],[Tôi tin rằng Nhà nước, cơ quan thuế có đủ khả năng và công nghệ để phát hiện, xử lý nghiêm các hành vi trốn thuế. - HUMAN-ENF2]]</f>
        <v>6</v>
      </c>
      <c r="H111">
        <f t="shared" si="30"/>
        <v>0.55555555555555558</v>
      </c>
      <c r="I111" s="32">
        <f t="shared" si="31"/>
        <v>0.72222222222222221</v>
      </c>
      <c r="J111" s="32">
        <f t="shared" si="32"/>
        <v>0.61111111111111116</v>
      </c>
      <c r="K111">
        <f>step3_validation[[#This Row],[AI_FAC1]]</f>
        <v>9</v>
      </c>
      <c r="L111">
        <f t="shared" si="33"/>
        <v>0.88888888888888884</v>
      </c>
      <c r="M111">
        <f>[1]!survey_responses[[#This Row],[Các thủ tục khai báo thuế VÀ/HOẶC quy trình làm việc với cơ quan thuế đơn giản, tiện lợi, nhanh chóng hơn so với trước đây. - HUMAN-FAC1]]</f>
        <v>8</v>
      </c>
      <c r="N111">
        <f t="shared" si="34"/>
        <v>0.77777777777777779</v>
      </c>
      <c r="O111">
        <f>step3_validation[[#This Row],[AI_FAC2]]</f>
        <v>8</v>
      </c>
      <c r="P111">
        <f t="shared" si="35"/>
        <v>0.77777777777777779</v>
      </c>
      <c r="Q111">
        <f>[1]!survey_responses[[#This Row],[So với trước đây, tôi thấy cách tính thuế và các bậc thuế trong phương án mới đơn giản, dễ hiểu và dễ thực hiện hơn. - HUMAN-FAC2]]</f>
        <v>8</v>
      </c>
      <c r="R111">
        <f t="shared" si="36"/>
        <v>0.77777777777777779</v>
      </c>
      <c r="S111" s="32">
        <f t="shared" si="37"/>
        <v>0.83333333333333326</v>
      </c>
      <c r="T111" s="32">
        <f t="shared" si="38"/>
        <v>0.77777777777777779</v>
      </c>
      <c r="U111">
        <f>step3_validation[[#This Row],[AI_TRU1]]</f>
        <v>9</v>
      </c>
      <c r="V111">
        <f t="shared" si="39"/>
        <v>0.88888888888888884</v>
      </c>
      <c r="W111">
        <f>[1]!survey_responses[[#This Row],[Tôi tin rằng Nhà nước, cơ quan thuế sẽ thực thi chính sách mới một cách khách quan, công tâm và đối xử bình đẳng với mọi người nộp thuế.  - HUMAN-TRU1]]</f>
        <v>7</v>
      </c>
      <c r="X111">
        <f t="shared" si="40"/>
        <v>0.66666666666666663</v>
      </c>
      <c r="Y111">
        <f>step3_validation[[#This Row],[AI_TRU2]]</f>
        <v>7</v>
      </c>
      <c r="Z111">
        <f t="shared" si="41"/>
        <v>0.66666666666666663</v>
      </c>
      <c r="AA111">
        <f>[1]!survey_responses[[#This Row],[Tôi thấy mức thuế tôi phải đóng theo phương án mới là công bằng (người thu nhập như tôi đóng mức này là hợp lý). - HUMAN-TRU2]]</f>
        <v>6</v>
      </c>
      <c r="AB111">
        <f t="shared" si="42"/>
        <v>0.55555555555555558</v>
      </c>
      <c r="AC111">
        <f>step3_validation[[#This Row],[AI_TRU3]]</f>
        <v>9</v>
      </c>
      <c r="AD111">
        <f t="shared" si="43"/>
        <v>0.88888888888888884</v>
      </c>
      <c r="AE111">
        <f>[1]!survey_responses[[#This Row],[Tôi tin tưởng số tiền thuế tôi đóng sẽ được Nhà nước sử dụng hiệu quả để cải thiện dịch vụ công (y tế, đường xá...). - HUMAN-TRU3]]</f>
        <v>5</v>
      </c>
      <c r="AF111">
        <f t="shared" si="44"/>
        <v>0.44444444444444442</v>
      </c>
      <c r="AG111">
        <f>step3_validation[[#This Row],[AI_TRU4]]</f>
        <v>6</v>
      </c>
      <c r="AH111">
        <f t="shared" si="45"/>
        <v>0.55555555555555558</v>
      </c>
      <c r="AI111">
        <f>[1]!survey_responses[[#This Row],[Tôi thấy Nhà nước đã giải thích rõ ràng, minh bạch về lý do và mục tiêu của việc sửa đổi thuế lần này. - HUMAN-TRU4]]</f>
        <v>5</v>
      </c>
      <c r="AJ111">
        <f t="shared" si="46"/>
        <v>0.44444444444444442</v>
      </c>
      <c r="AK111" s="32">
        <f t="shared" si="47"/>
        <v>0.75</v>
      </c>
      <c r="AL111" s="32">
        <f t="shared" si="48"/>
        <v>0.52777777777777779</v>
      </c>
      <c r="AM111" s="7">
        <f t="shared" si="49"/>
        <v>0.76851851851851849</v>
      </c>
      <c r="AN111" s="7">
        <f t="shared" si="50"/>
        <v>0.63888888888888884</v>
      </c>
      <c r="AO111">
        <f>step3_validation[[#This Row],[AI_OUT1]]</f>
        <v>8</v>
      </c>
      <c r="AP111">
        <f t="shared" si="51"/>
        <v>0.77777777777777779</v>
      </c>
      <c r="AQ111">
        <f>[1]!survey_responses[[#This Row],[Sau khi xem xét các quyền lợi và nghĩa vụ, bạn có ủng hộ và tuân thủ chính sách mới hiện nay? - HUMAN-OUT1]]</f>
        <v>8</v>
      </c>
      <c r="AR111">
        <f t="shared" si="52"/>
        <v>0.77777777777777779</v>
      </c>
      <c r="AS111" s="32">
        <f t="shared" si="53"/>
        <v>0</v>
      </c>
    </row>
    <row r="112" spans="1:45" x14ac:dyDescent="0.45">
      <c r="A112">
        <f>step3_validation[[#This Row],[AI_ENF1]]</f>
        <v>6</v>
      </c>
      <c r="B112">
        <f t="shared" si="27"/>
        <v>0.55555555555555558</v>
      </c>
      <c r="C112">
        <f>[1]!survey_responses[[#This Row],[Tôi tin rằng với các quy định quản lý thuế hiện nay, hành vi gian lận hoặc trốn thuế sẽ dễ dàng bị phát hiện và xử lý nghiêm. - HUMAN-ENF1]]</f>
        <v>8</v>
      </c>
      <c r="D112">
        <f t="shared" si="28"/>
        <v>0.77777777777777779</v>
      </c>
      <c r="E112">
        <f>step3_validation[[#This Row],[AI_ENF2]]</f>
        <v>5</v>
      </c>
      <c r="F112">
        <f t="shared" si="29"/>
        <v>0.44444444444444442</v>
      </c>
      <c r="G112">
        <f>[1]!survey_responses[[#This Row],[Tôi tin rằng Nhà nước, cơ quan thuế có đủ khả năng và công nghệ để phát hiện, xử lý nghiêm các hành vi trốn thuế. - HUMAN-ENF2]]</f>
        <v>8</v>
      </c>
      <c r="H112">
        <f t="shared" si="30"/>
        <v>0.77777777777777779</v>
      </c>
      <c r="I112" s="32">
        <f t="shared" si="31"/>
        <v>0.5</v>
      </c>
      <c r="J112" s="32">
        <f t="shared" si="32"/>
        <v>0.77777777777777779</v>
      </c>
      <c r="K112">
        <f>step3_validation[[#This Row],[AI_FAC1]]</f>
        <v>8</v>
      </c>
      <c r="L112">
        <f t="shared" si="33"/>
        <v>0.77777777777777779</v>
      </c>
      <c r="M112">
        <f>[1]!survey_responses[[#This Row],[Các thủ tục khai báo thuế VÀ/HOẶC quy trình làm việc với cơ quan thuế đơn giản, tiện lợi, nhanh chóng hơn so với trước đây. - HUMAN-FAC1]]</f>
        <v>6</v>
      </c>
      <c r="N112">
        <f t="shared" si="34"/>
        <v>0.55555555555555558</v>
      </c>
      <c r="O112">
        <f>step3_validation[[#This Row],[AI_FAC2]]</f>
        <v>7</v>
      </c>
      <c r="P112">
        <f t="shared" si="35"/>
        <v>0.66666666666666663</v>
      </c>
      <c r="Q112">
        <f>[1]!survey_responses[[#This Row],[So với trước đây, tôi thấy cách tính thuế và các bậc thuế trong phương án mới đơn giản, dễ hiểu và dễ thực hiện hơn. - HUMAN-FAC2]]</f>
        <v>7</v>
      </c>
      <c r="R112">
        <f t="shared" si="36"/>
        <v>0.66666666666666663</v>
      </c>
      <c r="S112" s="32">
        <f t="shared" si="37"/>
        <v>0.72222222222222221</v>
      </c>
      <c r="T112" s="32">
        <f t="shared" si="38"/>
        <v>0.61111111111111116</v>
      </c>
      <c r="U112">
        <f>step3_validation[[#This Row],[AI_TRU1]]</f>
        <v>6</v>
      </c>
      <c r="V112">
        <f t="shared" si="39"/>
        <v>0.55555555555555558</v>
      </c>
      <c r="W112">
        <f>[1]!survey_responses[[#This Row],[Tôi tin rằng Nhà nước, cơ quan thuế sẽ thực thi chính sách mới một cách khách quan, công tâm và đối xử bình đẳng với mọi người nộp thuế.  - HUMAN-TRU1]]</f>
        <v>6</v>
      </c>
      <c r="X112">
        <f t="shared" si="40"/>
        <v>0.55555555555555558</v>
      </c>
      <c r="Y112">
        <f>step3_validation[[#This Row],[AI_TRU2]]</f>
        <v>7</v>
      </c>
      <c r="Z112">
        <f t="shared" si="41"/>
        <v>0.66666666666666663</v>
      </c>
      <c r="AA112">
        <f>[1]!survey_responses[[#This Row],[Tôi thấy mức thuế tôi phải đóng theo phương án mới là công bằng (người thu nhập như tôi đóng mức này là hợp lý). - HUMAN-TRU2]]</f>
        <v>7</v>
      </c>
      <c r="AB112">
        <f t="shared" si="42"/>
        <v>0.66666666666666663</v>
      </c>
      <c r="AC112">
        <f>step3_validation[[#This Row],[AI_TRU3]]</f>
        <v>6</v>
      </c>
      <c r="AD112">
        <f t="shared" si="43"/>
        <v>0.55555555555555558</v>
      </c>
      <c r="AE112">
        <f>[1]!survey_responses[[#This Row],[Tôi tin tưởng số tiền thuế tôi đóng sẽ được Nhà nước sử dụng hiệu quả để cải thiện dịch vụ công (y tế, đường xá...). - HUMAN-TRU3]]</f>
        <v>5</v>
      </c>
      <c r="AF112">
        <f t="shared" si="44"/>
        <v>0.44444444444444442</v>
      </c>
      <c r="AG112">
        <f>step3_validation[[#This Row],[AI_TRU4]]</f>
        <v>5</v>
      </c>
      <c r="AH112">
        <f t="shared" si="45"/>
        <v>0.44444444444444442</v>
      </c>
      <c r="AI112">
        <f>[1]!survey_responses[[#This Row],[Tôi thấy Nhà nước đã giải thích rõ ràng, minh bạch về lý do và mục tiêu của việc sửa đổi thuế lần này. - HUMAN-TRU4]]</f>
        <v>5</v>
      </c>
      <c r="AJ112">
        <f t="shared" si="46"/>
        <v>0.44444444444444442</v>
      </c>
      <c r="AK112" s="32">
        <f t="shared" si="47"/>
        <v>0.55555555555555558</v>
      </c>
      <c r="AL112" s="32">
        <f t="shared" si="48"/>
        <v>0.52777777777777779</v>
      </c>
      <c r="AM112" s="7">
        <f t="shared" si="49"/>
        <v>0.59259259259259267</v>
      </c>
      <c r="AN112" s="7">
        <f t="shared" si="50"/>
        <v>0.63888888888888884</v>
      </c>
      <c r="AO112">
        <f>step3_validation[[#This Row],[AI_OUT1]]</f>
        <v>6</v>
      </c>
      <c r="AP112">
        <f t="shared" si="51"/>
        <v>0.55555555555555558</v>
      </c>
      <c r="AQ112">
        <f>[1]!survey_responses[[#This Row],[Sau khi xem xét các quyền lợi và nghĩa vụ, bạn có ủng hộ và tuân thủ chính sách mới hiện nay? - HUMAN-OUT1]]</f>
        <v>5</v>
      </c>
      <c r="AR112">
        <f t="shared" si="52"/>
        <v>0.44444444444444442</v>
      </c>
      <c r="AS112" s="32">
        <f t="shared" si="53"/>
        <v>1</v>
      </c>
    </row>
    <row r="113" spans="1:45" x14ac:dyDescent="0.45">
      <c r="A113">
        <f>step3_validation[[#This Row],[AI_ENF1]]</f>
        <v>6</v>
      </c>
      <c r="B113">
        <f t="shared" si="27"/>
        <v>0.55555555555555558</v>
      </c>
      <c r="C113">
        <f>[1]!survey_responses[[#This Row],[Tôi tin rằng với các quy định quản lý thuế hiện nay, hành vi gian lận hoặc trốn thuế sẽ dễ dàng bị phát hiện và xử lý nghiêm. - HUMAN-ENF1]]</f>
        <v>7</v>
      </c>
      <c r="D113">
        <f t="shared" si="28"/>
        <v>0.66666666666666663</v>
      </c>
      <c r="E113">
        <f>step3_validation[[#This Row],[AI_ENF2]]</f>
        <v>7</v>
      </c>
      <c r="F113">
        <f t="shared" si="29"/>
        <v>0.66666666666666663</v>
      </c>
      <c r="G113">
        <f>[1]!survey_responses[[#This Row],[Tôi tin rằng Nhà nước, cơ quan thuế có đủ khả năng và công nghệ để phát hiện, xử lý nghiêm các hành vi trốn thuế. - HUMAN-ENF2]]</f>
        <v>8</v>
      </c>
      <c r="H113">
        <f t="shared" si="30"/>
        <v>0.77777777777777779</v>
      </c>
      <c r="I113" s="32">
        <f t="shared" si="31"/>
        <v>0.61111111111111116</v>
      </c>
      <c r="J113" s="32">
        <f t="shared" si="32"/>
        <v>0.72222222222222221</v>
      </c>
      <c r="K113">
        <f>step3_validation[[#This Row],[AI_FAC1]]</f>
        <v>6</v>
      </c>
      <c r="L113">
        <f t="shared" si="33"/>
        <v>0.55555555555555558</v>
      </c>
      <c r="M113">
        <f>[1]!survey_responses[[#This Row],[Các thủ tục khai báo thuế VÀ/HOẶC quy trình làm việc với cơ quan thuế đơn giản, tiện lợi, nhanh chóng hơn so với trước đây. - HUMAN-FAC1]]</f>
        <v>8</v>
      </c>
      <c r="N113">
        <f t="shared" si="34"/>
        <v>0.77777777777777779</v>
      </c>
      <c r="O113">
        <f>step3_validation[[#This Row],[AI_FAC2]]</f>
        <v>8</v>
      </c>
      <c r="P113">
        <f t="shared" si="35"/>
        <v>0.77777777777777779</v>
      </c>
      <c r="Q113">
        <f>[1]!survey_responses[[#This Row],[So với trước đây, tôi thấy cách tính thuế và các bậc thuế trong phương án mới đơn giản, dễ hiểu và dễ thực hiện hơn. - HUMAN-FAC2]]</f>
        <v>8</v>
      </c>
      <c r="R113">
        <f t="shared" si="36"/>
        <v>0.77777777777777779</v>
      </c>
      <c r="S113" s="32">
        <f t="shared" si="37"/>
        <v>0.66666666666666674</v>
      </c>
      <c r="T113" s="32">
        <f t="shared" si="38"/>
        <v>0.77777777777777779</v>
      </c>
      <c r="U113">
        <f>step3_validation[[#This Row],[AI_TRU1]]</f>
        <v>7</v>
      </c>
      <c r="V113">
        <f t="shared" si="39"/>
        <v>0.66666666666666663</v>
      </c>
      <c r="W113">
        <f>[1]!survey_responses[[#This Row],[Tôi tin rằng Nhà nước, cơ quan thuế sẽ thực thi chính sách mới một cách khách quan, công tâm và đối xử bình đẳng với mọi người nộp thuế.  - HUMAN-TRU1]]</f>
        <v>8</v>
      </c>
      <c r="X113">
        <f t="shared" si="40"/>
        <v>0.77777777777777779</v>
      </c>
      <c r="Y113">
        <f>step3_validation[[#This Row],[AI_TRU2]]</f>
        <v>6</v>
      </c>
      <c r="Z113">
        <f t="shared" si="41"/>
        <v>0.55555555555555558</v>
      </c>
      <c r="AA113">
        <f>[1]!survey_responses[[#This Row],[Tôi thấy mức thuế tôi phải đóng theo phương án mới là công bằng (người thu nhập như tôi đóng mức này là hợp lý). - HUMAN-TRU2]]</f>
        <v>8</v>
      </c>
      <c r="AB113">
        <f t="shared" si="42"/>
        <v>0.77777777777777779</v>
      </c>
      <c r="AC113">
        <f>step3_validation[[#This Row],[AI_TRU3]]</f>
        <v>7</v>
      </c>
      <c r="AD113">
        <f t="shared" si="43"/>
        <v>0.66666666666666663</v>
      </c>
      <c r="AE113">
        <f>[1]!survey_responses[[#This Row],[Tôi tin tưởng số tiền thuế tôi đóng sẽ được Nhà nước sử dụng hiệu quả để cải thiện dịch vụ công (y tế, đường xá...). - HUMAN-TRU3]]</f>
        <v>8</v>
      </c>
      <c r="AF113">
        <f t="shared" si="44"/>
        <v>0.77777777777777779</v>
      </c>
      <c r="AG113">
        <f>step3_validation[[#This Row],[AI_TRU4]]</f>
        <v>6</v>
      </c>
      <c r="AH113">
        <f t="shared" si="45"/>
        <v>0.55555555555555558</v>
      </c>
      <c r="AI113">
        <f>[1]!survey_responses[[#This Row],[Tôi thấy Nhà nước đã giải thích rõ ràng, minh bạch về lý do và mục tiêu của việc sửa đổi thuế lần này. - HUMAN-TRU4]]</f>
        <v>8</v>
      </c>
      <c r="AJ113">
        <f t="shared" si="46"/>
        <v>0.77777777777777779</v>
      </c>
      <c r="AK113" s="32">
        <f t="shared" si="47"/>
        <v>0.61111111111111116</v>
      </c>
      <c r="AL113" s="32">
        <f t="shared" si="48"/>
        <v>0.77777777777777779</v>
      </c>
      <c r="AM113" s="7">
        <f t="shared" si="49"/>
        <v>0.62962962962962965</v>
      </c>
      <c r="AN113" s="7">
        <f t="shared" si="50"/>
        <v>0.75925925925925919</v>
      </c>
      <c r="AO113">
        <f>step3_validation[[#This Row],[AI_OUT1]]</f>
        <v>5</v>
      </c>
      <c r="AP113">
        <f t="shared" si="51"/>
        <v>0.44444444444444442</v>
      </c>
      <c r="AQ113">
        <f>[1]!survey_responses[[#This Row],[Sau khi xem xét các quyền lợi và nghĩa vụ, bạn có ủng hộ và tuân thủ chính sách mới hiện nay? - HUMAN-OUT1]]</f>
        <v>8</v>
      </c>
      <c r="AR113">
        <f t="shared" si="52"/>
        <v>0.77777777777777779</v>
      </c>
      <c r="AS113" s="32">
        <f t="shared" si="53"/>
        <v>3</v>
      </c>
    </row>
    <row r="114" spans="1:45" x14ac:dyDescent="0.45">
      <c r="A114">
        <f>step3_validation[[#This Row],[AI_ENF1]]</f>
        <v>7</v>
      </c>
      <c r="B114">
        <f t="shared" si="27"/>
        <v>0.66666666666666663</v>
      </c>
      <c r="C114">
        <f>[1]!survey_responses[[#This Row],[Tôi tin rằng với các quy định quản lý thuế hiện nay, hành vi gian lận hoặc trốn thuế sẽ dễ dàng bị phát hiện và xử lý nghiêm. - HUMAN-ENF1]]</f>
        <v>1</v>
      </c>
      <c r="D114">
        <f t="shared" si="28"/>
        <v>0</v>
      </c>
      <c r="E114">
        <f>step3_validation[[#This Row],[AI_ENF2]]</f>
        <v>8</v>
      </c>
      <c r="F114">
        <f t="shared" si="29"/>
        <v>0.77777777777777779</v>
      </c>
      <c r="G114">
        <f>[1]!survey_responses[[#This Row],[Tôi tin rằng Nhà nước, cơ quan thuế có đủ khả năng và công nghệ để phát hiện, xử lý nghiêm các hành vi trốn thuế. - HUMAN-ENF2]]</f>
        <v>1</v>
      </c>
      <c r="H114">
        <f t="shared" si="30"/>
        <v>0</v>
      </c>
      <c r="I114" s="32">
        <f t="shared" si="31"/>
        <v>0.72222222222222221</v>
      </c>
      <c r="J114" s="32">
        <f t="shared" si="32"/>
        <v>0</v>
      </c>
      <c r="K114">
        <f>step3_validation[[#This Row],[AI_FAC1]]</f>
        <v>6</v>
      </c>
      <c r="L114">
        <f t="shared" si="33"/>
        <v>0.55555555555555558</v>
      </c>
      <c r="M114">
        <f>[1]!survey_responses[[#This Row],[Các thủ tục khai báo thuế VÀ/HOẶC quy trình làm việc với cơ quan thuế đơn giản, tiện lợi, nhanh chóng hơn so với trước đây. - HUMAN-FAC1]]</f>
        <v>1</v>
      </c>
      <c r="N114">
        <f t="shared" si="34"/>
        <v>0</v>
      </c>
      <c r="O114">
        <f>step3_validation[[#This Row],[AI_FAC2]]</f>
        <v>8</v>
      </c>
      <c r="P114">
        <f t="shared" si="35"/>
        <v>0.77777777777777779</v>
      </c>
      <c r="Q114">
        <f>[1]!survey_responses[[#This Row],[So với trước đây, tôi thấy cách tính thuế và các bậc thuế trong phương án mới đơn giản, dễ hiểu và dễ thực hiện hơn. - HUMAN-FAC2]]</f>
        <v>1</v>
      </c>
      <c r="R114">
        <f t="shared" si="36"/>
        <v>0</v>
      </c>
      <c r="S114" s="32">
        <f t="shared" si="37"/>
        <v>0.66666666666666674</v>
      </c>
      <c r="T114" s="32">
        <f t="shared" si="38"/>
        <v>0</v>
      </c>
      <c r="U114">
        <f>step3_validation[[#This Row],[AI_TRU1]]</f>
        <v>7</v>
      </c>
      <c r="V114">
        <f t="shared" si="39"/>
        <v>0.66666666666666663</v>
      </c>
      <c r="W114">
        <f>[1]!survey_responses[[#This Row],[Tôi tin rằng Nhà nước, cơ quan thuế sẽ thực thi chính sách mới một cách khách quan, công tâm và đối xử bình đẳng với mọi người nộp thuế.  - HUMAN-TRU1]]</f>
        <v>1</v>
      </c>
      <c r="X114">
        <f t="shared" si="40"/>
        <v>0</v>
      </c>
      <c r="Y114">
        <f>step3_validation[[#This Row],[AI_TRU2]]</f>
        <v>7</v>
      </c>
      <c r="Z114">
        <f t="shared" si="41"/>
        <v>0.66666666666666663</v>
      </c>
      <c r="AA114">
        <f>[1]!survey_responses[[#This Row],[Tôi thấy mức thuế tôi phải đóng theo phương án mới là công bằng (người thu nhập như tôi đóng mức này là hợp lý). - HUMAN-TRU2]]</f>
        <v>1</v>
      </c>
      <c r="AB114">
        <f t="shared" si="42"/>
        <v>0</v>
      </c>
      <c r="AC114">
        <f>step3_validation[[#This Row],[AI_TRU3]]</f>
        <v>6</v>
      </c>
      <c r="AD114">
        <f t="shared" si="43"/>
        <v>0.55555555555555558</v>
      </c>
      <c r="AE114">
        <f>[1]!survey_responses[[#This Row],[Tôi tin tưởng số tiền thuế tôi đóng sẽ được Nhà nước sử dụng hiệu quả để cải thiện dịch vụ công (y tế, đường xá...). - HUMAN-TRU3]]</f>
        <v>1</v>
      </c>
      <c r="AF114">
        <f t="shared" si="44"/>
        <v>0</v>
      </c>
      <c r="AG114">
        <f>step3_validation[[#This Row],[AI_TRU4]]</f>
        <v>7</v>
      </c>
      <c r="AH114">
        <f t="shared" si="45"/>
        <v>0.66666666666666663</v>
      </c>
      <c r="AI114">
        <f>[1]!survey_responses[[#This Row],[Tôi thấy Nhà nước đã giải thích rõ ràng, minh bạch về lý do và mục tiêu của việc sửa đổi thuế lần này. - HUMAN-TRU4]]</f>
        <v>1</v>
      </c>
      <c r="AJ114">
        <f t="shared" si="46"/>
        <v>0</v>
      </c>
      <c r="AK114" s="32">
        <f t="shared" si="47"/>
        <v>0.63888888888888884</v>
      </c>
      <c r="AL114" s="32">
        <f t="shared" si="48"/>
        <v>0</v>
      </c>
      <c r="AM114" s="7">
        <f t="shared" si="49"/>
        <v>0.67592592592592593</v>
      </c>
      <c r="AN114" s="7">
        <f t="shared" si="50"/>
        <v>0</v>
      </c>
      <c r="AO114">
        <f>step3_validation[[#This Row],[AI_OUT1]]</f>
        <v>8</v>
      </c>
      <c r="AP114">
        <f t="shared" si="51"/>
        <v>0.77777777777777779</v>
      </c>
      <c r="AQ114">
        <f>[1]!survey_responses[[#This Row],[Sau khi xem xét các quyền lợi và nghĩa vụ, bạn có ủng hộ và tuân thủ chính sách mới hiện nay? - HUMAN-OUT1]]</f>
        <v>1</v>
      </c>
      <c r="AR114">
        <f t="shared" si="52"/>
        <v>0</v>
      </c>
      <c r="AS114" s="32">
        <f t="shared" si="53"/>
        <v>7</v>
      </c>
    </row>
    <row r="115" spans="1:45" x14ac:dyDescent="0.45">
      <c r="A115">
        <f>step3_validation[[#This Row],[AI_ENF1]]</f>
        <v>7</v>
      </c>
      <c r="B115">
        <f t="shared" si="27"/>
        <v>0.66666666666666663</v>
      </c>
      <c r="C115">
        <f>[1]!survey_responses[[#This Row],[Tôi tin rằng với các quy định quản lý thuế hiện nay, hành vi gian lận hoặc trốn thuế sẽ dễ dàng bị phát hiện và xử lý nghiêm. - HUMAN-ENF1]]</f>
        <v>10</v>
      </c>
      <c r="D115">
        <f t="shared" si="28"/>
        <v>1</v>
      </c>
      <c r="E115">
        <f>step3_validation[[#This Row],[AI_ENF2]]</f>
        <v>8</v>
      </c>
      <c r="F115">
        <f t="shared" si="29"/>
        <v>0.77777777777777779</v>
      </c>
      <c r="G115">
        <f>[1]!survey_responses[[#This Row],[Tôi tin rằng Nhà nước, cơ quan thuế có đủ khả năng và công nghệ để phát hiện, xử lý nghiêm các hành vi trốn thuế. - HUMAN-ENF2]]</f>
        <v>10</v>
      </c>
      <c r="H115">
        <f t="shared" si="30"/>
        <v>1</v>
      </c>
      <c r="I115" s="32">
        <f t="shared" si="31"/>
        <v>0.72222222222222221</v>
      </c>
      <c r="J115" s="32">
        <f t="shared" si="32"/>
        <v>1</v>
      </c>
      <c r="K115">
        <f>step3_validation[[#This Row],[AI_FAC1]]</f>
        <v>9</v>
      </c>
      <c r="L115">
        <f t="shared" si="33"/>
        <v>0.88888888888888884</v>
      </c>
      <c r="M115">
        <f>[1]!survey_responses[[#This Row],[Các thủ tục khai báo thuế VÀ/HOẶC quy trình làm việc với cơ quan thuế đơn giản, tiện lợi, nhanh chóng hơn so với trước đây. - HUMAN-FAC1]]</f>
        <v>10</v>
      </c>
      <c r="N115">
        <f t="shared" si="34"/>
        <v>1</v>
      </c>
      <c r="O115">
        <f>step3_validation[[#This Row],[AI_FAC2]]</f>
        <v>8</v>
      </c>
      <c r="P115">
        <f t="shared" si="35"/>
        <v>0.77777777777777779</v>
      </c>
      <c r="Q115">
        <f>[1]!survey_responses[[#This Row],[So với trước đây, tôi thấy cách tính thuế và các bậc thuế trong phương án mới đơn giản, dễ hiểu và dễ thực hiện hơn. - HUMAN-FAC2]]</f>
        <v>10</v>
      </c>
      <c r="R115">
        <f t="shared" si="36"/>
        <v>1</v>
      </c>
      <c r="S115" s="32">
        <f t="shared" si="37"/>
        <v>0.83333333333333326</v>
      </c>
      <c r="T115" s="32">
        <f t="shared" si="38"/>
        <v>1</v>
      </c>
      <c r="U115">
        <f>step3_validation[[#This Row],[AI_TRU1]]</f>
        <v>6</v>
      </c>
      <c r="V115">
        <f t="shared" si="39"/>
        <v>0.55555555555555558</v>
      </c>
      <c r="W115">
        <f>[1]!survey_responses[[#This Row],[Tôi tin rằng Nhà nước, cơ quan thuế sẽ thực thi chính sách mới một cách khách quan, công tâm và đối xử bình đẳng với mọi người nộp thuế.  - HUMAN-TRU1]]</f>
        <v>10</v>
      </c>
      <c r="X115">
        <f t="shared" si="40"/>
        <v>1</v>
      </c>
      <c r="Y115">
        <f>step3_validation[[#This Row],[AI_TRU2]]</f>
        <v>7</v>
      </c>
      <c r="Z115">
        <f t="shared" si="41"/>
        <v>0.66666666666666663</v>
      </c>
      <c r="AA115">
        <f>[1]!survey_responses[[#This Row],[Tôi thấy mức thuế tôi phải đóng theo phương án mới là công bằng (người thu nhập như tôi đóng mức này là hợp lý). - HUMAN-TRU2]]</f>
        <v>10</v>
      </c>
      <c r="AB115">
        <f t="shared" si="42"/>
        <v>1</v>
      </c>
      <c r="AC115">
        <f>step3_validation[[#This Row],[AI_TRU3]]</f>
        <v>5</v>
      </c>
      <c r="AD115">
        <f t="shared" si="43"/>
        <v>0.44444444444444442</v>
      </c>
      <c r="AE115">
        <f>[1]!survey_responses[[#This Row],[Tôi tin tưởng số tiền thuế tôi đóng sẽ được Nhà nước sử dụng hiệu quả để cải thiện dịch vụ công (y tế, đường xá...). - HUMAN-TRU3]]</f>
        <v>10</v>
      </c>
      <c r="AF115">
        <f t="shared" si="44"/>
        <v>1</v>
      </c>
      <c r="AG115">
        <f>step3_validation[[#This Row],[AI_TRU4]]</f>
        <v>6</v>
      </c>
      <c r="AH115">
        <f t="shared" si="45"/>
        <v>0.55555555555555558</v>
      </c>
      <c r="AI115">
        <f>[1]!survey_responses[[#This Row],[Tôi thấy Nhà nước đã giải thích rõ ràng, minh bạch về lý do và mục tiêu của việc sửa đổi thuế lần này. - HUMAN-TRU4]]</f>
        <v>10</v>
      </c>
      <c r="AJ115">
        <f t="shared" si="46"/>
        <v>1</v>
      </c>
      <c r="AK115" s="32">
        <f t="shared" si="47"/>
        <v>0.55555555555555558</v>
      </c>
      <c r="AL115" s="32">
        <f t="shared" si="48"/>
        <v>1</v>
      </c>
      <c r="AM115" s="7">
        <f t="shared" si="49"/>
        <v>0.70370370370370361</v>
      </c>
      <c r="AN115" s="7">
        <f t="shared" si="50"/>
        <v>1</v>
      </c>
      <c r="AO115">
        <f>step3_validation[[#This Row],[AI_OUT1]]</f>
        <v>7</v>
      </c>
      <c r="AP115">
        <f t="shared" si="51"/>
        <v>0.66666666666666663</v>
      </c>
      <c r="AQ115">
        <f>[1]!survey_responses[[#This Row],[Sau khi xem xét các quyền lợi và nghĩa vụ, bạn có ủng hộ và tuân thủ chính sách mới hiện nay? - HUMAN-OUT1]]</f>
        <v>10</v>
      </c>
      <c r="AR115">
        <f t="shared" si="52"/>
        <v>1</v>
      </c>
      <c r="AS115" s="32">
        <f t="shared" si="53"/>
        <v>3</v>
      </c>
    </row>
    <row r="116" spans="1:45" x14ac:dyDescent="0.45">
      <c r="A116">
        <f>step3_validation[[#This Row],[AI_ENF1]]</f>
        <v>7</v>
      </c>
      <c r="B116">
        <f t="shared" si="27"/>
        <v>0.66666666666666663</v>
      </c>
      <c r="C116">
        <f>[1]!survey_responses[[#This Row],[Tôi tin rằng với các quy định quản lý thuế hiện nay, hành vi gian lận hoặc trốn thuế sẽ dễ dàng bị phát hiện và xử lý nghiêm. - HUMAN-ENF1]]</f>
        <v>1</v>
      </c>
      <c r="D116">
        <f t="shared" si="28"/>
        <v>0</v>
      </c>
      <c r="E116">
        <f>step3_validation[[#This Row],[AI_ENF2]]</f>
        <v>6</v>
      </c>
      <c r="F116">
        <f t="shared" si="29"/>
        <v>0.55555555555555558</v>
      </c>
      <c r="G116">
        <f>[1]!survey_responses[[#This Row],[Tôi tin rằng Nhà nước, cơ quan thuế có đủ khả năng và công nghệ để phát hiện, xử lý nghiêm các hành vi trốn thuế. - HUMAN-ENF2]]</f>
        <v>1</v>
      </c>
      <c r="H116">
        <f t="shared" si="30"/>
        <v>0</v>
      </c>
      <c r="I116" s="32">
        <f t="shared" si="31"/>
        <v>0.61111111111111116</v>
      </c>
      <c r="J116" s="32">
        <f t="shared" si="32"/>
        <v>0</v>
      </c>
      <c r="K116">
        <f>step3_validation[[#This Row],[AI_FAC1]]</f>
        <v>8</v>
      </c>
      <c r="L116">
        <f t="shared" si="33"/>
        <v>0.77777777777777779</v>
      </c>
      <c r="M116">
        <f>[1]!survey_responses[[#This Row],[Các thủ tục khai báo thuế VÀ/HOẶC quy trình làm việc với cơ quan thuế đơn giản, tiện lợi, nhanh chóng hơn so với trước đây. - HUMAN-FAC1]]</f>
        <v>1</v>
      </c>
      <c r="N116">
        <f t="shared" si="34"/>
        <v>0</v>
      </c>
      <c r="O116">
        <f>step3_validation[[#This Row],[AI_FAC2]]</f>
        <v>9</v>
      </c>
      <c r="P116">
        <f t="shared" si="35"/>
        <v>0.88888888888888884</v>
      </c>
      <c r="Q116">
        <f>[1]!survey_responses[[#This Row],[So với trước đây, tôi thấy cách tính thuế và các bậc thuế trong phương án mới đơn giản, dễ hiểu và dễ thực hiện hơn. - HUMAN-FAC2]]</f>
        <v>1</v>
      </c>
      <c r="R116">
        <f t="shared" si="36"/>
        <v>0</v>
      </c>
      <c r="S116" s="32">
        <f t="shared" si="37"/>
        <v>0.83333333333333326</v>
      </c>
      <c r="T116" s="32">
        <f t="shared" si="38"/>
        <v>0</v>
      </c>
      <c r="U116">
        <f>step3_validation[[#This Row],[AI_TRU1]]</f>
        <v>8</v>
      </c>
      <c r="V116">
        <f t="shared" si="39"/>
        <v>0.77777777777777779</v>
      </c>
      <c r="W116">
        <f>[1]!survey_responses[[#This Row],[Tôi tin rằng Nhà nước, cơ quan thuế sẽ thực thi chính sách mới một cách khách quan, công tâm và đối xử bình đẳng với mọi người nộp thuế.  - HUMAN-TRU1]]</f>
        <v>1</v>
      </c>
      <c r="X116">
        <f t="shared" si="40"/>
        <v>0</v>
      </c>
      <c r="Y116">
        <f>step3_validation[[#This Row],[AI_TRU2]]</f>
        <v>7</v>
      </c>
      <c r="Z116">
        <f t="shared" si="41"/>
        <v>0.66666666666666663</v>
      </c>
      <c r="AA116">
        <f>[1]!survey_responses[[#This Row],[Tôi thấy mức thuế tôi phải đóng theo phương án mới là công bằng (người thu nhập như tôi đóng mức này là hợp lý). - HUMAN-TRU2]]</f>
        <v>1</v>
      </c>
      <c r="AB116">
        <f t="shared" si="42"/>
        <v>0</v>
      </c>
      <c r="AC116">
        <f>step3_validation[[#This Row],[AI_TRU3]]</f>
        <v>6</v>
      </c>
      <c r="AD116">
        <f t="shared" si="43"/>
        <v>0.55555555555555558</v>
      </c>
      <c r="AE116">
        <f>[1]!survey_responses[[#This Row],[Tôi tin tưởng số tiền thuế tôi đóng sẽ được Nhà nước sử dụng hiệu quả để cải thiện dịch vụ công (y tế, đường xá...). - HUMAN-TRU3]]</f>
        <v>1</v>
      </c>
      <c r="AF116">
        <f t="shared" si="44"/>
        <v>0</v>
      </c>
      <c r="AG116">
        <f>step3_validation[[#This Row],[AI_TRU4]]</f>
        <v>5</v>
      </c>
      <c r="AH116">
        <f t="shared" si="45"/>
        <v>0.44444444444444442</v>
      </c>
      <c r="AI116">
        <f>[1]!survey_responses[[#This Row],[Tôi thấy Nhà nước đã giải thích rõ ràng, minh bạch về lý do và mục tiêu của việc sửa đổi thuế lần này. - HUMAN-TRU4]]</f>
        <v>1</v>
      </c>
      <c r="AJ116">
        <f t="shared" si="46"/>
        <v>0</v>
      </c>
      <c r="AK116" s="32">
        <f t="shared" si="47"/>
        <v>0.61111111111111116</v>
      </c>
      <c r="AL116" s="32">
        <f t="shared" si="48"/>
        <v>0</v>
      </c>
      <c r="AM116" s="7">
        <f t="shared" si="49"/>
        <v>0.68518518518518512</v>
      </c>
      <c r="AN116" s="7">
        <f t="shared" si="50"/>
        <v>0</v>
      </c>
      <c r="AO116">
        <f>step3_validation[[#This Row],[AI_OUT1]]</f>
        <v>7</v>
      </c>
      <c r="AP116">
        <f t="shared" si="51"/>
        <v>0.66666666666666663</v>
      </c>
      <c r="AQ116">
        <f>[1]!survey_responses[[#This Row],[Sau khi xem xét các quyền lợi và nghĩa vụ, bạn có ủng hộ và tuân thủ chính sách mới hiện nay? - HUMAN-OUT1]]</f>
        <v>1</v>
      </c>
      <c r="AR116">
        <f t="shared" si="52"/>
        <v>0</v>
      </c>
      <c r="AS116" s="32">
        <f t="shared" si="53"/>
        <v>6</v>
      </c>
    </row>
    <row r="117" spans="1:45" x14ac:dyDescent="0.45">
      <c r="A117">
        <f>step3_validation[[#This Row],[AI_ENF1]]</f>
        <v>8</v>
      </c>
      <c r="B117">
        <f t="shared" si="27"/>
        <v>0.77777777777777779</v>
      </c>
      <c r="C117">
        <f>[1]!survey_responses[[#This Row],[Tôi tin rằng với các quy định quản lý thuế hiện nay, hành vi gian lận hoặc trốn thuế sẽ dễ dàng bị phát hiện và xử lý nghiêm. - HUMAN-ENF1]]</f>
        <v>9</v>
      </c>
      <c r="D117">
        <f t="shared" si="28"/>
        <v>0.88888888888888884</v>
      </c>
      <c r="E117">
        <f>step3_validation[[#This Row],[AI_ENF2]]</f>
        <v>7</v>
      </c>
      <c r="F117">
        <f t="shared" si="29"/>
        <v>0.66666666666666663</v>
      </c>
      <c r="G117">
        <f>[1]!survey_responses[[#This Row],[Tôi tin rằng Nhà nước, cơ quan thuế có đủ khả năng và công nghệ để phát hiện, xử lý nghiêm các hành vi trốn thuế. - HUMAN-ENF2]]</f>
        <v>9</v>
      </c>
      <c r="H117">
        <f t="shared" si="30"/>
        <v>0.88888888888888884</v>
      </c>
      <c r="I117" s="32">
        <f t="shared" si="31"/>
        <v>0.72222222222222221</v>
      </c>
      <c r="J117" s="32">
        <f t="shared" si="32"/>
        <v>0.88888888888888884</v>
      </c>
      <c r="K117">
        <f>step3_validation[[#This Row],[AI_FAC1]]</f>
        <v>6</v>
      </c>
      <c r="L117">
        <f t="shared" si="33"/>
        <v>0.55555555555555558</v>
      </c>
      <c r="M117">
        <f>[1]!survey_responses[[#This Row],[Các thủ tục khai báo thuế VÀ/HOẶC quy trình làm việc với cơ quan thuế đơn giản, tiện lợi, nhanh chóng hơn so với trước đây. - HUMAN-FAC1]]</f>
        <v>9</v>
      </c>
      <c r="N117">
        <f t="shared" si="34"/>
        <v>0.88888888888888884</v>
      </c>
      <c r="O117">
        <f>step3_validation[[#This Row],[AI_FAC2]]</f>
        <v>7</v>
      </c>
      <c r="P117">
        <f t="shared" si="35"/>
        <v>0.66666666666666663</v>
      </c>
      <c r="Q117">
        <f>[1]!survey_responses[[#This Row],[So với trước đây, tôi thấy cách tính thuế và các bậc thuế trong phương án mới đơn giản, dễ hiểu và dễ thực hiện hơn. - HUMAN-FAC2]]</f>
        <v>9</v>
      </c>
      <c r="R117">
        <f t="shared" si="36"/>
        <v>0.88888888888888884</v>
      </c>
      <c r="S117" s="32">
        <f t="shared" si="37"/>
        <v>0.61111111111111116</v>
      </c>
      <c r="T117" s="32">
        <f t="shared" si="38"/>
        <v>0.88888888888888884</v>
      </c>
      <c r="U117">
        <f>step3_validation[[#This Row],[AI_TRU1]]</f>
        <v>7</v>
      </c>
      <c r="V117">
        <f t="shared" si="39"/>
        <v>0.66666666666666663</v>
      </c>
      <c r="W117">
        <f>[1]!survey_responses[[#This Row],[Tôi tin rằng Nhà nước, cơ quan thuế sẽ thực thi chính sách mới một cách khách quan, công tâm và đối xử bình đẳng với mọi người nộp thuế.  - HUMAN-TRU1]]</f>
        <v>9</v>
      </c>
      <c r="X117">
        <f t="shared" si="40"/>
        <v>0.88888888888888884</v>
      </c>
      <c r="Y117">
        <f>step3_validation[[#This Row],[AI_TRU2]]</f>
        <v>8</v>
      </c>
      <c r="Z117">
        <f t="shared" si="41"/>
        <v>0.77777777777777779</v>
      </c>
      <c r="AA117">
        <f>[1]!survey_responses[[#This Row],[Tôi thấy mức thuế tôi phải đóng theo phương án mới là công bằng (người thu nhập như tôi đóng mức này là hợp lý). - HUMAN-TRU2]]</f>
        <v>9</v>
      </c>
      <c r="AB117">
        <f t="shared" si="42"/>
        <v>0.88888888888888884</v>
      </c>
      <c r="AC117">
        <f>step3_validation[[#This Row],[AI_TRU3]]</f>
        <v>6</v>
      </c>
      <c r="AD117">
        <f t="shared" si="43"/>
        <v>0.55555555555555558</v>
      </c>
      <c r="AE117">
        <f>[1]!survey_responses[[#This Row],[Tôi tin tưởng số tiền thuế tôi đóng sẽ được Nhà nước sử dụng hiệu quả để cải thiện dịch vụ công (y tế, đường xá...). - HUMAN-TRU3]]</f>
        <v>9</v>
      </c>
      <c r="AF117">
        <f t="shared" si="44"/>
        <v>0.88888888888888884</v>
      </c>
      <c r="AG117">
        <f>step3_validation[[#This Row],[AI_TRU4]]</f>
        <v>7</v>
      </c>
      <c r="AH117">
        <f t="shared" si="45"/>
        <v>0.66666666666666663</v>
      </c>
      <c r="AI117">
        <f>[1]!survey_responses[[#This Row],[Tôi thấy Nhà nước đã giải thích rõ ràng, minh bạch về lý do và mục tiêu của việc sửa đổi thuế lần này. - HUMAN-TRU4]]</f>
        <v>8</v>
      </c>
      <c r="AJ117">
        <f t="shared" si="46"/>
        <v>0.77777777777777779</v>
      </c>
      <c r="AK117" s="32">
        <f t="shared" si="47"/>
        <v>0.66666666666666663</v>
      </c>
      <c r="AL117" s="32">
        <f t="shared" si="48"/>
        <v>0.86111111111111105</v>
      </c>
      <c r="AM117" s="7">
        <f t="shared" si="49"/>
        <v>0.66666666666666663</v>
      </c>
      <c r="AN117" s="7">
        <f t="shared" si="50"/>
        <v>0.87962962962962965</v>
      </c>
      <c r="AO117">
        <f>step3_validation[[#This Row],[AI_OUT1]]</f>
        <v>8</v>
      </c>
      <c r="AP117">
        <f t="shared" si="51"/>
        <v>0.77777777777777779</v>
      </c>
      <c r="AQ117">
        <f>[1]!survey_responses[[#This Row],[Sau khi xem xét các quyền lợi và nghĩa vụ, bạn có ủng hộ và tuân thủ chính sách mới hiện nay? - HUMAN-OUT1]]</f>
        <v>9</v>
      </c>
      <c r="AR117">
        <f t="shared" si="52"/>
        <v>0.88888888888888884</v>
      </c>
      <c r="AS117" s="32">
        <f t="shared" si="53"/>
        <v>1</v>
      </c>
    </row>
    <row r="118" spans="1:45" x14ac:dyDescent="0.45">
      <c r="A118">
        <f>step3_validation[[#This Row],[AI_ENF1]]</f>
        <v>7</v>
      </c>
      <c r="B118">
        <f t="shared" si="27"/>
        <v>0.66666666666666663</v>
      </c>
      <c r="C118">
        <f>[1]!survey_responses[[#This Row],[Tôi tin rằng với các quy định quản lý thuế hiện nay, hành vi gian lận hoặc trốn thuế sẽ dễ dàng bị phát hiện và xử lý nghiêm. - HUMAN-ENF1]]</f>
        <v>8</v>
      </c>
      <c r="D118">
        <f t="shared" si="28"/>
        <v>0.77777777777777779</v>
      </c>
      <c r="E118">
        <f>step3_validation[[#This Row],[AI_ENF2]]</f>
        <v>8</v>
      </c>
      <c r="F118">
        <f t="shared" si="29"/>
        <v>0.77777777777777779</v>
      </c>
      <c r="G118">
        <f>[1]!survey_responses[[#This Row],[Tôi tin rằng Nhà nước, cơ quan thuế có đủ khả năng và công nghệ để phát hiện, xử lý nghiêm các hành vi trốn thuế. - HUMAN-ENF2]]</f>
        <v>9</v>
      </c>
      <c r="H118">
        <f t="shared" si="30"/>
        <v>0.88888888888888884</v>
      </c>
      <c r="I118" s="32">
        <f t="shared" si="31"/>
        <v>0.72222222222222221</v>
      </c>
      <c r="J118" s="32">
        <f t="shared" si="32"/>
        <v>0.83333333333333326</v>
      </c>
      <c r="K118">
        <f>step3_validation[[#This Row],[AI_FAC1]]</f>
        <v>9</v>
      </c>
      <c r="L118">
        <f t="shared" si="33"/>
        <v>0.88888888888888884</v>
      </c>
      <c r="M118">
        <f>[1]!survey_responses[[#This Row],[Các thủ tục khai báo thuế VÀ/HOẶC quy trình làm việc với cơ quan thuế đơn giản, tiện lợi, nhanh chóng hơn so với trước đây. - HUMAN-FAC1]]</f>
        <v>8</v>
      </c>
      <c r="N118">
        <f t="shared" si="34"/>
        <v>0.77777777777777779</v>
      </c>
      <c r="O118">
        <f>step3_validation[[#This Row],[AI_FAC2]]</f>
        <v>7</v>
      </c>
      <c r="P118">
        <f t="shared" si="35"/>
        <v>0.66666666666666663</v>
      </c>
      <c r="Q118">
        <f>[1]!survey_responses[[#This Row],[So với trước đây, tôi thấy cách tính thuế và các bậc thuế trong phương án mới đơn giản, dễ hiểu và dễ thực hiện hơn. - HUMAN-FAC2]]</f>
        <v>6</v>
      </c>
      <c r="R118">
        <f t="shared" si="36"/>
        <v>0.55555555555555558</v>
      </c>
      <c r="S118" s="32">
        <f t="shared" si="37"/>
        <v>0.77777777777777768</v>
      </c>
      <c r="T118" s="32">
        <f t="shared" si="38"/>
        <v>0.66666666666666674</v>
      </c>
      <c r="U118">
        <f>step3_validation[[#This Row],[AI_TRU1]]</f>
        <v>6</v>
      </c>
      <c r="V118">
        <f t="shared" si="39"/>
        <v>0.55555555555555558</v>
      </c>
      <c r="W118">
        <f>[1]!survey_responses[[#This Row],[Tôi tin rằng Nhà nước, cơ quan thuế sẽ thực thi chính sách mới một cách khách quan, công tâm và đối xử bình đẳng với mọi người nộp thuế.  - HUMAN-TRU1]]</f>
        <v>8</v>
      </c>
      <c r="X118">
        <f t="shared" si="40"/>
        <v>0.77777777777777779</v>
      </c>
      <c r="Y118">
        <f>step3_validation[[#This Row],[AI_TRU2]]</f>
        <v>5</v>
      </c>
      <c r="Z118">
        <f t="shared" si="41"/>
        <v>0.44444444444444442</v>
      </c>
      <c r="AA118">
        <f>[1]!survey_responses[[#This Row],[Tôi thấy mức thuế tôi phải đóng theo phương án mới là công bằng (người thu nhập như tôi đóng mức này là hợp lý). - HUMAN-TRU2]]</f>
        <v>8</v>
      </c>
      <c r="AB118">
        <f t="shared" si="42"/>
        <v>0.77777777777777779</v>
      </c>
      <c r="AC118">
        <f>step3_validation[[#This Row],[AI_TRU3]]</f>
        <v>7</v>
      </c>
      <c r="AD118">
        <f t="shared" si="43"/>
        <v>0.66666666666666663</v>
      </c>
      <c r="AE118">
        <f>[1]!survey_responses[[#This Row],[Tôi tin tưởng số tiền thuế tôi đóng sẽ được Nhà nước sử dụng hiệu quả để cải thiện dịch vụ công (y tế, đường xá...). - HUMAN-TRU3]]</f>
        <v>8</v>
      </c>
      <c r="AF118">
        <f t="shared" si="44"/>
        <v>0.77777777777777779</v>
      </c>
      <c r="AG118">
        <f>step3_validation[[#This Row],[AI_TRU4]]</f>
        <v>5</v>
      </c>
      <c r="AH118">
        <f t="shared" si="45"/>
        <v>0.44444444444444442</v>
      </c>
      <c r="AI118">
        <f>[1]!survey_responses[[#This Row],[Tôi thấy Nhà nước đã giải thích rõ ràng, minh bạch về lý do và mục tiêu của việc sửa đổi thuế lần này. - HUMAN-TRU4]]</f>
        <v>8</v>
      </c>
      <c r="AJ118">
        <f t="shared" si="46"/>
        <v>0.77777777777777779</v>
      </c>
      <c r="AK118" s="32">
        <f t="shared" si="47"/>
        <v>0.52777777777777768</v>
      </c>
      <c r="AL118" s="32">
        <f t="shared" si="48"/>
        <v>0.77777777777777779</v>
      </c>
      <c r="AM118" s="7">
        <f t="shared" si="49"/>
        <v>0.67592592592592593</v>
      </c>
      <c r="AN118" s="7">
        <f t="shared" si="50"/>
        <v>0.75925925925925919</v>
      </c>
      <c r="AO118">
        <f>step3_validation[[#This Row],[AI_OUT1]]</f>
        <v>6</v>
      </c>
      <c r="AP118">
        <f t="shared" si="51"/>
        <v>0.55555555555555558</v>
      </c>
      <c r="AQ118">
        <f>[1]!survey_responses[[#This Row],[Sau khi xem xét các quyền lợi và nghĩa vụ, bạn có ủng hộ và tuân thủ chính sách mới hiện nay? - HUMAN-OUT1]]</f>
        <v>6</v>
      </c>
      <c r="AR118">
        <f t="shared" si="52"/>
        <v>0.55555555555555558</v>
      </c>
      <c r="AS118" s="32">
        <f t="shared" si="53"/>
        <v>0</v>
      </c>
    </row>
    <row r="119" spans="1:45" x14ac:dyDescent="0.45">
      <c r="A119">
        <f>step3_validation[[#This Row],[AI_ENF1]]</f>
        <v>7</v>
      </c>
      <c r="B119">
        <f t="shared" si="27"/>
        <v>0.66666666666666663</v>
      </c>
      <c r="C119">
        <f>[1]!survey_responses[[#This Row],[Tôi tin rằng với các quy định quản lý thuế hiện nay, hành vi gian lận hoặc trốn thuế sẽ dễ dàng bị phát hiện và xử lý nghiêm. - HUMAN-ENF1]]</f>
        <v>4</v>
      </c>
      <c r="D119">
        <f t="shared" si="28"/>
        <v>0.33333333333333331</v>
      </c>
      <c r="E119">
        <f>step3_validation[[#This Row],[AI_ENF2]]</f>
        <v>8</v>
      </c>
      <c r="F119">
        <f t="shared" si="29"/>
        <v>0.77777777777777779</v>
      </c>
      <c r="G119">
        <f>[1]!survey_responses[[#This Row],[Tôi tin rằng Nhà nước, cơ quan thuế có đủ khả năng và công nghệ để phát hiện, xử lý nghiêm các hành vi trốn thuế. - HUMAN-ENF2]]</f>
        <v>1</v>
      </c>
      <c r="H119">
        <f t="shared" si="30"/>
        <v>0</v>
      </c>
      <c r="I119" s="32">
        <f t="shared" si="31"/>
        <v>0.72222222222222221</v>
      </c>
      <c r="J119" s="32">
        <f t="shared" si="32"/>
        <v>0.16666666666666666</v>
      </c>
      <c r="K119">
        <f>step3_validation[[#This Row],[AI_FAC1]]</f>
        <v>6</v>
      </c>
      <c r="L119">
        <f t="shared" si="33"/>
        <v>0.55555555555555558</v>
      </c>
      <c r="M119">
        <f>[1]!survey_responses[[#This Row],[Các thủ tục khai báo thuế VÀ/HOẶC quy trình làm việc với cơ quan thuế đơn giản, tiện lợi, nhanh chóng hơn so với trước đây. - HUMAN-FAC1]]</f>
        <v>1</v>
      </c>
      <c r="N119">
        <f t="shared" si="34"/>
        <v>0</v>
      </c>
      <c r="O119">
        <f>step3_validation[[#This Row],[AI_FAC2]]</f>
        <v>8</v>
      </c>
      <c r="P119">
        <f t="shared" si="35"/>
        <v>0.77777777777777779</v>
      </c>
      <c r="Q119">
        <f>[1]!survey_responses[[#This Row],[So với trước đây, tôi thấy cách tính thuế và các bậc thuế trong phương án mới đơn giản, dễ hiểu và dễ thực hiện hơn. - HUMAN-FAC2]]</f>
        <v>5</v>
      </c>
      <c r="R119">
        <f t="shared" si="36"/>
        <v>0.44444444444444442</v>
      </c>
      <c r="S119" s="32">
        <f t="shared" si="37"/>
        <v>0.66666666666666674</v>
      </c>
      <c r="T119" s="32">
        <f t="shared" si="38"/>
        <v>0.22222222222222221</v>
      </c>
      <c r="U119">
        <f>step3_validation[[#This Row],[AI_TRU1]]</f>
        <v>7</v>
      </c>
      <c r="V119">
        <f t="shared" si="39"/>
        <v>0.66666666666666663</v>
      </c>
      <c r="W119">
        <f>[1]!survey_responses[[#This Row],[Tôi tin rằng Nhà nước, cơ quan thuế sẽ thực thi chính sách mới một cách khách quan, công tâm và đối xử bình đẳng với mọi người nộp thuế.  - HUMAN-TRU1]]</f>
        <v>1</v>
      </c>
      <c r="X119">
        <f t="shared" si="40"/>
        <v>0</v>
      </c>
      <c r="Y119">
        <f>step3_validation[[#This Row],[AI_TRU2]]</f>
        <v>6</v>
      </c>
      <c r="Z119">
        <f t="shared" si="41"/>
        <v>0.55555555555555558</v>
      </c>
      <c r="AA119">
        <f>[1]!survey_responses[[#This Row],[Tôi thấy mức thuế tôi phải đóng theo phương án mới là công bằng (người thu nhập như tôi đóng mức này là hợp lý). - HUMAN-TRU2]]</f>
        <v>3</v>
      </c>
      <c r="AB119">
        <f t="shared" si="42"/>
        <v>0.22222222222222221</v>
      </c>
      <c r="AC119">
        <f>step3_validation[[#This Row],[AI_TRU3]]</f>
        <v>5</v>
      </c>
      <c r="AD119">
        <f t="shared" si="43"/>
        <v>0.44444444444444442</v>
      </c>
      <c r="AE119">
        <f>[1]!survey_responses[[#This Row],[Tôi tin tưởng số tiền thuế tôi đóng sẽ được Nhà nước sử dụng hiệu quả để cải thiện dịch vụ công (y tế, đường xá...). - HUMAN-TRU3]]</f>
        <v>1</v>
      </c>
      <c r="AF119">
        <f t="shared" si="44"/>
        <v>0</v>
      </c>
      <c r="AG119">
        <f>step3_validation[[#This Row],[AI_TRU4]]</f>
        <v>6</v>
      </c>
      <c r="AH119">
        <f t="shared" si="45"/>
        <v>0.55555555555555558</v>
      </c>
      <c r="AI119">
        <f>[1]!survey_responses[[#This Row],[Tôi thấy Nhà nước đã giải thích rõ ràng, minh bạch về lý do và mục tiêu của việc sửa đổi thuế lần này. - HUMAN-TRU4]]</f>
        <v>1</v>
      </c>
      <c r="AJ119">
        <f t="shared" si="46"/>
        <v>0</v>
      </c>
      <c r="AK119" s="32">
        <f t="shared" si="47"/>
        <v>0.55555555555555558</v>
      </c>
      <c r="AL119" s="32">
        <f t="shared" si="48"/>
        <v>5.5555555555555552E-2</v>
      </c>
      <c r="AM119" s="7">
        <f t="shared" si="49"/>
        <v>0.64814814814814814</v>
      </c>
      <c r="AN119" s="7">
        <f t="shared" si="50"/>
        <v>0.14814814814814814</v>
      </c>
      <c r="AO119">
        <f>step3_validation[[#This Row],[AI_OUT1]]</f>
        <v>7</v>
      </c>
      <c r="AP119">
        <f t="shared" si="51"/>
        <v>0.66666666666666663</v>
      </c>
      <c r="AQ119">
        <f>[1]!survey_responses[[#This Row],[Sau khi xem xét các quyền lợi và nghĩa vụ, bạn có ủng hộ và tuân thủ chính sách mới hiện nay? - HUMAN-OUT1]]</f>
        <v>5</v>
      </c>
      <c r="AR119">
        <f t="shared" si="52"/>
        <v>0.44444444444444442</v>
      </c>
      <c r="AS119" s="32">
        <f t="shared" si="53"/>
        <v>2</v>
      </c>
    </row>
    <row r="120" spans="1:45" x14ac:dyDescent="0.45">
      <c r="A120">
        <f>step3_validation[[#This Row],[AI_ENF1]]</f>
        <v>6</v>
      </c>
      <c r="B120">
        <f t="shared" si="27"/>
        <v>0.55555555555555558</v>
      </c>
      <c r="C120">
        <f>[1]!survey_responses[[#This Row],[Tôi tin rằng với các quy định quản lý thuế hiện nay, hành vi gian lận hoặc trốn thuế sẽ dễ dàng bị phát hiện và xử lý nghiêm. - HUMAN-ENF1]]</f>
        <v>8</v>
      </c>
      <c r="D120">
        <f t="shared" si="28"/>
        <v>0.77777777777777779</v>
      </c>
      <c r="E120">
        <f>step3_validation[[#This Row],[AI_ENF2]]</f>
        <v>7</v>
      </c>
      <c r="F120">
        <f t="shared" si="29"/>
        <v>0.66666666666666663</v>
      </c>
      <c r="G120">
        <f>[1]!survey_responses[[#This Row],[Tôi tin rằng Nhà nước, cơ quan thuế có đủ khả năng và công nghệ để phát hiện, xử lý nghiêm các hành vi trốn thuế. - HUMAN-ENF2]]</f>
        <v>8</v>
      </c>
      <c r="H120">
        <f t="shared" si="30"/>
        <v>0.77777777777777779</v>
      </c>
      <c r="I120" s="32">
        <f t="shared" si="31"/>
        <v>0.61111111111111116</v>
      </c>
      <c r="J120" s="32">
        <f t="shared" si="32"/>
        <v>0.77777777777777779</v>
      </c>
      <c r="K120">
        <f>step3_validation[[#This Row],[AI_FAC1]]</f>
        <v>6</v>
      </c>
      <c r="L120">
        <f t="shared" si="33"/>
        <v>0.55555555555555558</v>
      </c>
      <c r="M120">
        <f>[1]!survey_responses[[#This Row],[Các thủ tục khai báo thuế VÀ/HOẶC quy trình làm việc với cơ quan thuế đơn giản, tiện lợi, nhanh chóng hơn so với trước đây. - HUMAN-FAC1]]</f>
        <v>6</v>
      </c>
      <c r="N120">
        <f t="shared" si="34"/>
        <v>0.55555555555555558</v>
      </c>
      <c r="O120">
        <f>step3_validation[[#This Row],[AI_FAC2]]</f>
        <v>5</v>
      </c>
      <c r="P120">
        <f t="shared" si="35"/>
        <v>0.44444444444444442</v>
      </c>
      <c r="Q120">
        <f>[1]!survey_responses[[#This Row],[So với trước đây, tôi thấy cách tính thuế và các bậc thuế trong phương án mới đơn giản, dễ hiểu và dễ thực hiện hơn. - HUMAN-FAC2]]</f>
        <v>9</v>
      </c>
      <c r="R120">
        <f t="shared" si="36"/>
        <v>0.88888888888888884</v>
      </c>
      <c r="S120" s="32">
        <f t="shared" si="37"/>
        <v>0.5</v>
      </c>
      <c r="T120" s="32">
        <f t="shared" si="38"/>
        <v>0.72222222222222221</v>
      </c>
      <c r="U120">
        <f>step3_validation[[#This Row],[AI_TRU1]]</f>
        <v>7</v>
      </c>
      <c r="V120">
        <f t="shared" si="39"/>
        <v>0.66666666666666663</v>
      </c>
      <c r="W120">
        <f>[1]!survey_responses[[#This Row],[Tôi tin rằng Nhà nước, cơ quan thuế sẽ thực thi chính sách mới một cách khách quan, công tâm và đối xử bình đẳng với mọi người nộp thuế.  - HUMAN-TRU1]]</f>
        <v>8</v>
      </c>
      <c r="X120">
        <f t="shared" si="40"/>
        <v>0.77777777777777779</v>
      </c>
      <c r="Y120">
        <f>step3_validation[[#This Row],[AI_TRU2]]</f>
        <v>8</v>
      </c>
      <c r="Z120">
        <f t="shared" si="41"/>
        <v>0.77777777777777779</v>
      </c>
      <c r="AA120">
        <f>[1]!survey_responses[[#This Row],[Tôi thấy mức thuế tôi phải đóng theo phương án mới là công bằng (người thu nhập như tôi đóng mức này là hợp lý). - HUMAN-TRU2]]</f>
        <v>7</v>
      </c>
      <c r="AB120">
        <f t="shared" si="42"/>
        <v>0.66666666666666663</v>
      </c>
      <c r="AC120">
        <f>step3_validation[[#This Row],[AI_TRU3]]</f>
        <v>6</v>
      </c>
      <c r="AD120">
        <f t="shared" si="43"/>
        <v>0.55555555555555558</v>
      </c>
      <c r="AE120">
        <f>[1]!survey_responses[[#This Row],[Tôi tin tưởng số tiền thuế tôi đóng sẽ được Nhà nước sử dụng hiệu quả để cải thiện dịch vụ công (y tế, đường xá...). - HUMAN-TRU3]]</f>
        <v>7</v>
      </c>
      <c r="AF120">
        <f t="shared" si="44"/>
        <v>0.66666666666666663</v>
      </c>
      <c r="AG120">
        <f>step3_validation[[#This Row],[AI_TRU4]]</f>
        <v>7</v>
      </c>
      <c r="AH120">
        <f t="shared" si="45"/>
        <v>0.66666666666666663</v>
      </c>
      <c r="AI120">
        <f>[1]!survey_responses[[#This Row],[Tôi thấy Nhà nước đã giải thích rõ ràng, minh bạch về lý do và mục tiêu của việc sửa đổi thuế lần này. - HUMAN-TRU4]]</f>
        <v>7</v>
      </c>
      <c r="AJ120">
        <f t="shared" si="46"/>
        <v>0.66666666666666663</v>
      </c>
      <c r="AK120" s="32">
        <f t="shared" si="47"/>
        <v>0.66666666666666663</v>
      </c>
      <c r="AL120" s="32">
        <f t="shared" si="48"/>
        <v>0.69444444444444442</v>
      </c>
      <c r="AM120" s="7">
        <f t="shared" si="49"/>
        <v>0.59259259259259256</v>
      </c>
      <c r="AN120" s="7">
        <f t="shared" si="50"/>
        <v>0.73148148148148151</v>
      </c>
      <c r="AO120">
        <f>step3_validation[[#This Row],[AI_OUT1]]</f>
        <v>8</v>
      </c>
      <c r="AP120">
        <f t="shared" si="51"/>
        <v>0.77777777777777779</v>
      </c>
      <c r="AQ120">
        <f>[1]!survey_responses[[#This Row],[Sau khi xem xét các quyền lợi và nghĩa vụ, bạn có ủng hộ và tuân thủ chính sách mới hiện nay? - HUMAN-OUT1]]</f>
        <v>7</v>
      </c>
      <c r="AR120">
        <f t="shared" si="52"/>
        <v>0.66666666666666663</v>
      </c>
      <c r="AS120" s="32">
        <f t="shared" si="53"/>
        <v>1</v>
      </c>
    </row>
    <row r="121" spans="1:45" x14ac:dyDescent="0.45">
      <c r="A121">
        <f>step3_validation[[#This Row],[AI_ENF1]]</f>
        <v>8</v>
      </c>
      <c r="B121">
        <f t="shared" si="27"/>
        <v>0.77777777777777779</v>
      </c>
      <c r="C121">
        <f>[1]!survey_responses[[#This Row],[Tôi tin rằng với các quy định quản lý thuế hiện nay, hành vi gian lận hoặc trốn thuế sẽ dễ dàng bị phát hiện và xử lý nghiêm. - HUMAN-ENF1]]</f>
        <v>6</v>
      </c>
      <c r="D121">
        <f t="shared" si="28"/>
        <v>0.55555555555555558</v>
      </c>
      <c r="E121">
        <f>step3_validation[[#This Row],[AI_ENF2]]</f>
        <v>7</v>
      </c>
      <c r="F121">
        <f t="shared" si="29"/>
        <v>0.66666666666666663</v>
      </c>
      <c r="G121">
        <f>[1]!survey_responses[[#This Row],[Tôi tin rằng Nhà nước, cơ quan thuế có đủ khả năng và công nghệ để phát hiện, xử lý nghiêm các hành vi trốn thuế. - HUMAN-ENF2]]</f>
        <v>6</v>
      </c>
      <c r="H121">
        <f t="shared" si="30"/>
        <v>0.55555555555555558</v>
      </c>
      <c r="I121" s="32">
        <f t="shared" si="31"/>
        <v>0.72222222222222221</v>
      </c>
      <c r="J121" s="32">
        <f t="shared" si="32"/>
        <v>0.55555555555555558</v>
      </c>
      <c r="K121">
        <f>step3_validation[[#This Row],[AI_FAC1]]</f>
        <v>6</v>
      </c>
      <c r="L121">
        <f t="shared" si="33"/>
        <v>0.55555555555555558</v>
      </c>
      <c r="M121">
        <f>[1]!survey_responses[[#This Row],[Các thủ tục khai báo thuế VÀ/HOẶC quy trình làm việc với cơ quan thuế đơn giản, tiện lợi, nhanh chóng hơn so với trước đây. - HUMAN-FAC1]]</f>
        <v>6</v>
      </c>
      <c r="N121">
        <f t="shared" si="34"/>
        <v>0.55555555555555558</v>
      </c>
      <c r="O121">
        <f>step3_validation[[#This Row],[AI_FAC2]]</f>
        <v>6</v>
      </c>
      <c r="P121">
        <f t="shared" si="35"/>
        <v>0.55555555555555558</v>
      </c>
      <c r="Q121">
        <f>[1]!survey_responses[[#This Row],[So với trước đây, tôi thấy cách tính thuế và các bậc thuế trong phương án mới đơn giản, dễ hiểu và dễ thực hiện hơn. - HUMAN-FAC2]]</f>
        <v>6</v>
      </c>
      <c r="R121">
        <f t="shared" si="36"/>
        <v>0.55555555555555558</v>
      </c>
      <c r="S121" s="32">
        <f t="shared" si="37"/>
        <v>0.55555555555555558</v>
      </c>
      <c r="T121" s="32">
        <f t="shared" si="38"/>
        <v>0.55555555555555558</v>
      </c>
      <c r="U121">
        <f>step3_validation[[#This Row],[AI_TRU1]]</f>
        <v>8</v>
      </c>
      <c r="V121">
        <f t="shared" si="39"/>
        <v>0.77777777777777779</v>
      </c>
      <c r="W121">
        <f>[1]!survey_responses[[#This Row],[Tôi tin rằng Nhà nước, cơ quan thuế sẽ thực thi chính sách mới một cách khách quan, công tâm và đối xử bình đẳng với mọi người nộp thuế.  - HUMAN-TRU1]]</f>
        <v>6</v>
      </c>
      <c r="X121">
        <f t="shared" si="40"/>
        <v>0.55555555555555558</v>
      </c>
      <c r="Y121">
        <f>step3_validation[[#This Row],[AI_TRU2]]</f>
        <v>7</v>
      </c>
      <c r="Z121">
        <f t="shared" si="41"/>
        <v>0.66666666666666663</v>
      </c>
      <c r="AA121">
        <f>[1]!survey_responses[[#This Row],[Tôi thấy mức thuế tôi phải đóng theo phương án mới là công bằng (người thu nhập như tôi đóng mức này là hợp lý). - HUMAN-TRU2]]</f>
        <v>6</v>
      </c>
      <c r="AB121">
        <f t="shared" si="42"/>
        <v>0.55555555555555558</v>
      </c>
      <c r="AC121">
        <f>step3_validation[[#This Row],[AI_TRU3]]</f>
        <v>8</v>
      </c>
      <c r="AD121">
        <f t="shared" si="43"/>
        <v>0.77777777777777779</v>
      </c>
      <c r="AE121">
        <f>[1]!survey_responses[[#This Row],[Tôi tin tưởng số tiền thuế tôi đóng sẽ được Nhà nước sử dụng hiệu quả để cải thiện dịch vụ công (y tế, đường xá...). - HUMAN-TRU3]]</f>
        <v>6</v>
      </c>
      <c r="AF121">
        <f t="shared" si="44"/>
        <v>0.55555555555555558</v>
      </c>
      <c r="AG121">
        <f>step3_validation[[#This Row],[AI_TRU4]]</f>
        <v>6</v>
      </c>
      <c r="AH121">
        <f t="shared" si="45"/>
        <v>0.55555555555555558</v>
      </c>
      <c r="AI121">
        <f>[1]!survey_responses[[#This Row],[Tôi thấy Nhà nước đã giải thích rõ ràng, minh bạch về lý do và mục tiêu của việc sửa đổi thuế lần này. - HUMAN-TRU4]]</f>
        <v>6</v>
      </c>
      <c r="AJ121">
        <f t="shared" si="46"/>
        <v>0.55555555555555558</v>
      </c>
      <c r="AK121" s="32">
        <f t="shared" si="47"/>
        <v>0.69444444444444442</v>
      </c>
      <c r="AL121" s="32">
        <f t="shared" si="48"/>
        <v>0.55555555555555558</v>
      </c>
      <c r="AM121" s="7">
        <f t="shared" si="49"/>
        <v>0.65740740740740733</v>
      </c>
      <c r="AN121" s="7">
        <f t="shared" si="50"/>
        <v>0.55555555555555558</v>
      </c>
      <c r="AO121">
        <f>step3_validation[[#This Row],[AI_OUT1]]</f>
        <v>0</v>
      </c>
      <c r="AP121">
        <f t="shared" si="51"/>
        <v>-0.1111111111111111</v>
      </c>
      <c r="AQ121">
        <f>[1]!survey_responses[[#This Row],[Sau khi xem xét các quyền lợi và nghĩa vụ, bạn có ủng hộ và tuân thủ chính sách mới hiện nay? - HUMAN-OUT1]]</f>
        <v>6</v>
      </c>
      <c r="AR121">
        <f t="shared" si="52"/>
        <v>0.55555555555555558</v>
      </c>
      <c r="AS121" s="32">
        <f t="shared" si="53"/>
        <v>6</v>
      </c>
    </row>
    <row r="122" spans="1:45" x14ac:dyDescent="0.45">
      <c r="A122">
        <f>step3_validation[[#This Row],[AI_ENF1]]</f>
        <v>6</v>
      </c>
      <c r="B122">
        <f t="shared" si="27"/>
        <v>0.55555555555555558</v>
      </c>
      <c r="C122">
        <f>[1]!survey_responses[[#This Row],[Tôi tin rằng với các quy định quản lý thuế hiện nay, hành vi gian lận hoặc trốn thuế sẽ dễ dàng bị phát hiện và xử lý nghiêm. - HUMAN-ENF1]]</f>
        <v>1</v>
      </c>
      <c r="D122">
        <f t="shared" si="28"/>
        <v>0</v>
      </c>
      <c r="E122">
        <f>step3_validation[[#This Row],[AI_ENF2]]</f>
        <v>5</v>
      </c>
      <c r="F122">
        <f t="shared" si="29"/>
        <v>0.44444444444444442</v>
      </c>
      <c r="G122">
        <f>[1]!survey_responses[[#This Row],[Tôi tin rằng Nhà nước, cơ quan thuế có đủ khả năng và công nghệ để phát hiện, xử lý nghiêm các hành vi trốn thuế. - HUMAN-ENF2]]</f>
        <v>1</v>
      </c>
      <c r="H122">
        <f t="shared" si="30"/>
        <v>0</v>
      </c>
      <c r="I122" s="32">
        <f t="shared" si="31"/>
        <v>0.5</v>
      </c>
      <c r="J122" s="32">
        <f t="shared" si="32"/>
        <v>0</v>
      </c>
      <c r="K122">
        <f>step3_validation[[#This Row],[AI_FAC1]]</f>
        <v>8</v>
      </c>
      <c r="L122">
        <f t="shared" si="33"/>
        <v>0.77777777777777779</v>
      </c>
      <c r="M122">
        <f>[1]!survey_responses[[#This Row],[Các thủ tục khai báo thuế VÀ/HOẶC quy trình làm việc với cơ quan thuế đơn giản, tiện lợi, nhanh chóng hơn so với trước đây. - HUMAN-FAC1]]</f>
        <v>1</v>
      </c>
      <c r="N122">
        <f t="shared" si="34"/>
        <v>0</v>
      </c>
      <c r="O122">
        <f>step3_validation[[#This Row],[AI_FAC2]]</f>
        <v>7</v>
      </c>
      <c r="P122">
        <f t="shared" si="35"/>
        <v>0.66666666666666663</v>
      </c>
      <c r="Q122">
        <f>[1]!survey_responses[[#This Row],[So với trước đây, tôi thấy cách tính thuế và các bậc thuế trong phương án mới đơn giản, dễ hiểu và dễ thực hiện hơn. - HUMAN-FAC2]]</f>
        <v>5</v>
      </c>
      <c r="R122">
        <f t="shared" si="36"/>
        <v>0.44444444444444442</v>
      </c>
      <c r="S122" s="32">
        <f t="shared" si="37"/>
        <v>0.72222222222222221</v>
      </c>
      <c r="T122" s="32">
        <f t="shared" si="38"/>
        <v>0.22222222222222221</v>
      </c>
      <c r="U122">
        <f>step3_validation[[#This Row],[AI_TRU1]]</f>
        <v>8</v>
      </c>
      <c r="V122">
        <f t="shared" si="39"/>
        <v>0.77777777777777779</v>
      </c>
      <c r="W122">
        <f>[1]!survey_responses[[#This Row],[Tôi tin rằng Nhà nước, cơ quan thuế sẽ thực thi chính sách mới một cách khách quan, công tâm và đối xử bình đẳng với mọi người nộp thuế.  - HUMAN-TRU1]]</f>
        <v>1</v>
      </c>
      <c r="X122">
        <f t="shared" si="40"/>
        <v>0</v>
      </c>
      <c r="Y122">
        <f>step3_validation[[#This Row],[AI_TRU2]]</f>
        <v>6</v>
      </c>
      <c r="Z122">
        <f t="shared" si="41"/>
        <v>0.55555555555555558</v>
      </c>
      <c r="AA122">
        <f>[1]!survey_responses[[#This Row],[Tôi thấy mức thuế tôi phải đóng theo phương án mới là công bằng (người thu nhập như tôi đóng mức này là hợp lý). - HUMAN-TRU2]]</f>
        <v>1</v>
      </c>
      <c r="AB122">
        <f t="shared" si="42"/>
        <v>0</v>
      </c>
      <c r="AC122">
        <f>step3_validation[[#This Row],[AI_TRU3]]</f>
        <v>7</v>
      </c>
      <c r="AD122">
        <f t="shared" si="43"/>
        <v>0.66666666666666663</v>
      </c>
      <c r="AE122">
        <f>[1]!survey_responses[[#This Row],[Tôi tin tưởng số tiền thuế tôi đóng sẽ được Nhà nước sử dụng hiệu quả để cải thiện dịch vụ công (y tế, đường xá...). - HUMAN-TRU3]]</f>
        <v>1</v>
      </c>
      <c r="AF122">
        <f t="shared" si="44"/>
        <v>0</v>
      </c>
      <c r="AG122">
        <f>step3_validation[[#This Row],[AI_TRU4]]</f>
        <v>5</v>
      </c>
      <c r="AH122">
        <f t="shared" si="45"/>
        <v>0.44444444444444442</v>
      </c>
      <c r="AI122">
        <f>[1]!survey_responses[[#This Row],[Tôi thấy Nhà nước đã giải thích rõ ràng, minh bạch về lý do và mục tiêu của việc sửa đổi thuế lần này. - HUMAN-TRU4]]</f>
        <v>1</v>
      </c>
      <c r="AJ122">
        <f t="shared" si="46"/>
        <v>0</v>
      </c>
      <c r="AK122" s="32">
        <f t="shared" si="47"/>
        <v>0.61111111111111116</v>
      </c>
      <c r="AL122" s="32">
        <f t="shared" si="48"/>
        <v>0</v>
      </c>
      <c r="AM122" s="7">
        <f t="shared" si="49"/>
        <v>0.61111111111111116</v>
      </c>
      <c r="AN122" s="7">
        <f t="shared" si="50"/>
        <v>7.407407407407407E-2</v>
      </c>
      <c r="AO122">
        <f>step3_validation[[#This Row],[AI_OUT1]]</f>
        <v>7</v>
      </c>
      <c r="AP122">
        <f t="shared" si="51"/>
        <v>0.66666666666666663</v>
      </c>
      <c r="AQ122">
        <f>[1]!survey_responses[[#This Row],[Sau khi xem xét các quyền lợi và nghĩa vụ, bạn có ủng hộ và tuân thủ chính sách mới hiện nay? - HUMAN-OUT1]]</f>
        <v>5</v>
      </c>
      <c r="AR122">
        <f t="shared" si="52"/>
        <v>0.44444444444444442</v>
      </c>
      <c r="AS122" s="32">
        <f t="shared" si="53"/>
        <v>2</v>
      </c>
    </row>
    <row r="123" spans="1:45" x14ac:dyDescent="0.45">
      <c r="A123">
        <f>step3_validation[[#This Row],[AI_ENF1]]</f>
        <v>6</v>
      </c>
      <c r="B123">
        <f t="shared" si="27"/>
        <v>0.55555555555555558</v>
      </c>
      <c r="C123">
        <f>[1]!survey_responses[[#This Row],[Tôi tin rằng với các quy định quản lý thuế hiện nay, hành vi gian lận hoặc trốn thuế sẽ dễ dàng bị phát hiện và xử lý nghiêm. - HUMAN-ENF1]]</f>
        <v>4</v>
      </c>
      <c r="D123">
        <f t="shared" si="28"/>
        <v>0.33333333333333331</v>
      </c>
      <c r="E123">
        <f>step3_validation[[#This Row],[AI_ENF2]]</f>
        <v>7</v>
      </c>
      <c r="F123">
        <f t="shared" si="29"/>
        <v>0.66666666666666663</v>
      </c>
      <c r="G123">
        <f>[1]!survey_responses[[#This Row],[Tôi tin rằng Nhà nước, cơ quan thuế có đủ khả năng và công nghệ để phát hiện, xử lý nghiêm các hành vi trốn thuế. - HUMAN-ENF2]]</f>
        <v>4</v>
      </c>
      <c r="H123">
        <f t="shared" si="30"/>
        <v>0.33333333333333331</v>
      </c>
      <c r="I123" s="32">
        <f t="shared" si="31"/>
        <v>0.61111111111111116</v>
      </c>
      <c r="J123" s="32">
        <f t="shared" si="32"/>
        <v>0.33333333333333331</v>
      </c>
      <c r="K123">
        <f>step3_validation[[#This Row],[AI_FAC1]]</f>
        <v>5</v>
      </c>
      <c r="L123">
        <f t="shared" si="33"/>
        <v>0.44444444444444442</v>
      </c>
      <c r="M123">
        <f>[1]!survey_responses[[#This Row],[Các thủ tục khai báo thuế VÀ/HOẶC quy trình làm việc với cơ quan thuế đơn giản, tiện lợi, nhanh chóng hơn so với trước đây. - HUMAN-FAC1]]</f>
        <v>2</v>
      </c>
      <c r="N123">
        <f t="shared" si="34"/>
        <v>0.1111111111111111</v>
      </c>
      <c r="O123">
        <f>step3_validation[[#This Row],[AI_FAC2]]</f>
        <v>8</v>
      </c>
      <c r="P123">
        <f t="shared" si="35"/>
        <v>0.77777777777777779</v>
      </c>
      <c r="Q123">
        <f>[1]!survey_responses[[#This Row],[So với trước đây, tôi thấy cách tính thuế và các bậc thuế trong phương án mới đơn giản, dễ hiểu và dễ thực hiện hơn. - HUMAN-FAC2]]</f>
        <v>5</v>
      </c>
      <c r="R123">
        <f t="shared" si="36"/>
        <v>0.44444444444444442</v>
      </c>
      <c r="S123" s="32">
        <f t="shared" si="37"/>
        <v>0.61111111111111116</v>
      </c>
      <c r="T123" s="32">
        <f t="shared" si="38"/>
        <v>0.27777777777777779</v>
      </c>
      <c r="U123">
        <f>step3_validation[[#This Row],[AI_TRU1]]</f>
        <v>7</v>
      </c>
      <c r="V123">
        <f t="shared" si="39"/>
        <v>0.66666666666666663</v>
      </c>
      <c r="W123">
        <f>[1]!survey_responses[[#This Row],[Tôi tin rằng Nhà nước, cơ quan thuế sẽ thực thi chính sách mới một cách khách quan, công tâm và đối xử bình đẳng với mọi người nộp thuế.  - HUMAN-TRU1]]</f>
        <v>1</v>
      </c>
      <c r="X123">
        <f t="shared" si="40"/>
        <v>0</v>
      </c>
      <c r="Y123">
        <f>step3_validation[[#This Row],[AI_TRU2]]</f>
        <v>8</v>
      </c>
      <c r="Z123">
        <f t="shared" si="41"/>
        <v>0.77777777777777779</v>
      </c>
      <c r="AA123">
        <f>[1]!survey_responses[[#This Row],[Tôi thấy mức thuế tôi phải đóng theo phương án mới là công bằng (người thu nhập như tôi đóng mức này là hợp lý). - HUMAN-TRU2]]</f>
        <v>1</v>
      </c>
      <c r="AB123">
        <f t="shared" si="42"/>
        <v>0</v>
      </c>
      <c r="AC123">
        <f>step3_validation[[#This Row],[AI_TRU3]]</f>
        <v>6</v>
      </c>
      <c r="AD123">
        <f t="shared" si="43"/>
        <v>0.55555555555555558</v>
      </c>
      <c r="AE123">
        <f>[1]!survey_responses[[#This Row],[Tôi tin tưởng số tiền thuế tôi đóng sẽ được Nhà nước sử dụng hiệu quả để cải thiện dịch vụ công (y tế, đường xá...). - HUMAN-TRU3]]</f>
        <v>1</v>
      </c>
      <c r="AF123">
        <f t="shared" si="44"/>
        <v>0</v>
      </c>
      <c r="AG123">
        <f>step3_validation[[#This Row],[AI_TRU4]]</f>
        <v>7</v>
      </c>
      <c r="AH123">
        <f t="shared" si="45"/>
        <v>0.66666666666666663</v>
      </c>
      <c r="AI123">
        <f>[1]!survey_responses[[#This Row],[Tôi thấy Nhà nước đã giải thích rõ ràng, minh bạch về lý do và mục tiêu của việc sửa đổi thuế lần này. - HUMAN-TRU4]]</f>
        <v>4</v>
      </c>
      <c r="AJ123">
        <f t="shared" si="46"/>
        <v>0.33333333333333331</v>
      </c>
      <c r="AK123" s="32">
        <f t="shared" si="47"/>
        <v>0.66666666666666663</v>
      </c>
      <c r="AL123" s="32">
        <f t="shared" si="48"/>
        <v>8.3333333333333329E-2</v>
      </c>
      <c r="AM123" s="7">
        <f t="shared" si="49"/>
        <v>0.62962962962962965</v>
      </c>
      <c r="AN123" s="7">
        <f t="shared" si="50"/>
        <v>0.23148148148148151</v>
      </c>
      <c r="AO123">
        <f>step3_validation[[#This Row],[AI_OUT1]]</f>
        <v>7</v>
      </c>
      <c r="AP123">
        <f t="shared" si="51"/>
        <v>0.66666666666666663</v>
      </c>
      <c r="AQ123">
        <f>[1]!survey_responses[[#This Row],[Sau khi xem xét các quyền lợi và nghĩa vụ, bạn có ủng hộ và tuân thủ chính sách mới hiện nay? - HUMAN-OUT1]]</f>
        <v>4</v>
      </c>
      <c r="AR123">
        <f t="shared" si="52"/>
        <v>0.33333333333333331</v>
      </c>
      <c r="AS123" s="32">
        <f t="shared" si="53"/>
        <v>3</v>
      </c>
    </row>
    <row r="124" spans="1:45" x14ac:dyDescent="0.45">
      <c r="A124">
        <f>step3_validation[[#This Row],[AI_ENF1]]</f>
        <v>6</v>
      </c>
      <c r="B124">
        <f t="shared" si="27"/>
        <v>0.55555555555555558</v>
      </c>
      <c r="C124">
        <f>[1]!survey_responses[[#This Row],[Tôi tin rằng với các quy định quản lý thuế hiện nay, hành vi gian lận hoặc trốn thuế sẽ dễ dàng bị phát hiện và xử lý nghiêm. - HUMAN-ENF1]]</f>
        <v>7</v>
      </c>
      <c r="D124">
        <f t="shared" si="28"/>
        <v>0.66666666666666663</v>
      </c>
      <c r="E124">
        <f>step3_validation[[#This Row],[AI_ENF2]]</f>
        <v>7</v>
      </c>
      <c r="F124">
        <f t="shared" si="29"/>
        <v>0.66666666666666663</v>
      </c>
      <c r="G124">
        <f>[1]!survey_responses[[#This Row],[Tôi tin rằng Nhà nước, cơ quan thuế có đủ khả năng và công nghệ để phát hiện, xử lý nghiêm các hành vi trốn thuế. - HUMAN-ENF2]]</f>
        <v>7</v>
      </c>
      <c r="H124">
        <f t="shared" si="30"/>
        <v>0.66666666666666663</v>
      </c>
      <c r="I124" s="32">
        <f t="shared" si="31"/>
        <v>0.61111111111111116</v>
      </c>
      <c r="J124" s="32">
        <f t="shared" si="32"/>
        <v>0.66666666666666663</v>
      </c>
      <c r="K124">
        <f>step3_validation[[#This Row],[AI_FAC1]]</f>
        <v>8</v>
      </c>
      <c r="L124">
        <f t="shared" si="33"/>
        <v>0.77777777777777779</v>
      </c>
      <c r="M124">
        <f>[1]!survey_responses[[#This Row],[Các thủ tục khai báo thuế VÀ/HOẶC quy trình làm việc với cơ quan thuế đơn giản, tiện lợi, nhanh chóng hơn so với trước đây. - HUMAN-FAC1]]</f>
        <v>7</v>
      </c>
      <c r="N124">
        <f t="shared" si="34"/>
        <v>0.66666666666666663</v>
      </c>
      <c r="O124">
        <f>step3_validation[[#This Row],[AI_FAC2]]</f>
        <v>7</v>
      </c>
      <c r="P124">
        <f t="shared" si="35"/>
        <v>0.66666666666666663</v>
      </c>
      <c r="Q124">
        <f>[1]!survey_responses[[#This Row],[So với trước đây, tôi thấy cách tính thuế và các bậc thuế trong phương án mới đơn giản, dễ hiểu và dễ thực hiện hơn. - HUMAN-FAC2]]</f>
        <v>7</v>
      </c>
      <c r="R124">
        <f t="shared" si="36"/>
        <v>0.66666666666666663</v>
      </c>
      <c r="S124" s="32">
        <f t="shared" si="37"/>
        <v>0.72222222222222221</v>
      </c>
      <c r="T124" s="32">
        <f t="shared" si="38"/>
        <v>0.66666666666666663</v>
      </c>
      <c r="U124">
        <f>step3_validation[[#This Row],[AI_TRU1]]</f>
        <v>8</v>
      </c>
      <c r="V124">
        <f t="shared" si="39"/>
        <v>0.77777777777777779</v>
      </c>
      <c r="W124">
        <f>[1]!survey_responses[[#This Row],[Tôi tin rằng Nhà nước, cơ quan thuế sẽ thực thi chính sách mới một cách khách quan, công tâm và đối xử bình đẳng với mọi người nộp thuế.  - HUMAN-TRU1]]</f>
        <v>7</v>
      </c>
      <c r="X124">
        <f t="shared" si="40"/>
        <v>0.66666666666666663</v>
      </c>
      <c r="Y124">
        <f>step3_validation[[#This Row],[AI_TRU2]]</f>
        <v>6</v>
      </c>
      <c r="Z124">
        <f t="shared" si="41"/>
        <v>0.55555555555555558</v>
      </c>
      <c r="AA124">
        <f>[1]!survey_responses[[#This Row],[Tôi thấy mức thuế tôi phải đóng theo phương án mới là công bằng (người thu nhập như tôi đóng mức này là hợp lý). - HUMAN-TRU2]]</f>
        <v>7</v>
      </c>
      <c r="AB124">
        <f t="shared" si="42"/>
        <v>0.66666666666666663</v>
      </c>
      <c r="AC124">
        <f>step3_validation[[#This Row],[AI_TRU3]]</f>
        <v>7</v>
      </c>
      <c r="AD124">
        <f t="shared" si="43"/>
        <v>0.66666666666666663</v>
      </c>
      <c r="AE124">
        <f>[1]!survey_responses[[#This Row],[Tôi tin tưởng số tiền thuế tôi đóng sẽ được Nhà nước sử dụng hiệu quả để cải thiện dịch vụ công (y tế, đường xá...). - HUMAN-TRU3]]</f>
        <v>7</v>
      </c>
      <c r="AF124">
        <f t="shared" si="44"/>
        <v>0.66666666666666663</v>
      </c>
      <c r="AG124">
        <f>step3_validation[[#This Row],[AI_TRU4]]</f>
        <v>8</v>
      </c>
      <c r="AH124">
        <f t="shared" si="45"/>
        <v>0.77777777777777779</v>
      </c>
      <c r="AI124">
        <f>[1]!survey_responses[[#This Row],[Tôi thấy Nhà nước đã giải thích rõ ràng, minh bạch về lý do và mục tiêu của việc sửa đổi thuế lần này. - HUMAN-TRU4]]</f>
        <v>7</v>
      </c>
      <c r="AJ124">
        <f t="shared" si="46"/>
        <v>0.66666666666666663</v>
      </c>
      <c r="AK124" s="32">
        <f t="shared" si="47"/>
        <v>0.69444444444444442</v>
      </c>
      <c r="AL124" s="32">
        <f t="shared" si="48"/>
        <v>0.66666666666666663</v>
      </c>
      <c r="AM124" s="7">
        <f t="shared" si="49"/>
        <v>0.67592592592592593</v>
      </c>
      <c r="AN124" s="7">
        <f t="shared" si="50"/>
        <v>0.66666666666666663</v>
      </c>
      <c r="AO124">
        <f>step3_validation[[#This Row],[AI_OUT1]]</f>
        <v>7</v>
      </c>
      <c r="AP124">
        <f t="shared" si="51"/>
        <v>0.66666666666666663</v>
      </c>
      <c r="AQ124">
        <f>[1]!survey_responses[[#This Row],[Sau khi xem xét các quyền lợi và nghĩa vụ, bạn có ủng hộ và tuân thủ chính sách mới hiện nay? - HUMAN-OUT1]]</f>
        <v>8</v>
      </c>
      <c r="AR124">
        <f t="shared" si="52"/>
        <v>0.77777777777777779</v>
      </c>
      <c r="AS124" s="32">
        <f t="shared" si="53"/>
        <v>1</v>
      </c>
    </row>
    <row r="125" spans="1:45" x14ac:dyDescent="0.45">
      <c r="A125">
        <f>step3_validation[[#This Row],[AI_ENF1]]</f>
        <v>6</v>
      </c>
      <c r="B125">
        <f t="shared" si="27"/>
        <v>0.55555555555555558</v>
      </c>
      <c r="C125">
        <f>[1]!survey_responses[[#This Row],[Tôi tin rằng với các quy định quản lý thuế hiện nay, hành vi gian lận hoặc trốn thuế sẽ dễ dàng bị phát hiện và xử lý nghiêm. - HUMAN-ENF1]]</f>
        <v>10</v>
      </c>
      <c r="D125">
        <f t="shared" si="28"/>
        <v>1</v>
      </c>
      <c r="E125">
        <f>step3_validation[[#This Row],[AI_ENF2]]</f>
        <v>6</v>
      </c>
      <c r="F125">
        <f t="shared" si="29"/>
        <v>0.55555555555555558</v>
      </c>
      <c r="G125">
        <f>[1]!survey_responses[[#This Row],[Tôi tin rằng Nhà nước, cơ quan thuế có đủ khả năng và công nghệ để phát hiện, xử lý nghiêm các hành vi trốn thuế. - HUMAN-ENF2]]</f>
        <v>9</v>
      </c>
      <c r="H125">
        <f t="shared" si="30"/>
        <v>0.88888888888888884</v>
      </c>
      <c r="I125" s="32">
        <f t="shared" si="31"/>
        <v>0.55555555555555558</v>
      </c>
      <c r="J125" s="32">
        <f t="shared" si="32"/>
        <v>0.94444444444444442</v>
      </c>
      <c r="K125">
        <f>step3_validation[[#This Row],[AI_FAC1]]</f>
        <v>8</v>
      </c>
      <c r="L125">
        <f t="shared" si="33"/>
        <v>0.77777777777777779</v>
      </c>
      <c r="M125">
        <f>[1]!survey_responses[[#This Row],[Các thủ tục khai báo thuế VÀ/HOẶC quy trình làm việc với cơ quan thuế đơn giản, tiện lợi, nhanh chóng hơn so với trước đây. - HUMAN-FAC1]]</f>
        <v>10</v>
      </c>
      <c r="N125">
        <f t="shared" si="34"/>
        <v>1</v>
      </c>
      <c r="O125">
        <f>step3_validation[[#This Row],[AI_FAC2]]</f>
        <v>8</v>
      </c>
      <c r="P125">
        <f t="shared" si="35"/>
        <v>0.77777777777777779</v>
      </c>
      <c r="Q125">
        <f>[1]!survey_responses[[#This Row],[So với trước đây, tôi thấy cách tính thuế và các bậc thuế trong phương án mới đơn giản, dễ hiểu và dễ thực hiện hơn. - HUMAN-FAC2]]</f>
        <v>10</v>
      </c>
      <c r="R125">
        <f t="shared" si="36"/>
        <v>1</v>
      </c>
      <c r="S125" s="32">
        <f t="shared" si="37"/>
        <v>0.77777777777777779</v>
      </c>
      <c r="T125" s="32">
        <f t="shared" si="38"/>
        <v>1</v>
      </c>
      <c r="U125">
        <f>step3_validation[[#This Row],[AI_TRU1]]</f>
        <v>7</v>
      </c>
      <c r="V125">
        <f t="shared" si="39"/>
        <v>0.66666666666666663</v>
      </c>
      <c r="W125">
        <f>[1]!survey_responses[[#This Row],[Tôi tin rằng Nhà nước, cơ quan thuế sẽ thực thi chính sách mới một cách khách quan, công tâm và đối xử bình đẳng với mọi người nộp thuế.  - HUMAN-TRU1]]</f>
        <v>10</v>
      </c>
      <c r="X125">
        <f t="shared" si="40"/>
        <v>1</v>
      </c>
      <c r="Y125">
        <f>step3_validation[[#This Row],[AI_TRU2]]</f>
        <v>8</v>
      </c>
      <c r="Z125">
        <f t="shared" si="41"/>
        <v>0.77777777777777779</v>
      </c>
      <c r="AA125">
        <f>[1]!survey_responses[[#This Row],[Tôi thấy mức thuế tôi phải đóng theo phương án mới là công bằng (người thu nhập như tôi đóng mức này là hợp lý). - HUMAN-TRU2]]</f>
        <v>8</v>
      </c>
      <c r="AB125">
        <f t="shared" si="42"/>
        <v>0.77777777777777779</v>
      </c>
      <c r="AC125">
        <f>step3_validation[[#This Row],[AI_TRU3]]</f>
        <v>6</v>
      </c>
      <c r="AD125">
        <f t="shared" si="43"/>
        <v>0.55555555555555558</v>
      </c>
      <c r="AE125">
        <f>[1]!survey_responses[[#This Row],[Tôi tin tưởng số tiền thuế tôi đóng sẽ được Nhà nước sử dụng hiệu quả để cải thiện dịch vụ công (y tế, đường xá...). - HUMAN-TRU3]]</f>
        <v>9</v>
      </c>
      <c r="AF125">
        <f t="shared" si="44"/>
        <v>0.88888888888888884</v>
      </c>
      <c r="AG125">
        <f>step3_validation[[#This Row],[AI_TRU4]]</f>
        <v>7</v>
      </c>
      <c r="AH125">
        <f t="shared" si="45"/>
        <v>0.66666666666666663</v>
      </c>
      <c r="AI125">
        <f>[1]!survey_responses[[#This Row],[Tôi thấy Nhà nước đã giải thích rõ ràng, minh bạch về lý do và mục tiêu của việc sửa đổi thuế lần này. - HUMAN-TRU4]]</f>
        <v>9</v>
      </c>
      <c r="AJ125">
        <f t="shared" si="46"/>
        <v>0.88888888888888884</v>
      </c>
      <c r="AK125" s="32">
        <f t="shared" si="47"/>
        <v>0.66666666666666663</v>
      </c>
      <c r="AL125" s="32">
        <f t="shared" si="48"/>
        <v>0.88888888888888884</v>
      </c>
      <c r="AM125" s="7">
        <f t="shared" si="49"/>
        <v>0.66666666666666663</v>
      </c>
      <c r="AN125" s="7">
        <f t="shared" si="50"/>
        <v>0.94444444444444431</v>
      </c>
      <c r="AO125">
        <f>step3_validation[[#This Row],[AI_OUT1]]</f>
        <v>7</v>
      </c>
      <c r="AP125">
        <f t="shared" si="51"/>
        <v>0.66666666666666663</v>
      </c>
      <c r="AQ125">
        <f>[1]!survey_responses[[#This Row],[Sau khi xem xét các quyền lợi và nghĩa vụ, bạn có ủng hộ và tuân thủ chính sách mới hiện nay? - HUMAN-OUT1]]</f>
        <v>9</v>
      </c>
      <c r="AR125">
        <f t="shared" si="52"/>
        <v>0.88888888888888884</v>
      </c>
      <c r="AS125" s="32">
        <f t="shared" si="53"/>
        <v>2</v>
      </c>
    </row>
    <row r="126" spans="1:45" x14ac:dyDescent="0.45">
      <c r="A126">
        <f>step3_validation[[#This Row],[AI_ENF1]]</f>
        <v>5</v>
      </c>
      <c r="B126">
        <f t="shared" si="27"/>
        <v>0.44444444444444442</v>
      </c>
      <c r="C126">
        <f>[1]!survey_responses[[#This Row],[Tôi tin rằng với các quy định quản lý thuế hiện nay, hành vi gian lận hoặc trốn thuế sẽ dễ dàng bị phát hiện và xử lý nghiêm. - HUMAN-ENF1]]</f>
        <v>10</v>
      </c>
      <c r="D126">
        <f t="shared" si="28"/>
        <v>1</v>
      </c>
      <c r="E126">
        <f>step3_validation[[#This Row],[AI_ENF2]]</f>
        <v>6</v>
      </c>
      <c r="F126">
        <f t="shared" si="29"/>
        <v>0.55555555555555558</v>
      </c>
      <c r="G126">
        <f>[1]!survey_responses[[#This Row],[Tôi tin rằng Nhà nước, cơ quan thuế có đủ khả năng và công nghệ để phát hiện, xử lý nghiêm các hành vi trốn thuế. - HUMAN-ENF2]]</f>
        <v>10</v>
      </c>
      <c r="H126">
        <f t="shared" si="30"/>
        <v>1</v>
      </c>
      <c r="I126" s="32">
        <f t="shared" si="31"/>
        <v>0.5</v>
      </c>
      <c r="J126" s="32">
        <f t="shared" si="32"/>
        <v>1</v>
      </c>
      <c r="K126">
        <f>step3_validation[[#This Row],[AI_FAC1]]</f>
        <v>8</v>
      </c>
      <c r="L126">
        <f t="shared" si="33"/>
        <v>0.77777777777777779</v>
      </c>
      <c r="M126">
        <f>[1]!survey_responses[[#This Row],[Các thủ tục khai báo thuế VÀ/HOẶC quy trình làm việc với cơ quan thuế đơn giản, tiện lợi, nhanh chóng hơn so với trước đây. - HUMAN-FAC1]]</f>
        <v>10</v>
      </c>
      <c r="N126">
        <f t="shared" si="34"/>
        <v>1</v>
      </c>
      <c r="O126">
        <f>step3_validation[[#This Row],[AI_FAC2]]</f>
        <v>7</v>
      </c>
      <c r="P126">
        <f t="shared" si="35"/>
        <v>0.66666666666666663</v>
      </c>
      <c r="Q126">
        <f>[1]!survey_responses[[#This Row],[So với trước đây, tôi thấy cách tính thuế và các bậc thuế trong phương án mới đơn giản, dễ hiểu và dễ thực hiện hơn. - HUMAN-FAC2]]</f>
        <v>10</v>
      </c>
      <c r="R126">
        <f t="shared" si="36"/>
        <v>1</v>
      </c>
      <c r="S126" s="32">
        <f t="shared" si="37"/>
        <v>0.72222222222222221</v>
      </c>
      <c r="T126" s="32">
        <f t="shared" si="38"/>
        <v>1</v>
      </c>
      <c r="U126">
        <f>step3_validation[[#This Row],[AI_TRU1]]</f>
        <v>6</v>
      </c>
      <c r="V126">
        <f t="shared" si="39"/>
        <v>0.55555555555555558</v>
      </c>
      <c r="W126">
        <f>[1]!survey_responses[[#This Row],[Tôi tin rằng Nhà nước, cơ quan thuế sẽ thực thi chính sách mới một cách khách quan, công tâm và đối xử bình đẳng với mọi người nộp thuế.  - HUMAN-TRU1]]</f>
        <v>10</v>
      </c>
      <c r="X126">
        <f t="shared" si="40"/>
        <v>1</v>
      </c>
      <c r="Y126">
        <f>step3_validation[[#This Row],[AI_TRU2]]</f>
        <v>5</v>
      </c>
      <c r="Z126">
        <f t="shared" si="41"/>
        <v>0.44444444444444442</v>
      </c>
      <c r="AA126">
        <f>[1]!survey_responses[[#This Row],[Tôi thấy mức thuế tôi phải đóng theo phương án mới là công bằng (người thu nhập như tôi đóng mức này là hợp lý). - HUMAN-TRU2]]</f>
        <v>10</v>
      </c>
      <c r="AB126">
        <f t="shared" si="42"/>
        <v>1</v>
      </c>
      <c r="AC126">
        <f>step3_validation[[#This Row],[AI_TRU3]]</f>
        <v>4</v>
      </c>
      <c r="AD126">
        <f t="shared" si="43"/>
        <v>0.33333333333333331</v>
      </c>
      <c r="AE126">
        <f>[1]!survey_responses[[#This Row],[Tôi tin tưởng số tiền thuế tôi đóng sẽ được Nhà nước sử dụng hiệu quả để cải thiện dịch vụ công (y tế, đường xá...). - HUMAN-TRU3]]</f>
        <v>10</v>
      </c>
      <c r="AF126">
        <f t="shared" si="44"/>
        <v>1</v>
      </c>
      <c r="AG126">
        <f>step3_validation[[#This Row],[AI_TRU4]]</f>
        <v>5</v>
      </c>
      <c r="AH126">
        <f t="shared" si="45"/>
        <v>0.44444444444444442</v>
      </c>
      <c r="AI126">
        <f>[1]!survey_responses[[#This Row],[Tôi thấy Nhà nước đã giải thích rõ ràng, minh bạch về lý do và mục tiêu của việc sửa đổi thuế lần này. - HUMAN-TRU4]]</f>
        <v>10</v>
      </c>
      <c r="AJ126">
        <f t="shared" si="46"/>
        <v>1</v>
      </c>
      <c r="AK126" s="32">
        <f t="shared" si="47"/>
        <v>0.44444444444444442</v>
      </c>
      <c r="AL126" s="32">
        <f t="shared" si="48"/>
        <v>1</v>
      </c>
      <c r="AM126" s="7">
        <f t="shared" si="49"/>
        <v>0.55555555555555558</v>
      </c>
      <c r="AN126" s="7">
        <f t="shared" si="50"/>
        <v>1</v>
      </c>
      <c r="AO126">
        <f>step3_validation[[#This Row],[AI_OUT1]]</f>
        <v>7</v>
      </c>
      <c r="AP126">
        <f t="shared" si="51"/>
        <v>0.66666666666666663</v>
      </c>
      <c r="AQ126">
        <f>[1]!survey_responses[[#This Row],[Sau khi xem xét các quyền lợi và nghĩa vụ, bạn có ủng hộ và tuân thủ chính sách mới hiện nay? - HUMAN-OUT1]]</f>
        <v>10</v>
      </c>
      <c r="AR126">
        <f t="shared" si="52"/>
        <v>1</v>
      </c>
      <c r="AS126" s="32">
        <f t="shared" si="53"/>
        <v>3</v>
      </c>
    </row>
    <row r="127" spans="1:45" x14ac:dyDescent="0.45">
      <c r="A127">
        <f>step3_validation[[#This Row],[AI_ENF1]]</f>
        <v>7</v>
      </c>
      <c r="B127">
        <f t="shared" si="27"/>
        <v>0.66666666666666663</v>
      </c>
      <c r="C127">
        <f>[1]!survey_responses[[#This Row],[Tôi tin rằng với các quy định quản lý thuế hiện nay, hành vi gian lận hoặc trốn thuế sẽ dễ dàng bị phát hiện và xử lý nghiêm. - HUMAN-ENF1]]</f>
        <v>8</v>
      </c>
      <c r="D127">
        <f t="shared" si="28"/>
        <v>0.77777777777777779</v>
      </c>
      <c r="E127">
        <f>step3_validation[[#This Row],[AI_ENF2]]</f>
        <v>8</v>
      </c>
      <c r="F127">
        <f t="shared" si="29"/>
        <v>0.77777777777777779</v>
      </c>
      <c r="G127">
        <f>[1]!survey_responses[[#This Row],[Tôi tin rằng Nhà nước, cơ quan thuế có đủ khả năng và công nghệ để phát hiện, xử lý nghiêm các hành vi trốn thuế. - HUMAN-ENF2]]</f>
        <v>8</v>
      </c>
      <c r="H127">
        <f t="shared" si="30"/>
        <v>0.77777777777777779</v>
      </c>
      <c r="I127" s="32">
        <f t="shared" si="31"/>
        <v>0.72222222222222221</v>
      </c>
      <c r="J127" s="32">
        <f t="shared" si="32"/>
        <v>0.77777777777777779</v>
      </c>
      <c r="K127">
        <f>step3_validation[[#This Row],[AI_FAC1]]</f>
        <v>9</v>
      </c>
      <c r="L127">
        <f t="shared" si="33"/>
        <v>0.88888888888888884</v>
      </c>
      <c r="M127">
        <f>[1]!survey_responses[[#This Row],[Các thủ tục khai báo thuế VÀ/HOẶC quy trình làm việc với cơ quan thuế đơn giản, tiện lợi, nhanh chóng hơn so với trước đây. - HUMAN-FAC1]]</f>
        <v>5</v>
      </c>
      <c r="N127">
        <f t="shared" si="34"/>
        <v>0.44444444444444442</v>
      </c>
      <c r="O127">
        <f>step3_validation[[#This Row],[AI_FAC2]]</f>
        <v>8</v>
      </c>
      <c r="P127">
        <f t="shared" si="35"/>
        <v>0.77777777777777779</v>
      </c>
      <c r="Q127">
        <f>[1]!survey_responses[[#This Row],[So với trước đây, tôi thấy cách tính thuế và các bậc thuế trong phương án mới đơn giản, dễ hiểu và dễ thực hiện hơn. - HUMAN-FAC2]]</f>
        <v>8</v>
      </c>
      <c r="R127">
        <f t="shared" si="36"/>
        <v>0.77777777777777779</v>
      </c>
      <c r="S127" s="32">
        <f t="shared" si="37"/>
        <v>0.83333333333333326</v>
      </c>
      <c r="T127" s="32">
        <f t="shared" si="38"/>
        <v>0.61111111111111116</v>
      </c>
      <c r="U127">
        <f>step3_validation[[#This Row],[AI_TRU1]]</f>
        <v>9</v>
      </c>
      <c r="V127">
        <f t="shared" si="39"/>
        <v>0.88888888888888884</v>
      </c>
      <c r="W127">
        <f>[1]!survey_responses[[#This Row],[Tôi tin rằng Nhà nước, cơ quan thuế sẽ thực thi chính sách mới một cách khách quan, công tâm và đối xử bình đẳng với mọi người nộp thuế.  - HUMAN-TRU1]]</f>
        <v>8</v>
      </c>
      <c r="X127">
        <f t="shared" si="40"/>
        <v>0.77777777777777779</v>
      </c>
      <c r="Y127">
        <f>step3_validation[[#This Row],[AI_TRU2]]</f>
        <v>7</v>
      </c>
      <c r="Z127">
        <f t="shared" si="41"/>
        <v>0.66666666666666663</v>
      </c>
      <c r="AA127">
        <f>[1]!survey_responses[[#This Row],[Tôi thấy mức thuế tôi phải đóng theo phương án mới là công bằng (người thu nhập như tôi đóng mức này là hợp lý). - HUMAN-TRU2]]</f>
        <v>8</v>
      </c>
      <c r="AB127">
        <f t="shared" si="42"/>
        <v>0.77777777777777779</v>
      </c>
      <c r="AC127">
        <f>step3_validation[[#This Row],[AI_TRU3]]</f>
        <v>8</v>
      </c>
      <c r="AD127">
        <f t="shared" si="43"/>
        <v>0.77777777777777779</v>
      </c>
      <c r="AE127">
        <f>[1]!survey_responses[[#This Row],[Tôi tin tưởng số tiền thuế tôi đóng sẽ được Nhà nước sử dụng hiệu quả để cải thiện dịch vụ công (y tế, đường xá...). - HUMAN-TRU3]]</f>
        <v>7</v>
      </c>
      <c r="AF127">
        <f t="shared" si="44"/>
        <v>0.66666666666666663</v>
      </c>
      <c r="AG127">
        <f>step3_validation[[#This Row],[AI_TRU4]]</f>
        <v>6</v>
      </c>
      <c r="AH127">
        <f t="shared" si="45"/>
        <v>0.55555555555555558</v>
      </c>
      <c r="AI127">
        <f>[1]!survey_responses[[#This Row],[Tôi thấy Nhà nước đã giải thích rõ ràng, minh bạch về lý do và mục tiêu của việc sửa đổi thuế lần này. - HUMAN-TRU4]]</f>
        <v>7</v>
      </c>
      <c r="AJ127">
        <f t="shared" si="46"/>
        <v>0.66666666666666663</v>
      </c>
      <c r="AK127" s="32">
        <f t="shared" si="47"/>
        <v>0.7222222222222221</v>
      </c>
      <c r="AL127" s="32">
        <f t="shared" si="48"/>
        <v>0.72222222222222221</v>
      </c>
      <c r="AM127" s="7">
        <f t="shared" si="49"/>
        <v>0.75925925925925919</v>
      </c>
      <c r="AN127" s="7">
        <f t="shared" si="50"/>
        <v>0.70370370370370372</v>
      </c>
      <c r="AO127">
        <f>step3_validation[[#This Row],[AI_OUT1]]</f>
        <v>0</v>
      </c>
      <c r="AP127">
        <f t="shared" si="51"/>
        <v>-0.1111111111111111</v>
      </c>
      <c r="AQ127">
        <f>[1]!survey_responses[[#This Row],[Sau khi xem xét các quyền lợi và nghĩa vụ, bạn có ủng hộ và tuân thủ chính sách mới hiện nay? - HUMAN-OUT1]]</f>
        <v>8</v>
      </c>
      <c r="AR127">
        <f t="shared" si="52"/>
        <v>0.77777777777777779</v>
      </c>
      <c r="AS127" s="32">
        <f t="shared" si="53"/>
        <v>8</v>
      </c>
    </row>
    <row r="128" spans="1:45" x14ac:dyDescent="0.45">
      <c r="A128">
        <f>step3_validation[[#This Row],[AI_ENF1]]</f>
        <v>7</v>
      </c>
      <c r="B128">
        <f t="shared" si="27"/>
        <v>0.66666666666666663</v>
      </c>
      <c r="C128">
        <f>[1]!survey_responses[[#This Row],[Tôi tin rằng với các quy định quản lý thuế hiện nay, hành vi gian lận hoặc trốn thuế sẽ dễ dàng bị phát hiện và xử lý nghiêm. - HUMAN-ENF1]]</f>
        <v>1</v>
      </c>
      <c r="D128">
        <f t="shared" si="28"/>
        <v>0</v>
      </c>
      <c r="E128">
        <f>step3_validation[[#This Row],[AI_ENF2]]</f>
        <v>8</v>
      </c>
      <c r="F128">
        <f t="shared" si="29"/>
        <v>0.77777777777777779</v>
      </c>
      <c r="G128">
        <f>[1]!survey_responses[[#This Row],[Tôi tin rằng Nhà nước, cơ quan thuế có đủ khả năng và công nghệ để phát hiện, xử lý nghiêm các hành vi trốn thuế. - HUMAN-ENF2]]</f>
        <v>1</v>
      </c>
      <c r="H128">
        <f t="shared" si="30"/>
        <v>0</v>
      </c>
      <c r="I128" s="32">
        <f t="shared" si="31"/>
        <v>0.72222222222222221</v>
      </c>
      <c r="J128" s="32">
        <f t="shared" si="32"/>
        <v>0</v>
      </c>
      <c r="K128">
        <f>step3_validation[[#This Row],[AI_FAC1]]</f>
        <v>9</v>
      </c>
      <c r="L128">
        <f t="shared" si="33"/>
        <v>0.88888888888888884</v>
      </c>
      <c r="M128">
        <f>[1]!survey_responses[[#This Row],[Các thủ tục khai báo thuế VÀ/HOẶC quy trình làm việc với cơ quan thuế đơn giản, tiện lợi, nhanh chóng hơn so với trước đây. - HUMAN-FAC1]]</f>
        <v>1</v>
      </c>
      <c r="N128">
        <f t="shared" si="34"/>
        <v>0</v>
      </c>
      <c r="O128">
        <f>step3_validation[[#This Row],[AI_FAC2]]</f>
        <v>8</v>
      </c>
      <c r="P128">
        <f t="shared" si="35"/>
        <v>0.77777777777777779</v>
      </c>
      <c r="Q128">
        <f>[1]!survey_responses[[#This Row],[So với trước đây, tôi thấy cách tính thuế và các bậc thuế trong phương án mới đơn giản, dễ hiểu và dễ thực hiện hơn. - HUMAN-FAC2]]</f>
        <v>5</v>
      </c>
      <c r="R128">
        <f t="shared" si="36"/>
        <v>0.44444444444444442</v>
      </c>
      <c r="S128" s="32">
        <f t="shared" si="37"/>
        <v>0.83333333333333326</v>
      </c>
      <c r="T128" s="32">
        <f t="shared" si="38"/>
        <v>0.22222222222222221</v>
      </c>
      <c r="U128">
        <f>step3_validation[[#This Row],[AI_TRU1]]</f>
        <v>9</v>
      </c>
      <c r="V128">
        <f t="shared" si="39"/>
        <v>0.88888888888888884</v>
      </c>
      <c r="W128">
        <f>[1]!survey_responses[[#This Row],[Tôi tin rằng Nhà nước, cơ quan thuế sẽ thực thi chính sách mới một cách khách quan, công tâm và đối xử bình đẳng với mọi người nộp thuế.  - HUMAN-TRU1]]</f>
        <v>1</v>
      </c>
      <c r="X128">
        <f t="shared" si="40"/>
        <v>0</v>
      </c>
      <c r="Y128">
        <f>step3_validation[[#This Row],[AI_TRU2]]</f>
        <v>7</v>
      </c>
      <c r="Z128">
        <f t="shared" si="41"/>
        <v>0.66666666666666663</v>
      </c>
      <c r="AA128">
        <f>[1]!survey_responses[[#This Row],[Tôi thấy mức thuế tôi phải đóng theo phương án mới là công bằng (người thu nhập như tôi đóng mức này là hợp lý). - HUMAN-TRU2]]</f>
        <v>1</v>
      </c>
      <c r="AB128">
        <f t="shared" si="42"/>
        <v>0</v>
      </c>
      <c r="AC128">
        <f>step3_validation[[#This Row],[AI_TRU3]]</f>
        <v>8</v>
      </c>
      <c r="AD128">
        <f t="shared" si="43"/>
        <v>0.77777777777777779</v>
      </c>
      <c r="AE128">
        <f>[1]!survey_responses[[#This Row],[Tôi tin tưởng số tiền thuế tôi đóng sẽ được Nhà nước sử dụng hiệu quả để cải thiện dịch vụ công (y tế, đường xá...). - HUMAN-TRU3]]</f>
        <v>1</v>
      </c>
      <c r="AF128">
        <f t="shared" si="44"/>
        <v>0</v>
      </c>
      <c r="AG128">
        <f>step3_validation[[#This Row],[AI_TRU4]]</f>
        <v>6</v>
      </c>
      <c r="AH128">
        <f t="shared" si="45"/>
        <v>0.55555555555555558</v>
      </c>
      <c r="AI128">
        <f>[1]!survey_responses[[#This Row],[Tôi thấy Nhà nước đã giải thích rõ ràng, minh bạch về lý do và mục tiêu của việc sửa đổi thuế lần này. - HUMAN-TRU4]]</f>
        <v>5</v>
      </c>
      <c r="AJ128">
        <f t="shared" si="46"/>
        <v>0.44444444444444442</v>
      </c>
      <c r="AK128" s="32">
        <f t="shared" si="47"/>
        <v>0.7222222222222221</v>
      </c>
      <c r="AL128" s="32">
        <f t="shared" si="48"/>
        <v>0.1111111111111111</v>
      </c>
      <c r="AM128" s="7">
        <f t="shared" si="49"/>
        <v>0.75925925925925919</v>
      </c>
      <c r="AN128" s="7">
        <f t="shared" si="50"/>
        <v>0.1111111111111111</v>
      </c>
      <c r="AO128">
        <f>step3_validation[[#This Row],[AI_OUT1]]</f>
        <v>5</v>
      </c>
      <c r="AP128">
        <f t="shared" si="51"/>
        <v>0.44444444444444442</v>
      </c>
      <c r="AQ128">
        <f>[1]!survey_responses[[#This Row],[Sau khi xem xét các quyền lợi và nghĩa vụ, bạn có ủng hộ và tuân thủ chính sách mới hiện nay? - HUMAN-OUT1]]</f>
        <v>5</v>
      </c>
      <c r="AR128">
        <f t="shared" si="52"/>
        <v>0.44444444444444442</v>
      </c>
      <c r="AS128" s="32">
        <f t="shared" si="53"/>
        <v>0</v>
      </c>
    </row>
    <row r="129" spans="1:45" x14ac:dyDescent="0.45">
      <c r="A129">
        <f>step3_validation[[#This Row],[AI_ENF1]]</f>
        <v>6</v>
      </c>
      <c r="B129">
        <f t="shared" si="27"/>
        <v>0.55555555555555558</v>
      </c>
      <c r="C129">
        <f>[1]!survey_responses[[#This Row],[Tôi tin rằng với các quy định quản lý thuế hiện nay, hành vi gian lận hoặc trốn thuế sẽ dễ dàng bị phát hiện và xử lý nghiêm. - HUMAN-ENF1]]</f>
        <v>6</v>
      </c>
      <c r="D129">
        <f t="shared" si="28"/>
        <v>0.55555555555555558</v>
      </c>
      <c r="E129">
        <f>step3_validation[[#This Row],[AI_ENF2]]</f>
        <v>7</v>
      </c>
      <c r="F129">
        <f t="shared" si="29"/>
        <v>0.66666666666666663</v>
      </c>
      <c r="G129">
        <f>[1]!survey_responses[[#This Row],[Tôi tin rằng Nhà nước, cơ quan thuế có đủ khả năng và công nghệ để phát hiện, xử lý nghiêm các hành vi trốn thuế. - HUMAN-ENF2]]</f>
        <v>6</v>
      </c>
      <c r="H129">
        <f t="shared" si="30"/>
        <v>0.55555555555555558</v>
      </c>
      <c r="I129" s="32">
        <f t="shared" si="31"/>
        <v>0.61111111111111116</v>
      </c>
      <c r="J129" s="32">
        <f t="shared" si="32"/>
        <v>0.55555555555555558</v>
      </c>
      <c r="K129">
        <f>step3_validation[[#This Row],[AI_FAC1]]</f>
        <v>8</v>
      </c>
      <c r="L129">
        <f t="shared" si="33"/>
        <v>0.77777777777777779</v>
      </c>
      <c r="M129">
        <f>[1]!survey_responses[[#This Row],[Các thủ tục khai báo thuế VÀ/HOẶC quy trình làm việc với cơ quan thuế đơn giản, tiện lợi, nhanh chóng hơn so với trước đây. - HUMAN-FAC1]]</f>
        <v>6</v>
      </c>
      <c r="N129">
        <f t="shared" si="34"/>
        <v>0.55555555555555558</v>
      </c>
      <c r="O129">
        <f>step3_validation[[#This Row],[AI_FAC2]]</f>
        <v>9</v>
      </c>
      <c r="P129">
        <f t="shared" si="35"/>
        <v>0.88888888888888884</v>
      </c>
      <c r="Q129">
        <f>[1]!survey_responses[[#This Row],[So với trước đây, tôi thấy cách tính thuế và các bậc thuế trong phương án mới đơn giản, dễ hiểu và dễ thực hiện hơn. - HUMAN-FAC2]]</f>
        <v>8</v>
      </c>
      <c r="R129">
        <f t="shared" si="36"/>
        <v>0.77777777777777779</v>
      </c>
      <c r="S129" s="32">
        <f t="shared" si="37"/>
        <v>0.83333333333333326</v>
      </c>
      <c r="T129" s="32">
        <f t="shared" si="38"/>
        <v>0.66666666666666674</v>
      </c>
      <c r="U129">
        <f>step3_validation[[#This Row],[AI_TRU1]]</f>
        <v>7</v>
      </c>
      <c r="V129">
        <f t="shared" si="39"/>
        <v>0.66666666666666663</v>
      </c>
      <c r="W129">
        <f>[1]!survey_responses[[#This Row],[Tôi tin rằng Nhà nước, cơ quan thuế sẽ thực thi chính sách mới một cách khách quan, công tâm và đối xử bình đẳng với mọi người nộp thuế.  - HUMAN-TRU1]]</f>
        <v>6</v>
      </c>
      <c r="X129">
        <f t="shared" si="40"/>
        <v>0.55555555555555558</v>
      </c>
      <c r="Y129">
        <f>step3_validation[[#This Row],[AI_TRU2]]</f>
        <v>8</v>
      </c>
      <c r="Z129">
        <f t="shared" si="41"/>
        <v>0.77777777777777779</v>
      </c>
      <c r="AA129">
        <f>[1]!survey_responses[[#This Row],[Tôi thấy mức thuế tôi phải đóng theo phương án mới là công bằng (người thu nhập như tôi đóng mức này là hợp lý). - HUMAN-TRU2]]</f>
        <v>3</v>
      </c>
      <c r="AB129">
        <f t="shared" si="42"/>
        <v>0.22222222222222221</v>
      </c>
      <c r="AC129">
        <f>step3_validation[[#This Row],[AI_TRU3]]</f>
        <v>6</v>
      </c>
      <c r="AD129">
        <f t="shared" si="43"/>
        <v>0.55555555555555558</v>
      </c>
      <c r="AE129">
        <f>[1]!survey_responses[[#This Row],[Tôi tin tưởng số tiền thuế tôi đóng sẽ được Nhà nước sử dụng hiệu quả để cải thiện dịch vụ công (y tế, đường xá...). - HUMAN-TRU3]]</f>
        <v>5</v>
      </c>
      <c r="AF129">
        <f t="shared" si="44"/>
        <v>0.44444444444444442</v>
      </c>
      <c r="AG129">
        <f>step3_validation[[#This Row],[AI_TRU4]]</f>
        <v>5</v>
      </c>
      <c r="AH129">
        <f t="shared" si="45"/>
        <v>0.44444444444444442</v>
      </c>
      <c r="AI129">
        <f>[1]!survey_responses[[#This Row],[Tôi thấy Nhà nước đã giải thích rõ ràng, minh bạch về lý do và mục tiêu của việc sửa đổi thuế lần này. - HUMAN-TRU4]]</f>
        <v>5</v>
      </c>
      <c r="AJ129">
        <f t="shared" si="46"/>
        <v>0.44444444444444442</v>
      </c>
      <c r="AK129" s="32">
        <f t="shared" si="47"/>
        <v>0.61111111111111116</v>
      </c>
      <c r="AL129" s="32">
        <f t="shared" si="48"/>
        <v>0.41666666666666669</v>
      </c>
      <c r="AM129" s="7">
        <f t="shared" si="49"/>
        <v>0.68518518518518512</v>
      </c>
      <c r="AN129" s="7">
        <f t="shared" si="50"/>
        <v>0.54629629629629639</v>
      </c>
      <c r="AO129">
        <f>step3_validation[[#This Row],[AI_OUT1]]</f>
        <v>7</v>
      </c>
      <c r="AP129">
        <f t="shared" si="51"/>
        <v>0.66666666666666663</v>
      </c>
      <c r="AQ129">
        <f>[1]!survey_responses[[#This Row],[Sau khi xem xét các quyền lợi và nghĩa vụ, bạn có ủng hộ và tuân thủ chính sách mới hiện nay? - HUMAN-OUT1]]</f>
        <v>4</v>
      </c>
      <c r="AR129">
        <f t="shared" si="52"/>
        <v>0.33333333333333331</v>
      </c>
      <c r="AS129" s="32">
        <f t="shared" si="53"/>
        <v>3</v>
      </c>
    </row>
    <row r="130" spans="1:45" x14ac:dyDescent="0.45">
      <c r="A130">
        <f>step3_validation[[#This Row],[AI_ENF1]]</f>
        <v>6</v>
      </c>
      <c r="B130">
        <f t="shared" si="27"/>
        <v>0.55555555555555558</v>
      </c>
      <c r="C130">
        <f>[1]!survey_responses[[#This Row],[Tôi tin rằng với các quy định quản lý thuế hiện nay, hành vi gian lận hoặc trốn thuế sẽ dễ dàng bị phát hiện và xử lý nghiêm. - HUMAN-ENF1]]</f>
        <v>6</v>
      </c>
      <c r="D130">
        <f t="shared" si="28"/>
        <v>0.55555555555555558</v>
      </c>
      <c r="E130">
        <f>step3_validation[[#This Row],[AI_ENF2]]</f>
        <v>7</v>
      </c>
      <c r="F130">
        <f t="shared" si="29"/>
        <v>0.66666666666666663</v>
      </c>
      <c r="G130">
        <f>[1]!survey_responses[[#This Row],[Tôi tin rằng Nhà nước, cơ quan thuế có đủ khả năng và công nghệ để phát hiện, xử lý nghiêm các hành vi trốn thuế. - HUMAN-ENF2]]</f>
        <v>6</v>
      </c>
      <c r="H130">
        <f t="shared" si="30"/>
        <v>0.55555555555555558</v>
      </c>
      <c r="I130" s="32">
        <f t="shared" si="31"/>
        <v>0.61111111111111116</v>
      </c>
      <c r="J130" s="32">
        <f t="shared" si="32"/>
        <v>0.55555555555555558</v>
      </c>
      <c r="K130">
        <f>step3_validation[[#This Row],[AI_FAC1]]</f>
        <v>5</v>
      </c>
      <c r="L130">
        <f t="shared" si="33"/>
        <v>0.44444444444444442</v>
      </c>
      <c r="M130">
        <f>[1]!survey_responses[[#This Row],[Các thủ tục khai báo thuế VÀ/HOẶC quy trình làm việc với cơ quan thuế đơn giản, tiện lợi, nhanh chóng hơn so với trước đây. - HUMAN-FAC1]]</f>
        <v>4</v>
      </c>
      <c r="N130">
        <f t="shared" si="34"/>
        <v>0.33333333333333331</v>
      </c>
      <c r="O130">
        <f>step3_validation[[#This Row],[AI_FAC2]]</f>
        <v>4</v>
      </c>
      <c r="P130">
        <f t="shared" si="35"/>
        <v>0.33333333333333331</v>
      </c>
      <c r="Q130">
        <f>[1]!survey_responses[[#This Row],[So với trước đây, tôi thấy cách tính thuế và các bậc thuế trong phương án mới đơn giản, dễ hiểu và dễ thực hiện hơn. - HUMAN-FAC2]]</f>
        <v>5</v>
      </c>
      <c r="R130">
        <f t="shared" si="36"/>
        <v>0.44444444444444442</v>
      </c>
      <c r="S130" s="32">
        <f t="shared" si="37"/>
        <v>0.38888888888888884</v>
      </c>
      <c r="T130" s="32">
        <f t="shared" si="38"/>
        <v>0.38888888888888884</v>
      </c>
      <c r="U130">
        <f>step3_validation[[#This Row],[AI_TRU1]]</f>
        <v>8</v>
      </c>
      <c r="V130">
        <f t="shared" si="39"/>
        <v>0.77777777777777779</v>
      </c>
      <c r="W130">
        <f>[1]!survey_responses[[#This Row],[Tôi tin rằng Nhà nước, cơ quan thuế sẽ thực thi chính sách mới một cách khách quan, công tâm và đối xử bình đẳng với mọi người nộp thuế.  - HUMAN-TRU1]]</f>
        <v>5</v>
      </c>
      <c r="X130">
        <f t="shared" si="40"/>
        <v>0.44444444444444442</v>
      </c>
      <c r="Y130">
        <f>step3_validation[[#This Row],[AI_TRU2]]</f>
        <v>6</v>
      </c>
      <c r="Z130">
        <f t="shared" si="41"/>
        <v>0.55555555555555558</v>
      </c>
      <c r="AA130">
        <f>[1]!survey_responses[[#This Row],[Tôi thấy mức thuế tôi phải đóng theo phương án mới là công bằng (người thu nhập như tôi đóng mức này là hợp lý). - HUMAN-TRU2]]</f>
        <v>1</v>
      </c>
      <c r="AB130">
        <f t="shared" si="42"/>
        <v>0</v>
      </c>
      <c r="AC130">
        <f>step3_validation[[#This Row],[AI_TRU3]]</f>
        <v>5</v>
      </c>
      <c r="AD130">
        <f t="shared" si="43"/>
        <v>0.44444444444444442</v>
      </c>
      <c r="AE130">
        <f>[1]!survey_responses[[#This Row],[Tôi tin tưởng số tiền thuế tôi đóng sẽ được Nhà nước sử dụng hiệu quả để cải thiện dịch vụ công (y tế, đường xá...). - HUMAN-TRU3]]</f>
        <v>5</v>
      </c>
      <c r="AF130">
        <f t="shared" si="44"/>
        <v>0.44444444444444442</v>
      </c>
      <c r="AG130">
        <f>step3_validation[[#This Row],[AI_TRU4]]</f>
        <v>6</v>
      </c>
      <c r="AH130">
        <f t="shared" si="45"/>
        <v>0.55555555555555558</v>
      </c>
      <c r="AI130">
        <f>[1]!survey_responses[[#This Row],[Tôi thấy Nhà nước đã giải thích rõ ràng, minh bạch về lý do và mục tiêu của việc sửa đổi thuế lần này. - HUMAN-TRU4]]</f>
        <v>4</v>
      </c>
      <c r="AJ130">
        <f t="shared" si="46"/>
        <v>0.33333333333333331</v>
      </c>
      <c r="AK130" s="32">
        <f t="shared" si="47"/>
        <v>0.58333333333333337</v>
      </c>
      <c r="AL130" s="32">
        <f t="shared" si="48"/>
        <v>0.30555555555555552</v>
      </c>
      <c r="AM130" s="7">
        <f t="shared" si="49"/>
        <v>0.52777777777777779</v>
      </c>
      <c r="AN130" s="7">
        <f t="shared" si="50"/>
        <v>0.41666666666666669</v>
      </c>
      <c r="AO130">
        <f>step3_validation[[#This Row],[AI_OUT1]]</f>
        <v>7</v>
      </c>
      <c r="AP130">
        <f t="shared" si="51"/>
        <v>0.66666666666666663</v>
      </c>
      <c r="AQ130">
        <f>[1]!survey_responses[[#This Row],[Sau khi xem xét các quyền lợi và nghĩa vụ, bạn có ủng hộ và tuân thủ chính sách mới hiện nay? - HUMAN-OUT1]]</f>
        <v>5</v>
      </c>
      <c r="AR130">
        <f t="shared" si="52"/>
        <v>0.44444444444444442</v>
      </c>
      <c r="AS130" s="32">
        <f t="shared" si="53"/>
        <v>2</v>
      </c>
    </row>
    <row r="131" spans="1:45" x14ac:dyDescent="0.45">
      <c r="A131">
        <f>step3_validation[[#This Row],[AI_ENF1]]</f>
        <v>8</v>
      </c>
      <c r="B131">
        <f t="shared" ref="B131:B194" si="54">(A131-1)/9</f>
        <v>0.77777777777777779</v>
      </c>
      <c r="C131">
        <f>[1]!survey_responses[[#This Row],[Tôi tin rằng với các quy định quản lý thuế hiện nay, hành vi gian lận hoặc trốn thuế sẽ dễ dàng bị phát hiện và xử lý nghiêm. - HUMAN-ENF1]]</f>
        <v>5</v>
      </c>
      <c r="D131">
        <f t="shared" ref="D131:D194" si="55">(C131-1)/9</f>
        <v>0.44444444444444442</v>
      </c>
      <c r="E131">
        <f>step3_validation[[#This Row],[AI_ENF2]]</f>
        <v>7</v>
      </c>
      <c r="F131">
        <f t="shared" ref="F131:F194" si="56">(E131-1)/9</f>
        <v>0.66666666666666663</v>
      </c>
      <c r="G131">
        <f>[1]!survey_responses[[#This Row],[Tôi tin rằng Nhà nước, cơ quan thuế có đủ khả năng và công nghệ để phát hiện, xử lý nghiêm các hành vi trốn thuế. - HUMAN-ENF2]]</f>
        <v>5</v>
      </c>
      <c r="H131">
        <f t="shared" ref="H131:H194" si="57">(G131-1)/9</f>
        <v>0.44444444444444442</v>
      </c>
      <c r="I131" s="32">
        <f t="shared" ref="I131:I194" si="58">AVERAGE(B131,F131)</f>
        <v>0.72222222222222221</v>
      </c>
      <c r="J131" s="32">
        <f t="shared" ref="J131:J194" si="59">AVERAGE(D131,H131)</f>
        <v>0.44444444444444442</v>
      </c>
      <c r="K131">
        <f>step3_validation[[#This Row],[AI_FAC1]]</f>
        <v>9</v>
      </c>
      <c r="L131">
        <f t="shared" ref="L131:L194" si="60">(K131-1)/9</f>
        <v>0.88888888888888884</v>
      </c>
      <c r="M131">
        <f>[1]!survey_responses[[#This Row],[Các thủ tục khai báo thuế VÀ/HOẶC quy trình làm việc với cơ quan thuế đơn giản, tiện lợi, nhanh chóng hơn so với trước đây. - HUMAN-FAC1]]</f>
        <v>1</v>
      </c>
      <c r="N131">
        <f t="shared" ref="N131:N194" si="61">(M131-1)/9</f>
        <v>0</v>
      </c>
      <c r="O131">
        <f>step3_validation[[#This Row],[AI_FAC2]]</f>
        <v>8</v>
      </c>
      <c r="P131">
        <f t="shared" ref="P131:P194" si="62">(O131-1)/9</f>
        <v>0.77777777777777779</v>
      </c>
      <c r="Q131">
        <f>[1]!survey_responses[[#This Row],[So với trước đây, tôi thấy cách tính thuế và các bậc thuế trong phương án mới đơn giản, dễ hiểu và dễ thực hiện hơn. - HUMAN-FAC2]]</f>
        <v>4</v>
      </c>
      <c r="R131">
        <f t="shared" ref="R131:R194" si="63">(Q131-1)/9</f>
        <v>0.33333333333333331</v>
      </c>
      <c r="S131" s="32">
        <f t="shared" ref="S131:S194" si="64">AVERAGE(L131,P131)</f>
        <v>0.83333333333333326</v>
      </c>
      <c r="T131" s="32">
        <f t="shared" ref="T131:T194" si="65">AVERAGE(N131,R131)</f>
        <v>0.16666666666666666</v>
      </c>
      <c r="U131">
        <f>step3_validation[[#This Row],[AI_TRU1]]</f>
        <v>6</v>
      </c>
      <c r="V131">
        <f t="shared" ref="V131:V194" si="66">(U131-1)/9</f>
        <v>0.55555555555555558</v>
      </c>
      <c r="W131">
        <f>[1]!survey_responses[[#This Row],[Tôi tin rằng Nhà nước, cơ quan thuế sẽ thực thi chính sách mới một cách khách quan, công tâm và đối xử bình đẳng với mọi người nộp thuế.  - HUMAN-TRU1]]</f>
        <v>2</v>
      </c>
      <c r="X131">
        <f t="shared" ref="X131:X194" si="67">(W131-1)/9</f>
        <v>0.1111111111111111</v>
      </c>
      <c r="Y131">
        <f>step3_validation[[#This Row],[AI_TRU2]]</f>
        <v>7</v>
      </c>
      <c r="Z131">
        <f t="shared" ref="Z131:Z194" si="68">(Y131-1)/9</f>
        <v>0.66666666666666663</v>
      </c>
      <c r="AA131">
        <f>[1]!survey_responses[[#This Row],[Tôi thấy mức thuế tôi phải đóng theo phương án mới là công bằng (người thu nhập như tôi đóng mức này là hợp lý). - HUMAN-TRU2]]</f>
        <v>1</v>
      </c>
      <c r="AB131">
        <f t="shared" ref="AB131:AB194" si="69">(AA131-1)/9</f>
        <v>0</v>
      </c>
      <c r="AC131">
        <f>step3_validation[[#This Row],[AI_TRU3]]</f>
        <v>6</v>
      </c>
      <c r="AD131">
        <f t="shared" ref="AD131:AD194" si="70">(AC131-1)/9</f>
        <v>0.55555555555555558</v>
      </c>
      <c r="AE131">
        <f>[1]!survey_responses[[#This Row],[Tôi tin tưởng số tiền thuế tôi đóng sẽ được Nhà nước sử dụng hiệu quả để cải thiện dịch vụ công (y tế, đường xá...). - HUMAN-TRU3]]</f>
        <v>1</v>
      </c>
      <c r="AF131">
        <f t="shared" ref="AF131:AF194" si="71">(AE131-1)/9</f>
        <v>0</v>
      </c>
      <c r="AG131">
        <f>step3_validation[[#This Row],[AI_TRU4]]</f>
        <v>5</v>
      </c>
      <c r="AH131">
        <f t="shared" ref="AH131:AH194" si="72">(AG131-1)/9</f>
        <v>0.44444444444444442</v>
      </c>
      <c r="AI131">
        <f>[1]!survey_responses[[#This Row],[Tôi thấy Nhà nước đã giải thích rõ ràng, minh bạch về lý do và mục tiêu của việc sửa đổi thuế lần này. - HUMAN-TRU4]]</f>
        <v>1</v>
      </c>
      <c r="AJ131">
        <f t="shared" ref="AJ131:AJ194" si="73">(AI131-1)/9</f>
        <v>0</v>
      </c>
      <c r="AK131" s="32">
        <f t="shared" ref="AK131:AK194" si="74">AVERAGE(V131,Z131,AD131,AH131)</f>
        <v>0.55555555555555558</v>
      </c>
      <c r="AL131" s="32">
        <f t="shared" ref="AL131:AL194" si="75">AVERAGE(X131,AB131,AF131,AJ131)</f>
        <v>2.7777777777777776E-2</v>
      </c>
      <c r="AM131" s="7">
        <f t="shared" ref="AM131:AM194" si="76">(I131+S131+AK131)/3</f>
        <v>0.70370370370370361</v>
      </c>
      <c r="AN131" s="7">
        <f t="shared" ref="AN131:AN194" si="77">(J131+T131+AL131)/3</f>
        <v>0.21296296296296294</v>
      </c>
      <c r="AO131">
        <f>step3_validation[[#This Row],[AI_OUT1]]</f>
        <v>7</v>
      </c>
      <c r="AP131">
        <f t="shared" ref="AP131:AP194" si="78">(AO131-1)/9</f>
        <v>0.66666666666666663</v>
      </c>
      <c r="AQ131">
        <f>[1]!survey_responses[[#This Row],[Sau khi xem xét các quyền lợi và nghĩa vụ, bạn có ủng hộ và tuân thủ chính sách mới hiện nay? - HUMAN-OUT1]]</f>
        <v>5</v>
      </c>
      <c r="AR131">
        <f t="shared" ref="AR131:AR194" si="79">(AQ131-1)/9</f>
        <v>0.44444444444444442</v>
      </c>
      <c r="AS131" s="32">
        <f t="shared" ref="AS131:AS194" si="80">ABS(AQ131-AO131)</f>
        <v>2</v>
      </c>
    </row>
    <row r="132" spans="1:45" x14ac:dyDescent="0.45">
      <c r="A132">
        <f>step3_validation[[#This Row],[AI_ENF1]]</f>
        <v>7</v>
      </c>
      <c r="B132">
        <f t="shared" si="54"/>
        <v>0.66666666666666663</v>
      </c>
      <c r="C132">
        <f>[1]!survey_responses[[#This Row],[Tôi tin rằng với các quy định quản lý thuế hiện nay, hành vi gian lận hoặc trốn thuế sẽ dễ dàng bị phát hiện và xử lý nghiêm. - HUMAN-ENF1]]</f>
        <v>8</v>
      </c>
      <c r="D132">
        <f t="shared" si="55"/>
        <v>0.77777777777777779</v>
      </c>
      <c r="E132">
        <f>step3_validation[[#This Row],[AI_ENF2]]</f>
        <v>8</v>
      </c>
      <c r="F132">
        <f t="shared" si="56"/>
        <v>0.77777777777777779</v>
      </c>
      <c r="G132">
        <f>[1]!survey_responses[[#This Row],[Tôi tin rằng Nhà nước, cơ quan thuế có đủ khả năng và công nghệ để phát hiện, xử lý nghiêm các hành vi trốn thuế. - HUMAN-ENF2]]</f>
        <v>9</v>
      </c>
      <c r="H132">
        <f t="shared" si="57"/>
        <v>0.88888888888888884</v>
      </c>
      <c r="I132" s="32">
        <f t="shared" si="58"/>
        <v>0.72222222222222221</v>
      </c>
      <c r="J132" s="32">
        <f t="shared" si="59"/>
        <v>0.83333333333333326</v>
      </c>
      <c r="K132">
        <f>step3_validation[[#This Row],[AI_FAC1]]</f>
        <v>6</v>
      </c>
      <c r="L132">
        <f t="shared" si="60"/>
        <v>0.55555555555555558</v>
      </c>
      <c r="M132">
        <f>[1]!survey_responses[[#This Row],[Các thủ tục khai báo thuế VÀ/HOẶC quy trình làm việc với cơ quan thuế đơn giản, tiện lợi, nhanh chóng hơn so với trước đây. - HUMAN-FAC1]]</f>
        <v>5</v>
      </c>
      <c r="N132">
        <f t="shared" si="61"/>
        <v>0.44444444444444442</v>
      </c>
      <c r="O132">
        <f>step3_validation[[#This Row],[AI_FAC2]]</f>
        <v>8</v>
      </c>
      <c r="P132">
        <f t="shared" si="62"/>
        <v>0.77777777777777779</v>
      </c>
      <c r="Q132">
        <f>[1]!survey_responses[[#This Row],[So với trước đây, tôi thấy cách tính thuế và các bậc thuế trong phương án mới đơn giản, dễ hiểu và dễ thực hiện hơn. - HUMAN-FAC2]]</f>
        <v>5</v>
      </c>
      <c r="R132">
        <f t="shared" si="63"/>
        <v>0.44444444444444442</v>
      </c>
      <c r="S132" s="32">
        <f t="shared" si="64"/>
        <v>0.66666666666666674</v>
      </c>
      <c r="T132" s="32">
        <f t="shared" si="65"/>
        <v>0.44444444444444442</v>
      </c>
      <c r="U132">
        <f>step3_validation[[#This Row],[AI_TRU1]]</f>
        <v>6</v>
      </c>
      <c r="V132">
        <f t="shared" si="66"/>
        <v>0.55555555555555558</v>
      </c>
      <c r="W132">
        <f>[1]!survey_responses[[#This Row],[Tôi tin rằng Nhà nước, cơ quan thuế sẽ thực thi chính sách mới một cách khách quan, công tâm và đối xử bình đẳng với mọi người nộp thuế.  - HUMAN-TRU1]]</f>
        <v>5</v>
      </c>
      <c r="X132">
        <f t="shared" si="67"/>
        <v>0.44444444444444442</v>
      </c>
      <c r="Y132">
        <f>step3_validation[[#This Row],[AI_TRU2]]</f>
        <v>7</v>
      </c>
      <c r="Z132">
        <f t="shared" si="68"/>
        <v>0.66666666666666663</v>
      </c>
      <c r="AA132">
        <f>[1]!survey_responses[[#This Row],[Tôi thấy mức thuế tôi phải đóng theo phương án mới là công bằng (người thu nhập như tôi đóng mức này là hợp lý). - HUMAN-TRU2]]</f>
        <v>4</v>
      </c>
      <c r="AB132">
        <f t="shared" si="69"/>
        <v>0.33333333333333331</v>
      </c>
      <c r="AC132">
        <f>step3_validation[[#This Row],[AI_TRU3]]</f>
        <v>6</v>
      </c>
      <c r="AD132">
        <f t="shared" si="70"/>
        <v>0.55555555555555558</v>
      </c>
      <c r="AE132">
        <f>[1]!survey_responses[[#This Row],[Tôi tin tưởng số tiền thuế tôi đóng sẽ được Nhà nước sử dụng hiệu quả để cải thiện dịch vụ công (y tế, đường xá...). - HUMAN-TRU3]]</f>
        <v>5</v>
      </c>
      <c r="AF132">
        <f t="shared" si="71"/>
        <v>0.44444444444444442</v>
      </c>
      <c r="AG132">
        <f>step3_validation[[#This Row],[AI_TRU4]]</f>
        <v>7</v>
      </c>
      <c r="AH132">
        <f t="shared" si="72"/>
        <v>0.66666666666666663</v>
      </c>
      <c r="AI132">
        <f>[1]!survey_responses[[#This Row],[Tôi thấy Nhà nước đã giải thích rõ ràng, minh bạch về lý do và mục tiêu của việc sửa đổi thuế lần này. - HUMAN-TRU4]]</f>
        <v>5</v>
      </c>
      <c r="AJ132">
        <f t="shared" si="73"/>
        <v>0.44444444444444442</v>
      </c>
      <c r="AK132" s="32">
        <f t="shared" si="74"/>
        <v>0.61111111111111116</v>
      </c>
      <c r="AL132" s="32">
        <f t="shared" si="75"/>
        <v>0.41666666666666663</v>
      </c>
      <c r="AM132" s="7">
        <f t="shared" si="76"/>
        <v>0.66666666666666663</v>
      </c>
      <c r="AN132" s="7">
        <f t="shared" si="77"/>
        <v>0.56481481481481477</v>
      </c>
      <c r="AO132">
        <f>step3_validation[[#This Row],[AI_OUT1]]</f>
        <v>7</v>
      </c>
      <c r="AP132">
        <f t="shared" si="78"/>
        <v>0.66666666666666663</v>
      </c>
      <c r="AQ132">
        <f>[1]!survey_responses[[#This Row],[Sau khi xem xét các quyền lợi và nghĩa vụ, bạn có ủng hộ và tuân thủ chính sách mới hiện nay? - HUMAN-OUT1]]</f>
        <v>5</v>
      </c>
      <c r="AR132">
        <f t="shared" si="79"/>
        <v>0.44444444444444442</v>
      </c>
      <c r="AS132" s="32">
        <f t="shared" si="80"/>
        <v>2</v>
      </c>
    </row>
    <row r="133" spans="1:45" x14ac:dyDescent="0.45">
      <c r="A133">
        <f>step3_validation[[#This Row],[AI_ENF1]]</f>
        <v>8</v>
      </c>
      <c r="B133">
        <f t="shared" si="54"/>
        <v>0.77777777777777779</v>
      </c>
      <c r="C133">
        <f>[1]!survey_responses[[#This Row],[Tôi tin rằng với các quy định quản lý thuế hiện nay, hành vi gian lận hoặc trốn thuế sẽ dễ dàng bị phát hiện và xử lý nghiêm. - HUMAN-ENF1]]</f>
        <v>9</v>
      </c>
      <c r="D133">
        <f t="shared" si="55"/>
        <v>0.88888888888888884</v>
      </c>
      <c r="E133">
        <f>step3_validation[[#This Row],[AI_ENF2]]</f>
        <v>9</v>
      </c>
      <c r="F133">
        <f t="shared" si="56"/>
        <v>0.88888888888888884</v>
      </c>
      <c r="G133">
        <f>[1]!survey_responses[[#This Row],[Tôi tin rằng Nhà nước, cơ quan thuế có đủ khả năng và công nghệ để phát hiện, xử lý nghiêm các hành vi trốn thuế. - HUMAN-ENF2]]</f>
        <v>9</v>
      </c>
      <c r="H133">
        <f t="shared" si="57"/>
        <v>0.88888888888888884</v>
      </c>
      <c r="I133" s="32">
        <f t="shared" si="58"/>
        <v>0.83333333333333326</v>
      </c>
      <c r="J133" s="32">
        <f t="shared" si="59"/>
        <v>0.88888888888888884</v>
      </c>
      <c r="K133">
        <f>step3_validation[[#This Row],[AI_FAC1]]</f>
        <v>7</v>
      </c>
      <c r="L133">
        <f t="shared" si="60"/>
        <v>0.66666666666666663</v>
      </c>
      <c r="M133">
        <f>[1]!survey_responses[[#This Row],[Các thủ tục khai báo thuế VÀ/HOẶC quy trình làm việc với cơ quan thuế đơn giản, tiện lợi, nhanh chóng hơn so với trước đây. - HUMAN-FAC1]]</f>
        <v>9</v>
      </c>
      <c r="N133">
        <f t="shared" si="61"/>
        <v>0.88888888888888884</v>
      </c>
      <c r="O133">
        <f>step3_validation[[#This Row],[AI_FAC2]]</f>
        <v>8</v>
      </c>
      <c r="P133">
        <f t="shared" si="62"/>
        <v>0.77777777777777779</v>
      </c>
      <c r="Q133">
        <f>[1]!survey_responses[[#This Row],[So với trước đây, tôi thấy cách tính thuế và các bậc thuế trong phương án mới đơn giản, dễ hiểu và dễ thực hiện hơn. - HUMAN-FAC2]]</f>
        <v>9</v>
      </c>
      <c r="R133">
        <f t="shared" si="63"/>
        <v>0.88888888888888884</v>
      </c>
      <c r="S133" s="32">
        <f t="shared" si="64"/>
        <v>0.72222222222222221</v>
      </c>
      <c r="T133" s="32">
        <f t="shared" si="65"/>
        <v>0.88888888888888884</v>
      </c>
      <c r="U133">
        <f>step3_validation[[#This Row],[AI_TRU1]]</f>
        <v>7</v>
      </c>
      <c r="V133">
        <f t="shared" si="66"/>
        <v>0.66666666666666663</v>
      </c>
      <c r="W133">
        <f>[1]!survey_responses[[#This Row],[Tôi tin rằng Nhà nước, cơ quan thuế sẽ thực thi chính sách mới một cách khách quan, công tâm và đối xử bình đẳng với mọi người nộp thuế.  - HUMAN-TRU1]]</f>
        <v>7</v>
      </c>
      <c r="X133">
        <f t="shared" si="67"/>
        <v>0.66666666666666663</v>
      </c>
      <c r="Y133">
        <f>step3_validation[[#This Row],[AI_TRU2]]</f>
        <v>8</v>
      </c>
      <c r="Z133">
        <f t="shared" si="68"/>
        <v>0.77777777777777779</v>
      </c>
      <c r="AA133">
        <f>[1]!survey_responses[[#This Row],[Tôi thấy mức thuế tôi phải đóng theo phương án mới là công bằng (người thu nhập như tôi đóng mức này là hợp lý). - HUMAN-TRU2]]</f>
        <v>10</v>
      </c>
      <c r="AB133">
        <f t="shared" si="69"/>
        <v>1</v>
      </c>
      <c r="AC133">
        <f>step3_validation[[#This Row],[AI_TRU3]]</f>
        <v>7</v>
      </c>
      <c r="AD133">
        <f t="shared" si="70"/>
        <v>0.66666666666666663</v>
      </c>
      <c r="AE133">
        <f>[1]!survey_responses[[#This Row],[Tôi tin tưởng số tiền thuế tôi đóng sẽ được Nhà nước sử dụng hiệu quả để cải thiện dịch vụ công (y tế, đường xá...). - HUMAN-TRU3]]</f>
        <v>5</v>
      </c>
      <c r="AF133">
        <f t="shared" si="71"/>
        <v>0.44444444444444442</v>
      </c>
      <c r="AG133">
        <f>step3_validation[[#This Row],[AI_TRU4]]</f>
        <v>6</v>
      </c>
      <c r="AH133">
        <f t="shared" si="72"/>
        <v>0.55555555555555558</v>
      </c>
      <c r="AI133">
        <f>[1]!survey_responses[[#This Row],[Tôi thấy Nhà nước đã giải thích rõ ràng, minh bạch về lý do và mục tiêu của việc sửa đổi thuế lần này. - HUMAN-TRU4]]</f>
        <v>5</v>
      </c>
      <c r="AJ133">
        <f t="shared" si="73"/>
        <v>0.44444444444444442</v>
      </c>
      <c r="AK133" s="32">
        <f t="shared" si="74"/>
        <v>0.66666666666666674</v>
      </c>
      <c r="AL133" s="32">
        <f t="shared" si="75"/>
        <v>0.63888888888888884</v>
      </c>
      <c r="AM133" s="7">
        <f t="shared" si="76"/>
        <v>0.74074074074074081</v>
      </c>
      <c r="AN133" s="7">
        <f t="shared" si="77"/>
        <v>0.80555555555555547</v>
      </c>
      <c r="AO133">
        <f>step3_validation[[#This Row],[AI_OUT1]]</f>
        <v>8</v>
      </c>
      <c r="AP133">
        <f t="shared" si="78"/>
        <v>0.77777777777777779</v>
      </c>
      <c r="AQ133">
        <f>[1]!survey_responses[[#This Row],[Sau khi xem xét các quyền lợi và nghĩa vụ, bạn có ủng hộ và tuân thủ chính sách mới hiện nay? - HUMAN-OUT1]]</f>
        <v>9</v>
      </c>
      <c r="AR133">
        <f t="shared" si="79"/>
        <v>0.88888888888888884</v>
      </c>
      <c r="AS133" s="32">
        <f t="shared" si="80"/>
        <v>1</v>
      </c>
    </row>
    <row r="134" spans="1:45" x14ac:dyDescent="0.45">
      <c r="A134">
        <f>step3_validation[[#This Row],[AI_ENF1]]</f>
        <v>7</v>
      </c>
      <c r="B134">
        <f t="shared" si="54"/>
        <v>0.66666666666666663</v>
      </c>
      <c r="C134">
        <f>[1]!survey_responses[[#This Row],[Tôi tin rằng với các quy định quản lý thuế hiện nay, hành vi gian lận hoặc trốn thuế sẽ dễ dàng bị phát hiện và xử lý nghiêm. - HUMAN-ENF1]]</f>
        <v>5</v>
      </c>
      <c r="D134">
        <f t="shared" si="55"/>
        <v>0.44444444444444442</v>
      </c>
      <c r="E134">
        <f>step3_validation[[#This Row],[AI_ENF2]]</f>
        <v>8</v>
      </c>
      <c r="F134">
        <f t="shared" si="56"/>
        <v>0.77777777777777779</v>
      </c>
      <c r="G134">
        <f>[1]!survey_responses[[#This Row],[Tôi tin rằng Nhà nước, cơ quan thuế có đủ khả năng và công nghệ để phát hiện, xử lý nghiêm các hành vi trốn thuế. - HUMAN-ENF2]]</f>
        <v>5</v>
      </c>
      <c r="H134">
        <f t="shared" si="57"/>
        <v>0.44444444444444442</v>
      </c>
      <c r="I134" s="32">
        <f t="shared" si="58"/>
        <v>0.72222222222222221</v>
      </c>
      <c r="J134" s="32">
        <f t="shared" si="59"/>
        <v>0.44444444444444442</v>
      </c>
      <c r="K134">
        <f>step3_validation[[#This Row],[AI_FAC1]]</f>
        <v>6</v>
      </c>
      <c r="L134">
        <f t="shared" si="60"/>
        <v>0.55555555555555558</v>
      </c>
      <c r="M134">
        <f>[1]!survey_responses[[#This Row],[Các thủ tục khai báo thuế VÀ/HOẶC quy trình làm việc với cơ quan thuế đơn giản, tiện lợi, nhanh chóng hơn so với trước đây. - HUMAN-FAC1]]</f>
        <v>5</v>
      </c>
      <c r="N134">
        <f t="shared" si="61"/>
        <v>0.44444444444444442</v>
      </c>
      <c r="O134">
        <f>step3_validation[[#This Row],[AI_FAC2]]</f>
        <v>8</v>
      </c>
      <c r="P134">
        <f t="shared" si="62"/>
        <v>0.77777777777777779</v>
      </c>
      <c r="Q134">
        <f>[1]!survey_responses[[#This Row],[So với trước đây, tôi thấy cách tính thuế và các bậc thuế trong phương án mới đơn giản, dễ hiểu và dễ thực hiện hơn. - HUMAN-FAC2]]</f>
        <v>5</v>
      </c>
      <c r="R134">
        <f t="shared" si="63"/>
        <v>0.44444444444444442</v>
      </c>
      <c r="S134" s="32">
        <f t="shared" si="64"/>
        <v>0.66666666666666674</v>
      </c>
      <c r="T134" s="32">
        <f t="shared" si="65"/>
        <v>0.44444444444444442</v>
      </c>
      <c r="U134">
        <f>step3_validation[[#This Row],[AI_TRU1]]</f>
        <v>6</v>
      </c>
      <c r="V134">
        <f t="shared" si="66"/>
        <v>0.55555555555555558</v>
      </c>
      <c r="W134">
        <f>[1]!survey_responses[[#This Row],[Tôi tin rằng Nhà nước, cơ quan thuế sẽ thực thi chính sách mới một cách khách quan, công tâm và đối xử bình đẳng với mọi người nộp thuế.  - HUMAN-TRU1]]</f>
        <v>5</v>
      </c>
      <c r="X134">
        <f t="shared" si="67"/>
        <v>0.44444444444444442</v>
      </c>
      <c r="Y134">
        <f>step3_validation[[#This Row],[AI_TRU2]]</f>
        <v>9</v>
      </c>
      <c r="Z134">
        <f t="shared" si="68"/>
        <v>0.88888888888888884</v>
      </c>
      <c r="AA134">
        <f>[1]!survey_responses[[#This Row],[Tôi thấy mức thuế tôi phải đóng theo phương án mới là công bằng (người thu nhập như tôi đóng mức này là hợp lý). - HUMAN-TRU2]]</f>
        <v>5</v>
      </c>
      <c r="AB134">
        <f t="shared" si="69"/>
        <v>0.44444444444444442</v>
      </c>
      <c r="AC134">
        <f>step3_validation[[#This Row],[AI_TRU3]]</f>
        <v>7</v>
      </c>
      <c r="AD134">
        <f t="shared" si="70"/>
        <v>0.66666666666666663</v>
      </c>
      <c r="AE134">
        <f>[1]!survey_responses[[#This Row],[Tôi tin tưởng số tiền thuế tôi đóng sẽ được Nhà nước sử dụng hiệu quả để cải thiện dịch vụ công (y tế, đường xá...). - HUMAN-TRU3]]</f>
        <v>5</v>
      </c>
      <c r="AF134">
        <f t="shared" si="71"/>
        <v>0.44444444444444442</v>
      </c>
      <c r="AG134">
        <f>step3_validation[[#This Row],[AI_TRU4]]</f>
        <v>6</v>
      </c>
      <c r="AH134">
        <f t="shared" si="72"/>
        <v>0.55555555555555558</v>
      </c>
      <c r="AI134">
        <f>[1]!survey_responses[[#This Row],[Tôi thấy Nhà nước đã giải thích rõ ràng, minh bạch về lý do và mục tiêu của việc sửa đổi thuế lần này. - HUMAN-TRU4]]</f>
        <v>5</v>
      </c>
      <c r="AJ134">
        <f t="shared" si="73"/>
        <v>0.44444444444444442</v>
      </c>
      <c r="AK134" s="32">
        <f t="shared" si="74"/>
        <v>0.66666666666666674</v>
      </c>
      <c r="AL134" s="32">
        <f t="shared" si="75"/>
        <v>0.44444444444444442</v>
      </c>
      <c r="AM134" s="7">
        <f t="shared" si="76"/>
        <v>0.68518518518518512</v>
      </c>
      <c r="AN134" s="7">
        <f t="shared" si="77"/>
        <v>0.44444444444444442</v>
      </c>
      <c r="AO134">
        <f>step3_validation[[#This Row],[AI_OUT1]]</f>
        <v>8</v>
      </c>
      <c r="AP134">
        <f t="shared" si="78"/>
        <v>0.77777777777777779</v>
      </c>
      <c r="AQ134">
        <f>[1]!survey_responses[[#This Row],[Sau khi xem xét các quyền lợi và nghĩa vụ, bạn có ủng hộ và tuân thủ chính sách mới hiện nay? - HUMAN-OUT1]]</f>
        <v>5</v>
      </c>
      <c r="AR134">
        <f t="shared" si="79"/>
        <v>0.44444444444444442</v>
      </c>
      <c r="AS134" s="32">
        <f t="shared" si="80"/>
        <v>3</v>
      </c>
    </row>
    <row r="135" spans="1:45" x14ac:dyDescent="0.45">
      <c r="A135">
        <f>step3_validation[[#This Row],[AI_ENF1]]</f>
        <v>7</v>
      </c>
      <c r="B135">
        <f t="shared" si="54"/>
        <v>0.66666666666666663</v>
      </c>
      <c r="C135">
        <f>[1]!survey_responses[[#This Row],[Tôi tin rằng với các quy định quản lý thuế hiện nay, hành vi gian lận hoặc trốn thuế sẽ dễ dàng bị phát hiện và xử lý nghiêm. - HUMAN-ENF1]]</f>
        <v>9</v>
      </c>
      <c r="D135">
        <f t="shared" si="55"/>
        <v>0.88888888888888884</v>
      </c>
      <c r="E135">
        <f>step3_validation[[#This Row],[AI_ENF2]]</f>
        <v>8</v>
      </c>
      <c r="F135">
        <f t="shared" si="56"/>
        <v>0.77777777777777779</v>
      </c>
      <c r="G135">
        <f>[1]!survey_responses[[#This Row],[Tôi tin rằng Nhà nước, cơ quan thuế có đủ khả năng và công nghệ để phát hiện, xử lý nghiêm các hành vi trốn thuế. - HUMAN-ENF2]]</f>
        <v>9</v>
      </c>
      <c r="H135">
        <f t="shared" si="57"/>
        <v>0.88888888888888884</v>
      </c>
      <c r="I135" s="32">
        <f t="shared" si="58"/>
        <v>0.72222222222222221</v>
      </c>
      <c r="J135" s="32">
        <f t="shared" si="59"/>
        <v>0.88888888888888884</v>
      </c>
      <c r="K135">
        <f>step3_validation[[#This Row],[AI_FAC1]]</f>
        <v>6</v>
      </c>
      <c r="L135">
        <f t="shared" si="60"/>
        <v>0.55555555555555558</v>
      </c>
      <c r="M135">
        <f>[1]!survey_responses[[#This Row],[Các thủ tục khai báo thuế VÀ/HOẶC quy trình làm việc với cơ quan thuế đơn giản, tiện lợi, nhanh chóng hơn so với trước đây. - HUMAN-FAC1]]</f>
        <v>5</v>
      </c>
      <c r="N135">
        <f t="shared" si="61"/>
        <v>0.44444444444444442</v>
      </c>
      <c r="O135">
        <f>step3_validation[[#This Row],[AI_FAC2]]</f>
        <v>7</v>
      </c>
      <c r="P135">
        <f t="shared" si="62"/>
        <v>0.66666666666666663</v>
      </c>
      <c r="Q135">
        <f>[1]!survey_responses[[#This Row],[So với trước đây, tôi thấy cách tính thuế và các bậc thuế trong phương án mới đơn giản, dễ hiểu và dễ thực hiện hơn. - HUMAN-FAC2]]</f>
        <v>9</v>
      </c>
      <c r="R135">
        <f t="shared" si="63"/>
        <v>0.88888888888888884</v>
      </c>
      <c r="S135" s="32">
        <f t="shared" si="64"/>
        <v>0.61111111111111116</v>
      </c>
      <c r="T135" s="32">
        <f t="shared" si="65"/>
        <v>0.66666666666666663</v>
      </c>
      <c r="U135">
        <f>step3_validation[[#This Row],[AI_TRU1]]</f>
        <v>6</v>
      </c>
      <c r="V135">
        <f t="shared" si="66"/>
        <v>0.55555555555555558</v>
      </c>
      <c r="W135">
        <f>[1]!survey_responses[[#This Row],[Tôi tin rằng Nhà nước, cơ quan thuế sẽ thực thi chính sách mới một cách khách quan, công tâm và đối xử bình đẳng với mọi người nộp thuế.  - HUMAN-TRU1]]</f>
        <v>8</v>
      </c>
      <c r="X135">
        <f t="shared" si="67"/>
        <v>0.77777777777777779</v>
      </c>
      <c r="Y135">
        <f>step3_validation[[#This Row],[AI_TRU2]]</f>
        <v>8</v>
      </c>
      <c r="Z135">
        <f t="shared" si="68"/>
        <v>0.77777777777777779</v>
      </c>
      <c r="AA135">
        <f>[1]!survey_responses[[#This Row],[Tôi thấy mức thuế tôi phải đóng theo phương án mới là công bằng (người thu nhập như tôi đóng mức này là hợp lý). - HUMAN-TRU2]]</f>
        <v>10</v>
      </c>
      <c r="AB135">
        <f t="shared" si="69"/>
        <v>1</v>
      </c>
      <c r="AC135">
        <f>step3_validation[[#This Row],[AI_TRU3]]</f>
        <v>7</v>
      </c>
      <c r="AD135">
        <f t="shared" si="70"/>
        <v>0.66666666666666663</v>
      </c>
      <c r="AE135">
        <f>[1]!survey_responses[[#This Row],[Tôi tin tưởng số tiền thuế tôi đóng sẽ được Nhà nước sử dụng hiệu quả để cải thiện dịch vụ công (y tế, đường xá...). - HUMAN-TRU3]]</f>
        <v>5</v>
      </c>
      <c r="AF135">
        <f t="shared" si="71"/>
        <v>0.44444444444444442</v>
      </c>
      <c r="AG135">
        <f>step3_validation[[#This Row],[AI_TRU4]]</f>
        <v>6</v>
      </c>
      <c r="AH135">
        <f t="shared" si="72"/>
        <v>0.55555555555555558</v>
      </c>
      <c r="AI135">
        <f>[1]!survey_responses[[#This Row],[Tôi thấy Nhà nước đã giải thích rõ ràng, minh bạch về lý do và mục tiêu của việc sửa đổi thuế lần này. - HUMAN-TRU4]]</f>
        <v>5</v>
      </c>
      <c r="AJ135">
        <f t="shared" si="73"/>
        <v>0.44444444444444442</v>
      </c>
      <c r="AK135" s="32">
        <f t="shared" si="74"/>
        <v>0.63888888888888884</v>
      </c>
      <c r="AL135" s="32">
        <f t="shared" si="75"/>
        <v>0.66666666666666674</v>
      </c>
      <c r="AM135" s="7">
        <f t="shared" si="76"/>
        <v>0.65740740740740744</v>
      </c>
      <c r="AN135" s="7">
        <f t="shared" si="77"/>
        <v>0.74074074074074081</v>
      </c>
      <c r="AO135">
        <f>step3_validation[[#This Row],[AI_OUT1]]</f>
        <v>5</v>
      </c>
      <c r="AP135">
        <f t="shared" si="78"/>
        <v>0.44444444444444442</v>
      </c>
      <c r="AQ135">
        <f>[1]!survey_responses[[#This Row],[Sau khi xem xét các quyền lợi và nghĩa vụ, bạn có ủng hộ và tuân thủ chính sách mới hiện nay? - HUMAN-OUT1]]</f>
        <v>7</v>
      </c>
      <c r="AR135">
        <f t="shared" si="79"/>
        <v>0.66666666666666663</v>
      </c>
      <c r="AS135" s="32">
        <f t="shared" si="80"/>
        <v>2</v>
      </c>
    </row>
    <row r="136" spans="1:45" x14ac:dyDescent="0.45">
      <c r="A136">
        <f>step3_validation[[#This Row],[AI_ENF1]]</f>
        <v>7</v>
      </c>
      <c r="B136">
        <f t="shared" si="54"/>
        <v>0.66666666666666663</v>
      </c>
      <c r="C136">
        <f>[1]!survey_responses[[#This Row],[Tôi tin rằng với các quy định quản lý thuế hiện nay, hành vi gian lận hoặc trốn thuế sẽ dễ dàng bị phát hiện và xử lý nghiêm. - HUMAN-ENF1]]</f>
        <v>5</v>
      </c>
      <c r="D136">
        <f t="shared" si="55"/>
        <v>0.44444444444444442</v>
      </c>
      <c r="E136">
        <f>step3_validation[[#This Row],[AI_ENF2]]</f>
        <v>8</v>
      </c>
      <c r="F136">
        <f t="shared" si="56"/>
        <v>0.77777777777777779</v>
      </c>
      <c r="G136">
        <f>[1]!survey_responses[[#This Row],[Tôi tin rằng Nhà nước, cơ quan thuế có đủ khả năng và công nghệ để phát hiện, xử lý nghiêm các hành vi trốn thuế. - HUMAN-ENF2]]</f>
        <v>5</v>
      </c>
      <c r="H136">
        <f t="shared" si="57"/>
        <v>0.44444444444444442</v>
      </c>
      <c r="I136" s="32">
        <f t="shared" si="58"/>
        <v>0.72222222222222221</v>
      </c>
      <c r="J136" s="32">
        <f t="shared" si="59"/>
        <v>0.44444444444444442</v>
      </c>
      <c r="K136">
        <f>step3_validation[[#This Row],[AI_FAC1]]</f>
        <v>6</v>
      </c>
      <c r="L136">
        <f t="shared" si="60"/>
        <v>0.55555555555555558</v>
      </c>
      <c r="M136">
        <f>[1]!survey_responses[[#This Row],[Các thủ tục khai báo thuế VÀ/HOẶC quy trình làm việc với cơ quan thuế đơn giản, tiện lợi, nhanh chóng hơn so với trước đây. - HUMAN-FAC1]]</f>
        <v>5</v>
      </c>
      <c r="N136">
        <f t="shared" si="61"/>
        <v>0.44444444444444442</v>
      </c>
      <c r="O136">
        <f>step3_validation[[#This Row],[AI_FAC2]]</f>
        <v>9</v>
      </c>
      <c r="P136">
        <f t="shared" si="62"/>
        <v>0.88888888888888884</v>
      </c>
      <c r="Q136">
        <f>[1]!survey_responses[[#This Row],[So với trước đây, tôi thấy cách tính thuế và các bậc thuế trong phương án mới đơn giản, dễ hiểu và dễ thực hiện hơn. - HUMAN-FAC2]]</f>
        <v>6</v>
      </c>
      <c r="R136">
        <f t="shared" si="63"/>
        <v>0.55555555555555558</v>
      </c>
      <c r="S136" s="32">
        <f t="shared" si="64"/>
        <v>0.72222222222222221</v>
      </c>
      <c r="T136" s="32">
        <f t="shared" si="65"/>
        <v>0.5</v>
      </c>
      <c r="U136">
        <f>step3_validation[[#This Row],[AI_TRU1]]</f>
        <v>8</v>
      </c>
      <c r="V136">
        <f t="shared" si="66"/>
        <v>0.77777777777777779</v>
      </c>
      <c r="W136">
        <f>[1]!survey_responses[[#This Row],[Tôi tin rằng Nhà nước, cơ quan thuế sẽ thực thi chính sách mới một cách khách quan, công tâm và đối xử bình đẳng với mọi người nộp thuế.  - HUMAN-TRU1]]</f>
        <v>6</v>
      </c>
      <c r="X136">
        <f t="shared" si="67"/>
        <v>0.55555555555555558</v>
      </c>
      <c r="Y136">
        <f>step3_validation[[#This Row],[AI_TRU2]]</f>
        <v>7</v>
      </c>
      <c r="Z136">
        <f t="shared" si="68"/>
        <v>0.66666666666666663</v>
      </c>
      <c r="AA136">
        <f>[1]!survey_responses[[#This Row],[Tôi thấy mức thuế tôi phải đóng theo phương án mới là công bằng (người thu nhập như tôi đóng mức này là hợp lý). - HUMAN-TRU2]]</f>
        <v>6</v>
      </c>
      <c r="AB136">
        <f t="shared" si="69"/>
        <v>0.55555555555555558</v>
      </c>
      <c r="AC136">
        <f>step3_validation[[#This Row],[AI_TRU3]]</f>
        <v>8</v>
      </c>
      <c r="AD136">
        <f t="shared" si="70"/>
        <v>0.77777777777777779</v>
      </c>
      <c r="AE136">
        <f>[1]!survey_responses[[#This Row],[Tôi tin tưởng số tiền thuế tôi đóng sẽ được Nhà nước sử dụng hiệu quả để cải thiện dịch vụ công (y tế, đường xá...). - HUMAN-TRU3]]</f>
        <v>6</v>
      </c>
      <c r="AF136">
        <f t="shared" si="71"/>
        <v>0.55555555555555558</v>
      </c>
      <c r="AG136">
        <f>step3_validation[[#This Row],[AI_TRU4]]</f>
        <v>6</v>
      </c>
      <c r="AH136">
        <f t="shared" si="72"/>
        <v>0.55555555555555558</v>
      </c>
      <c r="AI136">
        <f>[1]!survey_responses[[#This Row],[Tôi thấy Nhà nước đã giải thích rõ ràng, minh bạch về lý do và mục tiêu của việc sửa đổi thuế lần này. - HUMAN-TRU4]]</f>
        <v>6</v>
      </c>
      <c r="AJ136">
        <f t="shared" si="73"/>
        <v>0.55555555555555558</v>
      </c>
      <c r="AK136" s="32">
        <f t="shared" si="74"/>
        <v>0.69444444444444442</v>
      </c>
      <c r="AL136" s="32">
        <f t="shared" si="75"/>
        <v>0.55555555555555558</v>
      </c>
      <c r="AM136" s="7">
        <f t="shared" si="76"/>
        <v>0.71296296296296291</v>
      </c>
      <c r="AN136" s="7">
        <f t="shared" si="77"/>
        <v>0.5</v>
      </c>
      <c r="AO136">
        <f>step3_validation[[#This Row],[AI_OUT1]]</f>
        <v>7</v>
      </c>
      <c r="AP136">
        <f t="shared" si="78"/>
        <v>0.66666666666666663</v>
      </c>
      <c r="AQ136">
        <f>[1]!survey_responses[[#This Row],[Sau khi xem xét các quyền lợi và nghĩa vụ, bạn có ủng hộ và tuân thủ chính sách mới hiện nay? - HUMAN-OUT1]]</f>
        <v>6</v>
      </c>
      <c r="AR136">
        <f t="shared" si="79"/>
        <v>0.55555555555555558</v>
      </c>
      <c r="AS136" s="32">
        <f t="shared" si="80"/>
        <v>1</v>
      </c>
    </row>
    <row r="137" spans="1:45" x14ac:dyDescent="0.45">
      <c r="A137">
        <f>step3_validation[[#This Row],[AI_ENF1]]</f>
        <v>8</v>
      </c>
      <c r="B137">
        <f t="shared" si="54"/>
        <v>0.77777777777777779</v>
      </c>
      <c r="C137">
        <f>[1]!survey_responses[[#This Row],[Tôi tin rằng với các quy định quản lý thuế hiện nay, hành vi gian lận hoặc trốn thuế sẽ dễ dàng bị phát hiện và xử lý nghiêm. - HUMAN-ENF1]]</f>
        <v>8</v>
      </c>
      <c r="D137">
        <f t="shared" si="55"/>
        <v>0.77777777777777779</v>
      </c>
      <c r="E137">
        <f>step3_validation[[#This Row],[AI_ENF2]]</f>
        <v>7</v>
      </c>
      <c r="F137">
        <f t="shared" si="56"/>
        <v>0.66666666666666663</v>
      </c>
      <c r="G137">
        <f>[1]!survey_responses[[#This Row],[Tôi tin rằng Nhà nước, cơ quan thuế có đủ khả năng và công nghệ để phát hiện, xử lý nghiêm các hành vi trốn thuế. - HUMAN-ENF2]]</f>
        <v>8</v>
      </c>
      <c r="H137">
        <f t="shared" si="57"/>
        <v>0.77777777777777779</v>
      </c>
      <c r="I137" s="32">
        <f t="shared" si="58"/>
        <v>0.72222222222222221</v>
      </c>
      <c r="J137" s="32">
        <f t="shared" si="59"/>
        <v>0.77777777777777779</v>
      </c>
      <c r="K137">
        <f>step3_validation[[#This Row],[AI_FAC1]]</f>
        <v>9</v>
      </c>
      <c r="L137">
        <f t="shared" si="60"/>
        <v>0.88888888888888884</v>
      </c>
      <c r="M137">
        <f>[1]!survey_responses[[#This Row],[Các thủ tục khai báo thuế VÀ/HOẶC quy trình làm việc với cơ quan thuế đơn giản, tiện lợi, nhanh chóng hơn so với trước đây. - HUMAN-FAC1]]</f>
        <v>8</v>
      </c>
      <c r="N137">
        <f t="shared" si="61"/>
        <v>0.77777777777777779</v>
      </c>
      <c r="O137">
        <f>step3_validation[[#This Row],[AI_FAC2]]</f>
        <v>8</v>
      </c>
      <c r="P137">
        <f t="shared" si="62"/>
        <v>0.77777777777777779</v>
      </c>
      <c r="Q137">
        <f>[1]!survey_responses[[#This Row],[So với trước đây, tôi thấy cách tính thuế và các bậc thuế trong phương án mới đơn giản, dễ hiểu và dễ thực hiện hơn. - HUMAN-FAC2]]</f>
        <v>8</v>
      </c>
      <c r="R137">
        <f t="shared" si="63"/>
        <v>0.77777777777777779</v>
      </c>
      <c r="S137" s="32">
        <f t="shared" si="64"/>
        <v>0.83333333333333326</v>
      </c>
      <c r="T137" s="32">
        <f t="shared" si="65"/>
        <v>0.77777777777777779</v>
      </c>
      <c r="U137">
        <f>step3_validation[[#This Row],[AI_TRU1]]</f>
        <v>7</v>
      </c>
      <c r="V137">
        <f t="shared" si="66"/>
        <v>0.66666666666666663</v>
      </c>
      <c r="W137">
        <f>[1]!survey_responses[[#This Row],[Tôi tin rằng Nhà nước, cơ quan thuế sẽ thực thi chính sách mới một cách khách quan, công tâm và đối xử bình đẳng với mọi người nộp thuế.  - HUMAN-TRU1]]</f>
        <v>10</v>
      </c>
      <c r="X137">
        <f t="shared" si="67"/>
        <v>1</v>
      </c>
      <c r="Y137">
        <f>step3_validation[[#This Row],[AI_TRU2]]</f>
        <v>8</v>
      </c>
      <c r="Z137">
        <f t="shared" si="68"/>
        <v>0.77777777777777779</v>
      </c>
      <c r="AA137">
        <f>[1]!survey_responses[[#This Row],[Tôi thấy mức thuế tôi phải đóng theo phương án mới là công bằng (người thu nhập như tôi đóng mức này là hợp lý). - HUMAN-TRU2]]</f>
        <v>10</v>
      </c>
      <c r="AB137">
        <f t="shared" si="69"/>
        <v>1</v>
      </c>
      <c r="AC137">
        <f>step3_validation[[#This Row],[AI_TRU3]]</f>
        <v>7</v>
      </c>
      <c r="AD137">
        <f t="shared" si="70"/>
        <v>0.66666666666666663</v>
      </c>
      <c r="AE137">
        <f>[1]!survey_responses[[#This Row],[Tôi tin tưởng số tiền thuế tôi đóng sẽ được Nhà nước sử dụng hiệu quả để cải thiện dịch vụ công (y tế, đường xá...). - HUMAN-TRU3]]</f>
        <v>10</v>
      </c>
      <c r="AF137">
        <f t="shared" si="71"/>
        <v>1</v>
      </c>
      <c r="AG137">
        <f>step3_validation[[#This Row],[AI_TRU4]]</f>
        <v>6</v>
      </c>
      <c r="AH137">
        <f t="shared" si="72"/>
        <v>0.55555555555555558</v>
      </c>
      <c r="AI137">
        <f>[1]!survey_responses[[#This Row],[Tôi thấy Nhà nước đã giải thích rõ ràng, minh bạch về lý do và mục tiêu của việc sửa đổi thuế lần này. - HUMAN-TRU4]]</f>
        <v>10</v>
      </c>
      <c r="AJ137">
        <f t="shared" si="73"/>
        <v>1</v>
      </c>
      <c r="AK137" s="32">
        <f t="shared" si="74"/>
        <v>0.66666666666666674</v>
      </c>
      <c r="AL137" s="32">
        <f t="shared" si="75"/>
        <v>1</v>
      </c>
      <c r="AM137" s="7">
        <f t="shared" si="76"/>
        <v>0.74074074074074081</v>
      </c>
      <c r="AN137" s="7">
        <f t="shared" si="77"/>
        <v>0.85185185185185175</v>
      </c>
      <c r="AO137">
        <f>step3_validation[[#This Row],[AI_OUT1]]</f>
        <v>8</v>
      </c>
      <c r="AP137">
        <f t="shared" si="78"/>
        <v>0.77777777777777779</v>
      </c>
      <c r="AQ137">
        <f>[1]!survey_responses[[#This Row],[Sau khi xem xét các quyền lợi và nghĩa vụ, bạn có ủng hộ và tuân thủ chính sách mới hiện nay? - HUMAN-OUT1]]</f>
        <v>10</v>
      </c>
      <c r="AR137">
        <f t="shared" si="79"/>
        <v>1</v>
      </c>
      <c r="AS137" s="32">
        <f t="shared" si="80"/>
        <v>2</v>
      </c>
    </row>
    <row r="138" spans="1:45" x14ac:dyDescent="0.45">
      <c r="A138">
        <f>step3_validation[[#This Row],[AI_ENF1]]</f>
        <v>6</v>
      </c>
      <c r="B138">
        <f t="shared" si="54"/>
        <v>0.55555555555555558</v>
      </c>
      <c r="C138">
        <f>[1]!survey_responses[[#This Row],[Tôi tin rằng với các quy định quản lý thuế hiện nay, hành vi gian lận hoặc trốn thuế sẽ dễ dàng bị phát hiện và xử lý nghiêm. - HUMAN-ENF1]]</f>
        <v>8</v>
      </c>
      <c r="D138">
        <f t="shared" si="55"/>
        <v>0.77777777777777779</v>
      </c>
      <c r="E138">
        <f>step3_validation[[#This Row],[AI_ENF2]]</f>
        <v>5</v>
      </c>
      <c r="F138">
        <f t="shared" si="56"/>
        <v>0.44444444444444442</v>
      </c>
      <c r="G138">
        <f>[1]!survey_responses[[#This Row],[Tôi tin rằng Nhà nước, cơ quan thuế có đủ khả năng và công nghệ để phát hiện, xử lý nghiêm các hành vi trốn thuế. - HUMAN-ENF2]]</f>
        <v>8</v>
      </c>
      <c r="H138">
        <f t="shared" si="57"/>
        <v>0.77777777777777779</v>
      </c>
      <c r="I138" s="32">
        <f t="shared" si="58"/>
        <v>0.5</v>
      </c>
      <c r="J138" s="32">
        <f t="shared" si="59"/>
        <v>0.77777777777777779</v>
      </c>
      <c r="K138">
        <f>step3_validation[[#This Row],[AI_FAC1]]</f>
        <v>4</v>
      </c>
      <c r="L138">
        <f t="shared" si="60"/>
        <v>0.33333333333333331</v>
      </c>
      <c r="M138">
        <f>[1]!survey_responses[[#This Row],[Các thủ tục khai báo thuế VÀ/HOẶC quy trình làm việc với cơ quan thuế đơn giản, tiện lợi, nhanh chóng hơn so với trước đây. - HUMAN-FAC1]]</f>
        <v>8</v>
      </c>
      <c r="N138">
        <f t="shared" si="61"/>
        <v>0.77777777777777779</v>
      </c>
      <c r="O138">
        <f>step3_validation[[#This Row],[AI_FAC2]]</f>
        <v>7</v>
      </c>
      <c r="P138">
        <f t="shared" si="62"/>
        <v>0.66666666666666663</v>
      </c>
      <c r="Q138">
        <f>[1]!survey_responses[[#This Row],[So với trước đây, tôi thấy cách tính thuế và các bậc thuế trong phương án mới đơn giản, dễ hiểu và dễ thực hiện hơn. - HUMAN-FAC2]]</f>
        <v>8</v>
      </c>
      <c r="R138">
        <f t="shared" si="63"/>
        <v>0.77777777777777779</v>
      </c>
      <c r="S138" s="32">
        <f t="shared" si="64"/>
        <v>0.5</v>
      </c>
      <c r="T138" s="32">
        <f t="shared" si="65"/>
        <v>0.77777777777777779</v>
      </c>
      <c r="U138">
        <f>step3_validation[[#This Row],[AI_TRU1]]</f>
        <v>5</v>
      </c>
      <c r="V138">
        <f t="shared" si="66"/>
        <v>0.44444444444444442</v>
      </c>
      <c r="W138">
        <f>[1]!survey_responses[[#This Row],[Tôi tin rằng Nhà nước, cơ quan thuế sẽ thực thi chính sách mới một cách khách quan, công tâm và đối xử bình đẳng với mọi người nộp thuế.  - HUMAN-TRU1]]</f>
        <v>8</v>
      </c>
      <c r="X138">
        <f t="shared" si="67"/>
        <v>0.77777777777777779</v>
      </c>
      <c r="Y138">
        <f>step3_validation[[#This Row],[AI_TRU2]]</f>
        <v>8</v>
      </c>
      <c r="Z138">
        <f t="shared" si="68"/>
        <v>0.77777777777777779</v>
      </c>
      <c r="AA138">
        <f>[1]!survey_responses[[#This Row],[Tôi thấy mức thuế tôi phải đóng theo phương án mới là công bằng (người thu nhập như tôi đóng mức này là hợp lý). - HUMAN-TRU2]]</f>
        <v>8</v>
      </c>
      <c r="AB138">
        <f t="shared" si="69"/>
        <v>0.77777777777777779</v>
      </c>
      <c r="AC138">
        <f>step3_validation[[#This Row],[AI_TRU3]]</f>
        <v>5</v>
      </c>
      <c r="AD138">
        <f t="shared" si="70"/>
        <v>0.44444444444444442</v>
      </c>
      <c r="AE138">
        <f>[1]!survey_responses[[#This Row],[Tôi tin tưởng số tiền thuế tôi đóng sẽ được Nhà nước sử dụng hiệu quả để cải thiện dịch vụ công (y tế, đường xá...). - HUMAN-TRU3]]</f>
        <v>5</v>
      </c>
      <c r="AF138">
        <f t="shared" si="71"/>
        <v>0.44444444444444442</v>
      </c>
      <c r="AG138">
        <f>step3_validation[[#This Row],[AI_TRU4]]</f>
        <v>4</v>
      </c>
      <c r="AH138">
        <f t="shared" si="72"/>
        <v>0.33333333333333331</v>
      </c>
      <c r="AI138">
        <f>[1]!survey_responses[[#This Row],[Tôi thấy Nhà nước đã giải thích rõ ràng, minh bạch về lý do và mục tiêu của việc sửa đổi thuế lần này. - HUMAN-TRU4]]</f>
        <v>7</v>
      </c>
      <c r="AJ138">
        <f t="shared" si="73"/>
        <v>0.66666666666666663</v>
      </c>
      <c r="AK138" s="32">
        <f t="shared" si="74"/>
        <v>0.5</v>
      </c>
      <c r="AL138" s="32">
        <f t="shared" si="75"/>
        <v>0.66666666666666663</v>
      </c>
      <c r="AM138" s="7">
        <f t="shared" si="76"/>
        <v>0.5</v>
      </c>
      <c r="AN138" s="7">
        <f t="shared" si="77"/>
        <v>0.74074074074074081</v>
      </c>
      <c r="AO138">
        <f>step3_validation[[#This Row],[AI_OUT1]]</f>
        <v>6</v>
      </c>
      <c r="AP138">
        <f t="shared" si="78"/>
        <v>0.55555555555555558</v>
      </c>
      <c r="AQ138">
        <f>[1]!survey_responses[[#This Row],[Sau khi xem xét các quyền lợi và nghĩa vụ, bạn có ủng hộ và tuân thủ chính sách mới hiện nay? - HUMAN-OUT1]]</f>
        <v>8</v>
      </c>
      <c r="AR138">
        <f t="shared" si="79"/>
        <v>0.77777777777777779</v>
      </c>
      <c r="AS138" s="32">
        <f t="shared" si="80"/>
        <v>2</v>
      </c>
    </row>
    <row r="139" spans="1:45" x14ac:dyDescent="0.45">
      <c r="A139">
        <f>step3_validation[[#This Row],[AI_ENF1]]</f>
        <v>7</v>
      </c>
      <c r="B139">
        <f t="shared" si="54"/>
        <v>0.66666666666666663</v>
      </c>
      <c r="C139">
        <f>[1]!survey_responses[[#This Row],[Tôi tin rằng với các quy định quản lý thuế hiện nay, hành vi gian lận hoặc trốn thuế sẽ dễ dàng bị phát hiện và xử lý nghiêm. - HUMAN-ENF1]]</f>
        <v>8</v>
      </c>
      <c r="D139">
        <f t="shared" si="55"/>
        <v>0.77777777777777779</v>
      </c>
      <c r="E139">
        <f>step3_validation[[#This Row],[AI_ENF2]]</f>
        <v>6</v>
      </c>
      <c r="F139">
        <f t="shared" si="56"/>
        <v>0.55555555555555558</v>
      </c>
      <c r="G139">
        <f>[1]!survey_responses[[#This Row],[Tôi tin rằng Nhà nước, cơ quan thuế có đủ khả năng và công nghệ để phát hiện, xử lý nghiêm các hành vi trốn thuế. - HUMAN-ENF2]]</f>
        <v>9</v>
      </c>
      <c r="H139">
        <f t="shared" si="57"/>
        <v>0.88888888888888884</v>
      </c>
      <c r="I139" s="32">
        <f t="shared" si="58"/>
        <v>0.61111111111111116</v>
      </c>
      <c r="J139" s="32">
        <f t="shared" si="59"/>
        <v>0.83333333333333326</v>
      </c>
      <c r="K139">
        <f>step3_validation[[#This Row],[AI_FAC1]]</f>
        <v>8</v>
      </c>
      <c r="L139">
        <f t="shared" si="60"/>
        <v>0.77777777777777779</v>
      </c>
      <c r="M139">
        <f>[1]!survey_responses[[#This Row],[Các thủ tục khai báo thuế VÀ/HOẶC quy trình làm việc với cơ quan thuế đơn giản, tiện lợi, nhanh chóng hơn so với trước đây. - HUMAN-FAC1]]</f>
        <v>7</v>
      </c>
      <c r="N139">
        <f t="shared" si="61"/>
        <v>0.66666666666666663</v>
      </c>
      <c r="O139">
        <f>step3_validation[[#This Row],[AI_FAC2]]</f>
        <v>9</v>
      </c>
      <c r="P139">
        <f t="shared" si="62"/>
        <v>0.88888888888888884</v>
      </c>
      <c r="Q139">
        <f>[1]!survey_responses[[#This Row],[So với trước đây, tôi thấy cách tính thuế và các bậc thuế trong phương án mới đơn giản, dễ hiểu và dễ thực hiện hơn. - HUMAN-FAC2]]</f>
        <v>7</v>
      </c>
      <c r="R139">
        <f t="shared" si="63"/>
        <v>0.66666666666666663</v>
      </c>
      <c r="S139" s="32">
        <f t="shared" si="64"/>
        <v>0.83333333333333326</v>
      </c>
      <c r="T139" s="32">
        <f t="shared" si="65"/>
        <v>0.66666666666666663</v>
      </c>
      <c r="U139">
        <f>step3_validation[[#This Row],[AI_TRU1]]</f>
        <v>6</v>
      </c>
      <c r="V139">
        <f t="shared" si="66"/>
        <v>0.55555555555555558</v>
      </c>
      <c r="W139">
        <f>[1]!survey_responses[[#This Row],[Tôi tin rằng Nhà nước, cơ quan thuế sẽ thực thi chính sách mới một cách khách quan, công tâm và đối xử bình đẳng với mọi người nộp thuế.  - HUMAN-TRU1]]</f>
        <v>6</v>
      </c>
      <c r="X139">
        <f t="shared" si="67"/>
        <v>0.55555555555555558</v>
      </c>
      <c r="Y139">
        <f>step3_validation[[#This Row],[AI_TRU2]]</f>
        <v>8</v>
      </c>
      <c r="Z139">
        <f t="shared" si="68"/>
        <v>0.77777777777777779</v>
      </c>
      <c r="AA139">
        <f>[1]!survey_responses[[#This Row],[Tôi thấy mức thuế tôi phải đóng theo phương án mới là công bằng (người thu nhập như tôi đóng mức này là hợp lý). - HUMAN-TRU2]]</f>
        <v>6</v>
      </c>
      <c r="AB139">
        <f t="shared" si="69"/>
        <v>0.55555555555555558</v>
      </c>
      <c r="AC139">
        <f>step3_validation[[#This Row],[AI_TRU3]]</f>
        <v>7</v>
      </c>
      <c r="AD139">
        <f t="shared" si="70"/>
        <v>0.66666666666666663</v>
      </c>
      <c r="AE139">
        <f>[1]!survey_responses[[#This Row],[Tôi tin tưởng số tiền thuế tôi đóng sẽ được Nhà nước sử dụng hiệu quả để cải thiện dịch vụ công (y tế, đường xá...). - HUMAN-TRU3]]</f>
        <v>2</v>
      </c>
      <c r="AF139">
        <f t="shared" si="71"/>
        <v>0.1111111111111111</v>
      </c>
      <c r="AG139">
        <f>step3_validation[[#This Row],[AI_TRU4]]</f>
        <v>6</v>
      </c>
      <c r="AH139">
        <f t="shared" si="72"/>
        <v>0.55555555555555558</v>
      </c>
      <c r="AI139">
        <f>[1]!survey_responses[[#This Row],[Tôi thấy Nhà nước đã giải thích rõ ràng, minh bạch về lý do và mục tiêu của việc sửa đổi thuế lần này. - HUMAN-TRU4]]</f>
        <v>5</v>
      </c>
      <c r="AJ139">
        <f t="shared" si="73"/>
        <v>0.44444444444444442</v>
      </c>
      <c r="AK139" s="32">
        <f t="shared" si="74"/>
        <v>0.63888888888888884</v>
      </c>
      <c r="AL139" s="32">
        <f t="shared" si="75"/>
        <v>0.41666666666666669</v>
      </c>
      <c r="AM139" s="7">
        <f t="shared" si="76"/>
        <v>0.69444444444444431</v>
      </c>
      <c r="AN139" s="7">
        <f t="shared" si="77"/>
        <v>0.63888888888888895</v>
      </c>
      <c r="AO139">
        <f>step3_validation[[#This Row],[AI_OUT1]]</f>
        <v>7</v>
      </c>
      <c r="AP139">
        <f t="shared" si="78"/>
        <v>0.66666666666666663</v>
      </c>
      <c r="AQ139">
        <f>[1]!survey_responses[[#This Row],[Sau khi xem xét các quyền lợi và nghĩa vụ, bạn có ủng hộ và tuân thủ chính sách mới hiện nay? - HUMAN-OUT1]]</f>
        <v>6</v>
      </c>
      <c r="AR139">
        <f t="shared" si="79"/>
        <v>0.55555555555555558</v>
      </c>
      <c r="AS139" s="32">
        <f t="shared" si="80"/>
        <v>1</v>
      </c>
    </row>
    <row r="140" spans="1:45" x14ac:dyDescent="0.45">
      <c r="A140">
        <f>step3_validation[[#This Row],[AI_ENF1]]</f>
        <v>8</v>
      </c>
      <c r="B140">
        <f t="shared" si="54"/>
        <v>0.77777777777777779</v>
      </c>
      <c r="C140">
        <f>[1]!survey_responses[[#This Row],[Tôi tin rằng với các quy định quản lý thuế hiện nay, hành vi gian lận hoặc trốn thuế sẽ dễ dàng bị phát hiện và xử lý nghiêm. - HUMAN-ENF1]]</f>
        <v>5</v>
      </c>
      <c r="D140">
        <f t="shared" si="55"/>
        <v>0.44444444444444442</v>
      </c>
      <c r="E140">
        <f>step3_validation[[#This Row],[AI_ENF2]]</f>
        <v>9</v>
      </c>
      <c r="F140">
        <f t="shared" si="56"/>
        <v>0.88888888888888884</v>
      </c>
      <c r="G140">
        <f>[1]!survey_responses[[#This Row],[Tôi tin rằng Nhà nước, cơ quan thuế có đủ khả năng và công nghệ để phát hiện, xử lý nghiêm các hành vi trốn thuế. - HUMAN-ENF2]]</f>
        <v>4</v>
      </c>
      <c r="H140">
        <f t="shared" si="57"/>
        <v>0.33333333333333331</v>
      </c>
      <c r="I140" s="32">
        <f t="shared" si="58"/>
        <v>0.83333333333333326</v>
      </c>
      <c r="J140" s="32">
        <f t="shared" si="59"/>
        <v>0.38888888888888884</v>
      </c>
      <c r="K140">
        <f>step3_validation[[#This Row],[AI_FAC1]]</f>
        <v>7</v>
      </c>
      <c r="L140">
        <f t="shared" si="60"/>
        <v>0.66666666666666663</v>
      </c>
      <c r="M140">
        <f>[1]!survey_responses[[#This Row],[Các thủ tục khai báo thuế VÀ/HOẶC quy trình làm việc với cơ quan thuế đơn giản, tiện lợi, nhanh chóng hơn so với trước đây. - HUMAN-FAC1]]</f>
        <v>7</v>
      </c>
      <c r="N140">
        <f t="shared" si="61"/>
        <v>0.66666666666666663</v>
      </c>
      <c r="O140">
        <f>step3_validation[[#This Row],[AI_FAC2]]</f>
        <v>8</v>
      </c>
      <c r="P140">
        <f t="shared" si="62"/>
        <v>0.77777777777777779</v>
      </c>
      <c r="Q140">
        <f>[1]!survey_responses[[#This Row],[So với trước đây, tôi thấy cách tính thuế và các bậc thuế trong phương án mới đơn giản, dễ hiểu và dễ thực hiện hơn. - HUMAN-FAC2]]</f>
        <v>6</v>
      </c>
      <c r="R140">
        <f t="shared" si="63"/>
        <v>0.55555555555555558</v>
      </c>
      <c r="S140" s="32">
        <f t="shared" si="64"/>
        <v>0.72222222222222221</v>
      </c>
      <c r="T140" s="32">
        <f t="shared" si="65"/>
        <v>0.61111111111111116</v>
      </c>
      <c r="U140">
        <f>step3_validation[[#This Row],[AI_TRU1]]</f>
        <v>7</v>
      </c>
      <c r="V140">
        <f t="shared" si="66"/>
        <v>0.66666666666666663</v>
      </c>
      <c r="W140">
        <f>[1]!survey_responses[[#This Row],[Tôi tin rằng Nhà nước, cơ quan thuế sẽ thực thi chính sách mới một cách khách quan, công tâm và đối xử bình đẳng với mọi người nộp thuế.  - HUMAN-TRU1]]</f>
        <v>3</v>
      </c>
      <c r="X140">
        <f t="shared" si="67"/>
        <v>0.22222222222222221</v>
      </c>
      <c r="Y140">
        <f>step3_validation[[#This Row],[AI_TRU2]]</f>
        <v>6</v>
      </c>
      <c r="Z140">
        <f t="shared" si="68"/>
        <v>0.55555555555555558</v>
      </c>
      <c r="AA140">
        <f>[1]!survey_responses[[#This Row],[Tôi thấy mức thuế tôi phải đóng theo phương án mới là công bằng (người thu nhập như tôi đóng mức này là hợp lý). - HUMAN-TRU2]]</f>
        <v>4</v>
      </c>
      <c r="AB140">
        <f t="shared" si="69"/>
        <v>0.33333333333333331</v>
      </c>
      <c r="AC140">
        <f>step3_validation[[#This Row],[AI_TRU3]]</f>
        <v>7</v>
      </c>
      <c r="AD140">
        <f t="shared" si="70"/>
        <v>0.66666666666666663</v>
      </c>
      <c r="AE140">
        <f>[1]!survey_responses[[#This Row],[Tôi tin tưởng số tiền thuế tôi đóng sẽ được Nhà nước sử dụng hiệu quả để cải thiện dịch vụ công (y tế, đường xá...). - HUMAN-TRU3]]</f>
        <v>4</v>
      </c>
      <c r="AF140">
        <f t="shared" si="71"/>
        <v>0.33333333333333331</v>
      </c>
      <c r="AG140">
        <f>step3_validation[[#This Row],[AI_TRU4]]</f>
        <v>6</v>
      </c>
      <c r="AH140">
        <f t="shared" si="72"/>
        <v>0.55555555555555558</v>
      </c>
      <c r="AI140">
        <f>[1]!survey_responses[[#This Row],[Tôi thấy Nhà nước đã giải thích rõ ràng, minh bạch về lý do và mục tiêu của việc sửa đổi thuế lần này. - HUMAN-TRU4]]</f>
        <v>5</v>
      </c>
      <c r="AJ140">
        <f t="shared" si="73"/>
        <v>0.44444444444444442</v>
      </c>
      <c r="AK140" s="32">
        <f t="shared" si="74"/>
        <v>0.61111111111111116</v>
      </c>
      <c r="AL140" s="32">
        <f t="shared" si="75"/>
        <v>0.33333333333333331</v>
      </c>
      <c r="AM140" s="7">
        <f t="shared" si="76"/>
        <v>0.72222222222222221</v>
      </c>
      <c r="AN140" s="7">
        <f t="shared" si="77"/>
        <v>0.44444444444444442</v>
      </c>
      <c r="AO140">
        <f>step3_validation[[#This Row],[AI_OUT1]]</f>
        <v>7</v>
      </c>
      <c r="AP140">
        <f t="shared" si="78"/>
        <v>0.66666666666666663</v>
      </c>
      <c r="AQ140">
        <f>[1]!survey_responses[[#This Row],[Sau khi xem xét các quyền lợi và nghĩa vụ, bạn có ủng hộ và tuân thủ chính sách mới hiện nay? - HUMAN-OUT1]]</f>
        <v>5</v>
      </c>
      <c r="AR140">
        <f t="shared" si="79"/>
        <v>0.44444444444444442</v>
      </c>
      <c r="AS140" s="32">
        <f t="shared" si="80"/>
        <v>2</v>
      </c>
    </row>
    <row r="141" spans="1:45" x14ac:dyDescent="0.45">
      <c r="A141">
        <f>step3_validation[[#This Row],[AI_ENF1]]</f>
        <v>8</v>
      </c>
      <c r="B141">
        <f t="shared" si="54"/>
        <v>0.77777777777777779</v>
      </c>
      <c r="C141">
        <f>[1]!survey_responses[[#This Row],[Tôi tin rằng với các quy định quản lý thuế hiện nay, hành vi gian lận hoặc trốn thuế sẽ dễ dàng bị phát hiện và xử lý nghiêm. - HUMAN-ENF1]]</f>
        <v>10</v>
      </c>
      <c r="D141">
        <f t="shared" si="55"/>
        <v>1</v>
      </c>
      <c r="E141">
        <f>step3_validation[[#This Row],[AI_ENF2]]</f>
        <v>7</v>
      </c>
      <c r="F141">
        <f t="shared" si="56"/>
        <v>0.66666666666666663</v>
      </c>
      <c r="G141">
        <f>[1]!survey_responses[[#This Row],[Tôi tin rằng Nhà nước, cơ quan thuế có đủ khả năng và công nghệ để phát hiện, xử lý nghiêm các hành vi trốn thuế. - HUMAN-ENF2]]</f>
        <v>9</v>
      </c>
      <c r="H141">
        <f t="shared" si="57"/>
        <v>0.88888888888888884</v>
      </c>
      <c r="I141" s="32">
        <f t="shared" si="58"/>
        <v>0.72222222222222221</v>
      </c>
      <c r="J141" s="32">
        <f t="shared" si="59"/>
        <v>0.94444444444444442</v>
      </c>
      <c r="K141">
        <f>step3_validation[[#This Row],[AI_FAC1]]</f>
        <v>9</v>
      </c>
      <c r="L141">
        <f t="shared" si="60"/>
        <v>0.88888888888888884</v>
      </c>
      <c r="M141">
        <f>[1]!survey_responses[[#This Row],[Các thủ tục khai báo thuế VÀ/HOẶC quy trình làm việc với cơ quan thuế đơn giản, tiện lợi, nhanh chóng hơn so với trước đây. - HUMAN-FAC1]]</f>
        <v>9</v>
      </c>
      <c r="N141">
        <f t="shared" si="61"/>
        <v>0.88888888888888884</v>
      </c>
      <c r="O141">
        <f>step3_validation[[#This Row],[AI_FAC2]]</f>
        <v>8</v>
      </c>
      <c r="P141">
        <f t="shared" si="62"/>
        <v>0.77777777777777779</v>
      </c>
      <c r="Q141">
        <f>[1]!survey_responses[[#This Row],[So với trước đây, tôi thấy cách tính thuế và các bậc thuế trong phương án mới đơn giản, dễ hiểu và dễ thực hiện hơn. - HUMAN-FAC2]]</f>
        <v>9</v>
      </c>
      <c r="R141">
        <f t="shared" si="63"/>
        <v>0.88888888888888884</v>
      </c>
      <c r="S141" s="32">
        <f t="shared" si="64"/>
        <v>0.83333333333333326</v>
      </c>
      <c r="T141" s="32">
        <f t="shared" si="65"/>
        <v>0.88888888888888884</v>
      </c>
      <c r="U141">
        <f>step3_validation[[#This Row],[AI_TRU1]]</f>
        <v>7</v>
      </c>
      <c r="V141">
        <f t="shared" si="66"/>
        <v>0.66666666666666663</v>
      </c>
      <c r="W141">
        <f>[1]!survey_responses[[#This Row],[Tôi tin rằng Nhà nước, cơ quan thuế sẽ thực thi chính sách mới một cách khách quan, công tâm và đối xử bình đẳng với mọi người nộp thuế.  - HUMAN-TRU1]]</f>
        <v>8</v>
      </c>
      <c r="X141">
        <f t="shared" si="67"/>
        <v>0.77777777777777779</v>
      </c>
      <c r="Y141">
        <f>step3_validation[[#This Row],[AI_TRU2]]</f>
        <v>8</v>
      </c>
      <c r="Z141">
        <f t="shared" si="68"/>
        <v>0.77777777777777779</v>
      </c>
      <c r="AA141">
        <f>[1]!survey_responses[[#This Row],[Tôi thấy mức thuế tôi phải đóng theo phương án mới là công bằng (người thu nhập như tôi đóng mức này là hợp lý). - HUMAN-TRU2]]</f>
        <v>8</v>
      </c>
      <c r="AB141">
        <f t="shared" si="69"/>
        <v>0.77777777777777779</v>
      </c>
      <c r="AC141">
        <f>step3_validation[[#This Row],[AI_TRU3]]</f>
        <v>7</v>
      </c>
      <c r="AD141">
        <f t="shared" si="70"/>
        <v>0.66666666666666663</v>
      </c>
      <c r="AE141">
        <f>[1]!survey_responses[[#This Row],[Tôi tin tưởng số tiền thuế tôi đóng sẽ được Nhà nước sử dụng hiệu quả để cải thiện dịch vụ công (y tế, đường xá...). - HUMAN-TRU3]]</f>
        <v>8</v>
      </c>
      <c r="AF141">
        <f t="shared" si="71"/>
        <v>0.77777777777777779</v>
      </c>
      <c r="AG141">
        <f>step3_validation[[#This Row],[AI_TRU4]]</f>
        <v>8</v>
      </c>
      <c r="AH141">
        <f t="shared" si="72"/>
        <v>0.77777777777777779</v>
      </c>
      <c r="AI141">
        <f>[1]!survey_responses[[#This Row],[Tôi thấy Nhà nước đã giải thích rõ ràng, minh bạch về lý do và mục tiêu của việc sửa đổi thuế lần này. - HUMAN-TRU4]]</f>
        <v>8</v>
      </c>
      <c r="AJ141">
        <f t="shared" si="73"/>
        <v>0.77777777777777779</v>
      </c>
      <c r="AK141" s="32">
        <f t="shared" si="74"/>
        <v>0.72222222222222221</v>
      </c>
      <c r="AL141" s="32">
        <f t="shared" si="75"/>
        <v>0.77777777777777779</v>
      </c>
      <c r="AM141" s="7">
        <f t="shared" si="76"/>
        <v>0.75925925925925919</v>
      </c>
      <c r="AN141" s="7">
        <f t="shared" si="77"/>
        <v>0.87037037037037035</v>
      </c>
      <c r="AO141">
        <f>step3_validation[[#This Row],[AI_OUT1]]</f>
        <v>7</v>
      </c>
      <c r="AP141">
        <f t="shared" si="78"/>
        <v>0.66666666666666663</v>
      </c>
      <c r="AQ141">
        <f>[1]!survey_responses[[#This Row],[Sau khi xem xét các quyền lợi và nghĩa vụ, bạn có ủng hộ và tuân thủ chính sách mới hiện nay? - HUMAN-OUT1]]</f>
        <v>10</v>
      </c>
      <c r="AR141">
        <f t="shared" si="79"/>
        <v>1</v>
      </c>
      <c r="AS141" s="32">
        <f t="shared" si="80"/>
        <v>3</v>
      </c>
    </row>
    <row r="142" spans="1:45" x14ac:dyDescent="0.45">
      <c r="A142">
        <f>step3_validation[[#This Row],[AI_ENF1]]</f>
        <v>8</v>
      </c>
      <c r="B142">
        <f t="shared" si="54"/>
        <v>0.77777777777777779</v>
      </c>
      <c r="C142">
        <f>[1]!survey_responses[[#This Row],[Tôi tin rằng với các quy định quản lý thuế hiện nay, hành vi gian lận hoặc trốn thuế sẽ dễ dàng bị phát hiện và xử lý nghiêm. - HUMAN-ENF1]]</f>
        <v>8</v>
      </c>
      <c r="D142">
        <f t="shared" si="55"/>
        <v>0.77777777777777779</v>
      </c>
      <c r="E142">
        <f>step3_validation[[#This Row],[AI_ENF2]]</f>
        <v>7</v>
      </c>
      <c r="F142">
        <f t="shared" si="56"/>
        <v>0.66666666666666663</v>
      </c>
      <c r="G142">
        <f>[1]!survey_responses[[#This Row],[Tôi tin rằng Nhà nước, cơ quan thuế có đủ khả năng và công nghệ để phát hiện, xử lý nghiêm các hành vi trốn thuế. - HUMAN-ENF2]]</f>
        <v>7</v>
      </c>
      <c r="H142">
        <f t="shared" si="57"/>
        <v>0.66666666666666663</v>
      </c>
      <c r="I142" s="32">
        <f t="shared" si="58"/>
        <v>0.72222222222222221</v>
      </c>
      <c r="J142" s="32">
        <f t="shared" si="59"/>
        <v>0.72222222222222221</v>
      </c>
      <c r="K142">
        <f>step3_validation[[#This Row],[AI_FAC1]]</f>
        <v>9</v>
      </c>
      <c r="L142">
        <f t="shared" si="60"/>
        <v>0.88888888888888884</v>
      </c>
      <c r="M142">
        <f>[1]!survey_responses[[#This Row],[Các thủ tục khai báo thuế VÀ/HOẶC quy trình làm việc với cơ quan thuế đơn giản, tiện lợi, nhanh chóng hơn so với trước đây. - HUMAN-FAC1]]</f>
        <v>6</v>
      </c>
      <c r="N142">
        <f t="shared" si="61"/>
        <v>0.55555555555555558</v>
      </c>
      <c r="O142">
        <f>step3_validation[[#This Row],[AI_FAC2]]</f>
        <v>8</v>
      </c>
      <c r="P142">
        <f t="shared" si="62"/>
        <v>0.77777777777777779</v>
      </c>
      <c r="Q142">
        <f>[1]!survey_responses[[#This Row],[So với trước đây, tôi thấy cách tính thuế và các bậc thuế trong phương án mới đơn giản, dễ hiểu và dễ thực hiện hơn. - HUMAN-FAC2]]</f>
        <v>6</v>
      </c>
      <c r="R142">
        <f t="shared" si="63"/>
        <v>0.55555555555555558</v>
      </c>
      <c r="S142" s="32">
        <f t="shared" si="64"/>
        <v>0.83333333333333326</v>
      </c>
      <c r="T142" s="32">
        <f t="shared" si="65"/>
        <v>0.55555555555555558</v>
      </c>
      <c r="U142">
        <f>step3_validation[[#This Row],[AI_TRU1]]</f>
        <v>7</v>
      </c>
      <c r="V142">
        <f t="shared" si="66"/>
        <v>0.66666666666666663</v>
      </c>
      <c r="W142">
        <f>[1]!survey_responses[[#This Row],[Tôi tin rằng Nhà nước, cơ quan thuế sẽ thực thi chính sách mới một cách khách quan, công tâm và đối xử bình đẳng với mọi người nộp thuế.  - HUMAN-TRU1]]</f>
        <v>5</v>
      </c>
      <c r="X142">
        <f t="shared" si="67"/>
        <v>0.44444444444444442</v>
      </c>
      <c r="Y142">
        <f>step3_validation[[#This Row],[AI_TRU2]]</f>
        <v>6</v>
      </c>
      <c r="Z142">
        <f t="shared" si="68"/>
        <v>0.55555555555555558</v>
      </c>
      <c r="AA142">
        <f>[1]!survey_responses[[#This Row],[Tôi thấy mức thuế tôi phải đóng theo phương án mới là công bằng (người thu nhập như tôi đóng mức này là hợp lý). - HUMAN-TRU2]]</f>
        <v>5</v>
      </c>
      <c r="AB142">
        <f t="shared" si="69"/>
        <v>0.44444444444444442</v>
      </c>
      <c r="AC142">
        <f>step3_validation[[#This Row],[AI_TRU3]]</f>
        <v>6</v>
      </c>
      <c r="AD142">
        <f t="shared" si="70"/>
        <v>0.55555555555555558</v>
      </c>
      <c r="AE142">
        <f>[1]!survey_responses[[#This Row],[Tôi tin tưởng số tiền thuế tôi đóng sẽ được Nhà nước sử dụng hiệu quả để cải thiện dịch vụ công (y tế, đường xá...). - HUMAN-TRU3]]</f>
        <v>3</v>
      </c>
      <c r="AF142">
        <f t="shared" si="71"/>
        <v>0.22222222222222221</v>
      </c>
      <c r="AG142">
        <f>step3_validation[[#This Row],[AI_TRU4]]</f>
        <v>7</v>
      </c>
      <c r="AH142">
        <f t="shared" si="72"/>
        <v>0.66666666666666663</v>
      </c>
      <c r="AI142">
        <f>[1]!survey_responses[[#This Row],[Tôi thấy Nhà nước đã giải thích rõ ràng, minh bạch về lý do và mục tiêu của việc sửa đổi thuế lần này. - HUMAN-TRU4]]</f>
        <v>3</v>
      </c>
      <c r="AJ142">
        <f t="shared" si="73"/>
        <v>0.22222222222222221</v>
      </c>
      <c r="AK142" s="32">
        <f t="shared" si="74"/>
        <v>0.61111111111111116</v>
      </c>
      <c r="AL142" s="32">
        <f t="shared" si="75"/>
        <v>0.33333333333333337</v>
      </c>
      <c r="AM142" s="7">
        <f t="shared" si="76"/>
        <v>0.72222222222222221</v>
      </c>
      <c r="AN142" s="7">
        <f t="shared" si="77"/>
        <v>0.53703703703703709</v>
      </c>
      <c r="AO142">
        <f>step3_validation[[#This Row],[AI_OUT1]]</f>
        <v>8</v>
      </c>
      <c r="AP142">
        <f t="shared" si="78"/>
        <v>0.77777777777777779</v>
      </c>
      <c r="AQ142">
        <f>[1]!survey_responses[[#This Row],[Sau khi xem xét các quyền lợi và nghĩa vụ, bạn có ủng hộ và tuân thủ chính sách mới hiện nay? - HUMAN-OUT1]]</f>
        <v>5</v>
      </c>
      <c r="AR142">
        <f t="shared" si="79"/>
        <v>0.44444444444444442</v>
      </c>
      <c r="AS142" s="32">
        <f t="shared" si="80"/>
        <v>3</v>
      </c>
    </row>
    <row r="143" spans="1:45" x14ac:dyDescent="0.45">
      <c r="A143">
        <f>step3_validation[[#This Row],[AI_ENF1]]</f>
        <v>7</v>
      </c>
      <c r="B143">
        <f t="shared" si="54"/>
        <v>0.66666666666666663</v>
      </c>
      <c r="C143">
        <f>[1]!survey_responses[[#This Row],[Tôi tin rằng với các quy định quản lý thuế hiện nay, hành vi gian lận hoặc trốn thuế sẽ dễ dàng bị phát hiện và xử lý nghiêm. - HUMAN-ENF1]]</f>
        <v>5</v>
      </c>
      <c r="D143">
        <f t="shared" si="55"/>
        <v>0.44444444444444442</v>
      </c>
      <c r="E143">
        <f>step3_validation[[#This Row],[AI_ENF2]]</f>
        <v>8</v>
      </c>
      <c r="F143">
        <f t="shared" si="56"/>
        <v>0.77777777777777779</v>
      </c>
      <c r="G143">
        <f>[1]!survey_responses[[#This Row],[Tôi tin rằng Nhà nước, cơ quan thuế có đủ khả năng và công nghệ để phát hiện, xử lý nghiêm các hành vi trốn thuế. - HUMAN-ENF2]]</f>
        <v>6</v>
      </c>
      <c r="H143">
        <f t="shared" si="57"/>
        <v>0.55555555555555558</v>
      </c>
      <c r="I143" s="32">
        <f t="shared" si="58"/>
        <v>0.72222222222222221</v>
      </c>
      <c r="J143" s="32">
        <f t="shared" si="59"/>
        <v>0.5</v>
      </c>
      <c r="K143">
        <f>step3_validation[[#This Row],[AI_FAC1]]</f>
        <v>9</v>
      </c>
      <c r="L143">
        <f t="shared" si="60"/>
        <v>0.88888888888888884</v>
      </c>
      <c r="M143">
        <f>[1]!survey_responses[[#This Row],[Các thủ tục khai báo thuế VÀ/HOẶC quy trình làm việc với cơ quan thuế đơn giản, tiện lợi, nhanh chóng hơn so với trước đây. - HUMAN-FAC1]]</f>
        <v>5</v>
      </c>
      <c r="N143">
        <f t="shared" si="61"/>
        <v>0.44444444444444442</v>
      </c>
      <c r="O143">
        <f>step3_validation[[#This Row],[AI_FAC2]]</f>
        <v>8</v>
      </c>
      <c r="P143">
        <f t="shared" si="62"/>
        <v>0.77777777777777779</v>
      </c>
      <c r="Q143">
        <f>[1]!survey_responses[[#This Row],[So với trước đây, tôi thấy cách tính thuế và các bậc thuế trong phương án mới đơn giản, dễ hiểu và dễ thực hiện hơn. - HUMAN-FAC2]]</f>
        <v>7</v>
      </c>
      <c r="R143">
        <f t="shared" si="63"/>
        <v>0.66666666666666663</v>
      </c>
      <c r="S143" s="32">
        <f t="shared" si="64"/>
        <v>0.83333333333333326</v>
      </c>
      <c r="T143" s="32">
        <f t="shared" si="65"/>
        <v>0.55555555555555558</v>
      </c>
      <c r="U143">
        <f>step3_validation[[#This Row],[AI_TRU1]]</f>
        <v>6</v>
      </c>
      <c r="V143">
        <f t="shared" si="66"/>
        <v>0.55555555555555558</v>
      </c>
      <c r="W143">
        <f>[1]!survey_responses[[#This Row],[Tôi tin rằng Nhà nước, cơ quan thuế sẽ thực thi chính sách mới một cách khách quan, công tâm và đối xử bình đẳng với mọi người nộp thuế.  - HUMAN-TRU1]]</f>
        <v>6</v>
      </c>
      <c r="X143">
        <f t="shared" si="67"/>
        <v>0.55555555555555558</v>
      </c>
      <c r="Y143">
        <f>step3_validation[[#This Row],[AI_TRU2]]</f>
        <v>8</v>
      </c>
      <c r="Z143">
        <f t="shared" si="68"/>
        <v>0.77777777777777779</v>
      </c>
      <c r="AA143">
        <f>[1]!survey_responses[[#This Row],[Tôi thấy mức thuế tôi phải đóng theo phương án mới là công bằng (người thu nhập như tôi đóng mức này là hợp lý). - HUMAN-TRU2]]</f>
        <v>6</v>
      </c>
      <c r="AB143">
        <f t="shared" si="69"/>
        <v>0.55555555555555558</v>
      </c>
      <c r="AC143">
        <f>step3_validation[[#This Row],[AI_TRU3]]</f>
        <v>6</v>
      </c>
      <c r="AD143">
        <f t="shared" si="70"/>
        <v>0.55555555555555558</v>
      </c>
      <c r="AE143">
        <f>[1]!survey_responses[[#This Row],[Tôi tin tưởng số tiền thuế tôi đóng sẽ được Nhà nước sử dụng hiệu quả để cải thiện dịch vụ công (y tế, đường xá...). - HUMAN-TRU3]]</f>
        <v>6</v>
      </c>
      <c r="AF143">
        <f t="shared" si="71"/>
        <v>0.55555555555555558</v>
      </c>
      <c r="AG143">
        <f>step3_validation[[#This Row],[AI_TRU4]]</f>
        <v>7</v>
      </c>
      <c r="AH143">
        <f t="shared" si="72"/>
        <v>0.66666666666666663</v>
      </c>
      <c r="AI143">
        <f>[1]!survey_responses[[#This Row],[Tôi thấy Nhà nước đã giải thích rõ ràng, minh bạch về lý do và mục tiêu của việc sửa đổi thuế lần này. - HUMAN-TRU4]]</f>
        <v>7</v>
      </c>
      <c r="AJ143">
        <f t="shared" si="73"/>
        <v>0.66666666666666663</v>
      </c>
      <c r="AK143" s="32">
        <f t="shared" si="74"/>
        <v>0.63888888888888895</v>
      </c>
      <c r="AL143" s="32">
        <f t="shared" si="75"/>
        <v>0.58333333333333337</v>
      </c>
      <c r="AM143" s="7">
        <f t="shared" si="76"/>
        <v>0.7314814814814814</v>
      </c>
      <c r="AN143" s="7">
        <f t="shared" si="77"/>
        <v>0.54629629629629628</v>
      </c>
      <c r="AO143">
        <f>step3_validation[[#This Row],[AI_OUT1]]</f>
        <v>8</v>
      </c>
      <c r="AP143">
        <f t="shared" si="78"/>
        <v>0.77777777777777779</v>
      </c>
      <c r="AQ143">
        <f>[1]!survey_responses[[#This Row],[Sau khi xem xét các quyền lợi và nghĩa vụ, bạn có ủng hộ và tuân thủ chính sách mới hiện nay? - HUMAN-OUT1]]</f>
        <v>7</v>
      </c>
      <c r="AR143">
        <f t="shared" si="79"/>
        <v>0.66666666666666663</v>
      </c>
      <c r="AS143" s="32">
        <f t="shared" si="80"/>
        <v>1</v>
      </c>
    </row>
    <row r="144" spans="1:45" x14ac:dyDescent="0.45">
      <c r="A144">
        <f>step3_validation[[#This Row],[AI_ENF1]]</f>
        <v>8</v>
      </c>
      <c r="B144">
        <f t="shared" si="54"/>
        <v>0.77777777777777779</v>
      </c>
      <c r="C144">
        <f>[1]!survey_responses[[#This Row],[Tôi tin rằng với các quy định quản lý thuế hiện nay, hành vi gian lận hoặc trốn thuế sẽ dễ dàng bị phát hiện và xử lý nghiêm. - HUMAN-ENF1]]</f>
        <v>1</v>
      </c>
      <c r="D144">
        <f t="shared" si="55"/>
        <v>0</v>
      </c>
      <c r="E144">
        <f>step3_validation[[#This Row],[AI_ENF2]]</f>
        <v>9</v>
      </c>
      <c r="F144">
        <f t="shared" si="56"/>
        <v>0.88888888888888884</v>
      </c>
      <c r="G144">
        <f>[1]!survey_responses[[#This Row],[Tôi tin rằng Nhà nước, cơ quan thuế có đủ khả năng và công nghệ để phát hiện, xử lý nghiêm các hành vi trốn thuế. - HUMAN-ENF2]]</f>
        <v>1</v>
      </c>
      <c r="H144">
        <f t="shared" si="57"/>
        <v>0</v>
      </c>
      <c r="I144" s="32">
        <f t="shared" si="58"/>
        <v>0.83333333333333326</v>
      </c>
      <c r="J144" s="32">
        <f t="shared" si="59"/>
        <v>0</v>
      </c>
      <c r="K144">
        <f>step3_validation[[#This Row],[AI_FAC1]]</f>
        <v>7</v>
      </c>
      <c r="L144">
        <f t="shared" si="60"/>
        <v>0.66666666666666663</v>
      </c>
      <c r="M144">
        <f>[1]!survey_responses[[#This Row],[Các thủ tục khai báo thuế VÀ/HOẶC quy trình làm việc với cơ quan thuế đơn giản, tiện lợi, nhanh chóng hơn so với trước đây. - HUMAN-FAC1]]</f>
        <v>8</v>
      </c>
      <c r="N144">
        <f t="shared" si="61"/>
        <v>0.77777777777777779</v>
      </c>
      <c r="O144">
        <f>step3_validation[[#This Row],[AI_FAC2]]</f>
        <v>8</v>
      </c>
      <c r="P144">
        <f t="shared" si="62"/>
        <v>0.77777777777777779</v>
      </c>
      <c r="Q144">
        <f>[1]!survey_responses[[#This Row],[So với trước đây, tôi thấy cách tính thuế và các bậc thuế trong phương án mới đơn giản, dễ hiểu và dễ thực hiện hơn. - HUMAN-FAC2]]</f>
        <v>8</v>
      </c>
      <c r="R144">
        <f t="shared" si="63"/>
        <v>0.77777777777777779</v>
      </c>
      <c r="S144" s="32">
        <f t="shared" si="64"/>
        <v>0.72222222222222221</v>
      </c>
      <c r="T144" s="32">
        <f t="shared" si="65"/>
        <v>0.77777777777777779</v>
      </c>
      <c r="U144">
        <f>step3_validation[[#This Row],[AI_TRU1]]</f>
        <v>7</v>
      </c>
      <c r="V144">
        <f t="shared" si="66"/>
        <v>0.66666666666666663</v>
      </c>
      <c r="W144">
        <f>[1]!survey_responses[[#This Row],[Tôi tin rằng Nhà nước, cơ quan thuế sẽ thực thi chính sách mới một cách khách quan, công tâm và đối xử bình đẳng với mọi người nộp thuế.  - HUMAN-TRU1]]</f>
        <v>8</v>
      </c>
      <c r="X144">
        <f t="shared" si="67"/>
        <v>0.77777777777777779</v>
      </c>
      <c r="Y144">
        <f>step3_validation[[#This Row],[AI_TRU2]]</f>
        <v>8</v>
      </c>
      <c r="Z144">
        <f t="shared" si="68"/>
        <v>0.77777777777777779</v>
      </c>
      <c r="AA144">
        <f>[1]!survey_responses[[#This Row],[Tôi thấy mức thuế tôi phải đóng theo phương án mới là công bằng (người thu nhập như tôi đóng mức này là hợp lý). - HUMAN-TRU2]]</f>
        <v>8</v>
      </c>
      <c r="AB144">
        <f t="shared" si="69"/>
        <v>0.77777777777777779</v>
      </c>
      <c r="AC144">
        <f>step3_validation[[#This Row],[AI_TRU3]]</f>
        <v>7</v>
      </c>
      <c r="AD144">
        <f t="shared" si="70"/>
        <v>0.66666666666666663</v>
      </c>
      <c r="AE144">
        <f>[1]!survey_responses[[#This Row],[Tôi tin tưởng số tiền thuế tôi đóng sẽ được Nhà nước sử dụng hiệu quả để cải thiện dịch vụ công (y tế, đường xá...). - HUMAN-TRU3]]</f>
        <v>8</v>
      </c>
      <c r="AF144">
        <f t="shared" si="71"/>
        <v>0.77777777777777779</v>
      </c>
      <c r="AG144">
        <f>step3_validation[[#This Row],[AI_TRU4]]</f>
        <v>8</v>
      </c>
      <c r="AH144">
        <f t="shared" si="72"/>
        <v>0.77777777777777779</v>
      </c>
      <c r="AI144">
        <f>[1]!survey_responses[[#This Row],[Tôi thấy Nhà nước đã giải thích rõ ràng, minh bạch về lý do và mục tiêu của việc sửa đổi thuế lần này. - HUMAN-TRU4]]</f>
        <v>8</v>
      </c>
      <c r="AJ144">
        <f t="shared" si="73"/>
        <v>0.77777777777777779</v>
      </c>
      <c r="AK144" s="32">
        <f t="shared" si="74"/>
        <v>0.72222222222222221</v>
      </c>
      <c r="AL144" s="32">
        <f t="shared" si="75"/>
        <v>0.77777777777777779</v>
      </c>
      <c r="AM144" s="7">
        <f t="shared" si="76"/>
        <v>0.75925925925925919</v>
      </c>
      <c r="AN144" s="7">
        <f t="shared" si="77"/>
        <v>0.51851851851851849</v>
      </c>
      <c r="AO144">
        <f>step3_validation[[#This Row],[AI_OUT1]]</f>
        <v>7</v>
      </c>
      <c r="AP144">
        <f t="shared" si="78"/>
        <v>0.66666666666666663</v>
      </c>
      <c r="AQ144">
        <f>[1]!survey_responses[[#This Row],[Sau khi xem xét các quyền lợi và nghĩa vụ, bạn có ủng hộ và tuân thủ chính sách mới hiện nay? - HUMAN-OUT1]]</f>
        <v>8</v>
      </c>
      <c r="AR144">
        <f t="shared" si="79"/>
        <v>0.77777777777777779</v>
      </c>
      <c r="AS144" s="32">
        <f t="shared" si="80"/>
        <v>1</v>
      </c>
    </row>
    <row r="145" spans="1:45" x14ac:dyDescent="0.45">
      <c r="A145">
        <f>step3_validation[[#This Row],[AI_ENF1]]</f>
        <v>7</v>
      </c>
      <c r="B145">
        <f t="shared" si="54"/>
        <v>0.66666666666666663</v>
      </c>
      <c r="C145">
        <f>[1]!survey_responses[[#This Row],[Tôi tin rằng với các quy định quản lý thuế hiện nay, hành vi gian lận hoặc trốn thuế sẽ dễ dàng bị phát hiện và xử lý nghiêm. - HUMAN-ENF1]]</f>
        <v>9</v>
      </c>
      <c r="D145">
        <f t="shared" si="55"/>
        <v>0.88888888888888884</v>
      </c>
      <c r="E145">
        <f>step3_validation[[#This Row],[AI_ENF2]]</f>
        <v>8</v>
      </c>
      <c r="F145">
        <f t="shared" si="56"/>
        <v>0.77777777777777779</v>
      </c>
      <c r="G145">
        <f>[1]!survey_responses[[#This Row],[Tôi tin rằng Nhà nước, cơ quan thuế có đủ khả năng và công nghệ để phát hiện, xử lý nghiêm các hành vi trốn thuế. - HUMAN-ENF2]]</f>
        <v>9</v>
      </c>
      <c r="H145">
        <f t="shared" si="57"/>
        <v>0.88888888888888884</v>
      </c>
      <c r="I145" s="32">
        <f t="shared" si="58"/>
        <v>0.72222222222222221</v>
      </c>
      <c r="J145" s="32">
        <f t="shared" si="59"/>
        <v>0.88888888888888884</v>
      </c>
      <c r="K145">
        <f>step3_validation[[#This Row],[AI_FAC1]]</f>
        <v>6</v>
      </c>
      <c r="L145">
        <f t="shared" si="60"/>
        <v>0.55555555555555558</v>
      </c>
      <c r="M145">
        <f>[1]!survey_responses[[#This Row],[Các thủ tục khai báo thuế VÀ/HOẶC quy trình làm việc với cơ quan thuế đơn giản, tiện lợi, nhanh chóng hơn so với trước đây. - HUMAN-FAC1]]</f>
        <v>9</v>
      </c>
      <c r="N145">
        <f t="shared" si="61"/>
        <v>0.88888888888888884</v>
      </c>
      <c r="O145">
        <f>step3_validation[[#This Row],[AI_FAC2]]</f>
        <v>8</v>
      </c>
      <c r="P145">
        <f t="shared" si="62"/>
        <v>0.77777777777777779</v>
      </c>
      <c r="Q145">
        <f>[1]!survey_responses[[#This Row],[So với trước đây, tôi thấy cách tính thuế và các bậc thuế trong phương án mới đơn giản, dễ hiểu và dễ thực hiện hơn. - HUMAN-FAC2]]</f>
        <v>9</v>
      </c>
      <c r="R145">
        <f t="shared" si="63"/>
        <v>0.88888888888888884</v>
      </c>
      <c r="S145" s="32">
        <f t="shared" si="64"/>
        <v>0.66666666666666674</v>
      </c>
      <c r="T145" s="32">
        <f t="shared" si="65"/>
        <v>0.88888888888888884</v>
      </c>
      <c r="U145">
        <f>step3_validation[[#This Row],[AI_TRU1]]</f>
        <v>7</v>
      </c>
      <c r="V145">
        <f t="shared" si="66"/>
        <v>0.66666666666666663</v>
      </c>
      <c r="W145">
        <f>[1]!survey_responses[[#This Row],[Tôi tin rằng Nhà nước, cơ quan thuế sẽ thực thi chính sách mới một cách khách quan, công tâm và đối xử bình đẳng với mọi người nộp thuế.  - HUMAN-TRU1]]</f>
        <v>10</v>
      </c>
      <c r="X145">
        <f t="shared" si="67"/>
        <v>1</v>
      </c>
      <c r="Y145">
        <f>step3_validation[[#This Row],[AI_TRU2]]</f>
        <v>8</v>
      </c>
      <c r="Z145">
        <f t="shared" si="68"/>
        <v>0.77777777777777779</v>
      </c>
      <c r="AA145">
        <f>[1]!survey_responses[[#This Row],[Tôi thấy mức thuế tôi phải đóng theo phương án mới là công bằng (người thu nhập như tôi đóng mức này là hợp lý). - HUMAN-TRU2]]</f>
        <v>5</v>
      </c>
      <c r="AB145">
        <f t="shared" si="69"/>
        <v>0.44444444444444442</v>
      </c>
      <c r="AC145">
        <f>step3_validation[[#This Row],[AI_TRU3]]</f>
        <v>6</v>
      </c>
      <c r="AD145">
        <f t="shared" si="70"/>
        <v>0.55555555555555558</v>
      </c>
      <c r="AE145">
        <f>[1]!survey_responses[[#This Row],[Tôi tin tưởng số tiền thuế tôi đóng sẽ được Nhà nước sử dụng hiệu quả để cải thiện dịch vụ công (y tế, đường xá...). - HUMAN-TRU3]]</f>
        <v>9</v>
      </c>
      <c r="AF145">
        <f t="shared" si="71"/>
        <v>0.88888888888888884</v>
      </c>
      <c r="AG145">
        <f>step3_validation[[#This Row],[AI_TRU4]]</f>
        <v>7</v>
      </c>
      <c r="AH145">
        <f t="shared" si="72"/>
        <v>0.66666666666666663</v>
      </c>
      <c r="AI145">
        <f>[1]!survey_responses[[#This Row],[Tôi thấy Nhà nước đã giải thích rõ ràng, minh bạch về lý do và mục tiêu của việc sửa đổi thuế lần này. - HUMAN-TRU4]]</f>
        <v>9</v>
      </c>
      <c r="AJ145">
        <f t="shared" si="73"/>
        <v>0.88888888888888884</v>
      </c>
      <c r="AK145" s="32">
        <f t="shared" si="74"/>
        <v>0.66666666666666663</v>
      </c>
      <c r="AL145" s="32">
        <f t="shared" si="75"/>
        <v>0.80555555555555547</v>
      </c>
      <c r="AM145" s="7">
        <f t="shared" si="76"/>
        <v>0.68518518518518512</v>
      </c>
      <c r="AN145" s="7">
        <f t="shared" si="77"/>
        <v>0.86111111111111105</v>
      </c>
      <c r="AO145">
        <f>step3_validation[[#This Row],[AI_OUT1]]</f>
        <v>7</v>
      </c>
      <c r="AP145">
        <f t="shared" si="78"/>
        <v>0.66666666666666663</v>
      </c>
      <c r="AQ145">
        <f>[1]!survey_responses[[#This Row],[Sau khi xem xét các quyền lợi và nghĩa vụ, bạn có ủng hộ và tuân thủ chính sách mới hiện nay? - HUMAN-OUT1]]</f>
        <v>10</v>
      </c>
      <c r="AR145">
        <f t="shared" si="79"/>
        <v>1</v>
      </c>
      <c r="AS145" s="32">
        <f t="shared" si="80"/>
        <v>3</v>
      </c>
    </row>
    <row r="146" spans="1:45" x14ac:dyDescent="0.45">
      <c r="A146">
        <f>step3_validation[[#This Row],[AI_ENF1]]</f>
        <v>5</v>
      </c>
      <c r="B146">
        <f t="shared" si="54"/>
        <v>0.44444444444444442</v>
      </c>
      <c r="C146">
        <f>[1]!survey_responses[[#This Row],[Tôi tin rằng với các quy định quản lý thuế hiện nay, hành vi gian lận hoặc trốn thuế sẽ dễ dàng bị phát hiện và xử lý nghiêm. - HUMAN-ENF1]]</f>
        <v>10</v>
      </c>
      <c r="D146">
        <f t="shared" si="55"/>
        <v>1</v>
      </c>
      <c r="E146">
        <f>step3_validation[[#This Row],[AI_ENF2]]</f>
        <v>6</v>
      </c>
      <c r="F146">
        <f t="shared" si="56"/>
        <v>0.55555555555555558</v>
      </c>
      <c r="G146">
        <f>[1]!survey_responses[[#This Row],[Tôi tin rằng Nhà nước, cơ quan thuế có đủ khả năng và công nghệ để phát hiện, xử lý nghiêm các hành vi trốn thuế. - HUMAN-ENF2]]</f>
        <v>10</v>
      </c>
      <c r="H146">
        <f t="shared" si="57"/>
        <v>1</v>
      </c>
      <c r="I146" s="32">
        <f t="shared" si="58"/>
        <v>0.5</v>
      </c>
      <c r="J146" s="32">
        <f t="shared" si="59"/>
        <v>1</v>
      </c>
      <c r="K146">
        <f>step3_validation[[#This Row],[AI_FAC1]]</f>
        <v>7</v>
      </c>
      <c r="L146">
        <f t="shared" si="60"/>
        <v>0.66666666666666663</v>
      </c>
      <c r="M146">
        <f>[1]!survey_responses[[#This Row],[Các thủ tục khai báo thuế VÀ/HOẶC quy trình làm việc với cơ quan thuế đơn giản, tiện lợi, nhanh chóng hơn so với trước đây. - HUMAN-FAC1]]</f>
        <v>9</v>
      </c>
      <c r="N146">
        <f t="shared" si="61"/>
        <v>0.88888888888888884</v>
      </c>
      <c r="O146">
        <f>step3_validation[[#This Row],[AI_FAC2]]</f>
        <v>8</v>
      </c>
      <c r="P146">
        <f t="shared" si="62"/>
        <v>0.77777777777777779</v>
      </c>
      <c r="Q146">
        <f>[1]!survey_responses[[#This Row],[So với trước đây, tôi thấy cách tính thuế và các bậc thuế trong phương án mới đơn giản, dễ hiểu và dễ thực hiện hơn. - HUMAN-FAC2]]</f>
        <v>6</v>
      </c>
      <c r="R146">
        <f t="shared" si="63"/>
        <v>0.55555555555555558</v>
      </c>
      <c r="S146" s="32">
        <f t="shared" si="64"/>
        <v>0.72222222222222221</v>
      </c>
      <c r="T146" s="32">
        <f t="shared" si="65"/>
        <v>0.72222222222222221</v>
      </c>
      <c r="U146">
        <f>step3_validation[[#This Row],[AI_TRU1]]</f>
        <v>7</v>
      </c>
      <c r="V146">
        <f t="shared" si="66"/>
        <v>0.66666666666666663</v>
      </c>
      <c r="W146">
        <f>[1]!survey_responses[[#This Row],[Tôi tin rằng Nhà nước, cơ quan thuế sẽ thực thi chính sách mới một cách khách quan, công tâm và đối xử bình đẳng với mọi người nộp thuế.  - HUMAN-TRU1]]</f>
        <v>6</v>
      </c>
      <c r="X146">
        <f t="shared" si="67"/>
        <v>0.55555555555555558</v>
      </c>
      <c r="Y146">
        <f>step3_validation[[#This Row],[AI_TRU2]]</f>
        <v>8</v>
      </c>
      <c r="Z146">
        <f t="shared" si="68"/>
        <v>0.77777777777777779</v>
      </c>
      <c r="AA146">
        <f>[1]!survey_responses[[#This Row],[Tôi thấy mức thuế tôi phải đóng theo phương án mới là công bằng (người thu nhập như tôi đóng mức này là hợp lý). - HUMAN-TRU2]]</f>
        <v>3</v>
      </c>
      <c r="AB146">
        <f t="shared" si="69"/>
        <v>0.22222222222222221</v>
      </c>
      <c r="AC146">
        <f>step3_validation[[#This Row],[AI_TRU3]]</f>
        <v>6</v>
      </c>
      <c r="AD146">
        <f t="shared" si="70"/>
        <v>0.55555555555555558</v>
      </c>
      <c r="AE146">
        <f>[1]!survey_responses[[#This Row],[Tôi tin tưởng số tiền thuế tôi đóng sẽ được Nhà nước sử dụng hiệu quả để cải thiện dịch vụ công (y tế, đường xá...). - HUMAN-TRU3]]</f>
        <v>5</v>
      </c>
      <c r="AF146">
        <f t="shared" si="71"/>
        <v>0.44444444444444442</v>
      </c>
      <c r="AG146">
        <f>step3_validation[[#This Row],[AI_TRU4]]</f>
        <v>5</v>
      </c>
      <c r="AH146">
        <f t="shared" si="72"/>
        <v>0.44444444444444442</v>
      </c>
      <c r="AI146">
        <f>[1]!survey_responses[[#This Row],[Tôi thấy Nhà nước đã giải thích rõ ràng, minh bạch về lý do và mục tiêu của việc sửa đổi thuế lần này. - HUMAN-TRU4]]</f>
        <v>5</v>
      </c>
      <c r="AJ146">
        <f t="shared" si="73"/>
        <v>0.44444444444444442</v>
      </c>
      <c r="AK146" s="32">
        <f t="shared" si="74"/>
        <v>0.61111111111111116</v>
      </c>
      <c r="AL146" s="32">
        <f t="shared" si="75"/>
        <v>0.41666666666666669</v>
      </c>
      <c r="AM146" s="7">
        <f t="shared" si="76"/>
        <v>0.61111111111111116</v>
      </c>
      <c r="AN146" s="7">
        <f t="shared" si="77"/>
        <v>0.71296296296296291</v>
      </c>
      <c r="AO146">
        <f>step3_validation[[#This Row],[AI_OUT1]]</f>
        <v>6</v>
      </c>
      <c r="AP146">
        <f t="shared" si="78"/>
        <v>0.55555555555555558</v>
      </c>
      <c r="AQ146">
        <f>[1]!survey_responses[[#This Row],[Sau khi xem xét các quyền lợi và nghĩa vụ, bạn có ủng hộ và tuân thủ chính sách mới hiện nay? - HUMAN-OUT1]]</f>
        <v>1</v>
      </c>
      <c r="AR146">
        <f t="shared" si="79"/>
        <v>0</v>
      </c>
      <c r="AS146" s="32">
        <f t="shared" si="80"/>
        <v>5</v>
      </c>
    </row>
    <row r="147" spans="1:45" x14ac:dyDescent="0.45">
      <c r="A147">
        <f>step3_validation[[#This Row],[AI_ENF1]]</f>
        <v>7</v>
      </c>
      <c r="B147">
        <f t="shared" si="54"/>
        <v>0.66666666666666663</v>
      </c>
      <c r="C147">
        <f>[1]!survey_responses[[#This Row],[Tôi tin rằng với các quy định quản lý thuế hiện nay, hành vi gian lận hoặc trốn thuế sẽ dễ dàng bị phát hiện và xử lý nghiêm. - HUMAN-ENF1]]</f>
        <v>8</v>
      </c>
      <c r="D147">
        <f t="shared" si="55"/>
        <v>0.77777777777777779</v>
      </c>
      <c r="E147">
        <f>step3_validation[[#This Row],[AI_ENF2]]</f>
        <v>6</v>
      </c>
      <c r="F147">
        <f t="shared" si="56"/>
        <v>0.55555555555555558</v>
      </c>
      <c r="G147">
        <f>[1]!survey_responses[[#This Row],[Tôi tin rằng Nhà nước, cơ quan thuế có đủ khả năng và công nghệ để phát hiện, xử lý nghiêm các hành vi trốn thuế. - HUMAN-ENF2]]</f>
        <v>8</v>
      </c>
      <c r="H147">
        <f t="shared" si="57"/>
        <v>0.77777777777777779</v>
      </c>
      <c r="I147" s="32">
        <f t="shared" si="58"/>
        <v>0.61111111111111116</v>
      </c>
      <c r="J147" s="32">
        <f t="shared" si="59"/>
        <v>0.77777777777777779</v>
      </c>
      <c r="K147">
        <f>step3_validation[[#This Row],[AI_FAC1]]</f>
        <v>8</v>
      </c>
      <c r="L147">
        <f t="shared" si="60"/>
        <v>0.77777777777777779</v>
      </c>
      <c r="M147">
        <f>[1]!survey_responses[[#This Row],[Các thủ tục khai báo thuế VÀ/HOẶC quy trình làm việc với cơ quan thuế đơn giản, tiện lợi, nhanh chóng hơn so với trước đây. - HUMAN-FAC1]]</f>
        <v>5</v>
      </c>
      <c r="N147">
        <f t="shared" si="61"/>
        <v>0.44444444444444442</v>
      </c>
      <c r="O147">
        <f>step3_validation[[#This Row],[AI_FAC2]]</f>
        <v>9</v>
      </c>
      <c r="P147">
        <f t="shared" si="62"/>
        <v>0.88888888888888884</v>
      </c>
      <c r="Q147">
        <f>[1]!survey_responses[[#This Row],[So với trước đây, tôi thấy cách tính thuế và các bậc thuế trong phương án mới đơn giản, dễ hiểu và dễ thực hiện hơn. - HUMAN-FAC2]]</f>
        <v>5</v>
      </c>
      <c r="R147">
        <f t="shared" si="63"/>
        <v>0.44444444444444442</v>
      </c>
      <c r="S147" s="32">
        <f t="shared" si="64"/>
        <v>0.83333333333333326</v>
      </c>
      <c r="T147" s="32">
        <f t="shared" si="65"/>
        <v>0.44444444444444442</v>
      </c>
      <c r="U147">
        <f>step3_validation[[#This Row],[AI_TRU1]]</f>
        <v>7</v>
      </c>
      <c r="V147">
        <f t="shared" si="66"/>
        <v>0.66666666666666663</v>
      </c>
      <c r="W147">
        <f>[1]!survey_responses[[#This Row],[Tôi tin rằng Nhà nước, cơ quan thuế sẽ thực thi chính sách mới một cách khách quan, công tâm và đối xử bình đẳng với mọi người nộp thuế.  - HUMAN-TRU1]]</f>
        <v>5</v>
      </c>
      <c r="X147">
        <f t="shared" si="67"/>
        <v>0.44444444444444442</v>
      </c>
      <c r="Y147">
        <f>step3_validation[[#This Row],[AI_TRU2]]</f>
        <v>8</v>
      </c>
      <c r="Z147">
        <f t="shared" si="68"/>
        <v>0.77777777777777779</v>
      </c>
      <c r="AA147">
        <f>[1]!survey_responses[[#This Row],[Tôi thấy mức thuế tôi phải đóng theo phương án mới là công bằng (người thu nhập như tôi đóng mức này là hợp lý). - HUMAN-TRU2]]</f>
        <v>3</v>
      </c>
      <c r="AB147">
        <f t="shared" si="69"/>
        <v>0.22222222222222221</v>
      </c>
      <c r="AC147">
        <f>step3_validation[[#This Row],[AI_TRU3]]</f>
        <v>6</v>
      </c>
      <c r="AD147">
        <f t="shared" si="70"/>
        <v>0.55555555555555558</v>
      </c>
      <c r="AE147">
        <f>[1]!survey_responses[[#This Row],[Tôi tin tưởng số tiền thuế tôi đóng sẽ được Nhà nước sử dụng hiệu quả để cải thiện dịch vụ công (y tế, đường xá...). - HUMAN-TRU3]]</f>
        <v>5</v>
      </c>
      <c r="AF147">
        <f t="shared" si="71"/>
        <v>0.44444444444444442</v>
      </c>
      <c r="AG147">
        <f>step3_validation[[#This Row],[AI_TRU4]]</f>
        <v>7</v>
      </c>
      <c r="AH147">
        <f t="shared" si="72"/>
        <v>0.66666666666666663</v>
      </c>
      <c r="AI147">
        <f>[1]!survey_responses[[#This Row],[Tôi thấy Nhà nước đã giải thích rõ ràng, minh bạch về lý do và mục tiêu của việc sửa đổi thuế lần này. - HUMAN-TRU4]]</f>
        <v>5</v>
      </c>
      <c r="AJ147">
        <f t="shared" si="73"/>
        <v>0.44444444444444442</v>
      </c>
      <c r="AK147" s="32">
        <f t="shared" si="74"/>
        <v>0.66666666666666663</v>
      </c>
      <c r="AL147" s="32">
        <f t="shared" si="75"/>
        <v>0.3888888888888889</v>
      </c>
      <c r="AM147" s="7">
        <f t="shared" si="76"/>
        <v>0.70370370370370372</v>
      </c>
      <c r="AN147" s="7">
        <f t="shared" si="77"/>
        <v>0.53703703703703709</v>
      </c>
      <c r="AO147">
        <f>step3_validation[[#This Row],[AI_OUT1]]</f>
        <v>8</v>
      </c>
      <c r="AP147">
        <f t="shared" si="78"/>
        <v>0.77777777777777779</v>
      </c>
      <c r="AQ147">
        <f>[1]!survey_responses[[#This Row],[Sau khi xem xét các quyền lợi và nghĩa vụ, bạn có ủng hộ và tuân thủ chính sách mới hiện nay? - HUMAN-OUT1]]</f>
        <v>5</v>
      </c>
      <c r="AR147">
        <f t="shared" si="79"/>
        <v>0.44444444444444442</v>
      </c>
      <c r="AS147" s="32">
        <f t="shared" si="80"/>
        <v>3</v>
      </c>
    </row>
    <row r="148" spans="1:45" x14ac:dyDescent="0.45">
      <c r="A148">
        <f>step3_validation[[#This Row],[AI_ENF1]]</f>
        <v>7</v>
      </c>
      <c r="B148">
        <f t="shared" si="54"/>
        <v>0.66666666666666663</v>
      </c>
      <c r="C148">
        <f>[1]!survey_responses[[#This Row],[Tôi tin rằng với các quy định quản lý thuế hiện nay, hành vi gian lận hoặc trốn thuế sẽ dễ dàng bị phát hiện và xử lý nghiêm. - HUMAN-ENF1]]</f>
        <v>7</v>
      </c>
      <c r="D148">
        <f t="shared" si="55"/>
        <v>0.66666666666666663</v>
      </c>
      <c r="E148">
        <f>step3_validation[[#This Row],[AI_ENF2]]</f>
        <v>8</v>
      </c>
      <c r="F148">
        <f t="shared" si="56"/>
        <v>0.77777777777777779</v>
      </c>
      <c r="G148">
        <f>[1]!survey_responses[[#This Row],[Tôi tin rằng Nhà nước, cơ quan thuế có đủ khả năng và công nghệ để phát hiện, xử lý nghiêm các hành vi trốn thuế. - HUMAN-ENF2]]</f>
        <v>7</v>
      </c>
      <c r="H148">
        <f t="shared" si="57"/>
        <v>0.66666666666666663</v>
      </c>
      <c r="I148" s="32">
        <f t="shared" si="58"/>
        <v>0.72222222222222221</v>
      </c>
      <c r="J148" s="32">
        <f t="shared" si="59"/>
        <v>0.66666666666666663</v>
      </c>
      <c r="K148">
        <f>step3_validation[[#This Row],[AI_FAC1]]</f>
        <v>6</v>
      </c>
      <c r="L148">
        <f t="shared" si="60"/>
        <v>0.55555555555555558</v>
      </c>
      <c r="M148">
        <f>[1]!survey_responses[[#This Row],[Các thủ tục khai báo thuế VÀ/HOẶC quy trình làm việc với cơ quan thuế đơn giản, tiện lợi, nhanh chóng hơn so với trước đây. - HUMAN-FAC1]]</f>
        <v>1</v>
      </c>
      <c r="N148">
        <f t="shared" si="61"/>
        <v>0</v>
      </c>
      <c r="O148">
        <f>step3_validation[[#This Row],[AI_FAC2]]</f>
        <v>7</v>
      </c>
      <c r="P148">
        <f t="shared" si="62"/>
        <v>0.66666666666666663</v>
      </c>
      <c r="Q148">
        <f>[1]!survey_responses[[#This Row],[So với trước đây, tôi thấy cách tính thuế và các bậc thuế trong phương án mới đơn giản, dễ hiểu và dễ thực hiện hơn. - HUMAN-FAC2]]</f>
        <v>6</v>
      </c>
      <c r="R148">
        <f t="shared" si="63"/>
        <v>0.55555555555555558</v>
      </c>
      <c r="S148" s="32">
        <f t="shared" si="64"/>
        <v>0.61111111111111116</v>
      </c>
      <c r="T148" s="32">
        <f t="shared" si="65"/>
        <v>0.27777777777777779</v>
      </c>
      <c r="U148">
        <f>step3_validation[[#This Row],[AI_TRU1]]</f>
        <v>8</v>
      </c>
      <c r="V148">
        <f t="shared" si="66"/>
        <v>0.77777777777777779</v>
      </c>
      <c r="W148">
        <f>[1]!survey_responses[[#This Row],[Tôi tin rằng Nhà nước, cơ quan thuế sẽ thực thi chính sách mới một cách khách quan, công tâm và đối xử bình đẳng với mọi người nộp thuế.  - HUMAN-TRU1]]</f>
        <v>3</v>
      </c>
      <c r="X148">
        <f t="shared" si="67"/>
        <v>0.22222222222222221</v>
      </c>
      <c r="Y148">
        <f>step3_validation[[#This Row],[AI_TRU2]]</f>
        <v>9</v>
      </c>
      <c r="Z148">
        <f t="shared" si="68"/>
        <v>0.88888888888888884</v>
      </c>
      <c r="AA148">
        <f>[1]!survey_responses[[#This Row],[Tôi thấy mức thuế tôi phải đóng theo phương án mới là công bằng (người thu nhập như tôi đóng mức này là hợp lý). - HUMAN-TRU2]]</f>
        <v>5</v>
      </c>
      <c r="AB148">
        <f t="shared" si="69"/>
        <v>0.44444444444444442</v>
      </c>
      <c r="AC148">
        <f>step3_validation[[#This Row],[AI_TRU3]]</f>
        <v>7</v>
      </c>
      <c r="AD148">
        <f t="shared" si="70"/>
        <v>0.66666666666666663</v>
      </c>
      <c r="AE148">
        <f>[1]!survey_responses[[#This Row],[Tôi tin tưởng số tiền thuế tôi đóng sẽ được Nhà nước sử dụng hiệu quả để cải thiện dịch vụ công (y tế, đường xá...). - HUMAN-TRU3]]</f>
        <v>1</v>
      </c>
      <c r="AF148">
        <f t="shared" si="71"/>
        <v>0</v>
      </c>
      <c r="AG148">
        <f>step3_validation[[#This Row],[AI_TRU4]]</f>
        <v>6</v>
      </c>
      <c r="AH148">
        <f t="shared" si="72"/>
        <v>0.55555555555555558</v>
      </c>
      <c r="AI148">
        <f>[1]!survey_responses[[#This Row],[Tôi thấy Nhà nước đã giải thích rõ ràng, minh bạch về lý do và mục tiêu của việc sửa đổi thuế lần này. - HUMAN-TRU4]]</f>
        <v>4</v>
      </c>
      <c r="AJ148">
        <f t="shared" si="73"/>
        <v>0.33333333333333331</v>
      </c>
      <c r="AK148" s="32">
        <f t="shared" si="74"/>
        <v>0.7222222222222221</v>
      </c>
      <c r="AL148" s="32">
        <f t="shared" si="75"/>
        <v>0.25</v>
      </c>
      <c r="AM148" s="7">
        <f t="shared" si="76"/>
        <v>0.68518518518518512</v>
      </c>
      <c r="AN148" s="7">
        <f t="shared" si="77"/>
        <v>0.39814814814814814</v>
      </c>
      <c r="AO148">
        <f>step3_validation[[#This Row],[AI_OUT1]]</f>
        <v>7</v>
      </c>
      <c r="AP148">
        <f t="shared" si="78"/>
        <v>0.66666666666666663</v>
      </c>
      <c r="AQ148">
        <f>[1]!survey_responses[[#This Row],[Sau khi xem xét các quyền lợi và nghĩa vụ, bạn có ủng hộ và tuân thủ chính sách mới hiện nay? - HUMAN-OUT1]]</f>
        <v>5</v>
      </c>
      <c r="AR148">
        <f t="shared" si="79"/>
        <v>0.44444444444444442</v>
      </c>
      <c r="AS148" s="32">
        <f t="shared" si="80"/>
        <v>2</v>
      </c>
    </row>
    <row r="149" spans="1:45" x14ac:dyDescent="0.45">
      <c r="A149">
        <f>step3_validation[[#This Row],[AI_ENF1]]</f>
        <v>8</v>
      </c>
      <c r="B149">
        <f t="shared" si="54"/>
        <v>0.77777777777777779</v>
      </c>
      <c r="C149">
        <f>[1]!survey_responses[[#This Row],[Tôi tin rằng với các quy định quản lý thuế hiện nay, hành vi gian lận hoặc trốn thuế sẽ dễ dàng bị phát hiện và xử lý nghiêm. - HUMAN-ENF1]]</f>
        <v>6</v>
      </c>
      <c r="D149">
        <f t="shared" si="55"/>
        <v>0.55555555555555558</v>
      </c>
      <c r="E149">
        <f>step3_validation[[#This Row],[AI_ENF2]]</f>
        <v>7</v>
      </c>
      <c r="F149">
        <f t="shared" si="56"/>
        <v>0.66666666666666663</v>
      </c>
      <c r="G149">
        <f>[1]!survey_responses[[#This Row],[Tôi tin rằng Nhà nước, cơ quan thuế có đủ khả năng và công nghệ để phát hiện, xử lý nghiêm các hành vi trốn thuế. - HUMAN-ENF2]]</f>
        <v>6</v>
      </c>
      <c r="H149">
        <f t="shared" si="57"/>
        <v>0.55555555555555558</v>
      </c>
      <c r="I149" s="32">
        <f t="shared" si="58"/>
        <v>0.72222222222222221</v>
      </c>
      <c r="J149" s="32">
        <f t="shared" si="59"/>
        <v>0.55555555555555558</v>
      </c>
      <c r="K149">
        <f>step3_validation[[#This Row],[AI_FAC1]]</f>
        <v>9</v>
      </c>
      <c r="L149">
        <f t="shared" si="60"/>
        <v>0.88888888888888884</v>
      </c>
      <c r="M149">
        <f>[1]!survey_responses[[#This Row],[Các thủ tục khai báo thuế VÀ/HOẶC quy trình làm việc với cơ quan thuế đơn giản, tiện lợi, nhanh chóng hơn so với trước đây. - HUMAN-FAC1]]</f>
        <v>5</v>
      </c>
      <c r="N149">
        <f t="shared" si="61"/>
        <v>0.44444444444444442</v>
      </c>
      <c r="O149">
        <f>step3_validation[[#This Row],[AI_FAC2]]</f>
        <v>8</v>
      </c>
      <c r="P149">
        <f t="shared" si="62"/>
        <v>0.77777777777777779</v>
      </c>
      <c r="Q149">
        <f>[1]!survey_responses[[#This Row],[So với trước đây, tôi thấy cách tính thuế và các bậc thuế trong phương án mới đơn giản, dễ hiểu và dễ thực hiện hơn. - HUMAN-FAC2]]</f>
        <v>7</v>
      </c>
      <c r="R149">
        <f t="shared" si="63"/>
        <v>0.66666666666666663</v>
      </c>
      <c r="S149" s="32">
        <f t="shared" si="64"/>
        <v>0.83333333333333326</v>
      </c>
      <c r="T149" s="32">
        <f t="shared" si="65"/>
        <v>0.55555555555555558</v>
      </c>
      <c r="U149">
        <f>step3_validation[[#This Row],[AI_TRU1]]</f>
        <v>7</v>
      </c>
      <c r="V149">
        <f t="shared" si="66"/>
        <v>0.66666666666666663</v>
      </c>
      <c r="W149">
        <f>[1]!survey_responses[[#This Row],[Tôi tin rằng Nhà nước, cơ quan thuế sẽ thực thi chính sách mới một cách khách quan, công tâm và đối xử bình đẳng với mọi người nộp thuế.  - HUMAN-TRU1]]</f>
        <v>5</v>
      </c>
      <c r="X149">
        <f t="shared" si="67"/>
        <v>0.44444444444444442</v>
      </c>
      <c r="Y149">
        <f>step3_validation[[#This Row],[AI_TRU2]]</f>
        <v>6</v>
      </c>
      <c r="Z149">
        <f t="shared" si="68"/>
        <v>0.55555555555555558</v>
      </c>
      <c r="AA149">
        <f>[1]!survey_responses[[#This Row],[Tôi thấy mức thuế tôi phải đóng theo phương án mới là công bằng (người thu nhập như tôi đóng mức này là hợp lý). - HUMAN-TRU2]]</f>
        <v>7</v>
      </c>
      <c r="AB149">
        <f t="shared" si="69"/>
        <v>0.66666666666666663</v>
      </c>
      <c r="AC149">
        <f>step3_validation[[#This Row],[AI_TRU3]]</f>
        <v>5</v>
      </c>
      <c r="AD149">
        <f t="shared" si="70"/>
        <v>0.44444444444444442</v>
      </c>
      <c r="AE149">
        <f>[1]!survey_responses[[#This Row],[Tôi tin tưởng số tiền thuế tôi đóng sẽ được Nhà nước sử dụng hiệu quả để cải thiện dịch vụ công (y tế, đường xá...). - HUMAN-TRU3]]</f>
        <v>5</v>
      </c>
      <c r="AF149">
        <f t="shared" si="71"/>
        <v>0.44444444444444442</v>
      </c>
      <c r="AG149">
        <f>step3_validation[[#This Row],[AI_TRU4]]</f>
        <v>7</v>
      </c>
      <c r="AH149">
        <f t="shared" si="72"/>
        <v>0.66666666666666663</v>
      </c>
      <c r="AI149">
        <f>[1]!survey_responses[[#This Row],[Tôi thấy Nhà nước đã giải thích rõ ràng, minh bạch về lý do và mục tiêu của việc sửa đổi thuế lần này. - HUMAN-TRU4]]</f>
        <v>6</v>
      </c>
      <c r="AJ149">
        <f t="shared" si="73"/>
        <v>0.55555555555555558</v>
      </c>
      <c r="AK149" s="32">
        <f t="shared" si="74"/>
        <v>0.58333333333333337</v>
      </c>
      <c r="AL149" s="32">
        <f t="shared" si="75"/>
        <v>0.52777777777777779</v>
      </c>
      <c r="AM149" s="7">
        <f t="shared" si="76"/>
        <v>0.71296296296296291</v>
      </c>
      <c r="AN149" s="7">
        <f t="shared" si="77"/>
        <v>0.54629629629629628</v>
      </c>
      <c r="AO149">
        <f>step3_validation[[#This Row],[AI_OUT1]]</f>
        <v>6</v>
      </c>
      <c r="AP149">
        <f t="shared" si="78"/>
        <v>0.55555555555555558</v>
      </c>
      <c r="AQ149">
        <f>[1]!survey_responses[[#This Row],[Sau khi xem xét các quyền lợi và nghĩa vụ, bạn có ủng hộ và tuân thủ chính sách mới hiện nay? - HUMAN-OUT1]]</f>
        <v>7</v>
      </c>
      <c r="AR149">
        <f t="shared" si="79"/>
        <v>0.66666666666666663</v>
      </c>
      <c r="AS149" s="32">
        <f t="shared" si="80"/>
        <v>1</v>
      </c>
    </row>
    <row r="150" spans="1:45" x14ac:dyDescent="0.45">
      <c r="A150">
        <f>step3_validation[[#This Row],[AI_ENF1]]</f>
        <v>7</v>
      </c>
      <c r="B150">
        <f t="shared" si="54"/>
        <v>0.66666666666666663</v>
      </c>
      <c r="C150">
        <f>[1]!survey_responses[[#This Row],[Tôi tin rằng với các quy định quản lý thuế hiện nay, hành vi gian lận hoặc trốn thuế sẽ dễ dàng bị phát hiện và xử lý nghiêm. - HUMAN-ENF1]]</f>
        <v>10</v>
      </c>
      <c r="D150">
        <f t="shared" si="55"/>
        <v>1</v>
      </c>
      <c r="E150">
        <f>step3_validation[[#This Row],[AI_ENF2]]</f>
        <v>8</v>
      </c>
      <c r="F150">
        <f t="shared" si="56"/>
        <v>0.77777777777777779</v>
      </c>
      <c r="G150">
        <f>[1]!survey_responses[[#This Row],[Tôi tin rằng Nhà nước, cơ quan thuế có đủ khả năng và công nghệ để phát hiện, xử lý nghiêm các hành vi trốn thuế. - HUMAN-ENF2]]</f>
        <v>10</v>
      </c>
      <c r="H150">
        <f t="shared" si="57"/>
        <v>1</v>
      </c>
      <c r="I150" s="32">
        <f t="shared" si="58"/>
        <v>0.72222222222222221</v>
      </c>
      <c r="J150" s="32">
        <f t="shared" si="59"/>
        <v>1</v>
      </c>
      <c r="K150">
        <f>step3_validation[[#This Row],[AI_FAC1]]</f>
        <v>6</v>
      </c>
      <c r="L150">
        <f t="shared" si="60"/>
        <v>0.55555555555555558</v>
      </c>
      <c r="M150">
        <f>[1]!survey_responses[[#This Row],[Các thủ tục khai báo thuế VÀ/HOẶC quy trình làm việc với cơ quan thuế đơn giản, tiện lợi, nhanh chóng hơn so với trước đây. - HUMAN-FAC1]]</f>
        <v>7</v>
      </c>
      <c r="N150">
        <f t="shared" si="61"/>
        <v>0.66666666666666663</v>
      </c>
      <c r="O150">
        <f>step3_validation[[#This Row],[AI_FAC2]]</f>
        <v>9</v>
      </c>
      <c r="P150">
        <f t="shared" si="62"/>
        <v>0.88888888888888884</v>
      </c>
      <c r="Q150">
        <f>[1]!survey_responses[[#This Row],[So với trước đây, tôi thấy cách tính thuế và các bậc thuế trong phương án mới đơn giản, dễ hiểu và dễ thực hiện hơn. - HUMAN-FAC2]]</f>
        <v>8</v>
      </c>
      <c r="R150">
        <f t="shared" si="63"/>
        <v>0.77777777777777779</v>
      </c>
      <c r="S150" s="32">
        <f t="shared" si="64"/>
        <v>0.72222222222222221</v>
      </c>
      <c r="T150" s="32">
        <f t="shared" si="65"/>
        <v>0.72222222222222221</v>
      </c>
      <c r="U150">
        <f>step3_validation[[#This Row],[AI_TRU1]]</f>
        <v>5</v>
      </c>
      <c r="V150">
        <f t="shared" si="66"/>
        <v>0.44444444444444442</v>
      </c>
      <c r="W150">
        <f>[1]!survey_responses[[#This Row],[Tôi tin rằng Nhà nước, cơ quan thuế sẽ thực thi chính sách mới một cách khách quan, công tâm và đối xử bình đẳng với mọi người nộp thuế.  - HUMAN-TRU1]]</f>
        <v>8</v>
      </c>
      <c r="X150">
        <f t="shared" si="67"/>
        <v>0.77777777777777779</v>
      </c>
      <c r="Y150">
        <f>step3_validation[[#This Row],[AI_TRU2]]</f>
        <v>7</v>
      </c>
      <c r="Z150">
        <f t="shared" si="68"/>
        <v>0.66666666666666663</v>
      </c>
      <c r="AA150">
        <f>[1]!survey_responses[[#This Row],[Tôi thấy mức thuế tôi phải đóng theo phương án mới là công bằng (người thu nhập như tôi đóng mức này là hợp lý). - HUMAN-TRU2]]</f>
        <v>4</v>
      </c>
      <c r="AB150">
        <f t="shared" si="69"/>
        <v>0.33333333333333331</v>
      </c>
      <c r="AC150">
        <f>step3_validation[[#This Row],[AI_TRU3]]</f>
        <v>5</v>
      </c>
      <c r="AD150">
        <f t="shared" si="70"/>
        <v>0.44444444444444442</v>
      </c>
      <c r="AE150">
        <f>[1]!survey_responses[[#This Row],[Tôi tin tưởng số tiền thuế tôi đóng sẽ được Nhà nước sử dụng hiệu quả để cải thiện dịch vụ công (y tế, đường xá...). - HUMAN-TRU3]]</f>
        <v>1</v>
      </c>
      <c r="AF150">
        <f t="shared" si="71"/>
        <v>0</v>
      </c>
      <c r="AG150">
        <f>step3_validation[[#This Row],[AI_TRU4]]</f>
        <v>6</v>
      </c>
      <c r="AH150">
        <f t="shared" si="72"/>
        <v>0.55555555555555558</v>
      </c>
      <c r="AI150">
        <f>[1]!survey_responses[[#This Row],[Tôi thấy Nhà nước đã giải thích rõ ràng, minh bạch về lý do và mục tiêu của việc sửa đổi thuế lần này. - HUMAN-TRU4]]</f>
        <v>3</v>
      </c>
      <c r="AJ150">
        <f t="shared" si="73"/>
        <v>0.22222222222222221</v>
      </c>
      <c r="AK150" s="32">
        <f t="shared" si="74"/>
        <v>0.52777777777777779</v>
      </c>
      <c r="AL150" s="32">
        <f t="shared" si="75"/>
        <v>0.33333333333333337</v>
      </c>
      <c r="AM150" s="7">
        <f t="shared" si="76"/>
        <v>0.65740740740740744</v>
      </c>
      <c r="AN150" s="7">
        <f t="shared" si="77"/>
        <v>0.68518518518518523</v>
      </c>
      <c r="AO150">
        <f>step3_validation[[#This Row],[AI_OUT1]]</f>
        <v>6</v>
      </c>
      <c r="AP150">
        <f t="shared" si="78"/>
        <v>0.55555555555555558</v>
      </c>
      <c r="AQ150">
        <f>[1]!survey_responses[[#This Row],[Sau khi xem xét các quyền lợi và nghĩa vụ, bạn có ủng hộ và tuân thủ chính sách mới hiện nay? - HUMAN-OUT1]]</f>
        <v>6</v>
      </c>
      <c r="AR150">
        <f t="shared" si="79"/>
        <v>0.55555555555555558</v>
      </c>
      <c r="AS150" s="32">
        <f t="shared" si="80"/>
        <v>0</v>
      </c>
    </row>
    <row r="151" spans="1:45" x14ac:dyDescent="0.45">
      <c r="A151">
        <f>step3_validation[[#This Row],[AI_ENF1]]</f>
        <v>7</v>
      </c>
      <c r="B151">
        <f t="shared" si="54"/>
        <v>0.66666666666666663</v>
      </c>
      <c r="C151">
        <f>[1]!survey_responses[[#This Row],[Tôi tin rằng với các quy định quản lý thuế hiện nay, hành vi gian lận hoặc trốn thuế sẽ dễ dàng bị phát hiện và xử lý nghiêm. - HUMAN-ENF1]]</f>
        <v>7</v>
      </c>
      <c r="D151">
        <f t="shared" si="55"/>
        <v>0.66666666666666663</v>
      </c>
      <c r="E151">
        <f>step3_validation[[#This Row],[AI_ENF2]]</f>
        <v>6</v>
      </c>
      <c r="F151">
        <f t="shared" si="56"/>
        <v>0.55555555555555558</v>
      </c>
      <c r="G151">
        <f>[1]!survey_responses[[#This Row],[Tôi tin rằng Nhà nước, cơ quan thuế có đủ khả năng và công nghệ để phát hiện, xử lý nghiêm các hành vi trốn thuế. - HUMAN-ENF2]]</f>
        <v>10</v>
      </c>
      <c r="H151">
        <f t="shared" si="57"/>
        <v>1</v>
      </c>
      <c r="I151" s="32">
        <f t="shared" si="58"/>
        <v>0.61111111111111116</v>
      </c>
      <c r="J151" s="32">
        <f t="shared" si="59"/>
        <v>0.83333333333333326</v>
      </c>
      <c r="K151">
        <f>step3_validation[[#This Row],[AI_FAC1]]</f>
        <v>9</v>
      </c>
      <c r="L151">
        <f t="shared" si="60"/>
        <v>0.88888888888888884</v>
      </c>
      <c r="M151">
        <f>[1]!survey_responses[[#This Row],[Các thủ tục khai báo thuế VÀ/HOẶC quy trình làm việc với cơ quan thuế đơn giản, tiện lợi, nhanh chóng hơn so với trước đây. - HUMAN-FAC1]]</f>
        <v>5</v>
      </c>
      <c r="N151">
        <f t="shared" si="61"/>
        <v>0.44444444444444442</v>
      </c>
      <c r="O151">
        <f>step3_validation[[#This Row],[AI_FAC2]]</f>
        <v>8</v>
      </c>
      <c r="P151">
        <f t="shared" si="62"/>
        <v>0.77777777777777779</v>
      </c>
      <c r="Q151">
        <f>[1]!survey_responses[[#This Row],[So với trước đây, tôi thấy cách tính thuế và các bậc thuế trong phương án mới đơn giản, dễ hiểu và dễ thực hiện hơn. - HUMAN-FAC2]]</f>
        <v>7</v>
      </c>
      <c r="R151">
        <f t="shared" si="63"/>
        <v>0.66666666666666663</v>
      </c>
      <c r="S151" s="32">
        <f t="shared" si="64"/>
        <v>0.83333333333333326</v>
      </c>
      <c r="T151" s="32">
        <f t="shared" si="65"/>
        <v>0.55555555555555558</v>
      </c>
      <c r="U151">
        <f>step3_validation[[#This Row],[AI_TRU1]]</f>
        <v>5</v>
      </c>
      <c r="V151">
        <f t="shared" si="66"/>
        <v>0.44444444444444442</v>
      </c>
      <c r="W151">
        <f>[1]!survey_responses[[#This Row],[Tôi tin rằng Nhà nước, cơ quan thuế sẽ thực thi chính sách mới một cách khách quan, công tâm và đối xử bình đẳng với mọi người nộp thuế.  - HUMAN-TRU1]]</f>
        <v>7</v>
      </c>
      <c r="X151">
        <f t="shared" si="67"/>
        <v>0.66666666666666663</v>
      </c>
      <c r="Y151">
        <f>step3_validation[[#This Row],[AI_TRU2]]</f>
        <v>6</v>
      </c>
      <c r="Z151">
        <f t="shared" si="68"/>
        <v>0.55555555555555558</v>
      </c>
      <c r="AA151">
        <f>[1]!survey_responses[[#This Row],[Tôi thấy mức thuế tôi phải đóng theo phương án mới là công bằng (người thu nhập như tôi đóng mức này là hợp lý). - HUMAN-TRU2]]</f>
        <v>7</v>
      </c>
      <c r="AB151">
        <f t="shared" si="69"/>
        <v>0.66666666666666663</v>
      </c>
      <c r="AC151">
        <f>step3_validation[[#This Row],[AI_TRU3]]</f>
        <v>4</v>
      </c>
      <c r="AD151">
        <f t="shared" si="70"/>
        <v>0.33333333333333331</v>
      </c>
      <c r="AE151">
        <f>[1]!survey_responses[[#This Row],[Tôi tin tưởng số tiền thuế tôi đóng sẽ được Nhà nước sử dụng hiệu quả để cải thiện dịch vụ công (y tế, đường xá...). - HUMAN-TRU3]]</f>
        <v>7</v>
      </c>
      <c r="AF151">
        <f t="shared" si="71"/>
        <v>0.66666666666666663</v>
      </c>
      <c r="AG151">
        <f>step3_validation[[#This Row],[AI_TRU4]]</f>
        <v>5</v>
      </c>
      <c r="AH151">
        <f t="shared" si="72"/>
        <v>0.44444444444444442</v>
      </c>
      <c r="AI151">
        <f>[1]!survey_responses[[#This Row],[Tôi thấy Nhà nước đã giải thích rõ ràng, minh bạch về lý do và mục tiêu của việc sửa đổi thuế lần này. - HUMAN-TRU4]]</f>
        <v>7</v>
      </c>
      <c r="AJ151">
        <f t="shared" si="73"/>
        <v>0.66666666666666663</v>
      </c>
      <c r="AK151" s="32">
        <f t="shared" si="74"/>
        <v>0.44444444444444442</v>
      </c>
      <c r="AL151" s="32">
        <f t="shared" si="75"/>
        <v>0.66666666666666663</v>
      </c>
      <c r="AM151" s="7">
        <f t="shared" si="76"/>
        <v>0.62962962962962965</v>
      </c>
      <c r="AN151" s="7">
        <f t="shared" si="77"/>
        <v>0.68518518518518512</v>
      </c>
      <c r="AO151">
        <f>step3_validation[[#This Row],[AI_OUT1]]</f>
        <v>8</v>
      </c>
      <c r="AP151">
        <f t="shared" si="78"/>
        <v>0.77777777777777779</v>
      </c>
      <c r="AQ151">
        <f>[1]!survey_responses[[#This Row],[Sau khi xem xét các quyền lợi và nghĩa vụ, bạn có ủng hộ và tuân thủ chính sách mới hiện nay? - HUMAN-OUT1]]</f>
        <v>10</v>
      </c>
      <c r="AR151">
        <f t="shared" si="79"/>
        <v>1</v>
      </c>
      <c r="AS151" s="32">
        <f t="shared" si="80"/>
        <v>2</v>
      </c>
    </row>
    <row r="152" spans="1:45" x14ac:dyDescent="0.45">
      <c r="A152">
        <f>step3_validation[[#This Row],[AI_ENF1]]</f>
        <v>7</v>
      </c>
      <c r="B152">
        <f t="shared" si="54"/>
        <v>0.66666666666666663</v>
      </c>
      <c r="C152">
        <f>[1]!survey_responses[[#This Row],[Tôi tin rằng với các quy định quản lý thuế hiện nay, hành vi gian lận hoặc trốn thuế sẽ dễ dàng bị phát hiện và xử lý nghiêm. - HUMAN-ENF1]]</f>
        <v>8</v>
      </c>
      <c r="D152">
        <f t="shared" si="55"/>
        <v>0.77777777777777779</v>
      </c>
      <c r="E152">
        <f>step3_validation[[#This Row],[AI_ENF2]]</f>
        <v>6</v>
      </c>
      <c r="F152">
        <f t="shared" si="56"/>
        <v>0.55555555555555558</v>
      </c>
      <c r="G152">
        <f>[1]!survey_responses[[#This Row],[Tôi tin rằng Nhà nước, cơ quan thuế có đủ khả năng và công nghệ để phát hiện, xử lý nghiêm các hành vi trốn thuế. - HUMAN-ENF2]]</f>
        <v>8</v>
      </c>
      <c r="H152">
        <f t="shared" si="57"/>
        <v>0.77777777777777779</v>
      </c>
      <c r="I152" s="32">
        <f t="shared" si="58"/>
        <v>0.61111111111111116</v>
      </c>
      <c r="J152" s="32">
        <f t="shared" si="59"/>
        <v>0.77777777777777779</v>
      </c>
      <c r="K152">
        <f>step3_validation[[#This Row],[AI_FAC1]]</f>
        <v>8</v>
      </c>
      <c r="L152">
        <f t="shared" si="60"/>
        <v>0.77777777777777779</v>
      </c>
      <c r="M152">
        <f>[1]!survey_responses[[#This Row],[Các thủ tục khai báo thuế VÀ/HOẶC quy trình làm việc với cơ quan thuế đơn giản, tiện lợi, nhanh chóng hơn so với trước đây. - HUMAN-FAC1]]</f>
        <v>8</v>
      </c>
      <c r="N152">
        <f t="shared" si="61"/>
        <v>0.77777777777777779</v>
      </c>
      <c r="O152">
        <f>step3_validation[[#This Row],[AI_FAC2]]</f>
        <v>9</v>
      </c>
      <c r="P152">
        <f t="shared" si="62"/>
        <v>0.88888888888888884</v>
      </c>
      <c r="Q152">
        <f>[1]!survey_responses[[#This Row],[So với trước đây, tôi thấy cách tính thuế và các bậc thuế trong phương án mới đơn giản, dễ hiểu và dễ thực hiện hơn. - HUMAN-FAC2]]</f>
        <v>8</v>
      </c>
      <c r="R152">
        <f t="shared" si="63"/>
        <v>0.77777777777777779</v>
      </c>
      <c r="S152" s="32">
        <f t="shared" si="64"/>
        <v>0.83333333333333326</v>
      </c>
      <c r="T152" s="32">
        <f t="shared" si="65"/>
        <v>0.77777777777777779</v>
      </c>
      <c r="U152">
        <f>step3_validation[[#This Row],[AI_TRU1]]</f>
        <v>7</v>
      </c>
      <c r="V152">
        <f t="shared" si="66"/>
        <v>0.66666666666666663</v>
      </c>
      <c r="W152">
        <f>[1]!survey_responses[[#This Row],[Tôi tin rằng Nhà nước, cơ quan thuế sẽ thực thi chính sách mới một cách khách quan, công tâm và đối xử bình đẳng với mọi người nộp thuế.  - HUMAN-TRU1]]</f>
        <v>8</v>
      </c>
      <c r="X152">
        <f t="shared" si="67"/>
        <v>0.77777777777777779</v>
      </c>
      <c r="Y152">
        <f>step3_validation[[#This Row],[AI_TRU2]]</f>
        <v>8</v>
      </c>
      <c r="Z152">
        <f t="shared" si="68"/>
        <v>0.77777777777777779</v>
      </c>
      <c r="AA152">
        <f>[1]!survey_responses[[#This Row],[Tôi thấy mức thuế tôi phải đóng theo phương án mới là công bằng (người thu nhập như tôi đóng mức này là hợp lý). - HUMAN-TRU2]]</f>
        <v>8</v>
      </c>
      <c r="AB152">
        <f t="shared" si="69"/>
        <v>0.77777777777777779</v>
      </c>
      <c r="AC152">
        <f>step3_validation[[#This Row],[AI_TRU3]]</f>
        <v>7</v>
      </c>
      <c r="AD152">
        <f t="shared" si="70"/>
        <v>0.66666666666666663</v>
      </c>
      <c r="AE152">
        <f>[1]!survey_responses[[#This Row],[Tôi tin tưởng số tiền thuế tôi đóng sẽ được Nhà nước sử dụng hiệu quả để cải thiện dịch vụ công (y tế, đường xá...). - HUMAN-TRU3]]</f>
        <v>8</v>
      </c>
      <c r="AF152">
        <f t="shared" si="71"/>
        <v>0.77777777777777779</v>
      </c>
      <c r="AG152">
        <f>step3_validation[[#This Row],[AI_TRU4]]</f>
        <v>6</v>
      </c>
      <c r="AH152">
        <f t="shared" si="72"/>
        <v>0.55555555555555558</v>
      </c>
      <c r="AI152">
        <f>[1]!survey_responses[[#This Row],[Tôi thấy Nhà nước đã giải thích rõ ràng, minh bạch về lý do và mục tiêu của việc sửa đổi thuế lần này. - HUMAN-TRU4]]</f>
        <v>8</v>
      </c>
      <c r="AJ152">
        <f t="shared" si="73"/>
        <v>0.77777777777777779</v>
      </c>
      <c r="AK152" s="32">
        <f t="shared" si="74"/>
        <v>0.66666666666666674</v>
      </c>
      <c r="AL152" s="32">
        <f t="shared" si="75"/>
        <v>0.77777777777777779</v>
      </c>
      <c r="AM152" s="7">
        <f t="shared" si="76"/>
        <v>0.70370370370370372</v>
      </c>
      <c r="AN152" s="7">
        <f t="shared" si="77"/>
        <v>0.77777777777777779</v>
      </c>
      <c r="AO152">
        <f>step3_validation[[#This Row],[AI_OUT1]]</f>
        <v>7</v>
      </c>
      <c r="AP152">
        <f t="shared" si="78"/>
        <v>0.66666666666666663</v>
      </c>
      <c r="AQ152">
        <f>[1]!survey_responses[[#This Row],[Sau khi xem xét các quyền lợi và nghĩa vụ, bạn có ủng hộ và tuân thủ chính sách mới hiện nay? - HUMAN-OUT1]]</f>
        <v>8</v>
      </c>
      <c r="AR152">
        <f t="shared" si="79"/>
        <v>0.77777777777777779</v>
      </c>
      <c r="AS152" s="32">
        <f t="shared" si="80"/>
        <v>1</v>
      </c>
    </row>
    <row r="153" spans="1:45" x14ac:dyDescent="0.45">
      <c r="A153">
        <f>step3_validation[[#This Row],[AI_ENF1]]</f>
        <v>9</v>
      </c>
      <c r="B153">
        <f t="shared" si="54"/>
        <v>0.88888888888888884</v>
      </c>
      <c r="C153">
        <f>[1]!survey_responses[[#This Row],[Tôi tin rằng với các quy định quản lý thuế hiện nay, hành vi gian lận hoặc trốn thuế sẽ dễ dàng bị phát hiện và xử lý nghiêm. - HUMAN-ENF1]]</f>
        <v>10</v>
      </c>
      <c r="D153">
        <f t="shared" si="55"/>
        <v>1</v>
      </c>
      <c r="E153">
        <f>step3_validation[[#This Row],[AI_ENF2]]</f>
        <v>8</v>
      </c>
      <c r="F153">
        <f t="shared" si="56"/>
        <v>0.77777777777777779</v>
      </c>
      <c r="G153">
        <f>[1]!survey_responses[[#This Row],[Tôi tin rằng Nhà nước, cơ quan thuế có đủ khả năng và công nghệ để phát hiện, xử lý nghiêm các hành vi trốn thuế. - HUMAN-ENF2]]</f>
        <v>10</v>
      </c>
      <c r="H153">
        <f t="shared" si="57"/>
        <v>1</v>
      </c>
      <c r="I153" s="32">
        <f t="shared" si="58"/>
        <v>0.83333333333333326</v>
      </c>
      <c r="J153" s="32">
        <f t="shared" si="59"/>
        <v>1</v>
      </c>
      <c r="K153">
        <f>step3_validation[[#This Row],[AI_FAC1]]</f>
        <v>8</v>
      </c>
      <c r="L153">
        <f t="shared" si="60"/>
        <v>0.77777777777777779</v>
      </c>
      <c r="M153">
        <f>[1]!survey_responses[[#This Row],[Các thủ tục khai báo thuế VÀ/HOẶC quy trình làm việc với cơ quan thuế đơn giản, tiện lợi, nhanh chóng hơn so với trước đây. - HUMAN-FAC1]]</f>
        <v>10</v>
      </c>
      <c r="N153">
        <f t="shared" si="61"/>
        <v>1</v>
      </c>
      <c r="O153">
        <f>step3_validation[[#This Row],[AI_FAC2]]</f>
        <v>7</v>
      </c>
      <c r="P153">
        <f t="shared" si="62"/>
        <v>0.66666666666666663</v>
      </c>
      <c r="Q153">
        <f>[1]!survey_responses[[#This Row],[So với trước đây, tôi thấy cách tính thuế và các bậc thuế trong phương án mới đơn giản, dễ hiểu và dễ thực hiện hơn. - HUMAN-FAC2]]</f>
        <v>10</v>
      </c>
      <c r="R153">
        <f t="shared" si="63"/>
        <v>1</v>
      </c>
      <c r="S153" s="32">
        <f t="shared" si="64"/>
        <v>0.72222222222222221</v>
      </c>
      <c r="T153" s="32">
        <f t="shared" si="65"/>
        <v>1</v>
      </c>
      <c r="U153">
        <f>step3_validation[[#This Row],[AI_TRU1]]</f>
        <v>8</v>
      </c>
      <c r="V153">
        <f t="shared" si="66"/>
        <v>0.77777777777777779</v>
      </c>
      <c r="W153">
        <f>[1]!survey_responses[[#This Row],[Tôi tin rằng Nhà nước, cơ quan thuế sẽ thực thi chính sách mới một cách khách quan, công tâm và đối xử bình đẳng với mọi người nộp thuế.  - HUMAN-TRU1]]</f>
        <v>10</v>
      </c>
      <c r="X153">
        <f t="shared" si="67"/>
        <v>1</v>
      </c>
      <c r="Y153">
        <f>step3_validation[[#This Row],[AI_TRU2]]</f>
        <v>7</v>
      </c>
      <c r="Z153">
        <f t="shared" si="68"/>
        <v>0.66666666666666663</v>
      </c>
      <c r="AA153">
        <f>[1]!survey_responses[[#This Row],[Tôi thấy mức thuế tôi phải đóng theo phương án mới là công bằng (người thu nhập như tôi đóng mức này là hợp lý). - HUMAN-TRU2]]</f>
        <v>10</v>
      </c>
      <c r="AB153">
        <f t="shared" si="69"/>
        <v>1</v>
      </c>
      <c r="AC153">
        <f>step3_validation[[#This Row],[AI_TRU3]]</f>
        <v>8</v>
      </c>
      <c r="AD153">
        <f t="shared" si="70"/>
        <v>0.77777777777777779</v>
      </c>
      <c r="AE153">
        <f>[1]!survey_responses[[#This Row],[Tôi tin tưởng số tiền thuế tôi đóng sẽ được Nhà nước sử dụng hiệu quả để cải thiện dịch vụ công (y tế, đường xá...). - HUMAN-TRU3]]</f>
        <v>10</v>
      </c>
      <c r="AF153">
        <f t="shared" si="71"/>
        <v>1</v>
      </c>
      <c r="AG153">
        <f>step3_validation[[#This Row],[AI_TRU4]]</f>
        <v>6</v>
      </c>
      <c r="AH153">
        <f t="shared" si="72"/>
        <v>0.55555555555555558</v>
      </c>
      <c r="AI153">
        <f>[1]!survey_responses[[#This Row],[Tôi thấy Nhà nước đã giải thích rõ ràng, minh bạch về lý do và mục tiêu của việc sửa đổi thuế lần này. - HUMAN-TRU4]]</f>
        <v>10</v>
      </c>
      <c r="AJ153">
        <f t="shared" si="73"/>
        <v>1</v>
      </c>
      <c r="AK153" s="32">
        <f t="shared" si="74"/>
        <v>0.69444444444444442</v>
      </c>
      <c r="AL153" s="32">
        <f t="shared" si="75"/>
        <v>1</v>
      </c>
      <c r="AM153" s="7">
        <f t="shared" si="76"/>
        <v>0.75</v>
      </c>
      <c r="AN153" s="7">
        <f t="shared" si="77"/>
        <v>1</v>
      </c>
      <c r="AO153">
        <f>step3_validation[[#This Row],[AI_OUT1]]</f>
        <v>8</v>
      </c>
      <c r="AP153">
        <f t="shared" si="78"/>
        <v>0.77777777777777779</v>
      </c>
      <c r="AQ153">
        <f>[1]!survey_responses[[#This Row],[Sau khi xem xét các quyền lợi và nghĩa vụ, bạn có ủng hộ và tuân thủ chính sách mới hiện nay? - HUMAN-OUT1]]</f>
        <v>10</v>
      </c>
      <c r="AR153">
        <f t="shared" si="79"/>
        <v>1</v>
      </c>
      <c r="AS153" s="32">
        <f t="shared" si="80"/>
        <v>2</v>
      </c>
    </row>
    <row r="154" spans="1:45" x14ac:dyDescent="0.45">
      <c r="A154">
        <f>step3_validation[[#This Row],[AI_ENF1]]</f>
        <v>7</v>
      </c>
      <c r="B154">
        <f t="shared" si="54"/>
        <v>0.66666666666666663</v>
      </c>
      <c r="C154">
        <f>[1]!survey_responses[[#This Row],[Tôi tin rằng với các quy định quản lý thuế hiện nay, hành vi gian lận hoặc trốn thuế sẽ dễ dàng bị phát hiện và xử lý nghiêm. - HUMAN-ENF1]]</f>
        <v>7</v>
      </c>
      <c r="D154">
        <f t="shared" si="55"/>
        <v>0.66666666666666663</v>
      </c>
      <c r="E154">
        <f>step3_validation[[#This Row],[AI_ENF2]]</f>
        <v>8</v>
      </c>
      <c r="F154">
        <f t="shared" si="56"/>
        <v>0.77777777777777779</v>
      </c>
      <c r="G154">
        <f>[1]!survey_responses[[#This Row],[Tôi tin rằng Nhà nước, cơ quan thuế có đủ khả năng và công nghệ để phát hiện, xử lý nghiêm các hành vi trốn thuế. - HUMAN-ENF2]]</f>
        <v>7</v>
      </c>
      <c r="H154">
        <f t="shared" si="57"/>
        <v>0.66666666666666663</v>
      </c>
      <c r="I154" s="32">
        <f t="shared" si="58"/>
        <v>0.72222222222222221</v>
      </c>
      <c r="J154" s="32">
        <f t="shared" si="59"/>
        <v>0.66666666666666663</v>
      </c>
      <c r="K154">
        <f>step3_validation[[#This Row],[AI_FAC1]]</f>
        <v>7</v>
      </c>
      <c r="L154">
        <f t="shared" si="60"/>
        <v>0.66666666666666663</v>
      </c>
      <c r="M154">
        <f>[1]!survey_responses[[#This Row],[Các thủ tục khai báo thuế VÀ/HOẶC quy trình làm việc với cơ quan thuế đơn giản, tiện lợi, nhanh chóng hơn so với trước đây. - HUMAN-FAC1]]</f>
        <v>5</v>
      </c>
      <c r="N154">
        <f t="shared" si="61"/>
        <v>0.44444444444444442</v>
      </c>
      <c r="O154">
        <f>step3_validation[[#This Row],[AI_FAC2]]</f>
        <v>8</v>
      </c>
      <c r="P154">
        <f t="shared" si="62"/>
        <v>0.77777777777777779</v>
      </c>
      <c r="Q154">
        <f>[1]!survey_responses[[#This Row],[So với trước đây, tôi thấy cách tính thuế và các bậc thuế trong phương án mới đơn giản, dễ hiểu và dễ thực hiện hơn. - HUMAN-FAC2]]</f>
        <v>7</v>
      </c>
      <c r="R154">
        <f t="shared" si="63"/>
        <v>0.66666666666666663</v>
      </c>
      <c r="S154" s="32">
        <f t="shared" si="64"/>
        <v>0.72222222222222221</v>
      </c>
      <c r="T154" s="32">
        <f t="shared" si="65"/>
        <v>0.55555555555555558</v>
      </c>
      <c r="U154">
        <f>step3_validation[[#This Row],[AI_TRU1]]</f>
        <v>7</v>
      </c>
      <c r="V154">
        <f t="shared" si="66"/>
        <v>0.66666666666666663</v>
      </c>
      <c r="W154">
        <f>[1]!survey_responses[[#This Row],[Tôi tin rằng Nhà nước, cơ quan thuế sẽ thực thi chính sách mới một cách khách quan, công tâm và đối xử bình đẳng với mọi người nộp thuế.  - HUMAN-TRU1]]</f>
        <v>7</v>
      </c>
      <c r="X154">
        <f t="shared" si="67"/>
        <v>0.66666666666666663</v>
      </c>
      <c r="Y154">
        <f>step3_validation[[#This Row],[AI_TRU2]]</f>
        <v>6</v>
      </c>
      <c r="Z154">
        <f t="shared" si="68"/>
        <v>0.55555555555555558</v>
      </c>
      <c r="AA154">
        <f>[1]!survey_responses[[#This Row],[Tôi thấy mức thuế tôi phải đóng theo phương án mới là công bằng (người thu nhập như tôi đóng mức này là hợp lý). - HUMAN-TRU2]]</f>
        <v>7</v>
      </c>
      <c r="AB154">
        <f t="shared" si="69"/>
        <v>0.66666666666666663</v>
      </c>
      <c r="AC154">
        <f>step3_validation[[#This Row],[AI_TRU3]]</f>
        <v>7</v>
      </c>
      <c r="AD154">
        <f t="shared" si="70"/>
        <v>0.66666666666666663</v>
      </c>
      <c r="AE154">
        <f>[1]!survey_responses[[#This Row],[Tôi tin tưởng số tiền thuế tôi đóng sẽ được Nhà nước sử dụng hiệu quả để cải thiện dịch vụ công (y tế, đường xá...). - HUMAN-TRU3]]</f>
        <v>7</v>
      </c>
      <c r="AF154">
        <f t="shared" si="71"/>
        <v>0.66666666666666663</v>
      </c>
      <c r="AG154">
        <f>step3_validation[[#This Row],[AI_TRU4]]</f>
        <v>6</v>
      </c>
      <c r="AH154">
        <f t="shared" si="72"/>
        <v>0.55555555555555558</v>
      </c>
      <c r="AI154">
        <f>[1]!survey_responses[[#This Row],[Tôi thấy Nhà nước đã giải thích rõ ràng, minh bạch về lý do và mục tiêu của việc sửa đổi thuế lần này. - HUMAN-TRU4]]</f>
        <v>7</v>
      </c>
      <c r="AJ154">
        <f t="shared" si="73"/>
        <v>0.66666666666666663</v>
      </c>
      <c r="AK154" s="32">
        <f t="shared" si="74"/>
        <v>0.61111111111111116</v>
      </c>
      <c r="AL154" s="32">
        <f t="shared" si="75"/>
        <v>0.66666666666666663</v>
      </c>
      <c r="AM154" s="7">
        <f t="shared" si="76"/>
        <v>0.68518518518518512</v>
      </c>
      <c r="AN154" s="7">
        <f t="shared" si="77"/>
        <v>0.62962962962962965</v>
      </c>
      <c r="AO154">
        <f>step3_validation[[#This Row],[AI_OUT1]]</f>
        <v>7</v>
      </c>
      <c r="AP154">
        <f t="shared" si="78"/>
        <v>0.66666666666666663</v>
      </c>
      <c r="AQ154">
        <f>[1]!survey_responses[[#This Row],[Sau khi xem xét các quyền lợi và nghĩa vụ, bạn có ủng hộ và tuân thủ chính sách mới hiện nay? - HUMAN-OUT1]]</f>
        <v>7</v>
      </c>
      <c r="AR154">
        <f t="shared" si="79"/>
        <v>0.66666666666666663</v>
      </c>
      <c r="AS154" s="32">
        <f t="shared" si="80"/>
        <v>0</v>
      </c>
    </row>
    <row r="155" spans="1:45" x14ac:dyDescent="0.45">
      <c r="A155">
        <f>step3_validation[[#This Row],[AI_ENF1]]</f>
        <v>6</v>
      </c>
      <c r="B155">
        <f t="shared" si="54"/>
        <v>0.55555555555555558</v>
      </c>
      <c r="C155">
        <f>[1]!survey_responses[[#This Row],[Tôi tin rằng với các quy định quản lý thuế hiện nay, hành vi gian lận hoặc trốn thuế sẽ dễ dàng bị phát hiện và xử lý nghiêm. - HUMAN-ENF1]]</f>
        <v>7</v>
      </c>
      <c r="D155">
        <f t="shared" si="55"/>
        <v>0.66666666666666663</v>
      </c>
      <c r="E155">
        <f>step3_validation[[#This Row],[AI_ENF2]]</f>
        <v>7</v>
      </c>
      <c r="F155">
        <f t="shared" si="56"/>
        <v>0.66666666666666663</v>
      </c>
      <c r="G155">
        <f>[1]!survey_responses[[#This Row],[Tôi tin rằng Nhà nước, cơ quan thuế có đủ khả năng và công nghệ để phát hiện, xử lý nghiêm các hành vi trốn thuế. - HUMAN-ENF2]]</f>
        <v>8</v>
      </c>
      <c r="H155">
        <f t="shared" si="57"/>
        <v>0.77777777777777779</v>
      </c>
      <c r="I155" s="32">
        <f t="shared" si="58"/>
        <v>0.61111111111111116</v>
      </c>
      <c r="J155" s="32">
        <f t="shared" si="59"/>
        <v>0.72222222222222221</v>
      </c>
      <c r="K155">
        <f>step3_validation[[#This Row],[AI_FAC1]]</f>
        <v>9</v>
      </c>
      <c r="L155">
        <f t="shared" si="60"/>
        <v>0.88888888888888884</v>
      </c>
      <c r="M155">
        <f>[1]!survey_responses[[#This Row],[Các thủ tục khai báo thuế VÀ/HOẶC quy trình làm việc với cơ quan thuế đơn giản, tiện lợi, nhanh chóng hơn so với trước đây. - HUMAN-FAC1]]</f>
        <v>8</v>
      </c>
      <c r="N155">
        <f t="shared" si="61"/>
        <v>0.77777777777777779</v>
      </c>
      <c r="O155">
        <f>step3_validation[[#This Row],[AI_FAC2]]</f>
        <v>8</v>
      </c>
      <c r="P155">
        <f t="shared" si="62"/>
        <v>0.77777777777777779</v>
      </c>
      <c r="Q155">
        <f>[1]!survey_responses[[#This Row],[So với trước đây, tôi thấy cách tính thuế và các bậc thuế trong phương án mới đơn giản, dễ hiểu và dễ thực hiện hơn. - HUMAN-FAC2]]</f>
        <v>8</v>
      </c>
      <c r="R155">
        <f t="shared" si="63"/>
        <v>0.77777777777777779</v>
      </c>
      <c r="S155" s="32">
        <f t="shared" si="64"/>
        <v>0.83333333333333326</v>
      </c>
      <c r="T155" s="32">
        <f t="shared" si="65"/>
        <v>0.77777777777777779</v>
      </c>
      <c r="U155">
        <f>step3_validation[[#This Row],[AI_TRU1]]</f>
        <v>6</v>
      </c>
      <c r="V155">
        <f t="shared" si="66"/>
        <v>0.55555555555555558</v>
      </c>
      <c r="W155">
        <f>[1]!survey_responses[[#This Row],[Tôi tin rằng Nhà nước, cơ quan thuế sẽ thực thi chính sách mới một cách khách quan, công tâm và đối xử bình đẳng với mọi người nộp thuế.  - HUMAN-TRU1]]</f>
        <v>6</v>
      </c>
      <c r="X155">
        <f t="shared" si="67"/>
        <v>0.55555555555555558</v>
      </c>
      <c r="Y155">
        <f>step3_validation[[#This Row],[AI_TRU2]]</f>
        <v>7</v>
      </c>
      <c r="Z155">
        <f t="shared" si="68"/>
        <v>0.66666666666666663</v>
      </c>
      <c r="AA155">
        <f>[1]!survey_responses[[#This Row],[Tôi thấy mức thuế tôi phải đóng theo phương án mới là công bằng (người thu nhập như tôi đóng mức này là hợp lý). - HUMAN-TRU2]]</f>
        <v>8</v>
      </c>
      <c r="AB155">
        <f t="shared" si="69"/>
        <v>0.77777777777777779</v>
      </c>
      <c r="AC155">
        <f>step3_validation[[#This Row],[AI_TRU3]]</f>
        <v>6</v>
      </c>
      <c r="AD155">
        <f t="shared" si="70"/>
        <v>0.55555555555555558</v>
      </c>
      <c r="AE155">
        <f>[1]!survey_responses[[#This Row],[Tôi tin tưởng số tiền thuế tôi đóng sẽ được Nhà nước sử dụng hiệu quả để cải thiện dịch vụ công (y tế, đường xá...). - HUMAN-TRU3]]</f>
        <v>5</v>
      </c>
      <c r="AF155">
        <f t="shared" si="71"/>
        <v>0.44444444444444442</v>
      </c>
      <c r="AG155">
        <f>step3_validation[[#This Row],[AI_TRU4]]</f>
        <v>5</v>
      </c>
      <c r="AH155">
        <f t="shared" si="72"/>
        <v>0.44444444444444442</v>
      </c>
      <c r="AI155">
        <f>[1]!survey_responses[[#This Row],[Tôi thấy Nhà nước đã giải thích rõ ràng, minh bạch về lý do và mục tiêu của việc sửa đổi thuế lần này. - HUMAN-TRU4]]</f>
        <v>8</v>
      </c>
      <c r="AJ155">
        <f t="shared" si="73"/>
        <v>0.77777777777777779</v>
      </c>
      <c r="AK155" s="32">
        <f t="shared" si="74"/>
        <v>0.55555555555555558</v>
      </c>
      <c r="AL155" s="32">
        <f t="shared" si="75"/>
        <v>0.63888888888888895</v>
      </c>
      <c r="AM155" s="7">
        <f t="shared" si="76"/>
        <v>0.66666666666666663</v>
      </c>
      <c r="AN155" s="7">
        <f t="shared" si="77"/>
        <v>0.71296296296296291</v>
      </c>
      <c r="AO155">
        <f>step3_validation[[#This Row],[AI_OUT1]]</f>
        <v>7</v>
      </c>
      <c r="AP155">
        <f t="shared" si="78"/>
        <v>0.66666666666666663</v>
      </c>
      <c r="AQ155">
        <f>[1]!survey_responses[[#This Row],[Sau khi xem xét các quyền lợi và nghĩa vụ, bạn có ủng hộ và tuân thủ chính sách mới hiện nay? - HUMAN-OUT1]]</f>
        <v>8</v>
      </c>
      <c r="AR155">
        <f t="shared" si="79"/>
        <v>0.77777777777777779</v>
      </c>
      <c r="AS155" s="32">
        <f t="shared" si="80"/>
        <v>1</v>
      </c>
    </row>
    <row r="156" spans="1:45" x14ac:dyDescent="0.45">
      <c r="A156">
        <f>step3_validation[[#This Row],[AI_ENF1]]</f>
        <v>7</v>
      </c>
      <c r="B156">
        <f t="shared" si="54"/>
        <v>0.66666666666666663</v>
      </c>
      <c r="C156">
        <f>[1]!survey_responses[[#This Row],[Tôi tin rằng với các quy định quản lý thuế hiện nay, hành vi gian lận hoặc trốn thuế sẽ dễ dàng bị phát hiện và xử lý nghiêm. - HUMAN-ENF1]]</f>
        <v>10</v>
      </c>
      <c r="D156">
        <f t="shared" si="55"/>
        <v>1</v>
      </c>
      <c r="E156">
        <f>step3_validation[[#This Row],[AI_ENF2]]</f>
        <v>8</v>
      </c>
      <c r="F156">
        <f t="shared" si="56"/>
        <v>0.77777777777777779</v>
      </c>
      <c r="G156">
        <f>[1]!survey_responses[[#This Row],[Tôi tin rằng Nhà nước, cơ quan thuế có đủ khả năng và công nghệ để phát hiện, xử lý nghiêm các hành vi trốn thuế. - HUMAN-ENF2]]</f>
        <v>10</v>
      </c>
      <c r="H156">
        <f t="shared" si="57"/>
        <v>1</v>
      </c>
      <c r="I156" s="32">
        <f t="shared" si="58"/>
        <v>0.72222222222222221</v>
      </c>
      <c r="J156" s="32">
        <f t="shared" si="59"/>
        <v>1</v>
      </c>
      <c r="K156">
        <f>step3_validation[[#This Row],[AI_FAC1]]</f>
        <v>9</v>
      </c>
      <c r="L156">
        <f t="shared" si="60"/>
        <v>0.88888888888888884</v>
      </c>
      <c r="M156">
        <f>[1]!survey_responses[[#This Row],[Các thủ tục khai báo thuế VÀ/HOẶC quy trình làm việc với cơ quan thuế đơn giản, tiện lợi, nhanh chóng hơn so với trước đây. - HUMAN-FAC1]]</f>
        <v>10</v>
      </c>
      <c r="N156">
        <f t="shared" si="61"/>
        <v>1</v>
      </c>
      <c r="O156">
        <f>step3_validation[[#This Row],[AI_FAC2]]</f>
        <v>8</v>
      </c>
      <c r="P156">
        <f t="shared" si="62"/>
        <v>0.77777777777777779</v>
      </c>
      <c r="Q156">
        <f>[1]!survey_responses[[#This Row],[So với trước đây, tôi thấy cách tính thuế và các bậc thuế trong phương án mới đơn giản, dễ hiểu và dễ thực hiện hơn. - HUMAN-FAC2]]</f>
        <v>10</v>
      </c>
      <c r="R156">
        <f t="shared" si="63"/>
        <v>1</v>
      </c>
      <c r="S156" s="32">
        <f t="shared" si="64"/>
        <v>0.83333333333333326</v>
      </c>
      <c r="T156" s="32">
        <f t="shared" si="65"/>
        <v>1</v>
      </c>
      <c r="U156">
        <f>step3_validation[[#This Row],[AI_TRU1]]</f>
        <v>9</v>
      </c>
      <c r="V156">
        <f t="shared" si="66"/>
        <v>0.88888888888888884</v>
      </c>
      <c r="W156">
        <f>[1]!survey_responses[[#This Row],[Tôi tin rằng Nhà nước, cơ quan thuế sẽ thực thi chính sách mới một cách khách quan, công tâm và đối xử bình đẳng với mọi người nộp thuế.  - HUMAN-TRU1]]</f>
        <v>10</v>
      </c>
      <c r="X156">
        <f t="shared" si="67"/>
        <v>1</v>
      </c>
      <c r="Y156">
        <f>step3_validation[[#This Row],[AI_TRU2]]</f>
        <v>7</v>
      </c>
      <c r="Z156">
        <f t="shared" si="68"/>
        <v>0.66666666666666663</v>
      </c>
      <c r="AA156">
        <f>[1]!survey_responses[[#This Row],[Tôi thấy mức thuế tôi phải đóng theo phương án mới là công bằng (người thu nhập như tôi đóng mức này là hợp lý). - HUMAN-TRU2]]</f>
        <v>10</v>
      </c>
      <c r="AB156">
        <f t="shared" si="69"/>
        <v>1</v>
      </c>
      <c r="AC156">
        <f>step3_validation[[#This Row],[AI_TRU3]]</f>
        <v>8</v>
      </c>
      <c r="AD156">
        <f t="shared" si="70"/>
        <v>0.77777777777777779</v>
      </c>
      <c r="AE156">
        <f>[1]!survey_responses[[#This Row],[Tôi tin tưởng số tiền thuế tôi đóng sẽ được Nhà nước sử dụng hiệu quả để cải thiện dịch vụ công (y tế, đường xá...). - HUMAN-TRU3]]</f>
        <v>10</v>
      </c>
      <c r="AF156">
        <f t="shared" si="71"/>
        <v>1</v>
      </c>
      <c r="AG156">
        <f>step3_validation[[#This Row],[AI_TRU4]]</f>
        <v>7</v>
      </c>
      <c r="AH156">
        <f t="shared" si="72"/>
        <v>0.66666666666666663</v>
      </c>
      <c r="AI156">
        <f>[1]!survey_responses[[#This Row],[Tôi thấy Nhà nước đã giải thích rõ ràng, minh bạch về lý do và mục tiêu của việc sửa đổi thuế lần này. - HUMAN-TRU4]]</f>
        <v>10</v>
      </c>
      <c r="AJ156">
        <f t="shared" si="73"/>
        <v>1</v>
      </c>
      <c r="AK156" s="32">
        <f t="shared" si="74"/>
        <v>0.74999999999999989</v>
      </c>
      <c r="AL156" s="32">
        <f t="shared" si="75"/>
        <v>1</v>
      </c>
      <c r="AM156" s="7">
        <f t="shared" si="76"/>
        <v>0.76851851851851849</v>
      </c>
      <c r="AN156" s="7">
        <f t="shared" si="77"/>
        <v>1</v>
      </c>
      <c r="AO156">
        <f>step3_validation[[#This Row],[AI_OUT1]]</f>
        <v>8</v>
      </c>
      <c r="AP156">
        <f t="shared" si="78"/>
        <v>0.77777777777777779</v>
      </c>
      <c r="AQ156">
        <f>[1]!survey_responses[[#This Row],[Sau khi xem xét các quyền lợi và nghĩa vụ, bạn có ủng hộ và tuân thủ chính sách mới hiện nay? - HUMAN-OUT1]]</f>
        <v>10</v>
      </c>
      <c r="AR156">
        <f t="shared" si="79"/>
        <v>1</v>
      </c>
      <c r="AS156" s="32">
        <f t="shared" si="80"/>
        <v>2</v>
      </c>
    </row>
    <row r="157" spans="1:45" x14ac:dyDescent="0.45">
      <c r="A157">
        <f>step3_validation[[#This Row],[AI_ENF1]]</f>
        <v>8</v>
      </c>
      <c r="B157">
        <f t="shared" si="54"/>
        <v>0.77777777777777779</v>
      </c>
      <c r="C157">
        <f>[1]!survey_responses[[#This Row],[Tôi tin rằng với các quy định quản lý thuế hiện nay, hành vi gian lận hoặc trốn thuế sẽ dễ dàng bị phát hiện và xử lý nghiêm. - HUMAN-ENF1]]</f>
        <v>10</v>
      </c>
      <c r="D157">
        <f t="shared" si="55"/>
        <v>1</v>
      </c>
      <c r="E157">
        <f>step3_validation[[#This Row],[AI_ENF2]]</f>
        <v>9</v>
      </c>
      <c r="F157">
        <f t="shared" si="56"/>
        <v>0.88888888888888884</v>
      </c>
      <c r="G157">
        <f>[1]!survey_responses[[#This Row],[Tôi tin rằng Nhà nước, cơ quan thuế có đủ khả năng và công nghệ để phát hiện, xử lý nghiêm các hành vi trốn thuế. - HUMAN-ENF2]]</f>
        <v>10</v>
      </c>
      <c r="H157">
        <f t="shared" si="57"/>
        <v>1</v>
      </c>
      <c r="I157" s="32">
        <f t="shared" si="58"/>
        <v>0.83333333333333326</v>
      </c>
      <c r="J157" s="32">
        <f t="shared" si="59"/>
        <v>1</v>
      </c>
      <c r="K157">
        <f>step3_validation[[#This Row],[AI_FAC1]]</f>
        <v>7</v>
      </c>
      <c r="L157">
        <f t="shared" si="60"/>
        <v>0.66666666666666663</v>
      </c>
      <c r="M157">
        <f>[1]!survey_responses[[#This Row],[Các thủ tục khai báo thuế VÀ/HOẶC quy trình làm việc với cơ quan thuế đơn giản, tiện lợi, nhanh chóng hơn so với trước đây. - HUMAN-FAC1]]</f>
        <v>10</v>
      </c>
      <c r="N157">
        <f t="shared" si="61"/>
        <v>1</v>
      </c>
      <c r="O157">
        <f>step3_validation[[#This Row],[AI_FAC2]]</f>
        <v>8</v>
      </c>
      <c r="P157">
        <f t="shared" si="62"/>
        <v>0.77777777777777779</v>
      </c>
      <c r="Q157">
        <f>[1]!survey_responses[[#This Row],[So với trước đây, tôi thấy cách tính thuế và các bậc thuế trong phương án mới đơn giản, dễ hiểu và dễ thực hiện hơn. - HUMAN-FAC2]]</f>
        <v>10</v>
      </c>
      <c r="R157">
        <f t="shared" si="63"/>
        <v>1</v>
      </c>
      <c r="S157" s="32">
        <f t="shared" si="64"/>
        <v>0.72222222222222221</v>
      </c>
      <c r="T157" s="32">
        <f t="shared" si="65"/>
        <v>1</v>
      </c>
      <c r="U157">
        <f>step3_validation[[#This Row],[AI_TRU1]]</f>
        <v>7</v>
      </c>
      <c r="V157">
        <f t="shared" si="66"/>
        <v>0.66666666666666663</v>
      </c>
      <c r="W157">
        <f>[1]!survey_responses[[#This Row],[Tôi tin rằng Nhà nước, cơ quan thuế sẽ thực thi chính sách mới một cách khách quan, công tâm và đối xử bình đẳng với mọi người nộp thuế.  - HUMAN-TRU1]]</f>
        <v>10</v>
      </c>
      <c r="X157">
        <f t="shared" si="67"/>
        <v>1</v>
      </c>
      <c r="Y157">
        <f>step3_validation[[#This Row],[AI_TRU2]]</f>
        <v>8</v>
      </c>
      <c r="Z157">
        <f t="shared" si="68"/>
        <v>0.77777777777777779</v>
      </c>
      <c r="AA157">
        <f>[1]!survey_responses[[#This Row],[Tôi thấy mức thuế tôi phải đóng theo phương án mới là công bằng (người thu nhập như tôi đóng mức này là hợp lý). - HUMAN-TRU2]]</f>
        <v>10</v>
      </c>
      <c r="AB157">
        <f t="shared" si="69"/>
        <v>1</v>
      </c>
      <c r="AC157">
        <f>step3_validation[[#This Row],[AI_TRU3]]</f>
        <v>7</v>
      </c>
      <c r="AD157">
        <f t="shared" si="70"/>
        <v>0.66666666666666663</v>
      </c>
      <c r="AE157">
        <f>[1]!survey_responses[[#This Row],[Tôi tin tưởng số tiền thuế tôi đóng sẽ được Nhà nước sử dụng hiệu quả để cải thiện dịch vụ công (y tế, đường xá...). - HUMAN-TRU3]]</f>
        <v>10</v>
      </c>
      <c r="AF157">
        <f t="shared" si="71"/>
        <v>1</v>
      </c>
      <c r="AG157">
        <f>step3_validation[[#This Row],[AI_TRU4]]</f>
        <v>6</v>
      </c>
      <c r="AH157">
        <f t="shared" si="72"/>
        <v>0.55555555555555558</v>
      </c>
      <c r="AI157">
        <f>[1]!survey_responses[[#This Row],[Tôi thấy Nhà nước đã giải thích rõ ràng, minh bạch về lý do và mục tiêu của việc sửa đổi thuế lần này. - HUMAN-TRU4]]</f>
        <v>10</v>
      </c>
      <c r="AJ157">
        <f t="shared" si="73"/>
        <v>1</v>
      </c>
      <c r="AK157" s="32">
        <f t="shared" si="74"/>
        <v>0.66666666666666674</v>
      </c>
      <c r="AL157" s="32">
        <f t="shared" si="75"/>
        <v>1</v>
      </c>
      <c r="AM157" s="7">
        <f t="shared" si="76"/>
        <v>0.74074074074074081</v>
      </c>
      <c r="AN157" s="7">
        <f t="shared" si="77"/>
        <v>1</v>
      </c>
      <c r="AO157">
        <f>step3_validation[[#This Row],[AI_OUT1]]</f>
        <v>8</v>
      </c>
      <c r="AP157">
        <f t="shared" si="78"/>
        <v>0.77777777777777779</v>
      </c>
      <c r="AQ157">
        <f>[1]!survey_responses[[#This Row],[Sau khi xem xét các quyền lợi và nghĩa vụ, bạn có ủng hộ và tuân thủ chính sách mới hiện nay? - HUMAN-OUT1]]</f>
        <v>10</v>
      </c>
      <c r="AR157">
        <f t="shared" si="79"/>
        <v>1</v>
      </c>
      <c r="AS157" s="32">
        <f t="shared" si="80"/>
        <v>2</v>
      </c>
    </row>
    <row r="158" spans="1:45" x14ac:dyDescent="0.45">
      <c r="A158">
        <f>step3_validation[[#This Row],[AI_ENF1]]</f>
        <v>6</v>
      </c>
      <c r="B158">
        <f t="shared" si="54"/>
        <v>0.55555555555555558</v>
      </c>
      <c r="C158">
        <f>[1]!survey_responses[[#This Row],[Tôi tin rằng với các quy định quản lý thuế hiện nay, hành vi gian lận hoặc trốn thuế sẽ dễ dàng bị phát hiện và xử lý nghiêm. - HUMAN-ENF1]]</f>
        <v>10</v>
      </c>
      <c r="D158">
        <f t="shared" si="55"/>
        <v>1</v>
      </c>
      <c r="E158">
        <f>step3_validation[[#This Row],[AI_ENF2]]</f>
        <v>7</v>
      </c>
      <c r="F158">
        <f t="shared" si="56"/>
        <v>0.66666666666666663</v>
      </c>
      <c r="G158">
        <f>[1]!survey_responses[[#This Row],[Tôi tin rằng Nhà nước, cơ quan thuế có đủ khả năng và công nghệ để phát hiện, xử lý nghiêm các hành vi trốn thuế. - HUMAN-ENF2]]</f>
        <v>10</v>
      </c>
      <c r="H158">
        <f t="shared" si="57"/>
        <v>1</v>
      </c>
      <c r="I158" s="32">
        <f t="shared" si="58"/>
        <v>0.61111111111111116</v>
      </c>
      <c r="J158" s="32">
        <f t="shared" si="59"/>
        <v>1</v>
      </c>
      <c r="K158">
        <f>step3_validation[[#This Row],[AI_FAC1]]</f>
        <v>8</v>
      </c>
      <c r="L158">
        <f t="shared" si="60"/>
        <v>0.77777777777777779</v>
      </c>
      <c r="M158">
        <f>[1]!survey_responses[[#This Row],[Các thủ tục khai báo thuế VÀ/HOẶC quy trình làm việc với cơ quan thuế đơn giản, tiện lợi, nhanh chóng hơn so với trước đây. - HUMAN-FAC1]]</f>
        <v>1</v>
      </c>
      <c r="N158">
        <f t="shared" si="61"/>
        <v>0</v>
      </c>
      <c r="O158">
        <f>step3_validation[[#This Row],[AI_FAC2]]</f>
        <v>9</v>
      </c>
      <c r="P158">
        <f t="shared" si="62"/>
        <v>0.88888888888888884</v>
      </c>
      <c r="Q158">
        <f>[1]!survey_responses[[#This Row],[So với trước đây, tôi thấy cách tính thuế và các bậc thuế trong phương án mới đơn giản, dễ hiểu và dễ thực hiện hơn. - HUMAN-FAC2]]</f>
        <v>10</v>
      </c>
      <c r="R158">
        <f t="shared" si="63"/>
        <v>1</v>
      </c>
      <c r="S158" s="32">
        <f t="shared" si="64"/>
        <v>0.83333333333333326</v>
      </c>
      <c r="T158" s="32">
        <f t="shared" si="65"/>
        <v>0.5</v>
      </c>
      <c r="U158">
        <f>step3_validation[[#This Row],[AI_TRU1]]</f>
        <v>7</v>
      </c>
      <c r="V158">
        <f t="shared" si="66"/>
        <v>0.66666666666666663</v>
      </c>
      <c r="W158">
        <f>[1]!survey_responses[[#This Row],[Tôi tin rằng Nhà nước, cơ quan thuế sẽ thực thi chính sách mới một cách khách quan, công tâm và đối xử bình đẳng với mọi người nộp thuế.  - HUMAN-TRU1]]</f>
        <v>1</v>
      </c>
      <c r="X158">
        <f t="shared" si="67"/>
        <v>0</v>
      </c>
      <c r="Y158">
        <f>step3_validation[[#This Row],[AI_TRU2]]</f>
        <v>8</v>
      </c>
      <c r="Z158">
        <f t="shared" si="68"/>
        <v>0.77777777777777779</v>
      </c>
      <c r="AA158">
        <f>[1]!survey_responses[[#This Row],[Tôi thấy mức thuế tôi phải đóng theo phương án mới là công bằng (người thu nhập như tôi đóng mức này là hợp lý). - HUMAN-TRU2]]</f>
        <v>1</v>
      </c>
      <c r="AB158">
        <f t="shared" si="69"/>
        <v>0</v>
      </c>
      <c r="AC158">
        <f>step3_validation[[#This Row],[AI_TRU3]]</f>
        <v>6</v>
      </c>
      <c r="AD158">
        <f t="shared" si="70"/>
        <v>0.55555555555555558</v>
      </c>
      <c r="AE158">
        <f>[1]!survey_responses[[#This Row],[Tôi tin tưởng số tiền thuế tôi đóng sẽ được Nhà nước sử dụng hiệu quả để cải thiện dịch vụ công (y tế, đường xá...). - HUMAN-TRU3]]</f>
        <v>1</v>
      </c>
      <c r="AF158">
        <f t="shared" si="71"/>
        <v>0</v>
      </c>
      <c r="AG158">
        <f>step3_validation[[#This Row],[AI_TRU4]]</f>
        <v>7</v>
      </c>
      <c r="AH158">
        <f t="shared" si="72"/>
        <v>0.66666666666666663</v>
      </c>
      <c r="AI158">
        <f>[1]!survey_responses[[#This Row],[Tôi thấy Nhà nước đã giải thích rõ ràng, minh bạch về lý do và mục tiêu của việc sửa đổi thuế lần này. - HUMAN-TRU4]]</f>
        <v>1</v>
      </c>
      <c r="AJ158">
        <f t="shared" si="73"/>
        <v>0</v>
      </c>
      <c r="AK158" s="32">
        <f t="shared" si="74"/>
        <v>0.66666666666666663</v>
      </c>
      <c r="AL158" s="32">
        <f t="shared" si="75"/>
        <v>0</v>
      </c>
      <c r="AM158" s="7">
        <f t="shared" si="76"/>
        <v>0.70370370370370372</v>
      </c>
      <c r="AN158" s="7">
        <f t="shared" si="77"/>
        <v>0.5</v>
      </c>
      <c r="AO158">
        <f>step3_validation[[#This Row],[AI_OUT1]]</f>
        <v>7</v>
      </c>
      <c r="AP158">
        <f t="shared" si="78"/>
        <v>0.66666666666666663</v>
      </c>
      <c r="AQ158">
        <f>[1]!survey_responses[[#This Row],[Sau khi xem xét các quyền lợi và nghĩa vụ, bạn có ủng hộ và tuân thủ chính sách mới hiện nay? - HUMAN-OUT1]]</f>
        <v>6</v>
      </c>
      <c r="AR158">
        <f t="shared" si="79"/>
        <v>0.55555555555555558</v>
      </c>
      <c r="AS158" s="32">
        <f t="shared" si="80"/>
        <v>1</v>
      </c>
    </row>
    <row r="159" spans="1:45" x14ac:dyDescent="0.45">
      <c r="A159">
        <f>step3_validation[[#This Row],[AI_ENF1]]</f>
        <v>8</v>
      </c>
      <c r="B159">
        <f t="shared" si="54"/>
        <v>0.77777777777777779</v>
      </c>
      <c r="C159">
        <f>[1]!survey_responses[[#This Row],[Tôi tin rằng với các quy định quản lý thuế hiện nay, hành vi gian lận hoặc trốn thuế sẽ dễ dàng bị phát hiện và xử lý nghiêm. - HUMAN-ENF1]]</f>
        <v>7</v>
      </c>
      <c r="D159">
        <f t="shared" si="55"/>
        <v>0.66666666666666663</v>
      </c>
      <c r="E159">
        <f>step3_validation[[#This Row],[AI_ENF2]]</f>
        <v>9</v>
      </c>
      <c r="F159">
        <f t="shared" si="56"/>
        <v>0.88888888888888884</v>
      </c>
      <c r="G159">
        <f>[1]!survey_responses[[#This Row],[Tôi tin rằng Nhà nước, cơ quan thuế có đủ khả năng và công nghệ để phát hiện, xử lý nghiêm các hành vi trốn thuế. - HUMAN-ENF2]]</f>
        <v>8</v>
      </c>
      <c r="H159">
        <f t="shared" si="57"/>
        <v>0.77777777777777779</v>
      </c>
      <c r="I159" s="32">
        <f t="shared" si="58"/>
        <v>0.83333333333333326</v>
      </c>
      <c r="J159" s="32">
        <f t="shared" si="59"/>
        <v>0.72222222222222221</v>
      </c>
      <c r="K159">
        <f>step3_validation[[#This Row],[AI_FAC1]]</f>
        <v>7</v>
      </c>
      <c r="L159">
        <f t="shared" si="60"/>
        <v>0.66666666666666663</v>
      </c>
      <c r="M159">
        <f>[1]!survey_responses[[#This Row],[Các thủ tục khai báo thuế VÀ/HOẶC quy trình làm việc với cơ quan thuế đơn giản, tiện lợi, nhanh chóng hơn so với trước đây. - HUMAN-FAC1]]</f>
        <v>6</v>
      </c>
      <c r="N159">
        <f t="shared" si="61"/>
        <v>0.55555555555555558</v>
      </c>
      <c r="O159">
        <f>step3_validation[[#This Row],[AI_FAC2]]</f>
        <v>8</v>
      </c>
      <c r="P159">
        <f t="shared" si="62"/>
        <v>0.77777777777777779</v>
      </c>
      <c r="Q159">
        <f>[1]!survey_responses[[#This Row],[So với trước đây, tôi thấy cách tính thuế và các bậc thuế trong phương án mới đơn giản, dễ hiểu và dễ thực hiện hơn. - HUMAN-FAC2]]</f>
        <v>6</v>
      </c>
      <c r="R159">
        <f t="shared" si="63"/>
        <v>0.55555555555555558</v>
      </c>
      <c r="S159" s="32">
        <f t="shared" si="64"/>
        <v>0.72222222222222221</v>
      </c>
      <c r="T159" s="32">
        <f t="shared" si="65"/>
        <v>0.55555555555555558</v>
      </c>
      <c r="U159">
        <f>step3_validation[[#This Row],[AI_TRU1]]</f>
        <v>9</v>
      </c>
      <c r="V159">
        <f t="shared" si="66"/>
        <v>0.88888888888888884</v>
      </c>
      <c r="W159">
        <f>[1]!survey_responses[[#This Row],[Tôi tin rằng Nhà nước, cơ quan thuế sẽ thực thi chính sách mới một cách khách quan, công tâm và đối xử bình đẳng với mọi người nộp thuế.  - HUMAN-TRU1]]</f>
        <v>7</v>
      </c>
      <c r="X159">
        <f t="shared" si="67"/>
        <v>0.66666666666666663</v>
      </c>
      <c r="Y159">
        <f>step3_validation[[#This Row],[AI_TRU2]]</f>
        <v>8</v>
      </c>
      <c r="Z159">
        <f t="shared" si="68"/>
        <v>0.77777777777777779</v>
      </c>
      <c r="AA159">
        <f>[1]!survey_responses[[#This Row],[Tôi thấy mức thuế tôi phải đóng theo phương án mới là công bằng (người thu nhập như tôi đóng mức này là hợp lý). - HUMAN-TRU2]]</f>
        <v>5</v>
      </c>
      <c r="AB159">
        <f t="shared" si="69"/>
        <v>0.44444444444444442</v>
      </c>
      <c r="AC159">
        <f>step3_validation[[#This Row],[AI_TRU3]]</f>
        <v>7</v>
      </c>
      <c r="AD159">
        <f t="shared" si="70"/>
        <v>0.66666666666666663</v>
      </c>
      <c r="AE159">
        <f>[1]!survey_responses[[#This Row],[Tôi tin tưởng số tiền thuế tôi đóng sẽ được Nhà nước sử dụng hiệu quả để cải thiện dịch vụ công (y tế, đường xá...). - HUMAN-TRU3]]</f>
        <v>6</v>
      </c>
      <c r="AF159">
        <f t="shared" si="71"/>
        <v>0.55555555555555558</v>
      </c>
      <c r="AG159">
        <f>step3_validation[[#This Row],[AI_TRU4]]</f>
        <v>8</v>
      </c>
      <c r="AH159">
        <f t="shared" si="72"/>
        <v>0.77777777777777779</v>
      </c>
      <c r="AI159">
        <f>[1]!survey_responses[[#This Row],[Tôi thấy Nhà nước đã giải thích rõ ràng, minh bạch về lý do và mục tiêu của việc sửa đổi thuế lần này. - HUMAN-TRU4]]</f>
        <v>7</v>
      </c>
      <c r="AJ159">
        <f t="shared" si="73"/>
        <v>0.66666666666666663</v>
      </c>
      <c r="AK159" s="32">
        <f t="shared" si="74"/>
        <v>0.77777777777777768</v>
      </c>
      <c r="AL159" s="32">
        <f t="shared" si="75"/>
        <v>0.58333333333333337</v>
      </c>
      <c r="AM159" s="7">
        <f t="shared" si="76"/>
        <v>0.77777777777777768</v>
      </c>
      <c r="AN159" s="7">
        <f t="shared" si="77"/>
        <v>0.62037037037037035</v>
      </c>
      <c r="AO159">
        <f>step3_validation[[#This Row],[AI_OUT1]]</f>
        <v>7</v>
      </c>
      <c r="AP159">
        <f t="shared" si="78"/>
        <v>0.66666666666666663</v>
      </c>
      <c r="AQ159">
        <f>[1]!survey_responses[[#This Row],[Sau khi xem xét các quyền lợi và nghĩa vụ, bạn có ủng hộ và tuân thủ chính sách mới hiện nay? - HUMAN-OUT1]]</f>
        <v>7</v>
      </c>
      <c r="AR159">
        <f t="shared" si="79"/>
        <v>0.66666666666666663</v>
      </c>
      <c r="AS159" s="32">
        <f t="shared" si="80"/>
        <v>0</v>
      </c>
    </row>
    <row r="160" spans="1:45" x14ac:dyDescent="0.45">
      <c r="A160">
        <f>step3_validation[[#This Row],[AI_ENF1]]</f>
        <v>8</v>
      </c>
      <c r="B160">
        <f t="shared" si="54"/>
        <v>0.77777777777777779</v>
      </c>
      <c r="C160">
        <f>[1]!survey_responses[[#This Row],[Tôi tin rằng với các quy định quản lý thuế hiện nay, hành vi gian lận hoặc trốn thuế sẽ dễ dàng bị phát hiện và xử lý nghiêm. - HUMAN-ENF1]]</f>
        <v>2</v>
      </c>
      <c r="D160">
        <f t="shared" si="55"/>
        <v>0.1111111111111111</v>
      </c>
      <c r="E160">
        <f>step3_validation[[#This Row],[AI_ENF2]]</f>
        <v>8</v>
      </c>
      <c r="F160">
        <f t="shared" si="56"/>
        <v>0.77777777777777779</v>
      </c>
      <c r="G160">
        <f>[1]!survey_responses[[#This Row],[Tôi tin rằng Nhà nước, cơ quan thuế có đủ khả năng và công nghệ để phát hiện, xử lý nghiêm các hành vi trốn thuế. - HUMAN-ENF2]]</f>
        <v>7</v>
      </c>
      <c r="H160">
        <f t="shared" si="57"/>
        <v>0.66666666666666663</v>
      </c>
      <c r="I160" s="32">
        <f t="shared" si="58"/>
        <v>0.77777777777777779</v>
      </c>
      <c r="J160" s="32">
        <f t="shared" si="59"/>
        <v>0.38888888888888884</v>
      </c>
      <c r="K160">
        <f>step3_validation[[#This Row],[AI_FAC1]]</f>
        <v>7</v>
      </c>
      <c r="L160">
        <f t="shared" si="60"/>
        <v>0.66666666666666663</v>
      </c>
      <c r="M160">
        <f>[1]!survey_responses[[#This Row],[Các thủ tục khai báo thuế VÀ/HOẶC quy trình làm việc với cơ quan thuế đơn giản, tiện lợi, nhanh chóng hơn so với trước đây. - HUMAN-FAC1]]</f>
        <v>10</v>
      </c>
      <c r="N160">
        <f t="shared" si="61"/>
        <v>1</v>
      </c>
      <c r="O160">
        <f>step3_validation[[#This Row],[AI_FAC2]]</f>
        <v>6</v>
      </c>
      <c r="P160">
        <f t="shared" si="62"/>
        <v>0.55555555555555558</v>
      </c>
      <c r="Q160">
        <f>[1]!survey_responses[[#This Row],[So với trước đây, tôi thấy cách tính thuế và các bậc thuế trong phương án mới đơn giản, dễ hiểu và dễ thực hiện hơn. - HUMAN-FAC2]]</f>
        <v>2</v>
      </c>
      <c r="R160">
        <f t="shared" si="63"/>
        <v>0.1111111111111111</v>
      </c>
      <c r="S160" s="32">
        <f t="shared" si="64"/>
        <v>0.61111111111111116</v>
      </c>
      <c r="T160" s="32">
        <f t="shared" si="65"/>
        <v>0.55555555555555558</v>
      </c>
      <c r="U160">
        <f>step3_validation[[#This Row],[AI_TRU1]]</f>
        <v>8</v>
      </c>
      <c r="V160">
        <f t="shared" si="66"/>
        <v>0.77777777777777779</v>
      </c>
      <c r="W160">
        <f>[1]!survey_responses[[#This Row],[Tôi tin rằng Nhà nước, cơ quan thuế sẽ thực thi chính sách mới một cách khách quan, công tâm và đối xử bình đẳng với mọi người nộp thuế.  - HUMAN-TRU1]]</f>
        <v>10</v>
      </c>
      <c r="X160">
        <f t="shared" si="67"/>
        <v>1</v>
      </c>
      <c r="Y160">
        <f>step3_validation[[#This Row],[AI_TRU2]]</f>
        <v>7</v>
      </c>
      <c r="Z160">
        <f t="shared" si="68"/>
        <v>0.66666666666666663</v>
      </c>
      <c r="AA160">
        <f>[1]!survey_responses[[#This Row],[Tôi thấy mức thuế tôi phải đóng theo phương án mới là công bằng (người thu nhập như tôi đóng mức này là hợp lý). - HUMAN-TRU2]]</f>
        <v>5</v>
      </c>
      <c r="AB160">
        <f t="shared" si="69"/>
        <v>0.44444444444444442</v>
      </c>
      <c r="AC160">
        <f>step3_validation[[#This Row],[AI_TRU3]]</f>
        <v>7</v>
      </c>
      <c r="AD160">
        <f t="shared" si="70"/>
        <v>0.66666666666666663</v>
      </c>
      <c r="AE160">
        <f>[1]!survey_responses[[#This Row],[Tôi tin tưởng số tiền thuế tôi đóng sẽ được Nhà nước sử dụng hiệu quả để cải thiện dịch vụ công (y tế, đường xá...). - HUMAN-TRU3]]</f>
        <v>10</v>
      </c>
      <c r="AF160">
        <f t="shared" si="71"/>
        <v>1</v>
      </c>
      <c r="AG160">
        <f>step3_validation[[#This Row],[AI_TRU4]]</f>
        <v>8</v>
      </c>
      <c r="AH160">
        <f t="shared" si="72"/>
        <v>0.77777777777777779</v>
      </c>
      <c r="AI160">
        <f>[1]!survey_responses[[#This Row],[Tôi thấy Nhà nước đã giải thích rõ ràng, minh bạch về lý do và mục tiêu của việc sửa đổi thuế lần này. - HUMAN-TRU4]]</f>
        <v>3</v>
      </c>
      <c r="AJ160">
        <f t="shared" si="73"/>
        <v>0.22222222222222221</v>
      </c>
      <c r="AK160" s="32">
        <f t="shared" si="74"/>
        <v>0.72222222222222221</v>
      </c>
      <c r="AL160" s="32">
        <f t="shared" si="75"/>
        <v>0.66666666666666674</v>
      </c>
      <c r="AM160" s="7">
        <f t="shared" si="76"/>
        <v>0.70370370370370372</v>
      </c>
      <c r="AN160" s="7">
        <f t="shared" si="77"/>
        <v>0.53703703703703709</v>
      </c>
      <c r="AO160">
        <f>step3_validation[[#This Row],[AI_OUT1]]</f>
        <v>8</v>
      </c>
      <c r="AP160">
        <f t="shared" si="78"/>
        <v>0.77777777777777779</v>
      </c>
      <c r="AQ160">
        <f>[1]!survey_responses[[#This Row],[Sau khi xem xét các quyền lợi và nghĩa vụ, bạn có ủng hộ và tuân thủ chính sách mới hiện nay? - HUMAN-OUT1]]</f>
        <v>3</v>
      </c>
      <c r="AR160">
        <f t="shared" si="79"/>
        <v>0.22222222222222221</v>
      </c>
      <c r="AS160" s="32">
        <f t="shared" si="80"/>
        <v>5</v>
      </c>
    </row>
    <row r="161" spans="1:45" x14ac:dyDescent="0.45">
      <c r="A161">
        <f>step3_validation[[#This Row],[AI_ENF1]]</f>
        <v>8</v>
      </c>
      <c r="B161">
        <f t="shared" si="54"/>
        <v>0.77777777777777779</v>
      </c>
      <c r="C161">
        <f>[1]!survey_responses[[#This Row],[Tôi tin rằng với các quy định quản lý thuế hiện nay, hành vi gian lận hoặc trốn thuế sẽ dễ dàng bị phát hiện và xử lý nghiêm. - HUMAN-ENF1]]</f>
        <v>9</v>
      </c>
      <c r="D161">
        <f t="shared" si="55"/>
        <v>0.88888888888888884</v>
      </c>
      <c r="E161">
        <f>step3_validation[[#This Row],[AI_ENF2]]</f>
        <v>7</v>
      </c>
      <c r="F161">
        <f t="shared" si="56"/>
        <v>0.66666666666666663</v>
      </c>
      <c r="G161">
        <f>[1]!survey_responses[[#This Row],[Tôi tin rằng Nhà nước, cơ quan thuế có đủ khả năng và công nghệ để phát hiện, xử lý nghiêm các hành vi trốn thuế. - HUMAN-ENF2]]</f>
        <v>9</v>
      </c>
      <c r="H161">
        <f t="shared" si="57"/>
        <v>0.88888888888888884</v>
      </c>
      <c r="I161" s="32">
        <f t="shared" si="58"/>
        <v>0.72222222222222221</v>
      </c>
      <c r="J161" s="32">
        <f t="shared" si="59"/>
        <v>0.88888888888888884</v>
      </c>
      <c r="K161">
        <f>step3_validation[[#This Row],[AI_FAC1]]</f>
        <v>6</v>
      </c>
      <c r="L161">
        <f t="shared" si="60"/>
        <v>0.55555555555555558</v>
      </c>
      <c r="M161">
        <f>[1]!survey_responses[[#This Row],[Các thủ tục khai báo thuế VÀ/HOẶC quy trình làm việc với cơ quan thuế đơn giản, tiện lợi, nhanh chóng hơn so với trước đây. - HUMAN-FAC1]]</f>
        <v>10</v>
      </c>
      <c r="N161">
        <f t="shared" si="61"/>
        <v>1</v>
      </c>
      <c r="O161">
        <f>step3_validation[[#This Row],[AI_FAC2]]</f>
        <v>7</v>
      </c>
      <c r="P161">
        <f t="shared" si="62"/>
        <v>0.66666666666666663</v>
      </c>
      <c r="Q161">
        <f>[1]!survey_responses[[#This Row],[So với trước đây, tôi thấy cách tính thuế và các bậc thuế trong phương án mới đơn giản, dễ hiểu và dễ thực hiện hơn. - HUMAN-FAC2]]</f>
        <v>2</v>
      </c>
      <c r="R161">
        <f t="shared" si="63"/>
        <v>0.1111111111111111</v>
      </c>
      <c r="S161" s="32">
        <f t="shared" si="64"/>
        <v>0.61111111111111116</v>
      </c>
      <c r="T161" s="32">
        <f t="shared" si="65"/>
        <v>0.55555555555555558</v>
      </c>
      <c r="U161">
        <f>step3_validation[[#This Row],[AI_TRU1]]</f>
        <v>6</v>
      </c>
      <c r="V161">
        <f t="shared" si="66"/>
        <v>0.55555555555555558</v>
      </c>
      <c r="W161">
        <f>[1]!survey_responses[[#This Row],[Tôi tin rằng Nhà nước, cơ quan thuế sẽ thực thi chính sách mới một cách khách quan, công tâm và đối xử bình đẳng với mọi người nộp thuế.  - HUMAN-TRU1]]</f>
        <v>9</v>
      </c>
      <c r="X161">
        <f t="shared" si="67"/>
        <v>0.88888888888888884</v>
      </c>
      <c r="Y161">
        <f>step3_validation[[#This Row],[AI_TRU2]]</f>
        <v>7</v>
      </c>
      <c r="Z161">
        <f t="shared" si="68"/>
        <v>0.66666666666666663</v>
      </c>
      <c r="AA161">
        <f>[1]!survey_responses[[#This Row],[Tôi thấy mức thuế tôi phải đóng theo phương án mới là công bằng (người thu nhập như tôi đóng mức này là hợp lý). - HUMAN-TRU2]]</f>
        <v>9</v>
      </c>
      <c r="AB161">
        <f t="shared" si="69"/>
        <v>0.88888888888888884</v>
      </c>
      <c r="AC161">
        <f>step3_validation[[#This Row],[AI_TRU3]]</f>
        <v>6</v>
      </c>
      <c r="AD161">
        <f t="shared" si="70"/>
        <v>0.55555555555555558</v>
      </c>
      <c r="AE161">
        <f>[1]!survey_responses[[#This Row],[Tôi tin tưởng số tiền thuế tôi đóng sẽ được Nhà nước sử dụng hiệu quả để cải thiện dịch vụ công (y tế, đường xá...). - HUMAN-TRU3]]</f>
        <v>6</v>
      </c>
      <c r="AF161">
        <f t="shared" si="71"/>
        <v>0.55555555555555558</v>
      </c>
      <c r="AG161">
        <f>step3_validation[[#This Row],[AI_TRU4]]</f>
        <v>7</v>
      </c>
      <c r="AH161">
        <f t="shared" si="72"/>
        <v>0.66666666666666663</v>
      </c>
      <c r="AI161">
        <f>[1]!survey_responses[[#This Row],[Tôi thấy Nhà nước đã giải thích rõ ràng, minh bạch về lý do và mục tiêu của việc sửa đổi thuế lần này. - HUMAN-TRU4]]</f>
        <v>8</v>
      </c>
      <c r="AJ161">
        <f t="shared" si="73"/>
        <v>0.77777777777777779</v>
      </c>
      <c r="AK161" s="32">
        <f t="shared" si="74"/>
        <v>0.61111111111111116</v>
      </c>
      <c r="AL161" s="32">
        <f t="shared" si="75"/>
        <v>0.77777777777777768</v>
      </c>
      <c r="AM161" s="7">
        <f t="shared" si="76"/>
        <v>0.64814814814814825</v>
      </c>
      <c r="AN161" s="7">
        <f t="shared" si="77"/>
        <v>0.74074074074074081</v>
      </c>
      <c r="AO161">
        <f>step3_validation[[#This Row],[AI_OUT1]]</f>
        <v>8</v>
      </c>
      <c r="AP161">
        <f t="shared" si="78"/>
        <v>0.77777777777777779</v>
      </c>
      <c r="AQ161">
        <f>[1]!survey_responses[[#This Row],[Sau khi xem xét các quyền lợi và nghĩa vụ, bạn có ủng hộ và tuân thủ chính sách mới hiện nay? - HUMAN-OUT1]]</f>
        <v>10</v>
      </c>
      <c r="AR161">
        <f t="shared" si="79"/>
        <v>1</v>
      </c>
      <c r="AS161" s="32">
        <f t="shared" si="80"/>
        <v>2</v>
      </c>
    </row>
    <row r="162" spans="1:45" x14ac:dyDescent="0.45">
      <c r="A162">
        <f>step3_validation[[#This Row],[AI_ENF1]]</f>
        <v>7</v>
      </c>
      <c r="B162">
        <f t="shared" si="54"/>
        <v>0.66666666666666663</v>
      </c>
      <c r="C162">
        <f>[1]!survey_responses[[#This Row],[Tôi tin rằng với các quy định quản lý thuế hiện nay, hành vi gian lận hoặc trốn thuế sẽ dễ dàng bị phát hiện và xử lý nghiêm. - HUMAN-ENF1]]</f>
        <v>7</v>
      </c>
      <c r="D162">
        <f t="shared" si="55"/>
        <v>0.66666666666666663</v>
      </c>
      <c r="E162">
        <f>step3_validation[[#This Row],[AI_ENF2]]</f>
        <v>6</v>
      </c>
      <c r="F162">
        <f t="shared" si="56"/>
        <v>0.55555555555555558</v>
      </c>
      <c r="G162">
        <f>[1]!survey_responses[[#This Row],[Tôi tin rằng Nhà nước, cơ quan thuế có đủ khả năng và công nghệ để phát hiện, xử lý nghiêm các hành vi trốn thuế. - HUMAN-ENF2]]</f>
        <v>5</v>
      </c>
      <c r="H162">
        <f t="shared" si="57"/>
        <v>0.44444444444444442</v>
      </c>
      <c r="I162" s="32">
        <f t="shared" si="58"/>
        <v>0.61111111111111116</v>
      </c>
      <c r="J162" s="32">
        <f t="shared" si="59"/>
        <v>0.55555555555555558</v>
      </c>
      <c r="K162">
        <f>step3_validation[[#This Row],[AI_FAC1]]</f>
        <v>5</v>
      </c>
      <c r="L162">
        <f t="shared" si="60"/>
        <v>0.44444444444444442</v>
      </c>
      <c r="M162">
        <f>[1]!survey_responses[[#This Row],[Các thủ tục khai báo thuế VÀ/HOẶC quy trình làm việc với cơ quan thuế đơn giản, tiện lợi, nhanh chóng hơn so với trước đây. - HUMAN-FAC1]]</f>
        <v>7</v>
      </c>
      <c r="N162">
        <f t="shared" si="61"/>
        <v>0.66666666666666663</v>
      </c>
      <c r="O162">
        <f>step3_validation[[#This Row],[AI_FAC2]]</f>
        <v>7</v>
      </c>
      <c r="P162">
        <f t="shared" si="62"/>
        <v>0.66666666666666663</v>
      </c>
      <c r="Q162">
        <f>[1]!survey_responses[[#This Row],[So với trước đây, tôi thấy cách tính thuế và các bậc thuế trong phương án mới đơn giản, dễ hiểu và dễ thực hiện hơn. - HUMAN-FAC2]]</f>
        <v>5</v>
      </c>
      <c r="R162">
        <f t="shared" si="63"/>
        <v>0.44444444444444442</v>
      </c>
      <c r="S162" s="32">
        <f t="shared" si="64"/>
        <v>0.55555555555555558</v>
      </c>
      <c r="T162" s="32">
        <f t="shared" si="65"/>
        <v>0.55555555555555558</v>
      </c>
      <c r="U162">
        <f>step3_validation[[#This Row],[AI_TRU1]]</f>
        <v>8</v>
      </c>
      <c r="V162">
        <f t="shared" si="66"/>
        <v>0.77777777777777779</v>
      </c>
      <c r="W162">
        <f>[1]!survey_responses[[#This Row],[Tôi tin rằng Nhà nước, cơ quan thuế sẽ thực thi chính sách mới một cách khách quan, công tâm và đối xử bình đẳng với mọi người nộp thuế.  - HUMAN-TRU1]]</f>
        <v>3</v>
      </c>
      <c r="X162">
        <f t="shared" si="67"/>
        <v>0.22222222222222221</v>
      </c>
      <c r="Y162">
        <f>step3_validation[[#This Row],[AI_TRU2]]</f>
        <v>9</v>
      </c>
      <c r="Z162">
        <f t="shared" si="68"/>
        <v>0.88888888888888884</v>
      </c>
      <c r="AA162">
        <f>[1]!survey_responses[[#This Row],[Tôi thấy mức thuế tôi phải đóng theo phương án mới là công bằng (người thu nhập như tôi đóng mức này là hợp lý). - HUMAN-TRU2]]</f>
        <v>4</v>
      </c>
      <c r="AB162">
        <f t="shared" si="69"/>
        <v>0.33333333333333331</v>
      </c>
      <c r="AC162">
        <f>step3_validation[[#This Row],[AI_TRU3]]</f>
        <v>7</v>
      </c>
      <c r="AD162">
        <f t="shared" si="70"/>
        <v>0.66666666666666663</v>
      </c>
      <c r="AE162">
        <f>[1]!survey_responses[[#This Row],[Tôi tin tưởng số tiền thuế tôi đóng sẽ được Nhà nước sử dụng hiệu quả để cải thiện dịch vụ công (y tế, đường xá...). - HUMAN-TRU3]]</f>
        <v>1</v>
      </c>
      <c r="AF162">
        <f t="shared" si="71"/>
        <v>0</v>
      </c>
      <c r="AG162">
        <f>step3_validation[[#This Row],[AI_TRU4]]</f>
        <v>6</v>
      </c>
      <c r="AH162">
        <f t="shared" si="72"/>
        <v>0.55555555555555558</v>
      </c>
      <c r="AI162">
        <f>[1]!survey_responses[[#This Row],[Tôi thấy Nhà nước đã giải thích rõ ràng, minh bạch về lý do và mục tiêu của việc sửa đổi thuế lần này. - HUMAN-TRU4]]</f>
        <v>5</v>
      </c>
      <c r="AJ162">
        <f t="shared" si="73"/>
        <v>0.44444444444444442</v>
      </c>
      <c r="AK162" s="32">
        <f t="shared" si="74"/>
        <v>0.7222222222222221</v>
      </c>
      <c r="AL162" s="32">
        <f t="shared" si="75"/>
        <v>0.25</v>
      </c>
      <c r="AM162" s="7">
        <f t="shared" si="76"/>
        <v>0.62962962962962965</v>
      </c>
      <c r="AN162" s="7">
        <f t="shared" si="77"/>
        <v>0.45370370370370372</v>
      </c>
      <c r="AO162">
        <f>step3_validation[[#This Row],[AI_OUT1]]</f>
        <v>8</v>
      </c>
      <c r="AP162">
        <f t="shared" si="78"/>
        <v>0.77777777777777779</v>
      </c>
      <c r="AQ162">
        <f>[1]!survey_responses[[#This Row],[Sau khi xem xét các quyền lợi và nghĩa vụ, bạn có ủng hộ và tuân thủ chính sách mới hiện nay? - HUMAN-OUT1]]</f>
        <v>5</v>
      </c>
      <c r="AR162">
        <f t="shared" si="79"/>
        <v>0.44444444444444442</v>
      </c>
      <c r="AS162" s="32">
        <f t="shared" si="80"/>
        <v>3</v>
      </c>
    </row>
    <row r="163" spans="1:45" x14ac:dyDescent="0.45">
      <c r="A163">
        <f>step3_validation[[#This Row],[AI_ENF1]]</f>
        <v>8</v>
      </c>
      <c r="B163">
        <f t="shared" si="54"/>
        <v>0.77777777777777779</v>
      </c>
      <c r="C163">
        <f>[1]!survey_responses[[#This Row],[Tôi tin rằng với các quy định quản lý thuế hiện nay, hành vi gian lận hoặc trốn thuế sẽ dễ dàng bị phát hiện và xử lý nghiêm. - HUMAN-ENF1]]</f>
        <v>3</v>
      </c>
      <c r="D163">
        <f t="shared" si="55"/>
        <v>0.22222222222222221</v>
      </c>
      <c r="E163">
        <f>step3_validation[[#This Row],[AI_ENF2]]</f>
        <v>7</v>
      </c>
      <c r="F163">
        <f t="shared" si="56"/>
        <v>0.66666666666666663</v>
      </c>
      <c r="G163">
        <f>[1]!survey_responses[[#This Row],[Tôi tin rằng Nhà nước, cơ quan thuế có đủ khả năng và công nghệ để phát hiện, xử lý nghiêm các hành vi trốn thuế. - HUMAN-ENF2]]</f>
        <v>8</v>
      </c>
      <c r="H163">
        <f t="shared" si="57"/>
        <v>0.77777777777777779</v>
      </c>
      <c r="I163" s="32">
        <f t="shared" si="58"/>
        <v>0.72222222222222221</v>
      </c>
      <c r="J163" s="32">
        <f t="shared" si="59"/>
        <v>0.5</v>
      </c>
      <c r="K163">
        <f>step3_validation[[#This Row],[AI_FAC1]]</f>
        <v>9</v>
      </c>
      <c r="L163">
        <f t="shared" si="60"/>
        <v>0.88888888888888884</v>
      </c>
      <c r="M163">
        <f>[1]!survey_responses[[#This Row],[Các thủ tục khai báo thuế VÀ/HOẶC quy trình làm việc với cơ quan thuế đơn giản, tiện lợi, nhanh chóng hơn so với trước đây. - HUMAN-FAC1]]</f>
        <v>4</v>
      </c>
      <c r="N163">
        <f t="shared" si="61"/>
        <v>0.33333333333333331</v>
      </c>
      <c r="O163">
        <f>step3_validation[[#This Row],[AI_FAC2]]</f>
        <v>8</v>
      </c>
      <c r="P163">
        <f t="shared" si="62"/>
        <v>0.77777777777777779</v>
      </c>
      <c r="Q163">
        <f>[1]!survey_responses[[#This Row],[So với trước đây, tôi thấy cách tính thuế và các bậc thuế trong phương án mới đơn giản, dễ hiểu và dễ thực hiện hơn. - HUMAN-FAC2]]</f>
        <v>5</v>
      </c>
      <c r="R163">
        <f t="shared" si="63"/>
        <v>0.44444444444444442</v>
      </c>
      <c r="S163" s="32">
        <f t="shared" si="64"/>
        <v>0.83333333333333326</v>
      </c>
      <c r="T163" s="32">
        <f t="shared" si="65"/>
        <v>0.38888888888888884</v>
      </c>
      <c r="U163">
        <f>step3_validation[[#This Row],[AI_TRU1]]</f>
        <v>7</v>
      </c>
      <c r="V163">
        <f t="shared" si="66"/>
        <v>0.66666666666666663</v>
      </c>
      <c r="W163">
        <f>[1]!survey_responses[[#This Row],[Tôi tin rằng Nhà nước, cơ quan thuế sẽ thực thi chính sách mới một cách khách quan, công tâm và đối xử bình đẳng với mọi người nộp thuế.  - HUMAN-TRU1]]</f>
        <v>5</v>
      </c>
      <c r="X163">
        <f t="shared" si="67"/>
        <v>0.44444444444444442</v>
      </c>
      <c r="Y163">
        <f>step3_validation[[#This Row],[AI_TRU2]]</f>
        <v>8</v>
      </c>
      <c r="Z163">
        <f t="shared" si="68"/>
        <v>0.77777777777777779</v>
      </c>
      <c r="AA163">
        <f>[1]!survey_responses[[#This Row],[Tôi thấy mức thuế tôi phải đóng theo phương án mới là công bằng (người thu nhập như tôi đóng mức này là hợp lý). - HUMAN-TRU2]]</f>
        <v>5</v>
      </c>
      <c r="AB163">
        <f t="shared" si="69"/>
        <v>0.44444444444444442</v>
      </c>
      <c r="AC163">
        <f>step3_validation[[#This Row],[AI_TRU3]]</f>
        <v>7</v>
      </c>
      <c r="AD163">
        <f t="shared" si="70"/>
        <v>0.66666666666666663</v>
      </c>
      <c r="AE163">
        <f>[1]!survey_responses[[#This Row],[Tôi tin tưởng số tiền thuế tôi đóng sẽ được Nhà nước sử dụng hiệu quả để cải thiện dịch vụ công (y tế, đường xá...). - HUMAN-TRU3]]</f>
        <v>5</v>
      </c>
      <c r="AF163">
        <f t="shared" si="71"/>
        <v>0.44444444444444442</v>
      </c>
      <c r="AG163">
        <f>step3_validation[[#This Row],[AI_TRU4]]</f>
        <v>6</v>
      </c>
      <c r="AH163">
        <f t="shared" si="72"/>
        <v>0.55555555555555558</v>
      </c>
      <c r="AI163">
        <f>[1]!survey_responses[[#This Row],[Tôi thấy Nhà nước đã giải thích rõ ràng, minh bạch về lý do và mục tiêu của việc sửa đổi thuế lần này. - HUMAN-TRU4]]</f>
        <v>5</v>
      </c>
      <c r="AJ163">
        <f t="shared" si="73"/>
        <v>0.44444444444444442</v>
      </c>
      <c r="AK163" s="32">
        <f t="shared" si="74"/>
        <v>0.66666666666666674</v>
      </c>
      <c r="AL163" s="32">
        <f t="shared" si="75"/>
        <v>0.44444444444444442</v>
      </c>
      <c r="AM163" s="7">
        <f t="shared" si="76"/>
        <v>0.74074074074074081</v>
      </c>
      <c r="AN163" s="7">
        <f t="shared" si="77"/>
        <v>0.44444444444444442</v>
      </c>
      <c r="AO163">
        <f>step3_validation[[#This Row],[AI_OUT1]]</f>
        <v>8</v>
      </c>
      <c r="AP163">
        <f t="shared" si="78"/>
        <v>0.77777777777777779</v>
      </c>
      <c r="AQ163">
        <f>[1]!survey_responses[[#This Row],[Sau khi xem xét các quyền lợi và nghĩa vụ, bạn có ủng hộ và tuân thủ chính sách mới hiện nay? - HUMAN-OUT1]]</f>
        <v>5</v>
      </c>
      <c r="AR163">
        <f t="shared" si="79"/>
        <v>0.44444444444444442</v>
      </c>
      <c r="AS163" s="32">
        <f t="shared" si="80"/>
        <v>3</v>
      </c>
    </row>
    <row r="164" spans="1:45" x14ac:dyDescent="0.45">
      <c r="A164">
        <f>step3_validation[[#This Row],[AI_ENF1]]</f>
        <v>7</v>
      </c>
      <c r="B164">
        <f t="shared" si="54"/>
        <v>0.66666666666666663</v>
      </c>
      <c r="C164">
        <f>[1]!survey_responses[[#This Row],[Tôi tin rằng với các quy định quản lý thuế hiện nay, hành vi gian lận hoặc trốn thuế sẽ dễ dàng bị phát hiện và xử lý nghiêm. - HUMAN-ENF1]]</f>
        <v>10</v>
      </c>
      <c r="D164">
        <f t="shared" si="55"/>
        <v>1</v>
      </c>
      <c r="E164">
        <f>step3_validation[[#This Row],[AI_ENF2]]</f>
        <v>6</v>
      </c>
      <c r="F164">
        <f t="shared" si="56"/>
        <v>0.55555555555555558</v>
      </c>
      <c r="G164">
        <f>[1]!survey_responses[[#This Row],[Tôi tin rằng Nhà nước, cơ quan thuế có đủ khả năng và công nghệ để phát hiện, xử lý nghiêm các hành vi trốn thuế. - HUMAN-ENF2]]</f>
        <v>10</v>
      </c>
      <c r="H164">
        <f t="shared" si="57"/>
        <v>1</v>
      </c>
      <c r="I164" s="32">
        <f t="shared" si="58"/>
        <v>0.61111111111111116</v>
      </c>
      <c r="J164" s="32">
        <f t="shared" si="59"/>
        <v>1</v>
      </c>
      <c r="K164">
        <f>step3_validation[[#This Row],[AI_FAC1]]</f>
        <v>8</v>
      </c>
      <c r="L164">
        <f t="shared" si="60"/>
        <v>0.77777777777777779</v>
      </c>
      <c r="M164">
        <f>[1]!survey_responses[[#This Row],[Các thủ tục khai báo thuế VÀ/HOẶC quy trình làm việc với cơ quan thuế đơn giản, tiện lợi, nhanh chóng hơn so với trước đây. - HUMAN-FAC1]]</f>
        <v>10</v>
      </c>
      <c r="N164">
        <f t="shared" si="61"/>
        <v>1</v>
      </c>
      <c r="O164">
        <f>step3_validation[[#This Row],[AI_FAC2]]</f>
        <v>9</v>
      </c>
      <c r="P164">
        <f t="shared" si="62"/>
        <v>0.88888888888888884</v>
      </c>
      <c r="Q164">
        <f>[1]!survey_responses[[#This Row],[So với trước đây, tôi thấy cách tính thuế và các bậc thuế trong phương án mới đơn giản, dễ hiểu và dễ thực hiện hơn. - HUMAN-FAC2]]</f>
        <v>10</v>
      </c>
      <c r="R164">
        <f t="shared" si="63"/>
        <v>1</v>
      </c>
      <c r="S164" s="32">
        <f t="shared" si="64"/>
        <v>0.83333333333333326</v>
      </c>
      <c r="T164" s="32">
        <f t="shared" si="65"/>
        <v>1</v>
      </c>
      <c r="U164">
        <f>step3_validation[[#This Row],[AI_TRU1]]</f>
        <v>8</v>
      </c>
      <c r="V164">
        <f t="shared" si="66"/>
        <v>0.77777777777777779</v>
      </c>
      <c r="W164">
        <f>[1]!survey_responses[[#This Row],[Tôi tin rằng Nhà nước, cơ quan thuế sẽ thực thi chính sách mới một cách khách quan, công tâm và đối xử bình đẳng với mọi người nộp thuế.  - HUMAN-TRU1]]</f>
        <v>10</v>
      </c>
      <c r="X164">
        <f t="shared" si="67"/>
        <v>1</v>
      </c>
      <c r="Y164">
        <f>step3_validation[[#This Row],[AI_TRU2]]</f>
        <v>9</v>
      </c>
      <c r="Z164">
        <f t="shared" si="68"/>
        <v>0.88888888888888884</v>
      </c>
      <c r="AA164">
        <f>[1]!survey_responses[[#This Row],[Tôi thấy mức thuế tôi phải đóng theo phương án mới là công bằng (người thu nhập như tôi đóng mức này là hợp lý). - HUMAN-TRU2]]</f>
        <v>10</v>
      </c>
      <c r="AB164">
        <f t="shared" si="69"/>
        <v>1</v>
      </c>
      <c r="AC164">
        <f>step3_validation[[#This Row],[AI_TRU3]]</f>
        <v>7</v>
      </c>
      <c r="AD164">
        <f t="shared" si="70"/>
        <v>0.66666666666666663</v>
      </c>
      <c r="AE164">
        <f>[1]!survey_responses[[#This Row],[Tôi tin tưởng số tiền thuế tôi đóng sẽ được Nhà nước sử dụng hiệu quả để cải thiện dịch vụ công (y tế, đường xá...). - HUMAN-TRU3]]</f>
        <v>10</v>
      </c>
      <c r="AF164">
        <f t="shared" si="71"/>
        <v>1</v>
      </c>
      <c r="AG164">
        <f>step3_validation[[#This Row],[AI_TRU4]]</f>
        <v>8</v>
      </c>
      <c r="AH164">
        <f t="shared" si="72"/>
        <v>0.77777777777777779</v>
      </c>
      <c r="AI164">
        <f>[1]!survey_responses[[#This Row],[Tôi thấy Nhà nước đã giải thích rõ ràng, minh bạch về lý do và mục tiêu của việc sửa đổi thuế lần này. - HUMAN-TRU4]]</f>
        <v>10</v>
      </c>
      <c r="AJ164">
        <f t="shared" si="73"/>
        <v>1</v>
      </c>
      <c r="AK164" s="32">
        <f t="shared" si="74"/>
        <v>0.77777777777777768</v>
      </c>
      <c r="AL164" s="32">
        <f t="shared" si="75"/>
        <v>1</v>
      </c>
      <c r="AM164" s="7">
        <f t="shared" si="76"/>
        <v>0.74074074074074081</v>
      </c>
      <c r="AN164" s="7">
        <f t="shared" si="77"/>
        <v>1</v>
      </c>
      <c r="AO164">
        <f>step3_validation[[#This Row],[AI_OUT1]]</f>
        <v>9</v>
      </c>
      <c r="AP164">
        <f t="shared" si="78"/>
        <v>0.88888888888888884</v>
      </c>
      <c r="AQ164">
        <f>[1]!survey_responses[[#This Row],[Sau khi xem xét các quyền lợi và nghĩa vụ, bạn có ủng hộ và tuân thủ chính sách mới hiện nay? - HUMAN-OUT1]]</f>
        <v>10</v>
      </c>
      <c r="AR164">
        <f t="shared" si="79"/>
        <v>1</v>
      </c>
      <c r="AS164" s="32">
        <f t="shared" si="80"/>
        <v>1</v>
      </c>
    </row>
    <row r="165" spans="1:45" x14ac:dyDescent="0.45">
      <c r="A165">
        <f>step3_validation[[#This Row],[AI_ENF1]]</f>
        <v>7</v>
      </c>
      <c r="B165">
        <f t="shared" si="54"/>
        <v>0.66666666666666663</v>
      </c>
      <c r="C165">
        <f>[1]!survey_responses[[#This Row],[Tôi tin rằng với các quy định quản lý thuế hiện nay, hành vi gian lận hoặc trốn thuế sẽ dễ dàng bị phát hiện và xử lý nghiêm. - HUMAN-ENF1]]</f>
        <v>8</v>
      </c>
      <c r="D165">
        <f t="shared" si="55"/>
        <v>0.77777777777777779</v>
      </c>
      <c r="E165">
        <f>step3_validation[[#This Row],[AI_ENF2]]</f>
        <v>6</v>
      </c>
      <c r="F165">
        <f t="shared" si="56"/>
        <v>0.55555555555555558</v>
      </c>
      <c r="G165">
        <f>[1]!survey_responses[[#This Row],[Tôi tin rằng Nhà nước, cơ quan thuế có đủ khả năng và công nghệ để phát hiện, xử lý nghiêm các hành vi trốn thuế. - HUMAN-ENF2]]</f>
        <v>9</v>
      </c>
      <c r="H165">
        <f t="shared" si="57"/>
        <v>0.88888888888888884</v>
      </c>
      <c r="I165" s="32">
        <f t="shared" si="58"/>
        <v>0.61111111111111116</v>
      </c>
      <c r="J165" s="32">
        <f t="shared" si="59"/>
        <v>0.83333333333333326</v>
      </c>
      <c r="K165">
        <f>step3_validation[[#This Row],[AI_FAC1]]</f>
        <v>8</v>
      </c>
      <c r="L165">
        <f t="shared" si="60"/>
        <v>0.77777777777777779</v>
      </c>
      <c r="M165">
        <f>[1]!survey_responses[[#This Row],[Các thủ tục khai báo thuế VÀ/HOẶC quy trình làm việc với cơ quan thuế đơn giản, tiện lợi, nhanh chóng hơn so với trước đây. - HUMAN-FAC1]]</f>
        <v>9</v>
      </c>
      <c r="N165">
        <f t="shared" si="61"/>
        <v>0.88888888888888884</v>
      </c>
      <c r="O165">
        <f>step3_validation[[#This Row],[AI_FAC2]]</f>
        <v>7</v>
      </c>
      <c r="P165">
        <f t="shared" si="62"/>
        <v>0.66666666666666663</v>
      </c>
      <c r="Q165">
        <f>[1]!survey_responses[[#This Row],[So với trước đây, tôi thấy cách tính thuế và các bậc thuế trong phương án mới đơn giản, dễ hiểu và dễ thực hiện hơn. - HUMAN-FAC2]]</f>
        <v>9</v>
      </c>
      <c r="R165">
        <f t="shared" si="63"/>
        <v>0.88888888888888884</v>
      </c>
      <c r="S165" s="32">
        <f t="shared" si="64"/>
        <v>0.72222222222222221</v>
      </c>
      <c r="T165" s="32">
        <f t="shared" si="65"/>
        <v>0.88888888888888884</v>
      </c>
      <c r="U165">
        <f>step3_validation[[#This Row],[AI_TRU1]]</f>
        <v>8</v>
      </c>
      <c r="V165">
        <f t="shared" si="66"/>
        <v>0.77777777777777779</v>
      </c>
      <c r="W165">
        <f>[1]!survey_responses[[#This Row],[Tôi tin rằng Nhà nước, cơ quan thuế sẽ thực thi chính sách mới một cách khách quan, công tâm và đối xử bình đẳng với mọi người nộp thuế.  - HUMAN-TRU1]]</f>
        <v>5</v>
      </c>
      <c r="X165">
        <f t="shared" si="67"/>
        <v>0.44444444444444442</v>
      </c>
      <c r="Y165">
        <f>step3_validation[[#This Row],[AI_TRU2]]</f>
        <v>7</v>
      </c>
      <c r="Z165">
        <f t="shared" si="68"/>
        <v>0.66666666666666663</v>
      </c>
      <c r="AA165">
        <f>[1]!survey_responses[[#This Row],[Tôi thấy mức thuế tôi phải đóng theo phương án mới là công bằng (người thu nhập như tôi đóng mức này là hợp lý). - HUMAN-TRU2]]</f>
        <v>7</v>
      </c>
      <c r="AB165">
        <f t="shared" si="69"/>
        <v>0.66666666666666663</v>
      </c>
      <c r="AC165">
        <f>step3_validation[[#This Row],[AI_TRU3]]</f>
        <v>8</v>
      </c>
      <c r="AD165">
        <f t="shared" si="70"/>
        <v>0.77777777777777779</v>
      </c>
      <c r="AE165">
        <f>[1]!survey_responses[[#This Row],[Tôi tin tưởng số tiền thuế tôi đóng sẽ được Nhà nước sử dụng hiệu quả để cải thiện dịch vụ công (y tế, đường xá...). - HUMAN-TRU3]]</f>
        <v>5</v>
      </c>
      <c r="AF165">
        <f t="shared" si="71"/>
        <v>0.44444444444444442</v>
      </c>
      <c r="AG165">
        <f>step3_validation[[#This Row],[AI_TRU4]]</f>
        <v>6</v>
      </c>
      <c r="AH165">
        <f t="shared" si="72"/>
        <v>0.55555555555555558</v>
      </c>
      <c r="AI165">
        <f>[1]!survey_responses[[#This Row],[Tôi thấy Nhà nước đã giải thích rõ ràng, minh bạch về lý do và mục tiêu của việc sửa đổi thuế lần này. - HUMAN-TRU4]]</f>
        <v>7</v>
      </c>
      <c r="AJ165">
        <f t="shared" si="73"/>
        <v>0.66666666666666663</v>
      </c>
      <c r="AK165" s="32">
        <f t="shared" si="74"/>
        <v>0.69444444444444442</v>
      </c>
      <c r="AL165" s="32">
        <f t="shared" si="75"/>
        <v>0.55555555555555558</v>
      </c>
      <c r="AM165" s="7">
        <f t="shared" si="76"/>
        <v>0.67592592592592593</v>
      </c>
      <c r="AN165" s="7">
        <f t="shared" si="77"/>
        <v>0.75925925925925919</v>
      </c>
      <c r="AO165">
        <f>step3_validation[[#This Row],[AI_OUT1]]</f>
        <v>7</v>
      </c>
      <c r="AP165">
        <f t="shared" si="78"/>
        <v>0.66666666666666663</v>
      </c>
      <c r="AQ165">
        <f>[1]!survey_responses[[#This Row],[Sau khi xem xét các quyền lợi và nghĩa vụ, bạn có ủng hộ và tuân thủ chính sách mới hiện nay? - HUMAN-OUT1]]</f>
        <v>7</v>
      </c>
      <c r="AR165">
        <f t="shared" si="79"/>
        <v>0.66666666666666663</v>
      </c>
      <c r="AS165" s="32">
        <f t="shared" si="80"/>
        <v>0</v>
      </c>
    </row>
    <row r="166" spans="1:45" x14ac:dyDescent="0.45">
      <c r="A166">
        <f>step3_validation[[#This Row],[AI_ENF1]]</f>
        <v>7</v>
      </c>
      <c r="B166">
        <f t="shared" si="54"/>
        <v>0.66666666666666663</v>
      </c>
      <c r="C166">
        <f>[1]!survey_responses[[#This Row],[Tôi tin rằng với các quy định quản lý thuế hiện nay, hành vi gian lận hoặc trốn thuế sẽ dễ dàng bị phát hiện và xử lý nghiêm. - HUMAN-ENF1]]</f>
        <v>5</v>
      </c>
      <c r="D166">
        <f t="shared" si="55"/>
        <v>0.44444444444444442</v>
      </c>
      <c r="E166">
        <f>step3_validation[[#This Row],[AI_ENF2]]</f>
        <v>8</v>
      </c>
      <c r="F166">
        <f t="shared" si="56"/>
        <v>0.77777777777777779</v>
      </c>
      <c r="G166">
        <f>[1]!survey_responses[[#This Row],[Tôi tin rằng Nhà nước, cơ quan thuế có đủ khả năng và công nghệ để phát hiện, xử lý nghiêm các hành vi trốn thuế. - HUMAN-ENF2]]</f>
        <v>5</v>
      </c>
      <c r="H166">
        <f t="shared" si="57"/>
        <v>0.44444444444444442</v>
      </c>
      <c r="I166" s="32">
        <f t="shared" si="58"/>
        <v>0.72222222222222221</v>
      </c>
      <c r="J166" s="32">
        <f t="shared" si="59"/>
        <v>0.44444444444444442</v>
      </c>
      <c r="K166">
        <f>step3_validation[[#This Row],[AI_FAC1]]</f>
        <v>9</v>
      </c>
      <c r="L166">
        <f t="shared" si="60"/>
        <v>0.88888888888888884</v>
      </c>
      <c r="M166">
        <f>[1]!survey_responses[[#This Row],[Các thủ tục khai báo thuế VÀ/HOẶC quy trình làm việc với cơ quan thuế đơn giản, tiện lợi, nhanh chóng hơn so với trước đây. - HUMAN-FAC1]]</f>
        <v>6</v>
      </c>
      <c r="N166">
        <f t="shared" si="61"/>
        <v>0.55555555555555558</v>
      </c>
      <c r="O166">
        <f>step3_validation[[#This Row],[AI_FAC2]]</f>
        <v>8</v>
      </c>
      <c r="P166">
        <f t="shared" si="62"/>
        <v>0.77777777777777779</v>
      </c>
      <c r="Q166">
        <f>[1]!survey_responses[[#This Row],[So với trước đây, tôi thấy cách tính thuế và các bậc thuế trong phương án mới đơn giản, dễ hiểu và dễ thực hiện hơn. - HUMAN-FAC2]]</f>
        <v>6</v>
      </c>
      <c r="R166">
        <f t="shared" si="63"/>
        <v>0.55555555555555558</v>
      </c>
      <c r="S166" s="32">
        <f t="shared" si="64"/>
        <v>0.83333333333333326</v>
      </c>
      <c r="T166" s="32">
        <f t="shared" si="65"/>
        <v>0.55555555555555558</v>
      </c>
      <c r="U166">
        <f>step3_validation[[#This Row],[AI_TRU1]]</f>
        <v>6</v>
      </c>
      <c r="V166">
        <f t="shared" si="66"/>
        <v>0.55555555555555558</v>
      </c>
      <c r="W166">
        <f>[1]!survey_responses[[#This Row],[Tôi tin rằng Nhà nước, cơ quan thuế sẽ thực thi chính sách mới một cách khách quan, công tâm và đối xử bình đẳng với mọi người nộp thuế.  - HUMAN-TRU1]]</f>
        <v>6</v>
      </c>
      <c r="X166">
        <f t="shared" si="67"/>
        <v>0.55555555555555558</v>
      </c>
      <c r="Y166">
        <f>step3_validation[[#This Row],[AI_TRU2]]</f>
        <v>7</v>
      </c>
      <c r="Z166">
        <f t="shared" si="68"/>
        <v>0.66666666666666663</v>
      </c>
      <c r="AA166">
        <f>[1]!survey_responses[[#This Row],[Tôi thấy mức thuế tôi phải đóng theo phương án mới là công bằng (người thu nhập như tôi đóng mức này là hợp lý). - HUMAN-TRU2]]</f>
        <v>6</v>
      </c>
      <c r="AB166">
        <f t="shared" si="69"/>
        <v>0.55555555555555558</v>
      </c>
      <c r="AC166">
        <f>step3_validation[[#This Row],[AI_TRU3]]</f>
        <v>5</v>
      </c>
      <c r="AD166">
        <f t="shared" si="70"/>
        <v>0.44444444444444442</v>
      </c>
      <c r="AE166">
        <f>[1]!survey_responses[[#This Row],[Tôi tin tưởng số tiền thuế tôi đóng sẽ được Nhà nước sử dụng hiệu quả để cải thiện dịch vụ công (y tế, đường xá...). - HUMAN-TRU3]]</f>
        <v>5</v>
      </c>
      <c r="AF166">
        <f t="shared" si="71"/>
        <v>0.44444444444444442</v>
      </c>
      <c r="AG166">
        <f>step3_validation[[#This Row],[AI_TRU4]]</f>
        <v>6</v>
      </c>
      <c r="AH166">
        <f t="shared" si="72"/>
        <v>0.55555555555555558</v>
      </c>
      <c r="AI166">
        <f>[1]!survey_responses[[#This Row],[Tôi thấy Nhà nước đã giải thích rõ ràng, minh bạch về lý do và mục tiêu của việc sửa đổi thuế lần này. - HUMAN-TRU4]]</f>
        <v>7</v>
      </c>
      <c r="AJ166">
        <f t="shared" si="73"/>
        <v>0.66666666666666663</v>
      </c>
      <c r="AK166" s="32">
        <f t="shared" si="74"/>
        <v>0.55555555555555558</v>
      </c>
      <c r="AL166" s="32">
        <f t="shared" si="75"/>
        <v>0.55555555555555558</v>
      </c>
      <c r="AM166" s="7">
        <f t="shared" si="76"/>
        <v>0.70370370370370361</v>
      </c>
      <c r="AN166" s="7">
        <f t="shared" si="77"/>
        <v>0.51851851851851849</v>
      </c>
      <c r="AO166">
        <f>step3_validation[[#This Row],[AI_OUT1]]</f>
        <v>7</v>
      </c>
      <c r="AP166">
        <f t="shared" si="78"/>
        <v>0.66666666666666663</v>
      </c>
      <c r="AQ166">
        <f>[1]!survey_responses[[#This Row],[Sau khi xem xét các quyền lợi và nghĩa vụ, bạn có ủng hộ và tuân thủ chính sách mới hiện nay? - HUMAN-OUT1]]</f>
        <v>8</v>
      </c>
      <c r="AR166">
        <f t="shared" si="79"/>
        <v>0.77777777777777779</v>
      </c>
      <c r="AS166" s="32">
        <f t="shared" si="80"/>
        <v>1</v>
      </c>
    </row>
    <row r="167" spans="1:45" x14ac:dyDescent="0.45">
      <c r="A167">
        <f>step3_validation[[#This Row],[AI_ENF1]]</f>
        <v>7</v>
      </c>
      <c r="B167">
        <f t="shared" si="54"/>
        <v>0.66666666666666663</v>
      </c>
      <c r="C167">
        <f>[1]!survey_responses[[#This Row],[Tôi tin rằng với các quy định quản lý thuế hiện nay, hành vi gian lận hoặc trốn thuế sẽ dễ dàng bị phát hiện và xử lý nghiêm. - HUMAN-ENF1]]</f>
        <v>10</v>
      </c>
      <c r="D167">
        <f t="shared" si="55"/>
        <v>1</v>
      </c>
      <c r="E167">
        <f>step3_validation[[#This Row],[AI_ENF2]]</f>
        <v>7</v>
      </c>
      <c r="F167">
        <f t="shared" si="56"/>
        <v>0.66666666666666663</v>
      </c>
      <c r="G167">
        <f>[1]!survey_responses[[#This Row],[Tôi tin rằng Nhà nước, cơ quan thuế có đủ khả năng và công nghệ để phát hiện, xử lý nghiêm các hành vi trốn thuế. - HUMAN-ENF2]]</f>
        <v>8</v>
      </c>
      <c r="H167">
        <f t="shared" si="57"/>
        <v>0.77777777777777779</v>
      </c>
      <c r="I167" s="32">
        <f t="shared" si="58"/>
        <v>0.66666666666666663</v>
      </c>
      <c r="J167" s="32">
        <f t="shared" si="59"/>
        <v>0.88888888888888884</v>
      </c>
      <c r="K167">
        <f>step3_validation[[#This Row],[AI_FAC1]]</f>
        <v>8</v>
      </c>
      <c r="L167">
        <f t="shared" si="60"/>
        <v>0.77777777777777779</v>
      </c>
      <c r="M167">
        <f>[1]!survey_responses[[#This Row],[Các thủ tục khai báo thuế VÀ/HOẶC quy trình làm việc với cơ quan thuế đơn giản, tiện lợi, nhanh chóng hơn so với trước đây. - HUMAN-FAC1]]</f>
        <v>10</v>
      </c>
      <c r="N167">
        <f t="shared" si="61"/>
        <v>1</v>
      </c>
      <c r="O167">
        <f>step3_validation[[#This Row],[AI_FAC2]]</f>
        <v>9</v>
      </c>
      <c r="P167">
        <f t="shared" si="62"/>
        <v>0.88888888888888884</v>
      </c>
      <c r="Q167">
        <f>[1]!survey_responses[[#This Row],[So với trước đây, tôi thấy cách tính thuế và các bậc thuế trong phương án mới đơn giản, dễ hiểu và dễ thực hiện hơn. - HUMAN-FAC2]]</f>
        <v>10</v>
      </c>
      <c r="R167">
        <f t="shared" si="63"/>
        <v>1</v>
      </c>
      <c r="S167" s="32">
        <f t="shared" si="64"/>
        <v>0.83333333333333326</v>
      </c>
      <c r="T167" s="32">
        <f t="shared" si="65"/>
        <v>1</v>
      </c>
      <c r="U167">
        <f>step3_validation[[#This Row],[AI_TRU1]]</f>
        <v>7</v>
      </c>
      <c r="V167">
        <f t="shared" si="66"/>
        <v>0.66666666666666663</v>
      </c>
      <c r="W167">
        <f>[1]!survey_responses[[#This Row],[Tôi tin rằng Nhà nước, cơ quan thuế sẽ thực thi chính sách mới một cách khách quan, công tâm và đối xử bình đẳng với mọi người nộp thuế.  - HUMAN-TRU1]]</f>
        <v>10</v>
      </c>
      <c r="X167">
        <f t="shared" si="67"/>
        <v>1</v>
      </c>
      <c r="Y167">
        <f>step3_validation[[#This Row],[AI_TRU2]]</f>
        <v>8</v>
      </c>
      <c r="Z167">
        <f t="shared" si="68"/>
        <v>0.77777777777777779</v>
      </c>
      <c r="AA167">
        <f>[1]!survey_responses[[#This Row],[Tôi thấy mức thuế tôi phải đóng theo phương án mới là công bằng (người thu nhập như tôi đóng mức này là hợp lý). - HUMAN-TRU2]]</f>
        <v>10</v>
      </c>
      <c r="AB167">
        <f t="shared" si="69"/>
        <v>1</v>
      </c>
      <c r="AC167">
        <f>step3_validation[[#This Row],[AI_TRU3]]</f>
        <v>7</v>
      </c>
      <c r="AD167">
        <f t="shared" si="70"/>
        <v>0.66666666666666663</v>
      </c>
      <c r="AE167">
        <f>[1]!survey_responses[[#This Row],[Tôi tin tưởng số tiền thuế tôi đóng sẽ được Nhà nước sử dụng hiệu quả để cải thiện dịch vụ công (y tế, đường xá...). - HUMAN-TRU3]]</f>
        <v>10</v>
      </c>
      <c r="AF167">
        <f t="shared" si="71"/>
        <v>1</v>
      </c>
      <c r="AG167">
        <f>step3_validation[[#This Row],[AI_TRU4]]</f>
        <v>7</v>
      </c>
      <c r="AH167">
        <f t="shared" si="72"/>
        <v>0.66666666666666663</v>
      </c>
      <c r="AI167">
        <f>[1]!survey_responses[[#This Row],[Tôi thấy Nhà nước đã giải thích rõ ràng, minh bạch về lý do và mục tiêu của việc sửa đổi thuế lần này. - HUMAN-TRU4]]</f>
        <v>10</v>
      </c>
      <c r="AJ167">
        <f t="shared" si="73"/>
        <v>1</v>
      </c>
      <c r="AK167" s="32">
        <f t="shared" si="74"/>
        <v>0.69444444444444442</v>
      </c>
      <c r="AL167" s="32">
        <f t="shared" si="75"/>
        <v>1</v>
      </c>
      <c r="AM167" s="7">
        <f t="shared" si="76"/>
        <v>0.73148148148148151</v>
      </c>
      <c r="AN167" s="7">
        <f t="shared" si="77"/>
        <v>0.96296296296296291</v>
      </c>
      <c r="AO167">
        <f>step3_validation[[#This Row],[AI_OUT1]]</f>
        <v>8</v>
      </c>
      <c r="AP167">
        <f t="shared" si="78"/>
        <v>0.77777777777777779</v>
      </c>
      <c r="AQ167">
        <f>[1]!survey_responses[[#This Row],[Sau khi xem xét các quyền lợi và nghĩa vụ, bạn có ủng hộ và tuân thủ chính sách mới hiện nay? - HUMAN-OUT1]]</f>
        <v>8</v>
      </c>
      <c r="AR167">
        <f t="shared" si="79"/>
        <v>0.77777777777777779</v>
      </c>
      <c r="AS167" s="32">
        <f t="shared" si="80"/>
        <v>0</v>
      </c>
    </row>
    <row r="168" spans="1:45" x14ac:dyDescent="0.45">
      <c r="A168">
        <f>step3_validation[[#This Row],[AI_ENF1]]</f>
        <v>7</v>
      </c>
      <c r="B168">
        <f t="shared" si="54"/>
        <v>0.66666666666666663</v>
      </c>
      <c r="C168">
        <f>[1]!survey_responses[[#This Row],[Tôi tin rằng với các quy định quản lý thuế hiện nay, hành vi gian lận hoặc trốn thuế sẽ dễ dàng bị phát hiện và xử lý nghiêm. - HUMAN-ENF1]]</f>
        <v>5</v>
      </c>
      <c r="D168">
        <f t="shared" si="55"/>
        <v>0.44444444444444442</v>
      </c>
      <c r="E168">
        <f>step3_validation[[#This Row],[AI_ENF2]]</f>
        <v>8</v>
      </c>
      <c r="F168">
        <f t="shared" si="56"/>
        <v>0.77777777777777779</v>
      </c>
      <c r="G168">
        <f>[1]!survey_responses[[#This Row],[Tôi tin rằng Nhà nước, cơ quan thuế có đủ khả năng và công nghệ để phát hiện, xử lý nghiêm các hành vi trốn thuế. - HUMAN-ENF2]]</f>
        <v>8</v>
      </c>
      <c r="H168">
        <f t="shared" si="57"/>
        <v>0.77777777777777779</v>
      </c>
      <c r="I168" s="32">
        <f t="shared" si="58"/>
        <v>0.72222222222222221</v>
      </c>
      <c r="J168" s="32">
        <f t="shared" si="59"/>
        <v>0.61111111111111116</v>
      </c>
      <c r="K168">
        <f>step3_validation[[#This Row],[AI_FAC1]]</f>
        <v>6</v>
      </c>
      <c r="L168">
        <f t="shared" si="60"/>
        <v>0.55555555555555558</v>
      </c>
      <c r="M168">
        <f>[1]!survey_responses[[#This Row],[Các thủ tục khai báo thuế VÀ/HOẶC quy trình làm việc với cơ quan thuế đơn giản, tiện lợi, nhanh chóng hơn so với trước đây. - HUMAN-FAC1]]</f>
        <v>5</v>
      </c>
      <c r="N168">
        <f t="shared" si="61"/>
        <v>0.44444444444444442</v>
      </c>
      <c r="O168">
        <f>step3_validation[[#This Row],[AI_FAC2]]</f>
        <v>7</v>
      </c>
      <c r="P168">
        <f t="shared" si="62"/>
        <v>0.66666666666666663</v>
      </c>
      <c r="Q168">
        <f>[1]!survey_responses[[#This Row],[So với trước đây, tôi thấy cách tính thuế và các bậc thuế trong phương án mới đơn giản, dễ hiểu và dễ thực hiện hơn. - HUMAN-FAC2]]</f>
        <v>8</v>
      </c>
      <c r="R168">
        <f t="shared" si="63"/>
        <v>0.77777777777777779</v>
      </c>
      <c r="S168" s="32">
        <f t="shared" si="64"/>
        <v>0.61111111111111116</v>
      </c>
      <c r="T168" s="32">
        <f t="shared" si="65"/>
        <v>0.61111111111111116</v>
      </c>
      <c r="U168">
        <f>step3_validation[[#This Row],[AI_TRU1]]</f>
        <v>8</v>
      </c>
      <c r="V168">
        <f t="shared" si="66"/>
        <v>0.77777777777777779</v>
      </c>
      <c r="W168">
        <f>[1]!survey_responses[[#This Row],[Tôi tin rằng Nhà nước, cơ quan thuế sẽ thực thi chính sách mới một cách khách quan, công tâm và đối xử bình đẳng với mọi người nộp thuế.  - HUMAN-TRU1]]</f>
        <v>4</v>
      </c>
      <c r="X168">
        <f t="shared" si="67"/>
        <v>0.33333333333333331</v>
      </c>
      <c r="Y168">
        <f>step3_validation[[#This Row],[AI_TRU2]]</f>
        <v>7</v>
      </c>
      <c r="Z168">
        <f t="shared" si="68"/>
        <v>0.66666666666666663</v>
      </c>
      <c r="AA168">
        <f>[1]!survey_responses[[#This Row],[Tôi thấy mức thuế tôi phải đóng theo phương án mới là công bằng (người thu nhập như tôi đóng mức này là hợp lý). - HUMAN-TRU2]]</f>
        <v>5</v>
      </c>
      <c r="AB168">
        <f t="shared" si="69"/>
        <v>0.44444444444444442</v>
      </c>
      <c r="AC168">
        <f>step3_validation[[#This Row],[AI_TRU3]]</f>
        <v>6</v>
      </c>
      <c r="AD168">
        <f t="shared" si="70"/>
        <v>0.55555555555555558</v>
      </c>
      <c r="AE168">
        <f>[1]!survey_responses[[#This Row],[Tôi tin tưởng số tiền thuế tôi đóng sẽ được Nhà nước sử dụng hiệu quả để cải thiện dịch vụ công (y tế, đường xá...). - HUMAN-TRU3]]</f>
        <v>1</v>
      </c>
      <c r="AF168">
        <f t="shared" si="71"/>
        <v>0</v>
      </c>
      <c r="AG168">
        <f>step3_validation[[#This Row],[AI_TRU4]]</f>
        <v>5</v>
      </c>
      <c r="AH168">
        <f t="shared" si="72"/>
        <v>0.44444444444444442</v>
      </c>
      <c r="AI168">
        <f>[1]!survey_responses[[#This Row],[Tôi thấy Nhà nước đã giải thích rõ ràng, minh bạch về lý do và mục tiêu của việc sửa đổi thuế lần này. - HUMAN-TRU4]]</f>
        <v>5</v>
      </c>
      <c r="AJ168">
        <f t="shared" si="73"/>
        <v>0.44444444444444442</v>
      </c>
      <c r="AK168" s="32">
        <f t="shared" si="74"/>
        <v>0.61111111111111116</v>
      </c>
      <c r="AL168" s="32">
        <f t="shared" si="75"/>
        <v>0.30555555555555552</v>
      </c>
      <c r="AM168" s="7">
        <f t="shared" si="76"/>
        <v>0.64814814814814825</v>
      </c>
      <c r="AN168" s="7">
        <f t="shared" si="77"/>
        <v>0.5092592592592593</v>
      </c>
      <c r="AO168">
        <f>step3_validation[[#This Row],[AI_OUT1]]</f>
        <v>6</v>
      </c>
      <c r="AP168">
        <f t="shared" si="78"/>
        <v>0.55555555555555558</v>
      </c>
      <c r="AQ168">
        <f>[1]!survey_responses[[#This Row],[Sau khi xem xét các quyền lợi và nghĩa vụ, bạn có ủng hộ và tuân thủ chính sách mới hiện nay? - HUMAN-OUT1]]</f>
        <v>5</v>
      </c>
      <c r="AR168">
        <f t="shared" si="79"/>
        <v>0.44444444444444442</v>
      </c>
      <c r="AS168" s="32">
        <f t="shared" si="80"/>
        <v>1</v>
      </c>
    </row>
    <row r="169" spans="1:45" x14ac:dyDescent="0.45">
      <c r="A169">
        <f>step3_validation[[#This Row],[AI_ENF1]]</f>
        <v>7</v>
      </c>
      <c r="B169">
        <f t="shared" si="54"/>
        <v>0.66666666666666663</v>
      </c>
      <c r="C169">
        <f>[1]!survey_responses[[#This Row],[Tôi tin rằng với các quy định quản lý thuế hiện nay, hành vi gian lận hoặc trốn thuế sẽ dễ dàng bị phát hiện và xử lý nghiêm. - HUMAN-ENF1]]</f>
        <v>7</v>
      </c>
      <c r="D169">
        <f t="shared" si="55"/>
        <v>0.66666666666666663</v>
      </c>
      <c r="E169">
        <f>step3_validation[[#This Row],[AI_ENF2]]</f>
        <v>8</v>
      </c>
      <c r="F169">
        <f t="shared" si="56"/>
        <v>0.77777777777777779</v>
      </c>
      <c r="G169">
        <f>[1]!survey_responses[[#This Row],[Tôi tin rằng Nhà nước, cơ quan thuế có đủ khả năng và công nghệ để phát hiện, xử lý nghiêm các hành vi trốn thuế. - HUMAN-ENF2]]</f>
        <v>7</v>
      </c>
      <c r="H169">
        <f t="shared" si="57"/>
        <v>0.66666666666666663</v>
      </c>
      <c r="I169" s="32">
        <f t="shared" si="58"/>
        <v>0.72222222222222221</v>
      </c>
      <c r="J169" s="32">
        <f t="shared" si="59"/>
        <v>0.66666666666666663</v>
      </c>
      <c r="K169">
        <f>step3_validation[[#This Row],[AI_FAC1]]</f>
        <v>9</v>
      </c>
      <c r="L169">
        <f t="shared" si="60"/>
        <v>0.88888888888888884</v>
      </c>
      <c r="M169">
        <f>[1]!survey_responses[[#This Row],[Các thủ tục khai báo thuế VÀ/HOẶC quy trình làm việc với cơ quan thuế đơn giản, tiện lợi, nhanh chóng hơn so với trước đây. - HUMAN-FAC1]]</f>
        <v>8</v>
      </c>
      <c r="N169">
        <f t="shared" si="61"/>
        <v>0.77777777777777779</v>
      </c>
      <c r="O169">
        <f>step3_validation[[#This Row],[AI_FAC2]]</f>
        <v>8</v>
      </c>
      <c r="P169">
        <f t="shared" si="62"/>
        <v>0.77777777777777779</v>
      </c>
      <c r="Q169">
        <f>[1]!survey_responses[[#This Row],[So với trước đây, tôi thấy cách tính thuế và các bậc thuế trong phương án mới đơn giản, dễ hiểu và dễ thực hiện hơn. - HUMAN-FAC2]]</f>
        <v>8</v>
      </c>
      <c r="R169">
        <f t="shared" si="63"/>
        <v>0.77777777777777779</v>
      </c>
      <c r="S169" s="32">
        <f t="shared" si="64"/>
        <v>0.83333333333333326</v>
      </c>
      <c r="T169" s="32">
        <f t="shared" si="65"/>
        <v>0.77777777777777779</v>
      </c>
      <c r="U169">
        <f>step3_validation[[#This Row],[AI_TRU1]]</f>
        <v>9</v>
      </c>
      <c r="V169">
        <f t="shared" si="66"/>
        <v>0.88888888888888884</v>
      </c>
      <c r="W169">
        <f>[1]!survey_responses[[#This Row],[Tôi tin rằng Nhà nước, cơ quan thuế sẽ thực thi chính sách mới một cách khách quan, công tâm và đối xử bình đẳng với mọi người nộp thuế.  - HUMAN-TRU1]]</f>
        <v>7</v>
      </c>
      <c r="X169">
        <f t="shared" si="67"/>
        <v>0.66666666666666663</v>
      </c>
      <c r="Y169">
        <f>step3_validation[[#This Row],[AI_TRU2]]</f>
        <v>8</v>
      </c>
      <c r="Z169">
        <f t="shared" si="68"/>
        <v>0.77777777777777779</v>
      </c>
      <c r="AA169">
        <f>[1]!survey_responses[[#This Row],[Tôi thấy mức thuế tôi phải đóng theo phương án mới là công bằng (người thu nhập như tôi đóng mức này là hợp lý). - HUMAN-TRU2]]</f>
        <v>8</v>
      </c>
      <c r="AB169">
        <f t="shared" si="69"/>
        <v>0.77777777777777779</v>
      </c>
      <c r="AC169">
        <f>step3_validation[[#This Row],[AI_TRU3]]</f>
        <v>7</v>
      </c>
      <c r="AD169">
        <f t="shared" si="70"/>
        <v>0.66666666666666663</v>
      </c>
      <c r="AE169">
        <f>[1]!survey_responses[[#This Row],[Tôi tin tưởng số tiền thuế tôi đóng sẽ được Nhà nước sử dụng hiệu quả để cải thiện dịch vụ công (y tế, đường xá...). - HUMAN-TRU3]]</f>
        <v>8</v>
      </c>
      <c r="AF169">
        <f t="shared" si="71"/>
        <v>0.77777777777777779</v>
      </c>
      <c r="AG169">
        <f>step3_validation[[#This Row],[AI_TRU4]]</f>
        <v>8</v>
      </c>
      <c r="AH169">
        <f t="shared" si="72"/>
        <v>0.77777777777777779</v>
      </c>
      <c r="AI169">
        <f>[1]!survey_responses[[#This Row],[Tôi thấy Nhà nước đã giải thích rõ ràng, minh bạch về lý do và mục tiêu của việc sửa đổi thuế lần này. - HUMAN-TRU4]]</f>
        <v>8</v>
      </c>
      <c r="AJ169">
        <f t="shared" si="73"/>
        <v>0.77777777777777779</v>
      </c>
      <c r="AK169" s="32">
        <f t="shared" si="74"/>
        <v>0.77777777777777768</v>
      </c>
      <c r="AL169" s="32">
        <f t="shared" si="75"/>
        <v>0.75</v>
      </c>
      <c r="AM169" s="7">
        <f t="shared" si="76"/>
        <v>0.77777777777777768</v>
      </c>
      <c r="AN169" s="7">
        <f t="shared" si="77"/>
        <v>0.73148148148148151</v>
      </c>
      <c r="AO169">
        <f>step3_validation[[#This Row],[AI_OUT1]]</f>
        <v>9</v>
      </c>
      <c r="AP169">
        <f t="shared" si="78"/>
        <v>0.88888888888888884</v>
      </c>
      <c r="AQ169">
        <f>[1]!survey_responses[[#This Row],[Sau khi xem xét các quyền lợi và nghĩa vụ, bạn có ủng hộ và tuân thủ chính sách mới hiện nay? - HUMAN-OUT1]]</f>
        <v>9</v>
      </c>
      <c r="AR169">
        <f t="shared" si="79"/>
        <v>0.88888888888888884</v>
      </c>
      <c r="AS169" s="32">
        <f t="shared" si="80"/>
        <v>0</v>
      </c>
    </row>
    <row r="170" spans="1:45" x14ac:dyDescent="0.45">
      <c r="A170">
        <f>step3_validation[[#This Row],[AI_ENF1]]</f>
        <v>7</v>
      </c>
      <c r="B170">
        <f t="shared" si="54"/>
        <v>0.66666666666666663</v>
      </c>
      <c r="C170">
        <f>[1]!survey_responses[[#This Row],[Tôi tin rằng với các quy định quản lý thuế hiện nay, hành vi gian lận hoặc trốn thuế sẽ dễ dàng bị phát hiện và xử lý nghiêm. - HUMAN-ENF1]]</f>
        <v>8</v>
      </c>
      <c r="D170">
        <f t="shared" si="55"/>
        <v>0.77777777777777779</v>
      </c>
      <c r="E170">
        <f>step3_validation[[#This Row],[AI_ENF2]]</f>
        <v>8</v>
      </c>
      <c r="F170">
        <f t="shared" si="56"/>
        <v>0.77777777777777779</v>
      </c>
      <c r="G170">
        <f>[1]!survey_responses[[#This Row],[Tôi tin rằng Nhà nước, cơ quan thuế có đủ khả năng và công nghệ để phát hiện, xử lý nghiêm các hành vi trốn thuế. - HUMAN-ENF2]]</f>
        <v>8</v>
      </c>
      <c r="H170">
        <f t="shared" si="57"/>
        <v>0.77777777777777779</v>
      </c>
      <c r="I170" s="32">
        <f t="shared" si="58"/>
        <v>0.72222222222222221</v>
      </c>
      <c r="J170" s="32">
        <f t="shared" si="59"/>
        <v>0.77777777777777779</v>
      </c>
      <c r="K170">
        <f>step3_validation[[#This Row],[AI_FAC1]]</f>
        <v>9</v>
      </c>
      <c r="L170">
        <f t="shared" si="60"/>
        <v>0.88888888888888884</v>
      </c>
      <c r="M170">
        <f>[1]!survey_responses[[#This Row],[Các thủ tục khai báo thuế VÀ/HOẶC quy trình làm việc với cơ quan thuế đơn giản, tiện lợi, nhanh chóng hơn so với trước đây. - HUMAN-FAC1]]</f>
        <v>7</v>
      </c>
      <c r="N170">
        <f t="shared" si="61"/>
        <v>0.66666666666666663</v>
      </c>
      <c r="O170">
        <f>step3_validation[[#This Row],[AI_FAC2]]</f>
        <v>8</v>
      </c>
      <c r="P170">
        <f t="shared" si="62"/>
        <v>0.77777777777777779</v>
      </c>
      <c r="Q170">
        <f>[1]!survey_responses[[#This Row],[So với trước đây, tôi thấy cách tính thuế và các bậc thuế trong phương án mới đơn giản, dễ hiểu và dễ thực hiện hơn. - HUMAN-FAC2]]</f>
        <v>8</v>
      </c>
      <c r="R170">
        <f t="shared" si="63"/>
        <v>0.77777777777777779</v>
      </c>
      <c r="S170" s="32">
        <f t="shared" si="64"/>
        <v>0.83333333333333326</v>
      </c>
      <c r="T170" s="32">
        <f t="shared" si="65"/>
        <v>0.72222222222222221</v>
      </c>
      <c r="U170">
        <f>step3_validation[[#This Row],[AI_TRU1]]</f>
        <v>7</v>
      </c>
      <c r="V170">
        <f t="shared" si="66"/>
        <v>0.66666666666666663</v>
      </c>
      <c r="W170">
        <f>[1]!survey_responses[[#This Row],[Tôi tin rằng Nhà nước, cơ quan thuế sẽ thực thi chính sách mới một cách khách quan, công tâm và đối xử bình đẳng với mọi người nộp thuế.  - HUMAN-TRU1]]</f>
        <v>7</v>
      </c>
      <c r="X170">
        <f t="shared" si="67"/>
        <v>0.66666666666666663</v>
      </c>
      <c r="Y170">
        <f>step3_validation[[#This Row],[AI_TRU2]]</f>
        <v>6</v>
      </c>
      <c r="Z170">
        <f t="shared" si="68"/>
        <v>0.55555555555555558</v>
      </c>
      <c r="AA170">
        <f>[1]!survey_responses[[#This Row],[Tôi thấy mức thuế tôi phải đóng theo phương án mới là công bằng (người thu nhập như tôi đóng mức này là hợp lý). - HUMAN-TRU2]]</f>
        <v>7</v>
      </c>
      <c r="AB170">
        <f t="shared" si="69"/>
        <v>0.66666666666666663</v>
      </c>
      <c r="AC170">
        <f>step3_validation[[#This Row],[AI_TRU3]]</f>
        <v>5</v>
      </c>
      <c r="AD170">
        <f t="shared" si="70"/>
        <v>0.44444444444444442</v>
      </c>
      <c r="AE170">
        <f>[1]!survey_responses[[#This Row],[Tôi tin tưởng số tiền thuế tôi đóng sẽ được Nhà nước sử dụng hiệu quả để cải thiện dịch vụ công (y tế, đường xá...). - HUMAN-TRU3]]</f>
        <v>7</v>
      </c>
      <c r="AF170">
        <f t="shared" si="71"/>
        <v>0.66666666666666663</v>
      </c>
      <c r="AG170">
        <f>step3_validation[[#This Row],[AI_TRU4]]</f>
        <v>6</v>
      </c>
      <c r="AH170">
        <f t="shared" si="72"/>
        <v>0.55555555555555558</v>
      </c>
      <c r="AI170">
        <f>[1]!survey_responses[[#This Row],[Tôi thấy Nhà nước đã giải thích rõ ràng, minh bạch về lý do và mục tiêu của việc sửa đổi thuế lần này. - HUMAN-TRU4]]</f>
        <v>8</v>
      </c>
      <c r="AJ170">
        <f t="shared" si="73"/>
        <v>0.77777777777777779</v>
      </c>
      <c r="AK170" s="32">
        <f t="shared" si="74"/>
        <v>0.55555555555555558</v>
      </c>
      <c r="AL170" s="32">
        <f t="shared" si="75"/>
        <v>0.69444444444444442</v>
      </c>
      <c r="AM170" s="7">
        <f t="shared" si="76"/>
        <v>0.70370370370370361</v>
      </c>
      <c r="AN170" s="7">
        <f t="shared" si="77"/>
        <v>0.73148148148148151</v>
      </c>
      <c r="AO170">
        <f>step3_validation[[#This Row],[AI_OUT1]]</f>
        <v>8</v>
      </c>
      <c r="AP170">
        <f t="shared" si="78"/>
        <v>0.77777777777777779</v>
      </c>
      <c r="AQ170">
        <f>[1]!survey_responses[[#This Row],[Sau khi xem xét các quyền lợi và nghĩa vụ, bạn có ủng hộ và tuân thủ chính sách mới hiện nay? - HUMAN-OUT1]]</f>
        <v>8</v>
      </c>
      <c r="AR170">
        <f t="shared" si="79"/>
        <v>0.77777777777777779</v>
      </c>
      <c r="AS170" s="32">
        <f t="shared" si="80"/>
        <v>0</v>
      </c>
    </row>
    <row r="171" spans="1:45" x14ac:dyDescent="0.45">
      <c r="A171">
        <f>step3_validation[[#This Row],[AI_ENF1]]</f>
        <v>8</v>
      </c>
      <c r="B171">
        <f t="shared" si="54"/>
        <v>0.77777777777777779</v>
      </c>
      <c r="C171">
        <f>[1]!survey_responses[[#This Row],[Tôi tin rằng với các quy định quản lý thuế hiện nay, hành vi gian lận hoặc trốn thuế sẽ dễ dàng bị phát hiện và xử lý nghiêm. - HUMAN-ENF1]]</f>
        <v>5</v>
      </c>
      <c r="D171">
        <f t="shared" si="55"/>
        <v>0.44444444444444442</v>
      </c>
      <c r="E171">
        <f>step3_validation[[#This Row],[AI_ENF2]]</f>
        <v>7</v>
      </c>
      <c r="F171">
        <f t="shared" si="56"/>
        <v>0.66666666666666663</v>
      </c>
      <c r="G171">
        <f>[1]!survey_responses[[#This Row],[Tôi tin rằng Nhà nước, cơ quan thuế có đủ khả năng và công nghệ để phát hiện, xử lý nghiêm các hành vi trốn thuế. - HUMAN-ENF2]]</f>
        <v>8</v>
      </c>
      <c r="H171">
        <f t="shared" si="57"/>
        <v>0.77777777777777779</v>
      </c>
      <c r="I171" s="32">
        <f t="shared" si="58"/>
        <v>0.72222222222222221</v>
      </c>
      <c r="J171" s="32">
        <f t="shared" si="59"/>
        <v>0.61111111111111116</v>
      </c>
      <c r="K171">
        <f>step3_validation[[#This Row],[AI_FAC1]]</f>
        <v>9</v>
      </c>
      <c r="L171">
        <f t="shared" si="60"/>
        <v>0.88888888888888884</v>
      </c>
      <c r="M171">
        <f>[1]!survey_responses[[#This Row],[Các thủ tục khai báo thuế VÀ/HOẶC quy trình làm việc với cơ quan thuế đơn giản, tiện lợi, nhanh chóng hơn so với trước đây. - HUMAN-FAC1]]</f>
        <v>7</v>
      </c>
      <c r="N171">
        <f t="shared" si="61"/>
        <v>0.66666666666666663</v>
      </c>
      <c r="O171">
        <f>step3_validation[[#This Row],[AI_FAC2]]</f>
        <v>8</v>
      </c>
      <c r="P171">
        <f t="shared" si="62"/>
        <v>0.77777777777777779</v>
      </c>
      <c r="Q171">
        <f>[1]!survey_responses[[#This Row],[So với trước đây, tôi thấy cách tính thuế và các bậc thuế trong phương án mới đơn giản, dễ hiểu và dễ thực hiện hơn. - HUMAN-FAC2]]</f>
        <v>8</v>
      </c>
      <c r="R171">
        <f t="shared" si="63"/>
        <v>0.77777777777777779</v>
      </c>
      <c r="S171" s="32">
        <f t="shared" si="64"/>
        <v>0.83333333333333326</v>
      </c>
      <c r="T171" s="32">
        <f t="shared" si="65"/>
        <v>0.72222222222222221</v>
      </c>
      <c r="U171">
        <f>step3_validation[[#This Row],[AI_TRU1]]</f>
        <v>9</v>
      </c>
      <c r="V171">
        <f t="shared" si="66"/>
        <v>0.88888888888888884</v>
      </c>
      <c r="W171">
        <f>[1]!survey_responses[[#This Row],[Tôi tin rằng Nhà nước, cơ quan thuế sẽ thực thi chính sách mới một cách khách quan, công tâm và đối xử bình đẳng với mọi người nộp thuế.  - HUMAN-TRU1]]</f>
        <v>1</v>
      </c>
      <c r="X171">
        <f t="shared" si="67"/>
        <v>0</v>
      </c>
      <c r="Y171">
        <f>step3_validation[[#This Row],[AI_TRU2]]</f>
        <v>8</v>
      </c>
      <c r="Z171">
        <f t="shared" si="68"/>
        <v>0.77777777777777779</v>
      </c>
      <c r="AA171">
        <f>[1]!survey_responses[[#This Row],[Tôi thấy mức thuế tôi phải đóng theo phương án mới là công bằng (người thu nhập như tôi đóng mức này là hợp lý). - HUMAN-TRU2]]</f>
        <v>2</v>
      </c>
      <c r="AB171">
        <f t="shared" si="69"/>
        <v>0.1111111111111111</v>
      </c>
      <c r="AC171">
        <f>step3_validation[[#This Row],[AI_TRU3]]</f>
        <v>7</v>
      </c>
      <c r="AD171">
        <f t="shared" si="70"/>
        <v>0.66666666666666663</v>
      </c>
      <c r="AE171">
        <f>[1]!survey_responses[[#This Row],[Tôi tin tưởng số tiền thuế tôi đóng sẽ được Nhà nước sử dụng hiệu quả để cải thiện dịch vụ công (y tế, đường xá...). - HUMAN-TRU3]]</f>
        <v>3</v>
      </c>
      <c r="AF171">
        <f t="shared" si="71"/>
        <v>0.22222222222222221</v>
      </c>
      <c r="AG171">
        <f>step3_validation[[#This Row],[AI_TRU4]]</f>
        <v>6</v>
      </c>
      <c r="AH171">
        <f t="shared" si="72"/>
        <v>0.55555555555555558</v>
      </c>
      <c r="AI171">
        <f>[1]!survey_responses[[#This Row],[Tôi thấy Nhà nước đã giải thích rõ ràng, minh bạch về lý do và mục tiêu của việc sửa đổi thuế lần này. - HUMAN-TRU4]]</f>
        <v>3</v>
      </c>
      <c r="AJ171">
        <f t="shared" si="73"/>
        <v>0.22222222222222221</v>
      </c>
      <c r="AK171" s="32">
        <f t="shared" si="74"/>
        <v>0.7222222222222221</v>
      </c>
      <c r="AL171" s="32">
        <f t="shared" si="75"/>
        <v>0.1388888888888889</v>
      </c>
      <c r="AM171" s="7">
        <f t="shared" si="76"/>
        <v>0.75925925925925919</v>
      </c>
      <c r="AN171" s="7">
        <f t="shared" si="77"/>
        <v>0.49074074074074076</v>
      </c>
      <c r="AO171">
        <f>step3_validation[[#This Row],[AI_OUT1]]</f>
        <v>9</v>
      </c>
      <c r="AP171">
        <f t="shared" si="78"/>
        <v>0.88888888888888884</v>
      </c>
      <c r="AQ171">
        <f>[1]!survey_responses[[#This Row],[Sau khi xem xét các quyền lợi và nghĩa vụ, bạn có ủng hộ và tuân thủ chính sách mới hiện nay? - HUMAN-OUT1]]</f>
        <v>7</v>
      </c>
      <c r="AR171">
        <f t="shared" si="79"/>
        <v>0.66666666666666663</v>
      </c>
      <c r="AS171" s="32">
        <f t="shared" si="80"/>
        <v>2</v>
      </c>
    </row>
    <row r="172" spans="1:45" x14ac:dyDescent="0.45">
      <c r="A172">
        <f>step3_validation[[#This Row],[AI_ENF1]]</f>
        <v>8</v>
      </c>
      <c r="B172">
        <f t="shared" si="54"/>
        <v>0.77777777777777779</v>
      </c>
      <c r="C172">
        <f>[1]!survey_responses[[#This Row],[Tôi tin rằng với các quy định quản lý thuế hiện nay, hành vi gian lận hoặc trốn thuế sẽ dễ dàng bị phát hiện và xử lý nghiêm. - HUMAN-ENF1]]</f>
        <v>6</v>
      </c>
      <c r="D172">
        <f t="shared" si="55"/>
        <v>0.55555555555555558</v>
      </c>
      <c r="E172">
        <f>step3_validation[[#This Row],[AI_ENF2]]</f>
        <v>7</v>
      </c>
      <c r="F172">
        <f t="shared" si="56"/>
        <v>0.66666666666666663</v>
      </c>
      <c r="G172">
        <f>[1]!survey_responses[[#This Row],[Tôi tin rằng Nhà nước, cơ quan thuế có đủ khả năng và công nghệ để phát hiện, xử lý nghiêm các hành vi trốn thuế. - HUMAN-ENF2]]</f>
        <v>7</v>
      </c>
      <c r="H172">
        <f t="shared" si="57"/>
        <v>0.66666666666666663</v>
      </c>
      <c r="I172" s="32">
        <f t="shared" si="58"/>
        <v>0.72222222222222221</v>
      </c>
      <c r="J172" s="32">
        <f t="shared" si="59"/>
        <v>0.61111111111111116</v>
      </c>
      <c r="K172">
        <f>step3_validation[[#This Row],[AI_FAC1]]</f>
        <v>9</v>
      </c>
      <c r="L172">
        <f t="shared" si="60"/>
        <v>0.88888888888888884</v>
      </c>
      <c r="M172">
        <f>[1]!survey_responses[[#This Row],[Các thủ tục khai báo thuế VÀ/HOẶC quy trình làm việc với cơ quan thuế đơn giản, tiện lợi, nhanh chóng hơn so với trước đây. - HUMAN-FAC1]]</f>
        <v>5</v>
      </c>
      <c r="N172">
        <f t="shared" si="61"/>
        <v>0.44444444444444442</v>
      </c>
      <c r="O172">
        <f>step3_validation[[#This Row],[AI_FAC2]]</f>
        <v>8</v>
      </c>
      <c r="P172">
        <f t="shared" si="62"/>
        <v>0.77777777777777779</v>
      </c>
      <c r="Q172">
        <f>[1]!survey_responses[[#This Row],[So với trước đây, tôi thấy cách tính thuế và các bậc thuế trong phương án mới đơn giản, dễ hiểu và dễ thực hiện hơn. - HUMAN-FAC2]]</f>
        <v>7</v>
      </c>
      <c r="R172">
        <f t="shared" si="63"/>
        <v>0.66666666666666663</v>
      </c>
      <c r="S172" s="32">
        <f t="shared" si="64"/>
        <v>0.83333333333333326</v>
      </c>
      <c r="T172" s="32">
        <f t="shared" si="65"/>
        <v>0.55555555555555558</v>
      </c>
      <c r="U172">
        <f>step3_validation[[#This Row],[AI_TRU1]]</f>
        <v>7</v>
      </c>
      <c r="V172">
        <f t="shared" si="66"/>
        <v>0.66666666666666663</v>
      </c>
      <c r="W172">
        <f>[1]!survey_responses[[#This Row],[Tôi tin rằng Nhà nước, cơ quan thuế sẽ thực thi chính sách mới một cách khách quan, công tâm và đối xử bình đẳng với mọi người nộp thuế.  - HUMAN-TRU1]]</f>
        <v>7</v>
      </c>
      <c r="X172">
        <f t="shared" si="67"/>
        <v>0.66666666666666663</v>
      </c>
      <c r="Y172">
        <f>step3_validation[[#This Row],[AI_TRU2]]</f>
        <v>6</v>
      </c>
      <c r="Z172">
        <f t="shared" si="68"/>
        <v>0.55555555555555558</v>
      </c>
      <c r="AA172">
        <f>[1]!survey_responses[[#This Row],[Tôi thấy mức thuế tôi phải đóng theo phương án mới là công bằng (người thu nhập như tôi đóng mức này là hợp lý). - HUMAN-TRU2]]</f>
        <v>7</v>
      </c>
      <c r="AB172">
        <f t="shared" si="69"/>
        <v>0.66666666666666663</v>
      </c>
      <c r="AC172">
        <f>step3_validation[[#This Row],[AI_TRU3]]</f>
        <v>7</v>
      </c>
      <c r="AD172">
        <f t="shared" si="70"/>
        <v>0.66666666666666663</v>
      </c>
      <c r="AE172">
        <f>[1]!survey_responses[[#This Row],[Tôi tin tưởng số tiền thuế tôi đóng sẽ được Nhà nước sử dụng hiệu quả để cải thiện dịch vụ công (y tế, đường xá...). - HUMAN-TRU3]]</f>
        <v>5</v>
      </c>
      <c r="AF172">
        <f t="shared" si="71"/>
        <v>0.44444444444444442</v>
      </c>
      <c r="AG172">
        <f>step3_validation[[#This Row],[AI_TRU4]]</f>
        <v>6</v>
      </c>
      <c r="AH172">
        <f t="shared" si="72"/>
        <v>0.55555555555555558</v>
      </c>
      <c r="AI172">
        <f>[1]!survey_responses[[#This Row],[Tôi thấy Nhà nước đã giải thích rõ ràng, minh bạch về lý do và mục tiêu của việc sửa đổi thuế lần này. - HUMAN-TRU4]]</f>
        <v>7</v>
      </c>
      <c r="AJ172">
        <f t="shared" si="73"/>
        <v>0.66666666666666663</v>
      </c>
      <c r="AK172" s="32">
        <f t="shared" si="74"/>
        <v>0.61111111111111116</v>
      </c>
      <c r="AL172" s="32">
        <f t="shared" si="75"/>
        <v>0.61111111111111105</v>
      </c>
      <c r="AM172" s="7">
        <f t="shared" si="76"/>
        <v>0.72222222222222221</v>
      </c>
      <c r="AN172" s="7">
        <f t="shared" si="77"/>
        <v>0.59259259259259256</v>
      </c>
      <c r="AO172">
        <f>step3_validation[[#This Row],[AI_OUT1]]</f>
        <v>8</v>
      </c>
      <c r="AP172">
        <f t="shared" si="78"/>
        <v>0.77777777777777779</v>
      </c>
      <c r="AQ172">
        <f>[1]!survey_responses[[#This Row],[Sau khi xem xét các quyền lợi và nghĩa vụ, bạn có ủng hộ và tuân thủ chính sách mới hiện nay? - HUMAN-OUT1]]</f>
        <v>7</v>
      </c>
      <c r="AR172">
        <f t="shared" si="79"/>
        <v>0.66666666666666663</v>
      </c>
      <c r="AS172" s="32">
        <f t="shared" si="80"/>
        <v>1</v>
      </c>
    </row>
    <row r="173" spans="1:45" x14ac:dyDescent="0.45">
      <c r="A173">
        <f>step3_validation[[#This Row],[AI_ENF1]]</f>
        <v>6</v>
      </c>
      <c r="B173">
        <f t="shared" si="54"/>
        <v>0.55555555555555558</v>
      </c>
      <c r="C173">
        <f>[1]!survey_responses[[#This Row],[Tôi tin rằng với các quy định quản lý thuế hiện nay, hành vi gian lận hoặc trốn thuế sẽ dễ dàng bị phát hiện và xử lý nghiêm. - HUMAN-ENF1]]</f>
        <v>8</v>
      </c>
      <c r="D173">
        <f t="shared" si="55"/>
        <v>0.77777777777777779</v>
      </c>
      <c r="E173">
        <f>step3_validation[[#This Row],[AI_ENF2]]</f>
        <v>7</v>
      </c>
      <c r="F173">
        <f t="shared" si="56"/>
        <v>0.66666666666666663</v>
      </c>
      <c r="G173">
        <f>[1]!survey_responses[[#This Row],[Tôi tin rằng Nhà nước, cơ quan thuế có đủ khả năng và công nghệ để phát hiện, xử lý nghiêm các hành vi trốn thuế. - HUMAN-ENF2]]</f>
        <v>8</v>
      </c>
      <c r="H173">
        <f t="shared" si="57"/>
        <v>0.77777777777777779</v>
      </c>
      <c r="I173" s="32">
        <f t="shared" si="58"/>
        <v>0.61111111111111116</v>
      </c>
      <c r="J173" s="32">
        <f t="shared" si="59"/>
        <v>0.77777777777777779</v>
      </c>
      <c r="K173">
        <f>step3_validation[[#This Row],[AI_FAC1]]</f>
        <v>5</v>
      </c>
      <c r="L173">
        <f t="shared" si="60"/>
        <v>0.44444444444444442</v>
      </c>
      <c r="M173">
        <f>[1]!survey_responses[[#This Row],[Các thủ tục khai báo thuế VÀ/HOẶC quy trình làm việc với cơ quan thuế đơn giản, tiện lợi, nhanh chóng hơn so với trước đây. - HUMAN-FAC1]]</f>
        <v>8</v>
      </c>
      <c r="N173">
        <f t="shared" si="61"/>
        <v>0.77777777777777779</v>
      </c>
      <c r="O173">
        <f>step3_validation[[#This Row],[AI_FAC2]]</f>
        <v>6</v>
      </c>
      <c r="P173">
        <f t="shared" si="62"/>
        <v>0.55555555555555558</v>
      </c>
      <c r="Q173">
        <f>[1]!survey_responses[[#This Row],[So với trước đây, tôi thấy cách tính thuế và các bậc thuế trong phương án mới đơn giản, dễ hiểu và dễ thực hiện hơn. - HUMAN-FAC2]]</f>
        <v>9</v>
      </c>
      <c r="R173">
        <f t="shared" si="63"/>
        <v>0.88888888888888884</v>
      </c>
      <c r="S173" s="32">
        <f t="shared" si="64"/>
        <v>0.5</v>
      </c>
      <c r="T173" s="32">
        <f t="shared" si="65"/>
        <v>0.83333333333333326</v>
      </c>
      <c r="U173">
        <f>step3_validation[[#This Row],[AI_TRU1]]</f>
        <v>7</v>
      </c>
      <c r="V173">
        <f t="shared" si="66"/>
        <v>0.66666666666666663</v>
      </c>
      <c r="W173">
        <f>[1]!survey_responses[[#This Row],[Tôi tin rằng Nhà nước, cơ quan thuế sẽ thực thi chính sách mới một cách khách quan, công tâm và đối xử bình đẳng với mọi người nộp thuế.  - HUMAN-TRU1]]</f>
        <v>9</v>
      </c>
      <c r="X173">
        <f t="shared" si="67"/>
        <v>0.88888888888888884</v>
      </c>
      <c r="Y173">
        <f>step3_validation[[#This Row],[AI_TRU2]]</f>
        <v>8</v>
      </c>
      <c r="Z173">
        <f t="shared" si="68"/>
        <v>0.77777777777777779</v>
      </c>
      <c r="AA173">
        <f>[1]!survey_responses[[#This Row],[Tôi thấy mức thuế tôi phải đóng theo phương án mới là công bằng (người thu nhập như tôi đóng mức này là hợp lý). - HUMAN-TRU2]]</f>
        <v>5</v>
      </c>
      <c r="AB173">
        <f t="shared" si="69"/>
        <v>0.44444444444444442</v>
      </c>
      <c r="AC173">
        <f>step3_validation[[#This Row],[AI_TRU3]]</f>
        <v>6</v>
      </c>
      <c r="AD173">
        <f t="shared" si="70"/>
        <v>0.55555555555555558</v>
      </c>
      <c r="AE173">
        <f>[1]!survey_responses[[#This Row],[Tôi tin tưởng số tiền thuế tôi đóng sẽ được Nhà nước sử dụng hiệu quả để cải thiện dịch vụ công (y tế, đường xá...). - HUMAN-TRU3]]</f>
        <v>5</v>
      </c>
      <c r="AF173">
        <f t="shared" si="71"/>
        <v>0.44444444444444442</v>
      </c>
      <c r="AG173">
        <f>step3_validation[[#This Row],[AI_TRU4]]</f>
        <v>5</v>
      </c>
      <c r="AH173">
        <f t="shared" si="72"/>
        <v>0.44444444444444442</v>
      </c>
      <c r="AI173">
        <f>[1]!survey_responses[[#This Row],[Tôi thấy Nhà nước đã giải thích rõ ràng, minh bạch về lý do và mục tiêu của việc sửa đổi thuế lần này. - HUMAN-TRU4]]</f>
        <v>8</v>
      </c>
      <c r="AJ173">
        <f t="shared" si="73"/>
        <v>0.77777777777777779</v>
      </c>
      <c r="AK173" s="32">
        <f t="shared" si="74"/>
        <v>0.61111111111111116</v>
      </c>
      <c r="AL173" s="32">
        <f t="shared" si="75"/>
        <v>0.63888888888888884</v>
      </c>
      <c r="AM173" s="7">
        <f t="shared" si="76"/>
        <v>0.57407407407407407</v>
      </c>
      <c r="AN173" s="7">
        <f t="shared" si="77"/>
        <v>0.75</v>
      </c>
      <c r="AO173">
        <f>step3_validation[[#This Row],[AI_OUT1]]</f>
        <v>7</v>
      </c>
      <c r="AP173">
        <f t="shared" si="78"/>
        <v>0.66666666666666663</v>
      </c>
      <c r="AQ173">
        <f>[1]!survey_responses[[#This Row],[Sau khi xem xét các quyền lợi và nghĩa vụ, bạn có ủng hộ và tuân thủ chính sách mới hiện nay? - HUMAN-OUT1]]</f>
        <v>6</v>
      </c>
      <c r="AR173">
        <f t="shared" si="79"/>
        <v>0.55555555555555558</v>
      </c>
      <c r="AS173" s="32">
        <f t="shared" si="80"/>
        <v>1</v>
      </c>
    </row>
    <row r="174" spans="1:45" x14ac:dyDescent="0.45">
      <c r="A174">
        <f>step3_validation[[#This Row],[AI_ENF1]]</f>
        <v>8</v>
      </c>
      <c r="B174">
        <f t="shared" si="54"/>
        <v>0.77777777777777779</v>
      </c>
      <c r="C174">
        <f>[1]!survey_responses[[#This Row],[Tôi tin rằng với các quy định quản lý thuế hiện nay, hành vi gian lận hoặc trốn thuế sẽ dễ dàng bị phát hiện và xử lý nghiêm. - HUMAN-ENF1]]</f>
        <v>5</v>
      </c>
      <c r="D174">
        <f t="shared" si="55"/>
        <v>0.44444444444444442</v>
      </c>
      <c r="E174">
        <f>step3_validation[[#This Row],[AI_ENF2]]</f>
        <v>7</v>
      </c>
      <c r="F174">
        <f t="shared" si="56"/>
        <v>0.66666666666666663</v>
      </c>
      <c r="G174">
        <f>[1]!survey_responses[[#This Row],[Tôi tin rằng Nhà nước, cơ quan thuế có đủ khả năng và công nghệ để phát hiện, xử lý nghiêm các hành vi trốn thuế. - HUMAN-ENF2]]</f>
        <v>5</v>
      </c>
      <c r="H174">
        <f t="shared" si="57"/>
        <v>0.44444444444444442</v>
      </c>
      <c r="I174" s="32">
        <f t="shared" si="58"/>
        <v>0.72222222222222221</v>
      </c>
      <c r="J174" s="32">
        <f t="shared" si="59"/>
        <v>0.44444444444444442</v>
      </c>
      <c r="K174">
        <f>step3_validation[[#This Row],[AI_FAC1]]</f>
        <v>9</v>
      </c>
      <c r="L174">
        <f t="shared" si="60"/>
        <v>0.88888888888888884</v>
      </c>
      <c r="M174">
        <f>[1]!survey_responses[[#This Row],[Các thủ tục khai báo thuế VÀ/HOẶC quy trình làm việc với cơ quan thuế đơn giản, tiện lợi, nhanh chóng hơn so với trước đây. - HUMAN-FAC1]]</f>
        <v>4</v>
      </c>
      <c r="N174">
        <f t="shared" si="61"/>
        <v>0.33333333333333331</v>
      </c>
      <c r="O174">
        <f>step3_validation[[#This Row],[AI_FAC2]]</f>
        <v>8</v>
      </c>
      <c r="P174">
        <f t="shared" si="62"/>
        <v>0.77777777777777779</v>
      </c>
      <c r="Q174">
        <f>[1]!survey_responses[[#This Row],[So với trước đây, tôi thấy cách tính thuế và các bậc thuế trong phương án mới đơn giản, dễ hiểu và dễ thực hiện hơn. - HUMAN-FAC2]]</f>
        <v>6</v>
      </c>
      <c r="R174">
        <f t="shared" si="63"/>
        <v>0.55555555555555558</v>
      </c>
      <c r="S174" s="32">
        <f t="shared" si="64"/>
        <v>0.83333333333333326</v>
      </c>
      <c r="T174" s="32">
        <f t="shared" si="65"/>
        <v>0.44444444444444442</v>
      </c>
      <c r="U174">
        <f>step3_validation[[#This Row],[AI_TRU1]]</f>
        <v>7</v>
      </c>
      <c r="V174">
        <f t="shared" si="66"/>
        <v>0.66666666666666663</v>
      </c>
      <c r="W174">
        <f>[1]!survey_responses[[#This Row],[Tôi tin rằng Nhà nước, cơ quan thuế sẽ thực thi chính sách mới một cách khách quan, công tâm và đối xử bình đẳng với mọi người nộp thuế.  - HUMAN-TRU1]]</f>
        <v>5</v>
      </c>
      <c r="X174">
        <f t="shared" si="67"/>
        <v>0.44444444444444442</v>
      </c>
      <c r="Y174">
        <f>step3_validation[[#This Row],[AI_TRU2]]</f>
        <v>6</v>
      </c>
      <c r="Z174">
        <f t="shared" si="68"/>
        <v>0.55555555555555558</v>
      </c>
      <c r="AA174">
        <f>[1]!survey_responses[[#This Row],[Tôi thấy mức thuế tôi phải đóng theo phương án mới là công bằng (người thu nhập như tôi đóng mức này là hợp lý). - HUMAN-TRU2]]</f>
        <v>4</v>
      </c>
      <c r="AB174">
        <f t="shared" si="69"/>
        <v>0.33333333333333331</v>
      </c>
      <c r="AC174">
        <f>step3_validation[[#This Row],[AI_TRU3]]</f>
        <v>7</v>
      </c>
      <c r="AD174">
        <f t="shared" si="70"/>
        <v>0.66666666666666663</v>
      </c>
      <c r="AE174">
        <f>[1]!survey_responses[[#This Row],[Tôi tin tưởng số tiền thuế tôi đóng sẽ được Nhà nước sử dụng hiệu quả để cải thiện dịch vụ công (y tế, đường xá...). - HUMAN-TRU3]]</f>
        <v>4</v>
      </c>
      <c r="AF174">
        <f t="shared" si="71"/>
        <v>0.33333333333333331</v>
      </c>
      <c r="AG174">
        <f>step3_validation[[#This Row],[AI_TRU4]]</f>
        <v>6</v>
      </c>
      <c r="AH174">
        <f t="shared" si="72"/>
        <v>0.55555555555555558</v>
      </c>
      <c r="AI174">
        <f>[1]!survey_responses[[#This Row],[Tôi thấy Nhà nước đã giải thích rõ ràng, minh bạch về lý do và mục tiêu của việc sửa đổi thuế lần này. - HUMAN-TRU4]]</f>
        <v>5</v>
      </c>
      <c r="AJ174">
        <f t="shared" si="73"/>
        <v>0.44444444444444442</v>
      </c>
      <c r="AK174" s="32">
        <f t="shared" si="74"/>
        <v>0.61111111111111116</v>
      </c>
      <c r="AL174" s="32">
        <f t="shared" si="75"/>
        <v>0.38888888888888884</v>
      </c>
      <c r="AM174" s="7">
        <f t="shared" si="76"/>
        <v>0.72222222222222221</v>
      </c>
      <c r="AN174" s="7">
        <f t="shared" si="77"/>
        <v>0.42592592592592587</v>
      </c>
      <c r="AO174">
        <f>step3_validation[[#This Row],[AI_OUT1]]</f>
        <v>8</v>
      </c>
      <c r="AP174">
        <f t="shared" si="78"/>
        <v>0.77777777777777779</v>
      </c>
      <c r="AQ174">
        <f>[1]!survey_responses[[#This Row],[Sau khi xem xét các quyền lợi và nghĩa vụ, bạn có ủng hộ và tuân thủ chính sách mới hiện nay? - HUMAN-OUT1]]</f>
        <v>5</v>
      </c>
      <c r="AR174">
        <f t="shared" si="79"/>
        <v>0.44444444444444442</v>
      </c>
      <c r="AS174" s="32">
        <f t="shared" si="80"/>
        <v>3</v>
      </c>
    </row>
    <row r="175" spans="1:45" x14ac:dyDescent="0.45">
      <c r="A175">
        <f>step3_validation[[#This Row],[AI_ENF1]]</f>
        <v>7</v>
      </c>
      <c r="B175">
        <f t="shared" si="54"/>
        <v>0.66666666666666663</v>
      </c>
      <c r="C175">
        <f>[1]!survey_responses[[#This Row],[Tôi tin rằng với các quy định quản lý thuế hiện nay, hành vi gian lận hoặc trốn thuế sẽ dễ dàng bị phát hiện và xử lý nghiêm. - HUMAN-ENF1]]</f>
        <v>6</v>
      </c>
      <c r="D175">
        <f t="shared" si="55"/>
        <v>0.55555555555555558</v>
      </c>
      <c r="E175">
        <f>step3_validation[[#This Row],[AI_ENF2]]</f>
        <v>6</v>
      </c>
      <c r="F175">
        <f t="shared" si="56"/>
        <v>0.55555555555555558</v>
      </c>
      <c r="G175">
        <f>[1]!survey_responses[[#This Row],[Tôi tin rằng Nhà nước, cơ quan thuế có đủ khả năng và công nghệ để phát hiện, xử lý nghiêm các hành vi trốn thuế. - HUMAN-ENF2]]</f>
        <v>6</v>
      </c>
      <c r="H175">
        <f t="shared" si="57"/>
        <v>0.55555555555555558</v>
      </c>
      <c r="I175" s="32">
        <f t="shared" si="58"/>
        <v>0.61111111111111116</v>
      </c>
      <c r="J175" s="32">
        <f t="shared" si="59"/>
        <v>0.55555555555555558</v>
      </c>
      <c r="K175">
        <f>step3_validation[[#This Row],[AI_FAC1]]</f>
        <v>8</v>
      </c>
      <c r="L175">
        <f t="shared" si="60"/>
        <v>0.77777777777777779</v>
      </c>
      <c r="M175">
        <f>[1]!survey_responses[[#This Row],[Các thủ tục khai báo thuế VÀ/HOẶC quy trình làm việc với cơ quan thuế đơn giản, tiện lợi, nhanh chóng hơn so với trước đây. - HUMAN-FAC1]]</f>
        <v>6</v>
      </c>
      <c r="N175">
        <f t="shared" si="61"/>
        <v>0.55555555555555558</v>
      </c>
      <c r="O175">
        <f>step3_validation[[#This Row],[AI_FAC2]]</f>
        <v>7</v>
      </c>
      <c r="P175">
        <f t="shared" si="62"/>
        <v>0.66666666666666663</v>
      </c>
      <c r="Q175">
        <f>[1]!survey_responses[[#This Row],[So với trước đây, tôi thấy cách tính thuế và các bậc thuế trong phương án mới đơn giản, dễ hiểu và dễ thực hiện hơn. - HUMAN-FAC2]]</f>
        <v>6</v>
      </c>
      <c r="R175">
        <f t="shared" si="63"/>
        <v>0.55555555555555558</v>
      </c>
      <c r="S175" s="32">
        <f t="shared" si="64"/>
        <v>0.72222222222222221</v>
      </c>
      <c r="T175" s="32">
        <f t="shared" si="65"/>
        <v>0.55555555555555558</v>
      </c>
      <c r="U175">
        <f>step3_validation[[#This Row],[AI_TRU1]]</f>
        <v>6</v>
      </c>
      <c r="V175">
        <f t="shared" si="66"/>
        <v>0.55555555555555558</v>
      </c>
      <c r="W175">
        <f>[1]!survey_responses[[#This Row],[Tôi tin rằng Nhà nước, cơ quan thuế sẽ thực thi chính sách mới một cách khách quan, công tâm và đối xử bình đẳng với mọi người nộp thuế.  - HUMAN-TRU1]]</f>
        <v>7</v>
      </c>
      <c r="X175">
        <f t="shared" si="67"/>
        <v>0.66666666666666663</v>
      </c>
      <c r="Y175">
        <f>step3_validation[[#This Row],[AI_TRU2]]</f>
        <v>7</v>
      </c>
      <c r="Z175">
        <f t="shared" si="68"/>
        <v>0.66666666666666663</v>
      </c>
      <c r="AA175">
        <f>[1]!survey_responses[[#This Row],[Tôi thấy mức thuế tôi phải đóng theo phương án mới là công bằng (người thu nhập như tôi đóng mức này là hợp lý). - HUMAN-TRU2]]</f>
        <v>7</v>
      </c>
      <c r="AB175">
        <f t="shared" si="69"/>
        <v>0.66666666666666663</v>
      </c>
      <c r="AC175">
        <f>step3_validation[[#This Row],[AI_TRU3]]</f>
        <v>8</v>
      </c>
      <c r="AD175">
        <f t="shared" si="70"/>
        <v>0.77777777777777779</v>
      </c>
      <c r="AE175">
        <f>[1]!survey_responses[[#This Row],[Tôi tin tưởng số tiền thuế tôi đóng sẽ được Nhà nước sử dụng hiệu quả để cải thiện dịch vụ công (y tế, đường xá...). - HUMAN-TRU3]]</f>
        <v>5</v>
      </c>
      <c r="AF175">
        <f t="shared" si="71"/>
        <v>0.44444444444444442</v>
      </c>
      <c r="AG175">
        <f>step3_validation[[#This Row],[AI_TRU4]]</f>
        <v>6</v>
      </c>
      <c r="AH175">
        <f t="shared" si="72"/>
        <v>0.55555555555555558</v>
      </c>
      <c r="AI175">
        <f>[1]!survey_responses[[#This Row],[Tôi thấy Nhà nước đã giải thích rõ ràng, minh bạch về lý do và mục tiêu của việc sửa đổi thuế lần này. - HUMAN-TRU4]]</f>
        <v>7</v>
      </c>
      <c r="AJ175">
        <f t="shared" si="73"/>
        <v>0.66666666666666663</v>
      </c>
      <c r="AK175" s="32">
        <f t="shared" si="74"/>
        <v>0.63888888888888884</v>
      </c>
      <c r="AL175" s="32">
        <f t="shared" si="75"/>
        <v>0.61111111111111105</v>
      </c>
      <c r="AM175" s="7">
        <f t="shared" si="76"/>
        <v>0.65740740740740744</v>
      </c>
      <c r="AN175" s="7">
        <f t="shared" si="77"/>
        <v>0.57407407407407407</v>
      </c>
      <c r="AO175">
        <f>step3_validation[[#This Row],[AI_OUT1]]</f>
        <v>8</v>
      </c>
      <c r="AP175">
        <f t="shared" si="78"/>
        <v>0.77777777777777779</v>
      </c>
      <c r="AQ175">
        <f>[1]!survey_responses[[#This Row],[Sau khi xem xét các quyền lợi và nghĩa vụ, bạn có ủng hộ và tuân thủ chính sách mới hiện nay? - HUMAN-OUT1]]</f>
        <v>6</v>
      </c>
      <c r="AR175">
        <f t="shared" si="79"/>
        <v>0.55555555555555558</v>
      </c>
      <c r="AS175" s="32">
        <f t="shared" si="80"/>
        <v>2</v>
      </c>
    </row>
    <row r="176" spans="1:45" x14ac:dyDescent="0.45">
      <c r="A176">
        <f>step3_validation[[#This Row],[AI_ENF1]]</f>
        <v>8</v>
      </c>
      <c r="B176">
        <f t="shared" si="54"/>
        <v>0.77777777777777779</v>
      </c>
      <c r="C176">
        <f>[1]!survey_responses[[#This Row],[Tôi tin rằng với các quy định quản lý thuế hiện nay, hành vi gian lận hoặc trốn thuế sẽ dễ dàng bị phát hiện và xử lý nghiêm. - HUMAN-ENF1]]</f>
        <v>4</v>
      </c>
      <c r="D176">
        <f t="shared" si="55"/>
        <v>0.33333333333333331</v>
      </c>
      <c r="E176">
        <f>step3_validation[[#This Row],[AI_ENF2]]</f>
        <v>9</v>
      </c>
      <c r="F176">
        <f t="shared" si="56"/>
        <v>0.88888888888888884</v>
      </c>
      <c r="G176">
        <f>[1]!survey_responses[[#This Row],[Tôi tin rằng Nhà nước, cơ quan thuế có đủ khả năng và công nghệ để phát hiện, xử lý nghiêm các hành vi trốn thuế. - HUMAN-ENF2]]</f>
        <v>5</v>
      </c>
      <c r="H176">
        <f t="shared" si="57"/>
        <v>0.44444444444444442</v>
      </c>
      <c r="I176" s="32">
        <f t="shared" si="58"/>
        <v>0.83333333333333326</v>
      </c>
      <c r="J176" s="32">
        <f t="shared" si="59"/>
        <v>0.38888888888888884</v>
      </c>
      <c r="K176">
        <f>step3_validation[[#This Row],[AI_FAC1]]</f>
        <v>7</v>
      </c>
      <c r="L176">
        <f t="shared" si="60"/>
        <v>0.66666666666666663</v>
      </c>
      <c r="M176">
        <f>[1]!survey_responses[[#This Row],[Các thủ tục khai báo thuế VÀ/HOẶC quy trình làm việc với cơ quan thuế đơn giản, tiện lợi, nhanh chóng hơn so với trước đây. - HUMAN-FAC1]]</f>
        <v>4</v>
      </c>
      <c r="N176">
        <f t="shared" si="61"/>
        <v>0.33333333333333331</v>
      </c>
      <c r="O176">
        <f>step3_validation[[#This Row],[AI_FAC2]]</f>
        <v>8</v>
      </c>
      <c r="P176">
        <f t="shared" si="62"/>
        <v>0.77777777777777779</v>
      </c>
      <c r="Q176">
        <f>[1]!survey_responses[[#This Row],[So với trước đây, tôi thấy cách tính thuế và các bậc thuế trong phương án mới đơn giản, dễ hiểu và dễ thực hiện hơn. - HUMAN-FAC2]]</f>
        <v>6</v>
      </c>
      <c r="R176">
        <f t="shared" si="63"/>
        <v>0.55555555555555558</v>
      </c>
      <c r="S176" s="32">
        <f t="shared" si="64"/>
        <v>0.72222222222222221</v>
      </c>
      <c r="T176" s="32">
        <f t="shared" si="65"/>
        <v>0.44444444444444442</v>
      </c>
      <c r="U176">
        <f>step3_validation[[#This Row],[AI_TRU1]]</f>
        <v>7</v>
      </c>
      <c r="V176">
        <f t="shared" si="66"/>
        <v>0.66666666666666663</v>
      </c>
      <c r="W176">
        <f>[1]!survey_responses[[#This Row],[Tôi tin rằng Nhà nước, cơ quan thuế sẽ thực thi chính sách mới một cách khách quan, công tâm và đối xử bình đẳng với mọi người nộp thuế.  - HUMAN-TRU1]]</f>
        <v>4</v>
      </c>
      <c r="X176">
        <f t="shared" si="67"/>
        <v>0.33333333333333331</v>
      </c>
      <c r="Y176">
        <f>step3_validation[[#This Row],[AI_TRU2]]</f>
        <v>8</v>
      </c>
      <c r="Z176">
        <f t="shared" si="68"/>
        <v>0.77777777777777779</v>
      </c>
      <c r="AA176">
        <f>[1]!survey_responses[[#This Row],[Tôi thấy mức thuế tôi phải đóng theo phương án mới là công bằng (người thu nhập như tôi đóng mức này là hợp lý). - HUMAN-TRU2]]</f>
        <v>4</v>
      </c>
      <c r="AB176">
        <f t="shared" si="69"/>
        <v>0.33333333333333331</v>
      </c>
      <c r="AC176">
        <f>step3_validation[[#This Row],[AI_TRU3]]</f>
        <v>7</v>
      </c>
      <c r="AD176">
        <f t="shared" si="70"/>
        <v>0.66666666666666663</v>
      </c>
      <c r="AE176">
        <f>[1]!survey_responses[[#This Row],[Tôi tin tưởng số tiền thuế tôi đóng sẽ được Nhà nước sử dụng hiệu quả để cải thiện dịch vụ công (y tế, đường xá...). - HUMAN-TRU3]]</f>
        <v>4</v>
      </c>
      <c r="AF176">
        <f t="shared" si="71"/>
        <v>0.33333333333333331</v>
      </c>
      <c r="AG176">
        <f>step3_validation[[#This Row],[AI_TRU4]]</f>
        <v>6</v>
      </c>
      <c r="AH176">
        <f t="shared" si="72"/>
        <v>0.55555555555555558</v>
      </c>
      <c r="AI176">
        <f>[1]!survey_responses[[#This Row],[Tôi thấy Nhà nước đã giải thích rõ ràng, minh bạch về lý do và mục tiêu của việc sửa đổi thuế lần này. - HUMAN-TRU4]]</f>
        <v>5</v>
      </c>
      <c r="AJ176">
        <f t="shared" si="73"/>
        <v>0.44444444444444442</v>
      </c>
      <c r="AK176" s="32">
        <f t="shared" si="74"/>
        <v>0.66666666666666674</v>
      </c>
      <c r="AL176" s="32">
        <f t="shared" si="75"/>
        <v>0.3611111111111111</v>
      </c>
      <c r="AM176" s="7">
        <f t="shared" si="76"/>
        <v>0.74074074074074081</v>
      </c>
      <c r="AN176" s="7">
        <f t="shared" si="77"/>
        <v>0.39814814814814814</v>
      </c>
      <c r="AO176">
        <f>step3_validation[[#This Row],[AI_OUT1]]</f>
        <v>8</v>
      </c>
      <c r="AP176">
        <f t="shared" si="78"/>
        <v>0.77777777777777779</v>
      </c>
      <c r="AQ176">
        <f>[1]!survey_responses[[#This Row],[Sau khi xem xét các quyền lợi và nghĩa vụ, bạn có ủng hộ và tuân thủ chính sách mới hiện nay? - HUMAN-OUT1]]</f>
        <v>4</v>
      </c>
      <c r="AR176">
        <f t="shared" si="79"/>
        <v>0.33333333333333331</v>
      </c>
      <c r="AS176" s="32">
        <f t="shared" si="80"/>
        <v>4</v>
      </c>
    </row>
    <row r="177" spans="1:45" x14ac:dyDescent="0.45">
      <c r="A177">
        <f>step3_validation[[#This Row],[AI_ENF1]]</f>
        <v>7</v>
      </c>
      <c r="B177">
        <f t="shared" si="54"/>
        <v>0.66666666666666663</v>
      </c>
      <c r="C177">
        <f>[1]!survey_responses[[#This Row],[Tôi tin rằng với các quy định quản lý thuế hiện nay, hành vi gian lận hoặc trốn thuế sẽ dễ dàng bị phát hiện và xử lý nghiêm. - HUMAN-ENF1]]</f>
        <v>2</v>
      </c>
      <c r="D177">
        <f t="shared" si="55"/>
        <v>0.1111111111111111</v>
      </c>
      <c r="E177">
        <f>step3_validation[[#This Row],[AI_ENF2]]</f>
        <v>8</v>
      </c>
      <c r="F177">
        <f t="shared" si="56"/>
        <v>0.77777777777777779</v>
      </c>
      <c r="G177">
        <f>[1]!survey_responses[[#This Row],[Tôi tin rằng Nhà nước, cơ quan thuế có đủ khả năng và công nghệ để phát hiện, xử lý nghiêm các hành vi trốn thuế. - HUMAN-ENF2]]</f>
        <v>4</v>
      </c>
      <c r="H177">
        <f t="shared" si="57"/>
        <v>0.33333333333333331</v>
      </c>
      <c r="I177" s="32">
        <f t="shared" si="58"/>
        <v>0.72222222222222221</v>
      </c>
      <c r="J177" s="32">
        <f t="shared" si="59"/>
        <v>0.22222222222222221</v>
      </c>
      <c r="K177">
        <f>step3_validation[[#This Row],[AI_FAC1]]</f>
        <v>9</v>
      </c>
      <c r="L177">
        <f t="shared" si="60"/>
        <v>0.88888888888888884</v>
      </c>
      <c r="M177">
        <f>[1]!survey_responses[[#This Row],[Các thủ tục khai báo thuế VÀ/HOẶC quy trình làm việc với cơ quan thuế đơn giản, tiện lợi, nhanh chóng hơn so với trước đây. - HUMAN-FAC1]]</f>
        <v>3</v>
      </c>
      <c r="N177">
        <f t="shared" si="61"/>
        <v>0.22222222222222221</v>
      </c>
      <c r="O177">
        <f>step3_validation[[#This Row],[AI_FAC2]]</f>
        <v>8</v>
      </c>
      <c r="P177">
        <f t="shared" si="62"/>
        <v>0.77777777777777779</v>
      </c>
      <c r="Q177">
        <f>[1]!survey_responses[[#This Row],[So với trước đây, tôi thấy cách tính thuế và các bậc thuế trong phương án mới đơn giản, dễ hiểu và dễ thực hiện hơn. - HUMAN-FAC2]]</f>
        <v>5</v>
      </c>
      <c r="R177">
        <f t="shared" si="63"/>
        <v>0.44444444444444442</v>
      </c>
      <c r="S177" s="32">
        <f t="shared" si="64"/>
        <v>0.83333333333333326</v>
      </c>
      <c r="T177" s="32">
        <f t="shared" si="65"/>
        <v>0.33333333333333331</v>
      </c>
      <c r="U177">
        <f>step3_validation[[#This Row],[AI_TRU1]]</f>
        <v>7</v>
      </c>
      <c r="V177">
        <f t="shared" si="66"/>
        <v>0.66666666666666663</v>
      </c>
      <c r="W177">
        <f>[1]!survey_responses[[#This Row],[Tôi tin rằng Nhà nước, cơ quan thuế sẽ thực thi chính sách mới một cách khách quan, công tâm và đối xử bình đẳng với mọi người nộp thuế.  - HUMAN-TRU1]]</f>
        <v>4</v>
      </c>
      <c r="X177">
        <f t="shared" si="67"/>
        <v>0.33333333333333331</v>
      </c>
      <c r="Y177">
        <f>step3_validation[[#This Row],[AI_TRU2]]</f>
        <v>8</v>
      </c>
      <c r="Z177">
        <f t="shared" si="68"/>
        <v>0.77777777777777779</v>
      </c>
      <c r="AA177">
        <f>[1]!survey_responses[[#This Row],[Tôi thấy mức thuế tôi phải đóng theo phương án mới là công bằng (người thu nhập như tôi đóng mức này là hợp lý). - HUMAN-TRU2]]</f>
        <v>1</v>
      </c>
      <c r="AB177">
        <f t="shared" si="69"/>
        <v>0</v>
      </c>
      <c r="AC177">
        <f>step3_validation[[#This Row],[AI_TRU3]]</f>
        <v>6</v>
      </c>
      <c r="AD177">
        <f t="shared" si="70"/>
        <v>0.55555555555555558</v>
      </c>
      <c r="AE177">
        <f>[1]!survey_responses[[#This Row],[Tôi tin tưởng số tiền thuế tôi đóng sẽ được Nhà nước sử dụng hiệu quả để cải thiện dịch vụ công (y tế, đường xá...). - HUMAN-TRU3]]</f>
        <v>1</v>
      </c>
      <c r="AF177">
        <f t="shared" si="71"/>
        <v>0</v>
      </c>
      <c r="AG177">
        <f>step3_validation[[#This Row],[AI_TRU4]]</f>
        <v>5</v>
      </c>
      <c r="AH177">
        <f t="shared" si="72"/>
        <v>0.44444444444444442</v>
      </c>
      <c r="AI177">
        <f>[1]!survey_responses[[#This Row],[Tôi thấy Nhà nước đã giải thích rõ ràng, minh bạch về lý do và mục tiêu của việc sửa đổi thuế lần này. - HUMAN-TRU4]]</f>
        <v>4</v>
      </c>
      <c r="AJ177">
        <f t="shared" si="73"/>
        <v>0.33333333333333331</v>
      </c>
      <c r="AK177" s="32">
        <f t="shared" si="74"/>
        <v>0.61111111111111116</v>
      </c>
      <c r="AL177" s="32">
        <f t="shared" si="75"/>
        <v>0.16666666666666666</v>
      </c>
      <c r="AM177" s="7">
        <f t="shared" si="76"/>
        <v>0.72222222222222221</v>
      </c>
      <c r="AN177" s="7">
        <f t="shared" si="77"/>
        <v>0.24074074074074073</v>
      </c>
      <c r="AO177">
        <f>step3_validation[[#This Row],[AI_OUT1]]</f>
        <v>6</v>
      </c>
      <c r="AP177">
        <f t="shared" si="78"/>
        <v>0.55555555555555558</v>
      </c>
      <c r="AQ177">
        <f>[1]!survey_responses[[#This Row],[Sau khi xem xét các quyền lợi và nghĩa vụ, bạn có ủng hộ và tuân thủ chính sách mới hiện nay? - HUMAN-OUT1]]</f>
        <v>4</v>
      </c>
      <c r="AR177">
        <f t="shared" si="79"/>
        <v>0.33333333333333331</v>
      </c>
      <c r="AS177" s="32">
        <f t="shared" si="80"/>
        <v>2</v>
      </c>
    </row>
    <row r="178" spans="1:45" x14ac:dyDescent="0.45">
      <c r="A178">
        <f>step3_validation[[#This Row],[AI_ENF1]]</f>
        <v>8</v>
      </c>
      <c r="B178">
        <f t="shared" si="54"/>
        <v>0.77777777777777779</v>
      </c>
      <c r="C178">
        <f>[1]!survey_responses[[#This Row],[Tôi tin rằng với các quy định quản lý thuế hiện nay, hành vi gian lận hoặc trốn thuế sẽ dễ dàng bị phát hiện và xử lý nghiêm. - HUMAN-ENF1]]</f>
        <v>4</v>
      </c>
      <c r="D178">
        <f t="shared" si="55"/>
        <v>0.33333333333333331</v>
      </c>
      <c r="E178">
        <f>step3_validation[[#This Row],[AI_ENF2]]</f>
        <v>7</v>
      </c>
      <c r="F178">
        <f t="shared" si="56"/>
        <v>0.66666666666666663</v>
      </c>
      <c r="G178">
        <f>[1]!survey_responses[[#This Row],[Tôi tin rằng Nhà nước, cơ quan thuế có đủ khả năng và công nghệ để phát hiện, xử lý nghiêm các hành vi trốn thuế. - HUMAN-ENF2]]</f>
        <v>4</v>
      </c>
      <c r="H178">
        <f t="shared" si="57"/>
        <v>0.33333333333333331</v>
      </c>
      <c r="I178" s="32">
        <f t="shared" si="58"/>
        <v>0.72222222222222221</v>
      </c>
      <c r="J178" s="32">
        <f t="shared" si="59"/>
        <v>0.33333333333333331</v>
      </c>
      <c r="K178">
        <f>step3_validation[[#This Row],[AI_FAC1]]</f>
        <v>9</v>
      </c>
      <c r="L178">
        <f t="shared" si="60"/>
        <v>0.88888888888888884</v>
      </c>
      <c r="M178">
        <f>[1]!survey_responses[[#This Row],[Các thủ tục khai báo thuế VÀ/HOẶC quy trình làm việc với cơ quan thuế đơn giản, tiện lợi, nhanh chóng hơn so với trước đây. - HUMAN-FAC1]]</f>
        <v>3</v>
      </c>
      <c r="N178">
        <f t="shared" si="61"/>
        <v>0.22222222222222221</v>
      </c>
      <c r="O178">
        <f>step3_validation[[#This Row],[AI_FAC2]]</f>
        <v>8</v>
      </c>
      <c r="P178">
        <f t="shared" si="62"/>
        <v>0.77777777777777779</v>
      </c>
      <c r="Q178">
        <f>[1]!survey_responses[[#This Row],[So với trước đây, tôi thấy cách tính thuế và các bậc thuế trong phương án mới đơn giản, dễ hiểu và dễ thực hiện hơn. - HUMAN-FAC2]]</f>
        <v>5</v>
      </c>
      <c r="R178">
        <f t="shared" si="63"/>
        <v>0.44444444444444442</v>
      </c>
      <c r="S178" s="32">
        <f t="shared" si="64"/>
        <v>0.83333333333333326</v>
      </c>
      <c r="T178" s="32">
        <f t="shared" si="65"/>
        <v>0.33333333333333331</v>
      </c>
      <c r="U178">
        <f>step3_validation[[#This Row],[AI_TRU1]]</f>
        <v>7</v>
      </c>
      <c r="V178">
        <f t="shared" si="66"/>
        <v>0.66666666666666663</v>
      </c>
      <c r="W178">
        <f>[1]!survey_responses[[#This Row],[Tôi tin rằng Nhà nước, cơ quan thuế sẽ thực thi chính sách mới một cách khách quan, công tâm và đối xử bình đẳng với mọi người nộp thuế.  - HUMAN-TRU1]]</f>
        <v>3</v>
      </c>
      <c r="X178">
        <f t="shared" si="67"/>
        <v>0.22222222222222221</v>
      </c>
      <c r="Y178">
        <f>step3_validation[[#This Row],[AI_TRU2]]</f>
        <v>8</v>
      </c>
      <c r="Z178">
        <f t="shared" si="68"/>
        <v>0.77777777777777779</v>
      </c>
      <c r="AA178">
        <f>[1]!survey_responses[[#This Row],[Tôi thấy mức thuế tôi phải đóng theo phương án mới là công bằng (người thu nhập như tôi đóng mức này là hợp lý). - HUMAN-TRU2]]</f>
        <v>2</v>
      </c>
      <c r="AB178">
        <f t="shared" si="69"/>
        <v>0.1111111111111111</v>
      </c>
      <c r="AC178">
        <f>step3_validation[[#This Row],[AI_TRU3]]</f>
        <v>6</v>
      </c>
      <c r="AD178">
        <f t="shared" si="70"/>
        <v>0.55555555555555558</v>
      </c>
      <c r="AE178">
        <f>[1]!survey_responses[[#This Row],[Tôi tin tưởng số tiền thuế tôi đóng sẽ được Nhà nước sử dụng hiệu quả để cải thiện dịch vụ công (y tế, đường xá...). - HUMAN-TRU3]]</f>
        <v>1</v>
      </c>
      <c r="AF178">
        <f t="shared" si="71"/>
        <v>0</v>
      </c>
      <c r="AG178">
        <f>step3_validation[[#This Row],[AI_TRU4]]</f>
        <v>7</v>
      </c>
      <c r="AH178">
        <f t="shared" si="72"/>
        <v>0.66666666666666663</v>
      </c>
      <c r="AI178">
        <f>[1]!survey_responses[[#This Row],[Tôi thấy Nhà nước đã giải thích rõ ràng, minh bạch về lý do và mục tiêu của việc sửa đổi thuế lần này. - HUMAN-TRU4]]</f>
        <v>1</v>
      </c>
      <c r="AJ178">
        <f t="shared" si="73"/>
        <v>0</v>
      </c>
      <c r="AK178" s="32">
        <f t="shared" si="74"/>
        <v>0.66666666666666663</v>
      </c>
      <c r="AL178" s="32">
        <f t="shared" si="75"/>
        <v>8.3333333333333329E-2</v>
      </c>
      <c r="AM178" s="7">
        <f t="shared" si="76"/>
        <v>0.74074074074074059</v>
      </c>
      <c r="AN178" s="7">
        <f t="shared" si="77"/>
        <v>0.25</v>
      </c>
      <c r="AO178">
        <f>step3_validation[[#This Row],[AI_OUT1]]</f>
        <v>8</v>
      </c>
      <c r="AP178">
        <f t="shared" si="78"/>
        <v>0.77777777777777779</v>
      </c>
      <c r="AQ178">
        <f>[1]!survey_responses[[#This Row],[Sau khi xem xét các quyền lợi và nghĩa vụ, bạn có ủng hộ và tuân thủ chính sách mới hiện nay? - HUMAN-OUT1]]</f>
        <v>1</v>
      </c>
      <c r="AR178">
        <f t="shared" si="79"/>
        <v>0</v>
      </c>
      <c r="AS178" s="32">
        <f t="shared" si="80"/>
        <v>7</v>
      </c>
    </row>
    <row r="179" spans="1:45" x14ac:dyDescent="0.45">
      <c r="A179">
        <f>step3_validation[[#This Row],[AI_ENF1]]</f>
        <v>8</v>
      </c>
      <c r="B179">
        <f t="shared" si="54"/>
        <v>0.77777777777777779</v>
      </c>
      <c r="C179">
        <f>[1]!survey_responses[[#This Row],[Tôi tin rằng với các quy định quản lý thuế hiện nay, hành vi gian lận hoặc trốn thuế sẽ dễ dàng bị phát hiện và xử lý nghiêm. - HUMAN-ENF1]]</f>
        <v>6</v>
      </c>
      <c r="D179">
        <f t="shared" si="55"/>
        <v>0.55555555555555558</v>
      </c>
      <c r="E179">
        <f>step3_validation[[#This Row],[AI_ENF2]]</f>
        <v>7</v>
      </c>
      <c r="F179">
        <f t="shared" si="56"/>
        <v>0.66666666666666663</v>
      </c>
      <c r="G179">
        <f>[1]!survey_responses[[#This Row],[Tôi tin rằng Nhà nước, cơ quan thuế có đủ khả năng và công nghệ để phát hiện, xử lý nghiêm các hành vi trốn thuế. - HUMAN-ENF2]]</f>
        <v>7</v>
      </c>
      <c r="H179">
        <f t="shared" si="57"/>
        <v>0.66666666666666663</v>
      </c>
      <c r="I179" s="32">
        <f t="shared" si="58"/>
        <v>0.72222222222222221</v>
      </c>
      <c r="J179" s="32">
        <f t="shared" si="59"/>
        <v>0.61111111111111116</v>
      </c>
      <c r="K179">
        <f>step3_validation[[#This Row],[AI_FAC1]]</f>
        <v>6</v>
      </c>
      <c r="L179">
        <f t="shared" si="60"/>
        <v>0.55555555555555558</v>
      </c>
      <c r="M179">
        <f>[1]!survey_responses[[#This Row],[Các thủ tục khai báo thuế VÀ/HOẶC quy trình làm việc với cơ quan thuế đơn giản, tiện lợi, nhanh chóng hơn so với trước đây. - HUMAN-FAC1]]</f>
        <v>6</v>
      </c>
      <c r="N179">
        <f t="shared" si="61"/>
        <v>0.55555555555555558</v>
      </c>
      <c r="O179">
        <f>step3_validation[[#This Row],[AI_FAC2]]</f>
        <v>8</v>
      </c>
      <c r="P179">
        <f t="shared" si="62"/>
        <v>0.77777777777777779</v>
      </c>
      <c r="Q179">
        <f>[1]!survey_responses[[#This Row],[So với trước đây, tôi thấy cách tính thuế và các bậc thuế trong phương án mới đơn giản, dễ hiểu và dễ thực hiện hơn. - HUMAN-FAC2]]</f>
        <v>6</v>
      </c>
      <c r="R179">
        <f t="shared" si="63"/>
        <v>0.55555555555555558</v>
      </c>
      <c r="S179" s="32">
        <f t="shared" si="64"/>
        <v>0.66666666666666674</v>
      </c>
      <c r="T179" s="32">
        <f t="shared" si="65"/>
        <v>0.55555555555555558</v>
      </c>
      <c r="U179">
        <f>step3_validation[[#This Row],[AI_TRU1]]</f>
        <v>9</v>
      </c>
      <c r="V179">
        <f t="shared" si="66"/>
        <v>0.88888888888888884</v>
      </c>
      <c r="W179">
        <f>[1]!survey_responses[[#This Row],[Tôi tin rằng Nhà nước, cơ quan thuế sẽ thực thi chính sách mới một cách khách quan, công tâm và đối xử bình đẳng với mọi người nộp thuế.  - HUMAN-TRU1]]</f>
        <v>6</v>
      </c>
      <c r="X179">
        <f t="shared" si="67"/>
        <v>0.55555555555555558</v>
      </c>
      <c r="Y179">
        <f>step3_validation[[#This Row],[AI_TRU2]]</f>
        <v>7</v>
      </c>
      <c r="Z179">
        <f t="shared" si="68"/>
        <v>0.66666666666666663</v>
      </c>
      <c r="AA179">
        <f>[1]!survey_responses[[#This Row],[Tôi thấy mức thuế tôi phải đóng theo phương án mới là công bằng (người thu nhập như tôi đóng mức này là hợp lý). - HUMAN-TRU2]]</f>
        <v>7</v>
      </c>
      <c r="AB179">
        <f t="shared" si="69"/>
        <v>0.66666666666666663</v>
      </c>
      <c r="AC179">
        <f>step3_validation[[#This Row],[AI_TRU3]]</f>
        <v>8</v>
      </c>
      <c r="AD179">
        <f t="shared" si="70"/>
        <v>0.77777777777777779</v>
      </c>
      <c r="AE179">
        <f>[1]!survey_responses[[#This Row],[Tôi tin tưởng số tiền thuế tôi đóng sẽ được Nhà nước sử dụng hiệu quả để cải thiện dịch vụ công (y tế, đường xá...). - HUMAN-TRU3]]</f>
        <v>5</v>
      </c>
      <c r="AF179">
        <f t="shared" si="71"/>
        <v>0.44444444444444442</v>
      </c>
      <c r="AG179">
        <f>step3_validation[[#This Row],[AI_TRU4]]</f>
        <v>6</v>
      </c>
      <c r="AH179">
        <f t="shared" si="72"/>
        <v>0.55555555555555558</v>
      </c>
      <c r="AI179">
        <f>[1]!survey_responses[[#This Row],[Tôi thấy Nhà nước đã giải thích rõ ràng, minh bạch về lý do và mục tiêu của việc sửa đổi thuế lần này. - HUMAN-TRU4]]</f>
        <v>6</v>
      </c>
      <c r="AJ179">
        <f t="shared" si="73"/>
        <v>0.55555555555555558</v>
      </c>
      <c r="AK179" s="32">
        <f t="shared" si="74"/>
        <v>0.7222222222222221</v>
      </c>
      <c r="AL179" s="32">
        <f t="shared" si="75"/>
        <v>0.55555555555555558</v>
      </c>
      <c r="AM179" s="7">
        <f t="shared" si="76"/>
        <v>0.70370370370370361</v>
      </c>
      <c r="AN179" s="7">
        <f t="shared" si="77"/>
        <v>0.57407407407407407</v>
      </c>
      <c r="AO179">
        <f>step3_validation[[#This Row],[AI_OUT1]]</f>
        <v>7</v>
      </c>
      <c r="AP179">
        <f t="shared" si="78"/>
        <v>0.66666666666666663</v>
      </c>
      <c r="AQ179">
        <f>[1]!survey_responses[[#This Row],[Sau khi xem xét các quyền lợi và nghĩa vụ, bạn có ủng hộ và tuân thủ chính sách mới hiện nay? - HUMAN-OUT1]]</f>
        <v>7</v>
      </c>
      <c r="AR179">
        <f t="shared" si="79"/>
        <v>0.66666666666666663</v>
      </c>
      <c r="AS179" s="32">
        <f t="shared" si="80"/>
        <v>0</v>
      </c>
    </row>
    <row r="180" spans="1:45" x14ac:dyDescent="0.45">
      <c r="A180">
        <f>step3_validation[[#This Row],[AI_ENF1]]</f>
        <v>7</v>
      </c>
      <c r="B180">
        <f t="shared" si="54"/>
        <v>0.66666666666666663</v>
      </c>
      <c r="C180">
        <f>[1]!survey_responses[[#This Row],[Tôi tin rằng với các quy định quản lý thuế hiện nay, hành vi gian lận hoặc trốn thuế sẽ dễ dàng bị phát hiện và xử lý nghiêm. - HUMAN-ENF1]]</f>
        <v>7</v>
      </c>
      <c r="D180">
        <f t="shared" si="55"/>
        <v>0.66666666666666663</v>
      </c>
      <c r="E180">
        <f>step3_validation[[#This Row],[AI_ENF2]]</f>
        <v>7</v>
      </c>
      <c r="F180">
        <f t="shared" si="56"/>
        <v>0.66666666666666663</v>
      </c>
      <c r="G180">
        <f>[1]!survey_responses[[#This Row],[Tôi tin rằng Nhà nước, cơ quan thuế có đủ khả năng và công nghệ để phát hiện, xử lý nghiêm các hành vi trốn thuế. - HUMAN-ENF2]]</f>
        <v>7</v>
      </c>
      <c r="H180">
        <f t="shared" si="57"/>
        <v>0.66666666666666663</v>
      </c>
      <c r="I180" s="32">
        <f t="shared" si="58"/>
        <v>0.66666666666666663</v>
      </c>
      <c r="J180" s="32">
        <f t="shared" si="59"/>
        <v>0.66666666666666663</v>
      </c>
      <c r="K180">
        <f>step3_validation[[#This Row],[AI_FAC1]]</f>
        <v>6</v>
      </c>
      <c r="L180">
        <f t="shared" si="60"/>
        <v>0.55555555555555558</v>
      </c>
      <c r="M180">
        <f>[1]!survey_responses[[#This Row],[Các thủ tục khai báo thuế VÀ/HOẶC quy trình làm việc với cơ quan thuế đơn giản, tiện lợi, nhanh chóng hơn so với trước đây. - HUMAN-FAC1]]</f>
        <v>7</v>
      </c>
      <c r="N180">
        <f t="shared" si="61"/>
        <v>0.66666666666666663</v>
      </c>
      <c r="O180">
        <f>step3_validation[[#This Row],[AI_FAC2]]</f>
        <v>8</v>
      </c>
      <c r="P180">
        <f t="shared" si="62"/>
        <v>0.77777777777777779</v>
      </c>
      <c r="Q180">
        <f>[1]!survey_responses[[#This Row],[So với trước đây, tôi thấy cách tính thuế và các bậc thuế trong phương án mới đơn giản, dễ hiểu và dễ thực hiện hơn. - HUMAN-FAC2]]</f>
        <v>8</v>
      </c>
      <c r="R180">
        <f t="shared" si="63"/>
        <v>0.77777777777777779</v>
      </c>
      <c r="S180" s="32">
        <f t="shared" si="64"/>
        <v>0.66666666666666674</v>
      </c>
      <c r="T180" s="32">
        <f t="shared" si="65"/>
        <v>0.72222222222222221</v>
      </c>
      <c r="U180">
        <f>step3_validation[[#This Row],[AI_TRU1]]</f>
        <v>7</v>
      </c>
      <c r="V180">
        <f t="shared" si="66"/>
        <v>0.66666666666666663</v>
      </c>
      <c r="W180">
        <f>[1]!survey_responses[[#This Row],[Tôi tin rằng Nhà nước, cơ quan thuế sẽ thực thi chính sách mới một cách khách quan, công tâm và đối xử bình đẳng với mọi người nộp thuế.  - HUMAN-TRU1]]</f>
        <v>7</v>
      </c>
      <c r="X180">
        <f t="shared" si="67"/>
        <v>0.66666666666666663</v>
      </c>
      <c r="Y180">
        <f>step3_validation[[#This Row],[AI_TRU2]]</f>
        <v>8</v>
      </c>
      <c r="Z180">
        <f t="shared" si="68"/>
        <v>0.77777777777777779</v>
      </c>
      <c r="AA180">
        <f>[1]!survey_responses[[#This Row],[Tôi thấy mức thuế tôi phải đóng theo phương án mới là công bằng (người thu nhập như tôi đóng mức này là hợp lý). - HUMAN-TRU2]]</f>
        <v>8</v>
      </c>
      <c r="AB180">
        <f t="shared" si="69"/>
        <v>0.77777777777777779</v>
      </c>
      <c r="AC180">
        <f>step3_validation[[#This Row],[AI_TRU3]]</f>
        <v>7</v>
      </c>
      <c r="AD180">
        <f t="shared" si="70"/>
        <v>0.66666666666666663</v>
      </c>
      <c r="AE180">
        <f>[1]!survey_responses[[#This Row],[Tôi tin tưởng số tiền thuế tôi đóng sẽ được Nhà nước sử dụng hiệu quả để cải thiện dịch vụ công (y tế, đường xá...). - HUMAN-TRU3]]</f>
        <v>7</v>
      </c>
      <c r="AF180">
        <f t="shared" si="71"/>
        <v>0.66666666666666663</v>
      </c>
      <c r="AG180">
        <f>step3_validation[[#This Row],[AI_TRU4]]</f>
        <v>6</v>
      </c>
      <c r="AH180">
        <f t="shared" si="72"/>
        <v>0.55555555555555558</v>
      </c>
      <c r="AI180">
        <f>[1]!survey_responses[[#This Row],[Tôi thấy Nhà nước đã giải thích rõ ràng, minh bạch về lý do và mục tiêu của việc sửa đổi thuế lần này. - HUMAN-TRU4]]</f>
        <v>7</v>
      </c>
      <c r="AJ180">
        <f t="shared" si="73"/>
        <v>0.66666666666666663</v>
      </c>
      <c r="AK180" s="32">
        <f t="shared" si="74"/>
        <v>0.66666666666666674</v>
      </c>
      <c r="AL180" s="32">
        <f t="shared" si="75"/>
        <v>0.69444444444444442</v>
      </c>
      <c r="AM180" s="7">
        <f t="shared" si="76"/>
        <v>0.66666666666666663</v>
      </c>
      <c r="AN180" s="7">
        <f t="shared" si="77"/>
        <v>0.69444444444444431</v>
      </c>
      <c r="AO180">
        <f>step3_validation[[#This Row],[AI_OUT1]]</f>
        <v>8</v>
      </c>
      <c r="AP180">
        <f t="shared" si="78"/>
        <v>0.77777777777777779</v>
      </c>
      <c r="AQ180">
        <f>[1]!survey_responses[[#This Row],[Sau khi xem xét các quyền lợi và nghĩa vụ, bạn có ủng hộ và tuân thủ chính sách mới hiện nay? - HUMAN-OUT1]]</f>
        <v>8</v>
      </c>
      <c r="AR180">
        <f t="shared" si="79"/>
        <v>0.77777777777777779</v>
      </c>
      <c r="AS180" s="32">
        <f t="shared" si="80"/>
        <v>0</v>
      </c>
    </row>
    <row r="181" spans="1:45" x14ac:dyDescent="0.45">
      <c r="A181">
        <f>step3_validation[[#This Row],[AI_ENF1]]</f>
        <v>7</v>
      </c>
      <c r="B181">
        <f t="shared" si="54"/>
        <v>0.66666666666666663</v>
      </c>
      <c r="C181">
        <f>[1]!survey_responses[[#This Row],[Tôi tin rằng với các quy định quản lý thuế hiện nay, hành vi gian lận hoặc trốn thuế sẽ dễ dàng bị phát hiện và xử lý nghiêm. - HUMAN-ENF1]]</f>
        <v>5</v>
      </c>
      <c r="D181">
        <f t="shared" si="55"/>
        <v>0.44444444444444442</v>
      </c>
      <c r="E181">
        <f>step3_validation[[#This Row],[AI_ENF2]]</f>
        <v>6</v>
      </c>
      <c r="F181">
        <f t="shared" si="56"/>
        <v>0.55555555555555558</v>
      </c>
      <c r="G181">
        <f>[1]!survey_responses[[#This Row],[Tôi tin rằng Nhà nước, cơ quan thuế có đủ khả năng và công nghệ để phát hiện, xử lý nghiêm các hành vi trốn thuế. - HUMAN-ENF2]]</f>
        <v>5</v>
      </c>
      <c r="H181">
        <f t="shared" si="57"/>
        <v>0.44444444444444442</v>
      </c>
      <c r="I181" s="32">
        <f t="shared" si="58"/>
        <v>0.61111111111111116</v>
      </c>
      <c r="J181" s="32">
        <f t="shared" si="59"/>
        <v>0.44444444444444442</v>
      </c>
      <c r="K181">
        <f>step3_validation[[#This Row],[AI_FAC1]]</f>
        <v>8</v>
      </c>
      <c r="L181">
        <f t="shared" si="60"/>
        <v>0.77777777777777779</v>
      </c>
      <c r="M181">
        <f>[1]!survey_responses[[#This Row],[Các thủ tục khai báo thuế VÀ/HOẶC quy trình làm việc với cơ quan thuế đơn giản, tiện lợi, nhanh chóng hơn so với trước đây. - HUMAN-FAC1]]</f>
        <v>5</v>
      </c>
      <c r="N181">
        <f t="shared" si="61"/>
        <v>0.44444444444444442</v>
      </c>
      <c r="O181">
        <f>step3_validation[[#This Row],[AI_FAC2]]</f>
        <v>9</v>
      </c>
      <c r="P181">
        <f t="shared" si="62"/>
        <v>0.88888888888888884</v>
      </c>
      <c r="Q181">
        <f>[1]!survey_responses[[#This Row],[So với trước đây, tôi thấy cách tính thuế và các bậc thuế trong phương án mới đơn giản, dễ hiểu và dễ thực hiện hơn. - HUMAN-FAC2]]</f>
        <v>7</v>
      </c>
      <c r="R181">
        <f t="shared" si="63"/>
        <v>0.66666666666666663</v>
      </c>
      <c r="S181" s="32">
        <f t="shared" si="64"/>
        <v>0.83333333333333326</v>
      </c>
      <c r="T181" s="32">
        <f t="shared" si="65"/>
        <v>0.55555555555555558</v>
      </c>
      <c r="U181">
        <f>step3_validation[[#This Row],[AI_TRU1]]</f>
        <v>8</v>
      </c>
      <c r="V181">
        <f t="shared" si="66"/>
        <v>0.77777777777777779</v>
      </c>
      <c r="W181">
        <f>[1]!survey_responses[[#This Row],[Tôi tin rằng Nhà nước, cơ quan thuế sẽ thực thi chính sách mới một cách khách quan, công tâm và đối xử bình đẳng với mọi người nộp thuế.  - HUMAN-TRU1]]</f>
        <v>5</v>
      </c>
      <c r="X181">
        <f t="shared" si="67"/>
        <v>0.44444444444444442</v>
      </c>
      <c r="Y181">
        <f>step3_validation[[#This Row],[AI_TRU2]]</f>
        <v>7</v>
      </c>
      <c r="Z181">
        <f t="shared" si="68"/>
        <v>0.66666666666666663</v>
      </c>
      <c r="AA181">
        <f>[1]!survey_responses[[#This Row],[Tôi thấy mức thuế tôi phải đóng theo phương án mới là công bằng (người thu nhập như tôi đóng mức này là hợp lý). - HUMAN-TRU2]]</f>
        <v>6</v>
      </c>
      <c r="AB181">
        <f t="shared" si="69"/>
        <v>0.55555555555555558</v>
      </c>
      <c r="AC181">
        <f>step3_validation[[#This Row],[AI_TRU3]]</f>
        <v>6</v>
      </c>
      <c r="AD181">
        <f t="shared" si="70"/>
        <v>0.55555555555555558</v>
      </c>
      <c r="AE181">
        <f>[1]!survey_responses[[#This Row],[Tôi tin tưởng số tiền thuế tôi đóng sẽ được Nhà nước sử dụng hiệu quả để cải thiện dịch vụ công (y tế, đường xá...). - HUMAN-TRU3]]</f>
        <v>5</v>
      </c>
      <c r="AF181">
        <f t="shared" si="71"/>
        <v>0.44444444444444442</v>
      </c>
      <c r="AG181">
        <f>step3_validation[[#This Row],[AI_TRU4]]</f>
        <v>5</v>
      </c>
      <c r="AH181">
        <f t="shared" si="72"/>
        <v>0.44444444444444442</v>
      </c>
      <c r="AI181">
        <f>[1]!survey_responses[[#This Row],[Tôi thấy Nhà nước đã giải thích rõ ràng, minh bạch về lý do và mục tiêu của việc sửa đổi thuế lần này. - HUMAN-TRU4]]</f>
        <v>7</v>
      </c>
      <c r="AJ181">
        <f t="shared" si="73"/>
        <v>0.66666666666666663</v>
      </c>
      <c r="AK181" s="32">
        <f t="shared" si="74"/>
        <v>0.61111111111111116</v>
      </c>
      <c r="AL181" s="32">
        <f t="shared" si="75"/>
        <v>0.52777777777777779</v>
      </c>
      <c r="AM181" s="7">
        <f t="shared" si="76"/>
        <v>0.68518518518518512</v>
      </c>
      <c r="AN181" s="7">
        <f t="shared" si="77"/>
        <v>0.50925925925925919</v>
      </c>
      <c r="AO181">
        <f>step3_validation[[#This Row],[AI_OUT1]]</f>
        <v>7</v>
      </c>
      <c r="AP181">
        <f t="shared" si="78"/>
        <v>0.66666666666666663</v>
      </c>
      <c r="AQ181">
        <f>[1]!survey_responses[[#This Row],[Sau khi xem xét các quyền lợi và nghĩa vụ, bạn có ủng hộ và tuân thủ chính sách mới hiện nay? - HUMAN-OUT1]]</f>
        <v>7</v>
      </c>
      <c r="AR181">
        <f t="shared" si="79"/>
        <v>0.66666666666666663</v>
      </c>
      <c r="AS181" s="32">
        <f t="shared" si="80"/>
        <v>0</v>
      </c>
    </row>
    <row r="182" spans="1:45" x14ac:dyDescent="0.45">
      <c r="A182">
        <f>step3_validation[[#This Row],[AI_ENF1]]</f>
        <v>7</v>
      </c>
      <c r="B182">
        <f t="shared" si="54"/>
        <v>0.66666666666666663</v>
      </c>
      <c r="C182">
        <f>[1]!survey_responses[[#This Row],[Tôi tin rằng với các quy định quản lý thuế hiện nay, hành vi gian lận hoặc trốn thuế sẽ dễ dàng bị phát hiện và xử lý nghiêm. - HUMAN-ENF1]]</f>
        <v>6</v>
      </c>
      <c r="D182">
        <f t="shared" si="55"/>
        <v>0.55555555555555558</v>
      </c>
      <c r="E182">
        <f>step3_validation[[#This Row],[AI_ENF2]]</f>
        <v>6</v>
      </c>
      <c r="F182">
        <f t="shared" si="56"/>
        <v>0.55555555555555558</v>
      </c>
      <c r="G182">
        <f>[1]!survey_responses[[#This Row],[Tôi tin rằng Nhà nước, cơ quan thuế có đủ khả năng và công nghệ để phát hiện, xử lý nghiêm các hành vi trốn thuế. - HUMAN-ENF2]]</f>
        <v>7</v>
      </c>
      <c r="H182">
        <f t="shared" si="57"/>
        <v>0.66666666666666663</v>
      </c>
      <c r="I182" s="32">
        <f t="shared" si="58"/>
        <v>0.61111111111111116</v>
      </c>
      <c r="J182" s="32">
        <f t="shared" si="59"/>
        <v>0.61111111111111116</v>
      </c>
      <c r="K182">
        <f>step3_validation[[#This Row],[AI_FAC1]]</f>
        <v>8</v>
      </c>
      <c r="L182">
        <f t="shared" si="60"/>
        <v>0.77777777777777779</v>
      </c>
      <c r="M182">
        <f>[1]!survey_responses[[#This Row],[Các thủ tục khai báo thuế VÀ/HOẶC quy trình làm việc với cơ quan thuế đơn giản, tiện lợi, nhanh chóng hơn so với trước đây. - HUMAN-FAC1]]</f>
        <v>7</v>
      </c>
      <c r="N182">
        <f t="shared" si="61"/>
        <v>0.66666666666666663</v>
      </c>
      <c r="O182">
        <f>step3_validation[[#This Row],[AI_FAC2]]</f>
        <v>7</v>
      </c>
      <c r="P182">
        <f t="shared" si="62"/>
        <v>0.66666666666666663</v>
      </c>
      <c r="Q182">
        <f>[1]!survey_responses[[#This Row],[So với trước đây, tôi thấy cách tính thuế và các bậc thuế trong phương án mới đơn giản, dễ hiểu và dễ thực hiện hơn. - HUMAN-FAC2]]</f>
        <v>8</v>
      </c>
      <c r="R182">
        <f t="shared" si="63"/>
        <v>0.77777777777777779</v>
      </c>
      <c r="S182" s="32">
        <f t="shared" si="64"/>
        <v>0.72222222222222221</v>
      </c>
      <c r="T182" s="32">
        <f t="shared" si="65"/>
        <v>0.72222222222222221</v>
      </c>
      <c r="U182">
        <f>step3_validation[[#This Row],[AI_TRU1]]</f>
        <v>8</v>
      </c>
      <c r="V182">
        <f t="shared" si="66"/>
        <v>0.77777777777777779</v>
      </c>
      <c r="W182">
        <f>[1]!survey_responses[[#This Row],[Tôi tin rằng Nhà nước, cơ quan thuế sẽ thực thi chính sách mới một cách khách quan, công tâm và đối xử bình đẳng với mọi người nộp thuế.  - HUMAN-TRU1]]</f>
        <v>8</v>
      </c>
      <c r="X182">
        <f t="shared" si="67"/>
        <v>0.77777777777777779</v>
      </c>
      <c r="Y182">
        <f>step3_validation[[#This Row],[AI_TRU2]]</f>
        <v>6</v>
      </c>
      <c r="Z182">
        <f t="shared" si="68"/>
        <v>0.55555555555555558</v>
      </c>
      <c r="AA182">
        <f>[1]!survey_responses[[#This Row],[Tôi thấy mức thuế tôi phải đóng theo phương án mới là công bằng (người thu nhập như tôi đóng mức này là hợp lý). - HUMAN-TRU2]]</f>
        <v>7</v>
      </c>
      <c r="AB182">
        <f t="shared" si="69"/>
        <v>0.66666666666666663</v>
      </c>
      <c r="AC182">
        <f>step3_validation[[#This Row],[AI_TRU3]]</f>
        <v>7</v>
      </c>
      <c r="AD182">
        <f t="shared" si="70"/>
        <v>0.66666666666666663</v>
      </c>
      <c r="AE182">
        <f>[1]!survey_responses[[#This Row],[Tôi tin tưởng số tiền thuế tôi đóng sẽ được Nhà nước sử dụng hiệu quả để cải thiện dịch vụ công (y tế, đường xá...). - HUMAN-TRU3]]</f>
        <v>5</v>
      </c>
      <c r="AF182">
        <f t="shared" si="71"/>
        <v>0.44444444444444442</v>
      </c>
      <c r="AG182">
        <f>step3_validation[[#This Row],[AI_TRU4]]</f>
        <v>5</v>
      </c>
      <c r="AH182">
        <f t="shared" si="72"/>
        <v>0.44444444444444442</v>
      </c>
      <c r="AI182">
        <f>[1]!survey_responses[[#This Row],[Tôi thấy Nhà nước đã giải thích rõ ràng, minh bạch về lý do và mục tiêu của việc sửa đổi thuế lần này. - HUMAN-TRU4]]</f>
        <v>7</v>
      </c>
      <c r="AJ182">
        <f t="shared" si="73"/>
        <v>0.66666666666666663</v>
      </c>
      <c r="AK182" s="32">
        <f t="shared" si="74"/>
        <v>0.61111111111111116</v>
      </c>
      <c r="AL182" s="32">
        <f t="shared" si="75"/>
        <v>0.63888888888888884</v>
      </c>
      <c r="AM182" s="7">
        <f t="shared" si="76"/>
        <v>0.64814814814814825</v>
      </c>
      <c r="AN182" s="7">
        <f t="shared" si="77"/>
        <v>0.65740740740740744</v>
      </c>
      <c r="AO182">
        <f>step3_validation[[#This Row],[AI_OUT1]]</f>
        <v>6</v>
      </c>
      <c r="AP182">
        <f t="shared" si="78"/>
        <v>0.55555555555555558</v>
      </c>
      <c r="AQ182">
        <f>[1]!survey_responses[[#This Row],[Sau khi xem xét các quyền lợi và nghĩa vụ, bạn có ủng hộ và tuân thủ chính sách mới hiện nay? - HUMAN-OUT1]]</f>
        <v>7</v>
      </c>
      <c r="AR182">
        <f t="shared" si="79"/>
        <v>0.66666666666666663</v>
      </c>
      <c r="AS182" s="32">
        <f t="shared" si="80"/>
        <v>1</v>
      </c>
    </row>
    <row r="183" spans="1:45" x14ac:dyDescent="0.45">
      <c r="A183">
        <f>step3_validation[[#This Row],[AI_ENF1]]</f>
        <v>6</v>
      </c>
      <c r="B183">
        <f t="shared" si="54"/>
        <v>0.55555555555555558</v>
      </c>
      <c r="C183">
        <f>[1]!survey_responses[[#This Row],[Tôi tin rằng với các quy định quản lý thuế hiện nay, hành vi gian lận hoặc trốn thuế sẽ dễ dàng bị phát hiện và xử lý nghiêm. - HUMAN-ENF1]]</f>
        <v>8</v>
      </c>
      <c r="D183">
        <f t="shared" si="55"/>
        <v>0.77777777777777779</v>
      </c>
      <c r="E183">
        <f>step3_validation[[#This Row],[AI_ENF2]]</f>
        <v>7</v>
      </c>
      <c r="F183">
        <f t="shared" si="56"/>
        <v>0.66666666666666663</v>
      </c>
      <c r="G183">
        <f>[1]!survey_responses[[#This Row],[Tôi tin rằng Nhà nước, cơ quan thuế có đủ khả năng và công nghệ để phát hiện, xử lý nghiêm các hành vi trốn thuế. - HUMAN-ENF2]]</f>
        <v>8</v>
      </c>
      <c r="H183">
        <f t="shared" si="57"/>
        <v>0.77777777777777779</v>
      </c>
      <c r="I183" s="32">
        <f t="shared" si="58"/>
        <v>0.61111111111111116</v>
      </c>
      <c r="J183" s="32">
        <f t="shared" si="59"/>
        <v>0.77777777777777779</v>
      </c>
      <c r="K183">
        <f>step3_validation[[#This Row],[AI_FAC1]]</f>
        <v>8</v>
      </c>
      <c r="L183">
        <f t="shared" si="60"/>
        <v>0.77777777777777779</v>
      </c>
      <c r="M183">
        <f>[1]!survey_responses[[#This Row],[Các thủ tục khai báo thuế VÀ/HOẶC quy trình làm việc với cơ quan thuế đơn giản, tiện lợi, nhanh chóng hơn so với trước đây. - HUMAN-FAC1]]</f>
        <v>5</v>
      </c>
      <c r="N183">
        <f t="shared" si="61"/>
        <v>0.44444444444444442</v>
      </c>
      <c r="O183">
        <f>step3_validation[[#This Row],[AI_FAC2]]</f>
        <v>7</v>
      </c>
      <c r="P183">
        <f t="shared" si="62"/>
        <v>0.66666666666666663</v>
      </c>
      <c r="Q183">
        <f>[1]!survey_responses[[#This Row],[So với trước đây, tôi thấy cách tính thuế và các bậc thuế trong phương án mới đơn giản, dễ hiểu và dễ thực hiện hơn. - HUMAN-FAC2]]</f>
        <v>8</v>
      </c>
      <c r="R183">
        <f t="shared" si="63"/>
        <v>0.77777777777777779</v>
      </c>
      <c r="S183" s="32">
        <f t="shared" si="64"/>
        <v>0.72222222222222221</v>
      </c>
      <c r="T183" s="32">
        <f t="shared" si="65"/>
        <v>0.61111111111111116</v>
      </c>
      <c r="U183">
        <f>step3_validation[[#This Row],[AI_TRU1]]</f>
        <v>6</v>
      </c>
      <c r="V183">
        <f t="shared" si="66"/>
        <v>0.55555555555555558</v>
      </c>
      <c r="W183">
        <f>[1]!survey_responses[[#This Row],[Tôi tin rằng Nhà nước, cơ quan thuế sẽ thực thi chính sách mới một cách khách quan, công tâm và đối xử bình đẳng với mọi người nộp thuế.  - HUMAN-TRU1]]</f>
        <v>6</v>
      </c>
      <c r="X183">
        <f t="shared" si="67"/>
        <v>0.55555555555555558</v>
      </c>
      <c r="Y183">
        <f>step3_validation[[#This Row],[AI_TRU2]]</f>
        <v>7</v>
      </c>
      <c r="Z183">
        <f t="shared" si="68"/>
        <v>0.66666666666666663</v>
      </c>
      <c r="AA183">
        <f>[1]!survey_responses[[#This Row],[Tôi thấy mức thuế tôi phải đóng theo phương án mới là công bằng (người thu nhập như tôi đóng mức này là hợp lý). - HUMAN-TRU2]]</f>
        <v>8</v>
      </c>
      <c r="AB183">
        <f t="shared" si="69"/>
        <v>0.77777777777777779</v>
      </c>
      <c r="AC183">
        <f>step3_validation[[#This Row],[AI_TRU3]]</f>
        <v>6</v>
      </c>
      <c r="AD183">
        <f t="shared" si="70"/>
        <v>0.55555555555555558</v>
      </c>
      <c r="AE183">
        <f>[1]!survey_responses[[#This Row],[Tôi tin tưởng số tiền thuế tôi đóng sẽ được Nhà nước sử dụng hiệu quả để cải thiện dịch vụ công (y tế, đường xá...). - HUMAN-TRU3]]</f>
        <v>6</v>
      </c>
      <c r="AF183">
        <f t="shared" si="71"/>
        <v>0.55555555555555558</v>
      </c>
      <c r="AG183">
        <f>step3_validation[[#This Row],[AI_TRU4]]</f>
        <v>5</v>
      </c>
      <c r="AH183">
        <f t="shared" si="72"/>
        <v>0.44444444444444442</v>
      </c>
      <c r="AI183">
        <f>[1]!survey_responses[[#This Row],[Tôi thấy Nhà nước đã giải thích rõ ràng, minh bạch về lý do và mục tiêu của việc sửa đổi thuế lần này. - HUMAN-TRU4]]</f>
        <v>7</v>
      </c>
      <c r="AJ183">
        <f t="shared" si="73"/>
        <v>0.66666666666666663</v>
      </c>
      <c r="AK183" s="32">
        <f t="shared" si="74"/>
        <v>0.55555555555555558</v>
      </c>
      <c r="AL183" s="32">
        <f t="shared" si="75"/>
        <v>0.63888888888888895</v>
      </c>
      <c r="AM183" s="7">
        <f t="shared" si="76"/>
        <v>0.62962962962962965</v>
      </c>
      <c r="AN183" s="7">
        <f t="shared" si="77"/>
        <v>0.67592592592592593</v>
      </c>
      <c r="AO183">
        <f>step3_validation[[#This Row],[AI_OUT1]]</f>
        <v>6</v>
      </c>
      <c r="AP183">
        <f t="shared" si="78"/>
        <v>0.55555555555555558</v>
      </c>
      <c r="AQ183">
        <f>[1]!survey_responses[[#This Row],[Sau khi xem xét các quyền lợi và nghĩa vụ, bạn có ủng hộ và tuân thủ chính sách mới hiện nay? - HUMAN-OUT1]]</f>
        <v>7</v>
      </c>
      <c r="AR183">
        <f t="shared" si="79"/>
        <v>0.66666666666666663</v>
      </c>
      <c r="AS183" s="32">
        <f t="shared" si="80"/>
        <v>1</v>
      </c>
    </row>
    <row r="184" spans="1:45" x14ac:dyDescent="0.45">
      <c r="A184">
        <f>step3_validation[[#This Row],[AI_ENF1]]</f>
        <v>7</v>
      </c>
      <c r="B184">
        <f t="shared" si="54"/>
        <v>0.66666666666666663</v>
      </c>
      <c r="C184">
        <f>[1]!survey_responses[[#This Row],[Tôi tin rằng với các quy định quản lý thuế hiện nay, hành vi gian lận hoặc trốn thuế sẽ dễ dàng bị phát hiện và xử lý nghiêm. - HUMAN-ENF1]]</f>
        <v>2</v>
      </c>
      <c r="D184">
        <f t="shared" si="55"/>
        <v>0.1111111111111111</v>
      </c>
      <c r="E184">
        <f>step3_validation[[#This Row],[AI_ENF2]]</f>
        <v>6</v>
      </c>
      <c r="F184">
        <f t="shared" si="56"/>
        <v>0.55555555555555558</v>
      </c>
      <c r="G184">
        <f>[1]!survey_responses[[#This Row],[Tôi tin rằng Nhà nước, cơ quan thuế có đủ khả năng và công nghệ để phát hiện, xử lý nghiêm các hành vi trốn thuế. - HUMAN-ENF2]]</f>
        <v>5</v>
      </c>
      <c r="H184">
        <f t="shared" si="57"/>
        <v>0.44444444444444442</v>
      </c>
      <c r="I184" s="32">
        <f t="shared" si="58"/>
        <v>0.61111111111111116</v>
      </c>
      <c r="J184" s="32">
        <f t="shared" si="59"/>
        <v>0.27777777777777779</v>
      </c>
      <c r="K184">
        <f>step3_validation[[#This Row],[AI_FAC1]]</f>
        <v>5</v>
      </c>
      <c r="L184">
        <f t="shared" si="60"/>
        <v>0.44444444444444442</v>
      </c>
      <c r="M184">
        <f>[1]!survey_responses[[#This Row],[Các thủ tục khai báo thuế VÀ/HOẶC quy trình làm việc với cơ quan thuế đơn giản, tiện lợi, nhanh chóng hơn so với trước đây. - HUMAN-FAC1]]</f>
        <v>3</v>
      </c>
      <c r="N184">
        <f t="shared" si="61"/>
        <v>0.22222222222222221</v>
      </c>
      <c r="O184">
        <f>step3_validation[[#This Row],[AI_FAC2]]</f>
        <v>8</v>
      </c>
      <c r="P184">
        <f t="shared" si="62"/>
        <v>0.77777777777777779</v>
      </c>
      <c r="Q184">
        <f>[1]!survey_responses[[#This Row],[So với trước đây, tôi thấy cách tính thuế và các bậc thuế trong phương án mới đơn giản, dễ hiểu và dễ thực hiện hơn. - HUMAN-FAC2]]</f>
        <v>5</v>
      </c>
      <c r="R184">
        <f t="shared" si="63"/>
        <v>0.44444444444444442</v>
      </c>
      <c r="S184" s="32">
        <f t="shared" si="64"/>
        <v>0.61111111111111116</v>
      </c>
      <c r="T184" s="32">
        <f t="shared" si="65"/>
        <v>0.33333333333333331</v>
      </c>
      <c r="U184">
        <f>step3_validation[[#This Row],[AI_TRU1]]</f>
        <v>7</v>
      </c>
      <c r="V184">
        <f t="shared" si="66"/>
        <v>0.66666666666666663</v>
      </c>
      <c r="W184">
        <f>[1]!survey_responses[[#This Row],[Tôi tin rằng Nhà nước, cơ quan thuế sẽ thực thi chính sách mới một cách khách quan, công tâm và đối xử bình đẳng với mọi người nộp thuế.  - HUMAN-TRU1]]</f>
        <v>3</v>
      </c>
      <c r="X184">
        <f t="shared" si="67"/>
        <v>0.22222222222222221</v>
      </c>
      <c r="Y184">
        <f>step3_validation[[#This Row],[AI_TRU2]]</f>
        <v>6</v>
      </c>
      <c r="Z184">
        <f t="shared" si="68"/>
        <v>0.55555555555555558</v>
      </c>
      <c r="AA184">
        <f>[1]!survey_responses[[#This Row],[Tôi thấy mức thuế tôi phải đóng theo phương án mới là công bằng (người thu nhập như tôi đóng mức này là hợp lý). - HUMAN-TRU2]]</f>
        <v>2</v>
      </c>
      <c r="AB184">
        <f t="shared" si="69"/>
        <v>0.1111111111111111</v>
      </c>
      <c r="AC184">
        <f>step3_validation[[#This Row],[AI_TRU3]]</f>
        <v>7</v>
      </c>
      <c r="AD184">
        <f t="shared" si="70"/>
        <v>0.66666666666666663</v>
      </c>
      <c r="AE184">
        <f>[1]!survey_responses[[#This Row],[Tôi tin tưởng số tiền thuế tôi đóng sẽ được Nhà nước sử dụng hiệu quả để cải thiện dịch vụ công (y tế, đường xá...). - HUMAN-TRU3]]</f>
        <v>1</v>
      </c>
      <c r="AF184">
        <f t="shared" si="71"/>
        <v>0</v>
      </c>
      <c r="AG184">
        <f>step3_validation[[#This Row],[AI_TRU4]]</f>
        <v>6</v>
      </c>
      <c r="AH184">
        <f t="shared" si="72"/>
        <v>0.55555555555555558</v>
      </c>
      <c r="AI184">
        <f>[1]!survey_responses[[#This Row],[Tôi thấy Nhà nước đã giải thích rõ ràng, minh bạch về lý do và mục tiêu của việc sửa đổi thuế lần này. - HUMAN-TRU4]]</f>
        <v>5</v>
      </c>
      <c r="AJ184">
        <f t="shared" si="73"/>
        <v>0.44444444444444442</v>
      </c>
      <c r="AK184" s="32">
        <f t="shared" si="74"/>
        <v>0.61111111111111116</v>
      </c>
      <c r="AL184" s="32">
        <f t="shared" si="75"/>
        <v>0.19444444444444442</v>
      </c>
      <c r="AM184" s="7">
        <f t="shared" si="76"/>
        <v>0.61111111111111116</v>
      </c>
      <c r="AN184" s="7">
        <f t="shared" si="77"/>
        <v>0.26851851851851855</v>
      </c>
      <c r="AO184">
        <f>step3_validation[[#This Row],[AI_OUT1]]</f>
        <v>8</v>
      </c>
      <c r="AP184">
        <f t="shared" si="78"/>
        <v>0.77777777777777779</v>
      </c>
      <c r="AQ184">
        <f>[1]!survey_responses[[#This Row],[Sau khi xem xét các quyền lợi và nghĩa vụ, bạn có ủng hộ và tuân thủ chính sách mới hiện nay? - HUMAN-OUT1]]</f>
        <v>5</v>
      </c>
      <c r="AR184">
        <f t="shared" si="79"/>
        <v>0.44444444444444442</v>
      </c>
      <c r="AS184" s="32">
        <f t="shared" si="80"/>
        <v>3</v>
      </c>
    </row>
    <row r="185" spans="1:45" x14ac:dyDescent="0.45">
      <c r="A185">
        <f>step3_validation[[#This Row],[AI_ENF1]]</f>
        <v>8</v>
      </c>
      <c r="B185">
        <f t="shared" si="54"/>
        <v>0.77777777777777779</v>
      </c>
      <c r="C185">
        <f>[1]!survey_responses[[#This Row],[Tôi tin rằng với các quy định quản lý thuế hiện nay, hành vi gian lận hoặc trốn thuế sẽ dễ dàng bị phát hiện và xử lý nghiêm. - HUMAN-ENF1]]</f>
        <v>6</v>
      </c>
      <c r="D185">
        <f t="shared" si="55"/>
        <v>0.55555555555555558</v>
      </c>
      <c r="E185">
        <f>step3_validation[[#This Row],[AI_ENF2]]</f>
        <v>8</v>
      </c>
      <c r="F185">
        <f t="shared" si="56"/>
        <v>0.77777777777777779</v>
      </c>
      <c r="G185">
        <f>[1]!survey_responses[[#This Row],[Tôi tin rằng Nhà nước, cơ quan thuế có đủ khả năng và công nghệ để phát hiện, xử lý nghiêm các hành vi trốn thuế. - HUMAN-ENF2]]</f>
        <v>6</v>
      </c>
      <c r="H185">
        <f t="shared" si="57"/>
        <v>0.55555555555555558</v>
      </c>
      <c r="I185" s="32">
        <f t="shared" si="58"/>
        <v>0.77777777777777779</v>
      </c>
      <c r="J185" s="32">
        <f t="shared" si="59"/>
        <v>0.55555555555555558</v>
      </c>
      <c r="K185">
        <f>step3_validation[[#This Row],[AI_FAC1]]</f>
        <v>8</v>
      </c>
      <c r="L185">
        <f t="shared" si="60"/>
        <v>0.77777777777777779</v>
      </c>
      <c r="M185">
        <f>[1]!survey_responses[[#This Row],[Các thủ tục khai báo thuế VÀ/HOẶC quy trình làm việc với cơ quan thuế đơn giản, tiện lợi, nhanh chóng hơn so với trước đây. - HUMAN-FAC1]]</f>
        <v>5</v>
      </c>
      <c r="N185">
        <f t="shared" si="61"/>
        <v>0.44444444444444442</v>
      </c>
      <c r="O185">
        <f>step3_validation[[#This Row],[AI_FAC2]]</f>
        <v>9</v>
      </c>
      <c r="P185">
        <f t="shared" si="62"/>
        <v>0.88888888888888884</v>
      </c>
      <c r="Q185">
        <f>[1]!survey_responses[[#This Row],[So với trước đây, tôi thấy cách tính thuế và các bậc thuế trong phương án mới đơn giản, dễ hiểu và dễ thực hiện hơn. - HUMAN-FAC2]]</f>
        <v>9</v>
      </c>
      <c r="R185">
        <f t="shared" si="63"/>
        <v>0.88888888888888884</v>
      </c>
      <c r="S185" s="32">
        <f t="shared" si="64"/>
        <v>0.83333333333333326</v>
      </c>
      <c r="T185" s="32">
        <f t="shared" si="65"/>
        <v>0.66666666666666663</v>
      </c>
      <c r="U185">
        <f>step3_validation[[#This Row],[AI_TRU1]]</f>
        <v>6</v>
      </c>
      <c r="V185">
        <f t="shared" si="66"/>
        <v>0.55555555555555558</v>
      </c>
      <c r="W185">
        <f>[1]!survey_responses[[#This Row],[Tôi tin rằng Nhà nước, cơ quan thuế sẽ thực thi chính sách mới một cách khách quan, công tâm và đối xử bình đẳng với mọi người nộp thuế.  - HUMAN-TRU1]]</f>
        <v>7</v>
      </c>
      <c r="X185">
        <f t="shared" si="67"/>
        <v>0.66666666666666663</v>
      </c>
      <c r="Y185">
        <f>step3_validation[[#This Row],[AI_TRU2]]</f>
        <v>7</v>
      </c>
      <c r="Z185">
        <f t="shared" si="68"/>
        <v>0.66666666666666663</v>
      </c>
      <c r="AA185">
        <f>[1]!survey_responses[[#This Row],[Tôi thấy mức thuế tôi phải đóng theo phương án mới là công bằng (người thu nhập như tôi đóng mức này là hợp lý). - HUMAN-TRU2]]</f>
        <v>8</v>
      </c>
      <c r="AB185">
        <f t="shared" si="69"/>
        <v>0.77777777777777779</v>
      </c>
      <c r="AC185">
        <f>step3_validation[[#This Row],[AI_TRU3]]</f>
        <v>5</v>
      </c>
      <c r="AD185">
        <f t="shared" si="70"/>
        <v>0.44444444444444442</v>
      </c>
      <c r="AE185">
        <f>[1]!survey_responses[[#This Row],[Tôi tin tưởng số tiền thuế tôi đóng sẽ được Nhà nước sử dụng hiệu quả để cải thiện dịch vụ công (y tế, đường xá...). - HUMAN-TRU3]]</f>
        <v>5</v>
      </c>
      <c r="AF185">
        <f t="shared" si="71"/>
        <v>0.44444444444444442</v>
      </c>
      <c r="AG185">
        <f>step3_validation[[#This Row],[AI_TRU4]]</f>
        <v>5</v>
      </c>
      <c r="AH185">
        <f t="shared" si="72"/>
        <v>0.44444444444444442</v>
      </c>
      <c r="AI185">
        <f>[1]!survey_responses[[#This Row],[Tôi thấy Nhà nước đã giải thích rõ ràng, minh bạch về lý do và mục tiêu của việc sửa đổi thuế lần này. - HUMAN-TRU4]]</f>
        <v>7</v>
      </c>
      <c r="AJ185">
        <f t="shared" si="73"/>
        <v>0.66666666666666663</v>
      </c>
      <c r="AK185" s="32">
        <f t="shared" si="74"/>
        <v>0.52777777777777779</v>
      </c>
      <c r="AL185" s="32">
        <f t="shared" si="75"/>
        <v>0.63888888888888884</v>
      </c>
      <c r="AM185" s="7">
        <f t="shared" si="76"/>
        <v>0.71296296296296291</v>
      </c>
      <c r="AN185" s="7">
        <f t="shared" si="77"/>
        <v>0.62037037037037035</v>
      </c>
      <c r="AO185">
        <f>step3_validation[[#This Row],[AI_OUT1]]</f>
        <v>7</v>
      </c>
      <c r="AP185">
        <f t="shared" si="78"/>
        <v>0.66666666666666663</v>
      </c>
      <c r="AQ185">
        <f>[1]!survey_responses[[#This Row],[Sau khi xem xét các quyền lợi và nghĩa vụ, bạn có ủng hộ và tuân thủ chính sách mới hiện nay? - HUMAN-OUT1]]</f>
        <v>7</v>
      </c>
      <c r="AR185">
        <f t="shared" si="79"/>
        <v>0.66666666666666663</v>
      </c>
      <c r="AS185" s="32">
        <f t="shared" si="80"/>
        <v>0</v>
      </c>
    </row>
    <row r="186" spans="1:45" x14ac:dyDescent="0.45">
      <c r="A186">
        <f>step3_validation[[#This Row],[AI_ENF1]]</f>
        <v>8</v>
      </c>
      <c r="B186">
        <f t="shared" si="54"/>
        <v>0.77777777777777779</v>
      </c>
      <c r="C186">
        <f>[1]!survey_responses[[#This Row],[Tôi tin rằng với các quy định quản lý thuế hiện nay, hành vi gian lận hoặc trốn thuế sẽ dễ dàng bị phát hiện và xử lý nghiêm. - HUMAN-ENF1]]</f>
        <v>7</v>
      </c>
      <c r="D186">
        <f t="shared" si="55"/>
        <v>0.66666666666666663</v>
      </c>
      <c r="E186">
        <f>step3_validation[[#This Row],[AI_ENF2]]</f>
        <v>7</v>
      </c>
      <c r="F186">
        <f t="shared" si="56"/>
        <v>0.66666666666666663</v>
      </c>
      <c r="G186">
        <f>[1]!survey_responses[[#This Row],[Tôi tin rằng Nhà nước, cơ quan thuế có đủ khả năng và công nghệ để phát hiện, xử lý nghiêm các hành vi trốn thuế. - HUMAN-ENF2]]</f>
        <v>7</v>
      </c>
      <c r="H186">
        <f t="shared" si="57"/>
        <v>0.66666666666666663</v>
      </c>
      <c r="I186" s="32">
        <f t="shared" si="58"/>
        <v>0.72222222222222221</v>
      </c>
      <c r="J186" s="32">
        <f t="shared" si="59"/>
        <v>0.66666666666666663</v>
      </c>
      <c r="K186">
        <f>step3_validation[[#This Row],[AI_FAC1]]</f>
        <v>7</v>
      </c>
      <c r="L186">
        <f t="shared" si="60"/>
        <v>0.66666666666666663</v>
      </c>
      <c r="M186">
        <f>[1]!survey_responses[[#This Row],[Các thủ tục khai báo thuế VÀ/HOẶC quy trình làm việc với cơ quan thuế đơn giản, tiện lợi, nhanh chóng hơn so với trước đây. - HUMAN-FAC1]]</f>
        <v>6</v>
      </c>
      <c r="N186">
        <f t="shared" si="61"/>
        <v>0.55555555555555558</v>
      </c>
      <c r="O186">
        <f>step3_validation[[#This Row],[AI_FAC2]]</f>
        <v>8</v>
      </c>
      <c r="P186">
        <f t="shared" si="62"/>
        <v>0.77777777777777779</v>
      </c>
      <c r="Q186">
        <f>[1]!survey_responses[[#This Row],[So với trước đây, tôi thấy cách tính thuế và các bậc thuế trong phương án mới đơn giản, dễ hiểu và dễ thực hiện hơn. - HUMAN-FAC2]]</f>
        <v>8</v>
      </c>
      <c r="R186">
        <f t="shared" si="63"/>
        <v>0.77777777777777779</v>
      </c>
      <c r="S186" s="32">
        <f t="shared" si="64"/>
        <v>0.72222222222222221</v>
      </c>
      <c r="T186" s="32">
        <f t="shared" si="65"/>
        <v>0.66666666666666674</v>
      </c>
      <c r="U186">
        <f>step3_validation[[#This Row],[AI_TRU1]]</f>
        <v>8</v>
      </c>
      <c r="V186">
        <f t="shared" si="66"/>
        <v>0.77777777777777779</v>
      </c>
      <c r="W186">
        <f>[1]!survey_responses[[#This Row],[Tôi tin rằng Nhà nước, cơ quan thuế sẽ thực thi chính sách mới một cách khách quan, công tâm và đối xử bình đẳng với mọi người nộp thuế.  - HUMAN-TRU1]]</f>
        <v>5</v>
      </c>
      <c r="X186">
        <f t="shared" si="67"/>
        <v>0.44444444444444442</v>
      </c>
      <c r="Y186">
        <f>step3_validation[[#This Row],[AI_TRU2]]</f>
        <v>7</v>
      </c>
      <c r="Z186">
        <f t="shared" si="68"/>
        <v>0.66666666666666663</v>
      </c>
      <c r="AA186">
        <f>[1]!survey_responses[[#This Row],[Tôi thấy mức thuế tôi phải đóng theo phương án mới là công bằng (người thu nhập như tôi đóng mức này là hợp lý). - HUMAN-TRU2]]</f>
        <v>5</v>
      </c>
      <c r="AB186">
        <f t="shared" si="69"/>
        <v>0.44444444444444442</v>
      </c>
      <c r="AC186">
        <f>step3_validation[[#This Row],[AI_TRU3]]</f>
        <v>8</v>
      </c>
      <c r="AD186">
        <f t="shared" si="70"/>
        <v>0.77777777777777779</v>
      </c>
      <c r="AE186">
        <f>[1]!survey_responses[[#This Row],[Tôi tin tưởng số tiền thuế tôi đóng sẽ được Nhà nước sử dụng hiệu quả để cải thiện dịch vụ công (y tế, đường xá...). - HUMAN-TRU3]]</f>
        <v>5</v>
      </c>
      <c r="AF186">
        <f t="shared" si="71"/>
        <v>0.44444444444444442</v>
      </c>
      <c r="AG186">
        <f>step3_validation[[#This Row],[AI_TRU4]]</f>
        <v>7</v>
      </c>
      <c r="AH186">
        <f t="shared" si="72"/>
        <v>0.66666666666666663</v>
      </c>
      <c r="AI186">
        <f>[1]!survey_responses[[#This Row],[Tôi thấy Nhà nước đã giải thích rõ ràng, minh bạch về lý do và mục tiêu của việc sửa đổi thuế lần này. - HUMAN-TRU4]]</f>
        <v>6</v>
      </c>
      <c r="AJ186">
        <f t="shared" si="73"/>
        <v>0.55555555555555558</v>
      </c>
      <c r="AK186" s="32">
        <f t="shared" si="74"/>
        <v>0.72222222222222221</v>
      </c>
      <c r="AL186" s="32">
        <f t="shared" si="75"/>
        <v>0.47222222222222221</v>
      </c>
      <c r="AM186" s="7">
        <f t="shared" si="76"/>
        <v>0.72222222222222221</v>
      </c>
      <c r="AN186" s="7">
        <f t="shared" si="77"/>
        <v>0.60185185185185197</v>
      </c>
      <c r="AO186">
        <f>step3_validation[[#This Row],[AI_OUT1]]</f>
        <v>7</v>
      </c>
      <c r="AP186">
        <f t="shared" si="78"/>
        <v>0.66666666666666663</v>
      </c>
      <c r="AQ186">
        <f>[1]!survey_responses[[#This Row],[Sau khi xem xét các quyền lợi và nghĩa vụ, bạn có ủng hộ và tuân thủ chính sách mới hiện nay? - HUMAN-OUT1]]</f>
        <v>5</v>
      </c>
      <c r="AR186">
        <f t="shared" si="79"/>
        <v>0.44444444444444442</v>
      </c>
      <c r="AS186" s="32">
        <f t="shared" si="80"/>
        <v>2</v>
      </c>
    </row>
    <row r="187" spans="1:45" x14ac:dyDescent="0.45">
      <c r="A187">
        <f>step3_validation[[#This Row],[AI_ENF1]]</f>
        <v>9</v>
      </c>
      <c r="B187">
        <f t="shared" si="54"/>
        <v>0.88888888888888884</v>
      </c>
      <c r="C187">
        <f>[1]!survey_responses[[#This Row],[Tôi tin rằng với các quy định quản lý thuế hiện nay, hành vi gian lận hoặc trốn thuế sẽ dễ dàng bị phát hiện và xử lý nghiêm. - HUMAN-ENF1]]</f>
        <v>7</v>
      </c>
      <c r="D187">
        <f t="shared" si="55"/>
        <v>0.66666666666666663</v>
      </c>
      <c r="E187">
        <f>step3_validation[[#This Row],[AI_ENF2]]</f>
        <v>8</v>
      </c>
      <c r="F187">
        <f t="shared" si="56"/>
        <v>0.77777777777777779</v>
      </c>
      <c r="G187">
        <f>[1]!survey_responses[[#This Row],[Tôi tin rằng Nhà nước, cơ quan thuế có đủ khả năng và công nghệ để phát hiện, xử lý nghiêm các hành vi trốn thuế. - HUMAN-ENF2]]</f>
        <v>7</v>
      </c>
      <c r="H187">
        <f t="shared" si="57"/>
        <v>0.66666666666666663</v>
      </c>
      <c r="I187" s="32">
        <f t="shared" si="58"/>
        <v>0.83333333333333326</v>
      </c>
      <c r="J187" s="32">
        <f t="shared" si="59"/>
        <v>0.66666666666666663</v>
      </c>
      <c r="K187">
        <f>step3_validation[[#This Row],[AI_FAC1]]</f>
        <v>7</v>
      </c>
      <c r="L187">
        <f t="shared" si="60"/>
        <v>0.66666666666666663</v>
      </c>
      <c r="M187">
        <f>[1]!survey_responses[[#This Row],[Các thủ tục khai báo thuế VÀ/HOẶC quy trình làm việc với cơ quan thuế đơn giản, tiện lợi, nhanh chóng hơn so với trước đây. - HUMAN-FAC1]]</f>
        <v>5</v>
      </c>
      <c r="N187">
        <f t="shared" si="61"/>
        <v>0.44444444444444442</v>
      </c>
      <c r="O187">
        <f>step3_validation[[#This Row],[AI_FAC2]]</f>
        <v>8</v>
      </c>
      <c r="P187">
        <f t="shared" si="62"/>
        <v>0.77777777777777779</v>
      </c>
      <c r="Q187">
        <f>[1]!survey_responses[[#This Row],[So với trước đây, tôi thấy cách tính thuế và các bậc thuế trong phương án mới đơn giản, dễ hiểu và dễ thực hiện hơn. - HUMAN-FAC2]]</f>
        <v>7</v>
      </c>
      <c r="R187">
        <f t="shared" si="63"/>
        <v>0.66666666666666663</v>
      </c>
      <c r="S187" s="32">
        <f t="shared" si="64"/>
        <v>0.72222222222222221</v>
      </c>
      <c r="T187" s="32">
        <f t="shared" si="65"/>
        <v>0.55555555555555558</v>
      </c>
      <c r="U187">
        <f>step3_validation[[#This Row],[AI_TRU1]]</f>
        <v>7</v>
      </c>
      <c r="V187">
        <f t="shared" si="66"/>
        <v>0.66666666666666663</v>
      </c>
      <c r="W187">
        <f>[1]!survey_responses[[#This Row],[Tôi tin rằng Nhà nước, cơ quan thuế sẽ thực thi chính sách mới một cách khách quan, công tâm và đối xử bình đẳng với mọi người nộp thuế.  - HUMAN-TRU1]]</f>
        <v>5</v>
      </c>
      <c r="X187">
        <f t="shared" si="67"/>
        <v>0.44444444444444442</v>
      </c>
      <c r="Y187">
        <f>step3_validation[[#This Row],[AI_TRU2]]</f>
        <v>8</v>
      </c>
      <c r="Z187">
        <f t="shared" si="68"/>
        <v>0.77777777777777779</v>
      </c>
      <c r="AA187">
        <f>[1]!survey_responses[[#This Row],[Tôi thấy mức thuế tôi phải đóng theo phương án mới là công bằng (người thu nhập như tôi đóng mức này là hợp lý). - HUMAN-TRU2]]</f>
        <v>5</v>
      </c>
      <c r="AB187">
        <f t="shared" si="69"/>
        <v>0.44444444444444442</v>
      </c>
      <c r="AC187">
        <f>step3_validation[[#This Row],[AI_TRU3]]</f>
        <v>7</v>
      </c>
      <c r="AD187">
        <f t="shared" si="70"/>
        <v>0.66666666666666663</v>
      </c>
      <c r="AE187">
        <f>[1]!survey_responses[[#This Row],[Tôi tin tưởng số tiền thuế tôi đóng sẽ được Nhà nước sử dụng hiệu quả để cải thiện dịch vụ công (y tế, đường xá...). - HUMAN-TRU3]]</f>
        <v>5</v>
      </c>
      <c r="AF187">
        <f t="shared" si="71"/>
        <v>0.44444444444444442</v>
      </c>
      <c r="AG187">
        <f>step3_validation[[#This Row],[AI_TRU4]]</f>
        <v>8</v>
      </c>
      <c r="AH187">
        <f t="shared" si="72"/>
        <v>0.77777777777777779</v>
      </c>
      <c r="AI187">
        <f>[1]!survey_responses[[#This Row],[Tôi thấy Nhà nước đã giải thích rõ ràng, minh bạch về lý do và mục tiêu của việc sửa đổi thuế lần này. - HUMAN-TRU4]]</f>
        <v>5</v>
      </c>
      <c r="AJ187">
        <f t="shared" si="73"/>
        <v>0.44444444444444442</v>
      </c>
      <c r="AK187" s="32">
        <f t="shared" si="74"/>
        <v>0.72222222222222221</v>
      </c>
      <c r="AL187" s="32">
        <f t="shared" si="75"/>
        <v>0.44444444444444442</v>
      </c>
      <c r="AM187" s="7">
        <f t="shared" si="76"/>
        <v>0.75925925925925919</v>
      </c>
      <c r="AN187" s="7">
        <f t="shared" si="77"/>
        <v>0.55555555555555558</v>
      </c>
      <c r="AO187">
        <f>step3_validation[[#This Row],[AI_OUT1]]</f>
        <v>9</v>
      </c>
      <c r="AP187">
        <f t="shared" si="78"/>
        <v>0.88888888888888884</v>
      </c>
      <c r="AQ187">
        <f>[1]!survey_responses[[#This Row],[Sau khi xem xét các quyền lợi và nghĩa vụ, bạn có ủng hộ và tuân thủ chính sách mới hiện nay? - HUMAN-OUT1]]</f>
        <v>6</v>
      </c>
      <c r="AR187">
        <f t="shared" si="79"/>
        <v>0.55555555555555558</v>
      </c>
      <c r="AS187" s="32">
        <f t="shared" si="80"/>
        <v>3</v>
      </c>
    </row>
    <row r="188" spans="1:45" x14ac:dyDescent="0.45">
      <c r="A188">
        <f>step3_validation[[#This Row],[AI_ENF1]]</f>
        <v>7</v>
      </c>
      <c r="B188">
        <f t="shared" si="54"/>
        <v>0.66666666666666663</v>
      </c>
      <c r="C188">
        <f>[1]!survey_responses[[#This Row],[Tôi tin rằng với các quy định quản lý thuế hiện nay, hành vi gian lận hoặc trốn thuế sẽ dễ dàng bị phát hiện và xử lý nghiêm. - HUMAN-ENF1]]</f>
        <v>6</v>
      </c>
      <c r="D188">
        <f t="shared" si="55"/>
        <v>0.55555555555555558</v>
      </c>
      <c r="E188">
        <f>step3_validation[[#This Row],[AI_ENF2]]</f>
        <v>6</v>
      </c>
      <c r="F188">
        <f t="shared" si="56"/>
        <v>0.55555555555555558</v>
      </c>
      <c r="G188">
        <f>[1]!survey_responses[[#This Row],[Tôi tin rằng Nhà nước, cơ quan thuế có đủ khả năng và công nghệ để phát hiện, xử lý nghiêm các hành vi trốn thuế. - HUMAN-ENF2]]</f>
        <v>7</v>
      </c>
      <c r="H188">
        <f t="shared" si="57"/>
        <v>0.66666666666666663</v>
      </c>
      <c r="I188" s="32">
        <f t="shared" si="58"/>
        <v>0.61111111111111116</v>
      </c>
      <c r="J188" s="32">
        <f t="shared" si="59"/>
        <v>0.61111111111111116</v>
      </c>
      <c r="K188">
        <f>step3_validation[[#This Row],[AI_FAC1]]</f>
        <v>8</v>
      </c>
      <c r="L188">
        <f t="shared" si="60"/>
        <v>0.77777777777777779</v>
      </c>
      <c r="M188">
        <f>[1]!survey_responses[[#This Row],[Các thủ tục khai báo thuế VÀ/HOẶC quy trình làm việc với cơ quan thuế đơn giản, tiện lợi, nhanh chóng hơn so với trước đây. - HUMAN-FAC1]]</f>
        <v>6</v>
      </c>
      <c r="N188">
        <f t="shared" si="61"/>
        <v>0.55555555555555558</v>
      </c>
      <c r="O188">
        <f>step3_validation[[#This Row],[AI_FAC2]]</f>
        <v>9</v>
      </c>
      <c r="P188">
        <f t="shared" si="62"/>
        <v>0.88888888888888884</v>
      </c>
      <c r="Q188">
        <f>[1]!survey_responses[[#This Row],[So với trước đây, tôi thấy cách tính thuế và các bậc thuế trong phương án mới đơn giản, dễ hiểu và dễ thực hiện hơn. - HUMAN-FAC2]]</f>
        <v>7</v>
      </c>
      <c r="R188">
        <f t="shared" si="63"/>
        <v>0.66666666666666663</v>
      </c>
      <c r="S188" s="32">
        <f t="shared" si="64"/>
        <v>0.83333333333333326</v>
      </c>
      <c r="T188" s="32">
        <f t="shared" si="65"/>
        <v>0.61111111111111116</v>
      </c>
      <c r="U188">
        <f>step3_validation[[#This Row],[AI_TRU1]]</f>
        <v>7</v>
      </c>
      <c r="V188">
        <f t="shared" si="66"/>
        <v>0.66666666666666663</v>
      </c>
      <c r="W188">
        <f>[1]!survey_responses[[#This Row],[Tôi tin rằng Nhà nước, cơ quan thuế sẽ thực thi chính sách mới một cách khách quan, công tâm và đối xử bình đẳng với mọi người nộp thuế.  - HUMAN-TRU1]]</f>
        <v>6</v>
      </c>
      <c r="X188">
        <f t="shared" si="67"/>
        <v>0.55555555555555558</v>
      </c>
      <c r="Y188">
        <f>step3_validation[[#This Row],[AI_TRU2]]</f>
        <v>6</v>
      </c>
      <c r="Z188">
        <f t="shared" si="68"/>
        <v>0.55555555555555558</v>
      </c>
      <c r="AA188">
        <f>[1]!survey_responses[[#This Row],[Tôi thấy mức thuế tôi phải đóng theo phương án mới là công bằng (người thu nhập như tôi đóng mức này là hợp lý). - HUMAN-TRU2]]</f>
        <v>6</v>
      </c>
      <c r="AB188">
        <f t="shared" si="69"/>
        <v>0.55555555555555558</v>
      </c>
      <c r="AC188">
        <f>step3_validation[[#This Row],[AI_TRU3]]</f>
        <v>7</v>
      </c>
      <c r="AD188">
        <f t="shared" si="70"/>
        <v>0.66666666666666663</v>
      </c>
      <c r="AE188">
        <f>[1]!survey_responses[[#This Row],[Tôi tin tưởng số tiền thuế tôi đóng sẽ được Nhà nước sử dụng hiệu quả để cải thiện dịch vụ công (y tế, đường xá...). - HUMAN-TRU3]]</f>
        <v>5</v>
      </c>
      <c r="AF188">
        <f t="shared" si="71"/>
        <v>0.44444444444444442</v>
      </c>
      <c r="AG188">
        <f>step3_validation[[#This Row],[AI_TRU4]]</f>
        <v>6</v>
      </c>
      <c r="AH188">
        <f t="shared" si="72"/>
        <v>0.55555555555555558</v>
      </c>
      <c r="AI188">
        <f>[1]!survey_responses[[#This Row],[Tôi thấy Nhà nước đã giải thích rõ ràng, minh bạch về lý do và mục tiêu của việc sửa đổi thuế lần này. - HUMAN-TRU4]]</f>
        <v>5</v>
      </c>
      <c r="AJ188">
        <f t="shared" si="73"/>
        <v>0.44444444444444442</v>
      </c>
      <c r="AK188" s="32">
        <f t="shared" si="74"/>
        <v>0.61111111111111116</v>
      </c>
      <c r="AL188" s="32">
        <f t="shared" si="75"/>
        <v>0.5</v>
      </c>
      <c r="AM188" s="7">
        <f t="shared" si="76"/>
        <v>0.68518518518518512</v>
      </c>
      <c r="AN188" s="7">
        <f t="shared" si="77"/>
        <v>0.57407407407407407</v>
      </c>
      <c r="AO188">
        <f>step3_validation[[#This Row],[AI_OUT1]]</f>
        <v>7</v>
      </c>
      <c r="AP188">
        <f t="shared" si="78"/>
        <v>0.66666666666666663</v>
      </c>
      <c r="AQ188">
        <f>[1]!survey_responses[[#This Row],[Sau khi xem xét các quyền lợi và nghĩa vụ, bạn có ủng hộ và tuân thủ chính sách mới hiện nay? - HUMAN-OUT1]]</f>
        <v>6</v>
      </c>
      <c r="AR188">
        <f t="shared" si="79"/>
        <v>0.55555555555555558</v>
      </c>
      <c r="AS188" s="32">
        <f t="shared" si="80"/>
        <v>1</v>
      </c>
    </row>
    <row r="189" spans="1:45" x14ac:dyDescent="0.45">
      <c r="A189">
        <f>step3_validation[[#This Row],[AI_ENF1]]</f>
        <v>6</v>
      </c>
      <c r="B189">
        <f t="shared" si="54"/>
        <v>0.55555555555555558</v>
      </c>
      <c r="C189">
        <f>[1]!survey_responses[[#This Row],[Tôi tin rằng với các quy định quản lý thuế hiện nay, hành vi gian lận hoặc trốn thuế sẽ dễ dàng bị phát hiện và xử lý nghiêm. - HUMAN-ENF1]]</f>
        <v>5</v>
      </c>
      <c r="D189">
        <f t="shared" si="55"/>
        <v>0.44444444444444442</v>
      </c>
      <c r="E189">
        <f>step3_validation[[#This Row],[AI_ENF2]]</f>
        <v>6</v>
      </c>
      <c r="F189">
        <f t="shared" si="56"/>
        <v>0.55555555555555558</v>
      </c>
      <c r="G189">
        <f>[1]!survey_responses[[#This Row],[Tôi tin rằng Nhà nước, cơ quan thuế có đủ khả năng và công nghệ để phát hiện, xử lý nghiêm các hành vi trốn thuế. - HUMAN-ENF2]]</f>
        <v>5</v>
      </c>
      <c r="H189">
        <f t="shared" si="57"/>
        <v>0.44444444444444442</v>
      </c>
      <c r="I189" s="32">
        <f t="shared" si="58"/>
        <v>0.55555555555555558</v>
      </c>
      <c r="J189" s="32">
        <f t="shared" si="59"/>
        <v>0.44444444444444442</v>
      </c>
      <c r="K189">
        <f>step3_validation[[#This Row],[AI_FAC1]]</f>
        <v>6</v>
      </c>
      <c r="L189">
        <f t="shared" si="60"/>
        <v>0.55555555555555558</v>
      </c>
      <c r="M189">
        <f>[1]!survey_responses[[#This Row],[Các thủ tục khai báo thuế VÀ/HOẶC quy trình làm việc với cơ quan thuế đơn giản, tiện lợi, nhanh chóng hơn so với trước đây. - HUMAN-FAC1]]</f>
        <v>4</v>
      </c>
      <c r="N189">
        <f t="shared" si="61"/>
        <v>0.33333333333333331</v>
      </c>
      <c r="O189">
        <f>step3_validation[[#This Row],[AI_FAC2]]</f>
        <v>6</v>
      </c>
      <c r="P189">
        <f t="shared" si="62"/>
        <v>0.55555555555555558</v>
      </c>
      <c r="Q189">
        <f>[1]!survey_responses[[#This Row],[So với trước đây, tôi thấy cách tính thuế và các bậc thuế trong phương án mới đơn giản, dễ hiểu và dễ thực hiện hơn. - HUMAN-FAC2]]</f>
        <v>6</v>
      </c>
      <c r="R189">
        <f t="shared" si="63"/>
        <v>0.55555555555555558</v>
      </c>
      <c r="S189" s="32">
        <f t="shared" si="64"/>
        <v>0.55555555555555558</v>
      </c>
      <c r="T189" s="32">
        <f t="shared" si="65"/>
        <v>0.44444444444444442</v>
      </c>
      <c r="U189">
        <f>step3_validation[[#This Row],[AI_TRU1]]</f>
        <v>5</v>
      </c>
      <c r="V189">
        <f t="shared" si="66"/>
        <v>0.44444444444444442</v>
      </c>
      <c r="W189">
        <f>[1]!survey_responses[[#This Row],[Tôi tin rằng Nhà nước, cơ quan thuế sẽ thực thi chính sách mới một cách khách quan, công tâm và đối xử bình đẳng với mọi người nộp thuế.  - HUMAN-TRU1]]</f>
        <v>5</v>
      </c>
      <c r="X189">
        <f t="shared" si="67"/>
        <v>0.44444444444444442</v>
      </c>
      <c r="Y189">
        <f>step3_validation[[#This Row],[AI_TRU2]]</f>
        <v>5</v>
      </c>
      <c r="Z189">
        <f t="shared" si="68"/>
        <v>0.44444444444444442</v>
      </c>
      <c r="AA189">
        <f>[1]!survey_responses[[#This Row],[Tôi thấy mức thuế tôi phải đóng theo phương án mới là công bằng (người thu nhập như tôi đóng mức này là hợp lý). - HUMAN-TRU2]]</f>
        <v>5</v>
      </c>
      <c r="AB189">
        <f t="shared" si="69"/>
        <v>0.44444444444444442</v>
      </c>
      <c r="AC189">
        <f>step3_validation[[#This Row],[AI_TRU3]]</f>
        <v>5</v>
      </c>
      <c r="AD189">
        <f t="shared" si="70"/>
        <v>0.44444444444444442</v>
      </c>
      <c r="AE189">
        <f>[1]!survey_responses[[#This Row],[Tôi tin tưởng số tiền thuế tôi đóng sẽ được Nhà nước sử dụng hiệu quả để cải thiện dịch vụ công (y tế, đường xá...). - HUMAN-TRU3]]</f>
        <v>5</v>
      </c>
      <c r="AF189">
        <f t="shared" si="71"/>
        <v>0.44444444444444442</v>
      </c>
      <c r="AG189">
        <f>step3_validation[[#This Row],[AI_TRU4]]</f>
        <v>5</v>
      </c>
      <c r="AH189">
        <f t="shared" si="72"/>
        <v>0.44444444444444442</v>
      </c>
      <c r="AI189">
        <f>[1]!survey_responses[[#This Row],[Tôi thấy Nhà nước đã giải thích rõ ràng, minh bạch về lý do và mục tiêu của việc sửa đổi thuế lần này. - HUMAN-TRU4]]</f>
        <v>5</v>
      </c>
      <c r="AJ189">
        <f t="shared" si="73"/>
        <v>0.44444444444444442</v>
      </c>
      <c r="AK189" s="32">
        <f t="shared" si="74"/>
        <v>0.44444444444444442</v>
      </c>
      <c r="AL189" s="32">
        <f t="shared" si="75"/>
        <v>0.44444444444444442</v>
      </c>
      <c r="AM189" s="7">
        <f t="shared" si="76"/>
        <v>0.51851851851851849</v>
      </c>
      <c r="AN189" s="7">
        <f t="shared" si="77"/>
        <v>0.44444444444444442</v>
      </c>
      <c r="AO189">
        <f>step3_validation[[#This Row],[AI_OUT1]]</f>
        <v>5</v>
      </c>
      <c r="AP189">
        <f t="shared" si="78"/>
        <v>0.44444444444444442</v>
      </c>
      <c r="AQ189">
        <f>[1]!survey_responses[[#This Row],[Sau khi xem xét các quyền lợi và nghĩa vụ, bạn có ủng hộ và tuân thủ chính sách mới hiện nay? - HUMAN-OUT1]]</f>
        <v>5</v>
      </c>
      <c r="AR189">
        <f t="shared" si="79"/>
        <v>0.44444444444444442</v>
      </c>
      <c r="AS189" s="32">
        <f t="shared" si="80"/>
        <v>0</v>
      </c>
    </row>
    <row r="190" spans="1:45" x14ac:dyDescent="0.45">
      <c r="A190">
        <f>step3_validation[[#This Row],[AI_ENF1]]</f>
        <v>6</v>
      </c>
      <c r="B190">
        <f t="shared" si="54"/>
        <v>0.55555555555555558</v>
      </c>
      <c r="C190">
        <f>[1]!survey_responses[[#This Row],[Tôi tin rằng với các quy định quản lý thuế hiện nay, hành vi gian lận hoặc trốn thuế sẽ dễ dàng bị phát hiện và xử lý nghiêm. - HUMAN-ENF1]]</f>
        <v>8</v>
      </c>
      <c r="D190">
        <f t="shared" si="55"/>
        <v>0.77777777777777779</v>
      </c>
      <c r="E190">
        <f>step3_validation[[#This Row],[AI_ENF2]]</f>
        <v>6</v>
      </c>
      <c r="F190">
        <f t="shared" si="56"/>
        <v>0.55555555555555558</v>
      </c>
      <c r="G190">
        <f>[1]!survey_responses[[#This Row],[Tôi tin rằng Nhà nước, cơ quan thuế có đủ khả năng và công nghệ để phát hiện, xử lý nghiêm các hành vi trốn thuế. - HUMAN-ENF2]]</f>
        <v>8</v>
      </c>
      <c r="H190">
        <f t="shared" si="57"/>
        <v>0.77777777777777779</v>
      </c>
      <c r="I190" s="32">
        <f t="shared" si="58"/>
        <v>0.55555555555555558</v>
      </c>
      <c r="J190" s="32">
        <f t="shared" si="59"/>
        <v>0.77777777777777779</v>
      </c>
      <c r="K190">
        <f>step3_validation[[#This Row],[AI_FAC1]]</f>
        <v>8</v>
      </c>
      <c r="L190">
        <f t="shared" si="60"/>
        <v>0.77777777777777779</v>
      </c>
      <c r="M190">
        <f>[1]!survey_responses[[#This Row],[Các thủ tục khai báo thuế VÀ/HOẶC quy trình làm việc với cơ quan thuế đơn giản, tiện lợi, nhanh chóng hơn so với trước đây. - HUMAN-FAC1]]</f>
        <v>5</v>
      </c>
      <c r="N190">
        <f t="shared" si="61"/>
        <v>0.44444444444444442</v>
      </c>
      <c r="O190">
        <f>step3_validation[[#This Row],[AI_FAC2]]</f>
        <v>7</v>
      </c>
      <c r="P190">
        <f t="shared" si="62"/>
        <v>0.66666666666666663</v>
      </c>
      <c r="Q190">
        <f>[1]!survey_responses[[#This Row],[So với trước đây, tôi thấy cách tính thuế và các bậc thuế trong phương án mới đơn giản, dễ hiểu và dễ thực hiện hơn. - HUMAN-FAC2]]</f>
        <v>7</v>
      </c>
      <c r="R190">
        <f t="shared" si="63"/>
        <v>0.66666666666666663</v>
      </c>
      <c r="S190" s="32">
        <f t="shared" si="64"/>
        <v>0.72222222222222221</v>
      </c>
      <c r="T190" s="32">
        <f t="shared" si="65"/>
        <v>0.55555555555555558</v>
      </c>
      <c r="U190">
        <f>step3_validation[[#This Row],[AI_TRU1]]</f>
        <v>8</v>
      </c>
      <c r="V190">
        <f t="shared" si="66"/>
        <v>0.77777777777777779</v>
      </c>
      <c r="W190">
        <f>[1]!survey_responses[[#This Row],[Tôi tin rằng Nhà nước, cơ quan thuế sẽ thực thi chính sách mới một cách khách quan, công tâm và đối xử bình đẳng với mọi người nộp thuế.  - HUMAN-TRU1]]</f>
        <v>6</v>
      </c>
      <c r="X190">
        <f t="shared" si="67"/>
        <v>0.55555555555555558</v>
      </c>
      <c r="Y190">
        <f>step3_validation[[#This Row],[AI_TRU2]]</f>
        <v>7</v>
      </c>
      <c r="Z190">
        <f t="shared" si="68"/>
        <v>0.66666666666666663</v>
      </c>
      <c r="AA190">
        <f>[1]!survey_responses[[#This Row],[Tôi thấy mức thuế tôi phải đóng theo phương án mới là công bằng (người thu nhập như tôi đóng mức này là hợp lý). - HUMAN-TRU2]]</f>
        <v>8</v>
      </c>
      <c r="AB190">
        <f t="shared" si="69"/>
        <v>0.77777777777777779</v>
      </c>
      <c r="AC190">
        <f>step3_validation[[#This Row],[AI_TRU3]]</f>
        <v>6</v>
      </c>
      <c r="AD190">
        <f t="shared" si="70"/>
        <v>0.55555555555555558</v>
      </c>
      <c r="AE190">
        <f>[1]!survey_responses[[#This Row],[Tôi tin tưởng số tiền thuế tôi đóng sẽ được Nhà nước sử dụng hiệu quả để cải thiện dịch vụ công (y tế, đường xá...). - HUMAN-TRU3]]</f>
        <v>5</v>
      </c>
      <c r="AF190">
        <f t="shared" si="71"/>
        <v>0.44444444444444442</v>
      </c>
      <c r="AG190">
        <f>step3_validation[[#This Row],[AI_TRU4]]</f>
        <v>7</v>
      </c>
      <c r="AH190">
        <f t="shared" si="72"/>
        <v>0.66666666666666663</v>
      </c>
      <c r="AI190">
        <f>[1]!survey_responses[[#This Row],[Tôi thấy Nhà nước đã giải thích rõ ràng, minh bạch về lý do và mục tiêu của việc sửa đổi thuế lần này. - HUMAN-TRU4]]</f>
        <v>7</v>
      </c>
      <c r="AJ190">
        <f t="shared" si="73"/>
        <v>0.66666666666666663</v>
      </c>
      <c r="AK190" s="32">
        <f t="shared" si="74"/>
        <v>0.66666666666666663</v>
      </c>
      <c r="AL190" s="32">
        <f t="shared" si="75"/>
        <v>0.61111111111111116</v>
      </c>
      <c r="AM190" s="7">
        <f t="shared" si="76"/>
        <v>0.64814814814814803</v>
      </c>
      <c r="AN190" s="7">
        <f t="shared" si="77"/>
        <v>0.64814814814814825</v>
      </c>
      <c r="AO190">
        <f>step3_validation[[#This Row],[AI_OUT1]]</f>
        <v>7</v>
      </c>
      <c r="AP190">
        <f t="shared" si="78"/>
        <v>0.66666666666666663</v>
      </c>
      <c r="AQ190">
        <f>[1]!survey_responses[[#This Row],[Sau khi xem xét các quyền lợi và nghĩa vụ, bạn có ủng hộ và tuân thủ chính sách mới hiện nay? - HUMAN-OUT1]]</f>
        <v>8</v>
      </c>
      <c r="AR190">
        <f t="shared" si="79"/>
        <v>0.77777777777777779</v>
      </c>
      <c r="AS190" s="32">
        <f t="shared" si="80"/>
        <v>1</v>
      </c>
    </row>
    <row r="191" spans="1:45" x14ac:dyDescent="0.45">
      <c r="A191">
        <f>step3_validation[[#This Row],[AI_ENF1]]</f>
        <v>7</v>
      </c>
      <c r="B191">
        <f t="shared" si="54"/>
        <v>0.66666666666666663</v>
      </c>
      <c r="C191">
        <f>[1]!survey_responses[[#This Row],[Tôi tin rằng với các quy định quản lý thuế hiện nay, hành vi gian lận hoặc trốn thuế sẽ dễ dàng bị phát hiện và xử lý nghiêm. - HUMAN-ENF1]]</f>
        <v>7</v>
      </c>
      <c r="D191">
        <f t="shared" si="55"/>
        <v>0.66666666666666663</v>
      </c>
      <c r="E191">
        <f>step3_validation[[#This Row],[AI_ENF2]]</f>
        <v>6</v>
      </c>
      <c r="F191">
        <f t="shared" si="56"/>
        <v>0.55555555555555558</v>
      </c>
      <c r="G191">
        <f>[1]!survey_responses[[#This Row],[Tôi tin rằng Nhà nước, cơ quan thuế có đủ khả năng và công nghệ để phát hiện, xử lý nghiêm các hành vi trốn thuế. - HUMAN-ENF2]]</f>
        <v>7</v>
      </c>
      <c r="H191">
        <f t="shared" si="57"/>
        <v>0.66666666666666663</v>
      </c>
      <c r="I191" s="32">
        <f t="shared" si="58"/>
        <v>0.61111111111111116</v>
      </c>
      <c r="J191" s="32">
        <f t="shared" si="59"/>
        <v>0.66666666666666663</v>
      </c>
      <c r="K191">
        <f>step3_validation[[#This Row],[AI_FAC1]]</f>
        <v>8</v>
      </c>
      <c r="L191">
        <f t="shared" si="60"/>
        <v>0.77777777777777779</v>
      </c>
      <c r="M191">
        <f>[1]!survey_responses[[#This Row],[Các thủ tục khai báo thuế VÀ/HOẶC quy trình làm việc với cơ quan thuế đơn giản, tiện lợi, nhanh chóng hơn so với trước đây. - HUMAN-FAC1]]</f>
        <v>7</v>
      </c>
      <c r="N191">
        <f t="shared" si="61"/>
        <v>0.66666666666666663</v>
      </c>
      <c r="O191">
        <f>step3_validation[[#This Row],[AI_FAC2]]</f>
        <v>7</v>
      </c>
      <c r="P191">
        <f t="shared" si="62"/>
        <v>0.66666666666666663</v>
      </c>
      <c r="Q191">
        <f>[1]!survey_responses[[#This Row],[So với trước đây, tôi thấy cách tính thuế và các bậc thuế trong phương án mới đơn giản, dễ hiểu và dễ thực hiện hơn. - HUMAN-FAC2]]</f>
        <v>8</v>
      </c>
      <c r="R191">
        <f t="shared" si="63"/>
        <v>0.77777777777777779</v>
      </c>
      <c r="S191" s="32">
        <f t="shared" si="64"/>
        <v>0.72222222222222221</v>
      </c>
      <c r="T191" s="32">
        <f t="shared" si="65"/>
        <v>0.72222222222222221</v>
      </c>
      <c r="U191">
        <f>step3_validation[[#This Row],[AI_TRU1]]</f>
        <v>8</v>
      </c>
      <c r="V191">
        <f t="shared" si="66"/>
        <v>0.77777777777777779</v>
      </c>
      <c r="W191">
        <f>[1]!survey_responses[[#This Row],[Tôi tin rằng Nhà nước, cơ quan thuế sẽ thực thi chính sách mới một cách khách quan, công tâm và đối xử bình đẳng với mọi người nộp thuế.  - HUMAN-TRU1]]</f>
        <v>3</v>
      </c>
      <c r="X191">
        <f t="shared" si="67"/>
        <v>0.22222222222222221</v>
      </c>
      <c r="Y191">
        <f>step3_validation[[#This Row],[AI_TRU2]]</f>
        <v>7</v>
      </c>
      <c r="Z191">
        <f t="shared" si="68"/>
        <v>0.66666666666666663</v>
      </c>
      <c r="AA191">
        <f>[1]!survey_responses[[#This Row],[Tôi thấy mức thuế tôi phải đóng theo phương án mới là công bằng (người thu nhập như tôi đóng mức này là hợp lý). - HUMAN-TRU2]]</f>
        <v>3</v>
      </c>
      <c r="AB191">
        <f t="shared" si="69"/>
        <v>0.22222222222222221</v>
      </c>
      <c r="AC191">
        <f>step3_validation[[#This Row],[AI_TRU3]]</f>
        <v>6</v>
      </c>
      <c r="AD191">
        <f t="shared" si="70"/>
        <v>0.55555555555555558</v>
      </c>
      <c r="AE191">
        <f>[1]!survey_responses[[#This Row],[Tôi tin tưởng số tiền thuế tôi đóng sẽ được Nhà nước sử dụng hiệu quả để cải thiện dịch vụ công (y tế, đường xá...). - HUMAN-TRU3]]</f>
        <v>2</v>
      </c>
      <c r="AF191">
        <f t="shared" si="71"/>
        <v>0.1111111111111111</v>
      </c>
      <c r="AG191">
        <f>step3_validation[[#This Row],[AI_TRU4]]</f>
        <v>5</v>
      </c>
      <c r="AH191">
        <f t="shared" si="72"/>
        <v>0.44444444444444442</v>
      </c>
      <c r="AI191">
        <f>[1]!survey_responses[[#This Row],[Tôi thấy Nhà nước đã giải thích rõ ràng, minh bạch về lý do và mục tiêu của việc sửa đổi thuế lần này. - HUMAN-TRU4]]</f>
        <v>3</v>
      </c>
      <c r="AJ191">
        <f t="shared" si="73"/>
        <v>0.22222222222222221</v>
      </c>
      <c r="AK191" s="32">
        <f t="shared" si="74"/>
        <v>0.61111111111111116</v>
      </c>
      <c r="AL191" s="32">
        <f t="shared" si="75"/>
        <v>0.19444444444444445</v>
      </c>
      <c r="AM191" s="7">
        <f t="shared" si="76"/>
        <v>0.64814814814814825</v>
      </c>
      <c r="AN191" s="7">
        <f t="shared" si="77"/>
        <v>0.52777777777777779</v>
      </c>
      <c r="AO191">
        <f>step3_validation[[#This Row],[AI_OUT1]]</f>
        <v>7</v>
      </c>
      <c r="AP191">
        <f t="shared" si="78"/>
        <v>0.66666666666666663</v>
      </c>
      <c r="AQ191">
        <f>[1]!survey_responses[[#This Row],[Sau khi xem xét các quyền lợi và nghĩa vụ, bạn có ủng hộ và tuân thủ chính sách mới hiện nay? - HUMAN-OUT1]]</f>
        <v>8</v>
      </c>
      <c r="AR191">
        <f t="shared" si="79"/>
        <v>0.77777777777777779</v>
      </c>
      <c r="AS191" s="32">
        <f t="shared" si="80"/>
        <v>1</v>
      </c>
    </row>
    <row r="192" spans="1:45" x14ac:dyDescent="0.45">
      <c r="A192">
        <f>step3_validation[[#This Row],[AI_ENF1]]</f>
        <v>7</v>
      </c>
      <c r="B192">
        <f t="shared" si="54"/>
        <v>0.66666666666666663</v>
      </c>
      <c r="C192">
        <f>[1]!survey_responses[[#This Row],[Tôi tin rằng với các quy định quản lý thuế hiện nay, hành vi gian lận hoặc trốn thuế sẽ dễ dàng bị phát hiện và xử lý nghiêm. - HUMAN-ENF1]]</f>
        <v>7</v>
      </c>
      <c r="D192">
        <f t="shared" si="55"/>
        <v>0.66666666666666663</v>
      </c>
      <c r="E192">
        <f>step3_validation[[#This Row],[AI_ENF2]]</f>
        <v>8</v>
      </c>
      <c r="F192">
        <f t="shared" si="56"/>
        <v>0.77777777777777779</v>
      </c>
      <c r="G192">
        <f>[1]!survey_responses[[#This Row],[Tôi tin rằng Nhà nước, cơ quan thuế có đủ khả năng và công nghệ để phát hiện, xử lý nghiêm các hành vi trốn thuế. - HUMAN-ENF2]]</f>
        <v>7</v>
      </c>
      <c r="H192">
        <f t="shared" si="57"/>
        <v>0.66666666666666663</v>
      </c>
      <c r="I192" s="32">
        <f t="shared" si="58"/>
        <v>0.72222222222222221</v>
      </c>
      <c r="J192" s="32">
        <f t="shared" si="59"/>
        <v>0.66666666666666663</v>
      </c>
      <c r="K192">
        <f>step3_validation[[#This Row],[AI_FAC1]]</f>
        <v>6</v>
      </c>
      <c r="L192">
        <f t="shared" si="60"/>
        <v>0.55555555555555558</v>
      </c>
      <c r="M192">
        <f>[1]!survey_responses[[#This Row],[Các thủ tục khai báo thuế VÀ/HOẶC quy trình làm việc với cơ quan thuế đơn giản, tiện lợi, nhanh chóng hơn so với trước đây. - HUMAN-FAC1]]</f>
        <v>6</v>
      </c>
      <c r="N192">
        <f t="shared" si="61"/>
        <v>0.55555555555555558</v>
      </c>
      <c r="O192">
        <f>step3_validation[[#This Row],[AI_FAC2]]</f>
        <v>9</v>
      </c>
      <c r="P192">
        <f t="shared" si="62"/>
        <v>0.88888888888888884</v>
      </c>
      <c r="Q192">
        <f>[1]!survey_responses[[#This Row],[So với trước đây, tôi thấy cách tính thuế và các bậc thuế trong phương án mới đơn giản, dễ hiểu và dễ thực hiện hơn. - HUMAN-FAC2]]</f>
        <v>8</v>
      </c>
      <c r="R192">
        <f t="shared" si="63"/>
        <v>0.77777777777777779</v>
      </c>
      <c r="S192" s="32">
        <f t="shared" si="64"/>
        <v>0.72222222222222221</v>
      </c>
      <c r="T192" s="32">
        <f t="shared" si="65"/>
        <v>0.66666666666666674</v>
      </c>
      <c r="U192">
        <f>step3_validation[[#This Row],[AI_TRU1]]</f>
        <v>5</v>
      </c>
      <c r="V192">
        <f t="shared" si="66"/>
        <v>0.44444444444444442</v>
      </c>
      <c r="W192">
        <f>[1]!survey_responses[[#This Row],[Tôi tin rằng Nhà nước, cơ quan thuế sẽ thực thi chính sách mới một cách khách quan, công tâm và đối xử bình đẳng với mọi người nộp thuế.  - HUMAN-TRU1]]</f>
        <v>7</v>
      </c>
      <c r="X192">
        <f t="shared" si="67"/>
        <v>0.66666666666666663</v>
      </c>
      <c r="Y192">
        <f>step3_validation[[#This Row],[AI_TRU2]]</f>
        <v>6</v>
      </c>
      <c r="Z192">
        <f t="shared" si="68"/>
        <v>0.55555555555555558</v>
      </c>
      <c r="AA192">
        <f>[1]!survey_responses[[#This Row],[Tôi thấy mức thuế tôi phải đóng theo phương án mới là công bằng (người thu nhập như tôi đóng mức này là hợp lý). - HUMAN-TRU2]]</f>
        <v>8</v>
      </c>
      <c r="AB192">
        <f t="shared" si="69"/>
        <v>0.77777777777777779</v>
      </c>
      <c r="AC192">
        <f>step3_validation[[#This Row],[AI_TRU3]]</f>
        <v>7</v>
      </c>
      <c r="AD192">
        <f t="shared" si="70"/>
        <v>0.66666666666666663</v>
      </c>
      <c r="AE192">
        <f>[1]!survey_responses[[#This Row],[Tôi tin tưởng số tiền thuế tôi đóng sẽ được Nhà nước sử dụng hiệu quả để cải thiện dịch vụ công (y tế, đường xá...). - HUMAN-TRU3]]</f>
        <v>7</v>
      </c>
      <c r="AF192">
        <f t="shared" si="71"/>
        <v>0.66666666666666663</v>
      </c>
      <c r="AG192">
        <f>step3_validation[[#This Row],[AI_TRU4]]</f>
        <v>6</v>
      </c>
      <c r="AH192">
        <f t="shared" si="72"/>
        <v>0.55555555555555558</v>
      </c>
      <c r="AI192">
        <f>[1]!survey_responses[[#This Row],[Tôi thấy Nhà nước đã giải thích rõ ràng, minh bạch về lý do và mục tiêu của việc sửa đổi thuế lần này. - HUMAN-TRU4]]</f>
        <v>7</v>
      </c>
      <c r="AJ192">
        <f t="shared" si="73"/>
        <v>0.66666666666666663</v>
      </c>
      <c r="AK192" s="32">
        <f t="shared" si="74"/>
        <v>0.55555555555555558</v>
      </c>
      <c r="AL192" s="32">
        <f t="shared" si="75"/>
        <v>0.69444444444444442</v>
      </c>
      <c r="AM192" s="7">
        <f t="shared" si="76"/>
        <v>0.66666666666666663</v>
      </c>
      <c r="AN192" s="7">
        <f t="shared" si="77"/>
        <v>0.67592592592592593</v>
      </c>
      <c r="AO192">
        <f>step3_validation[[#This Row],[AI_OUT1]]</f>
        <v>5</v>
      </c>
      <c r="AP192">
        <f t="shared" si="78"/>
        <v>0.44444444444444442</v>
      </c>
      <c r="AQ192">
        <f>[1]!survey_responses[[#This Row],[Sau khi xem xét các quyền lợi và nghĩa vụ, bạn có ủng hộ và tuân thủ chính sách mới hiện nay? - HUMAN-OUT1]]</f>
        <v>7</v>
      </c>
      <c r="AR192">
        <f t="shared" si="79"/>
        <v>0.66666666666666663</v>
      </c>
      <c r="AS192" s="32">
        <f t="shared" si="80"/>
        <v>2</v>
      </c>
    </row>
    <row r="193" spans="1:45" x14ac:dyDescent="0.45">
      <c r="A193">
        <f>step3_validation[[#This Row],[AI_ENF1]]</f>
        <v>8</v>
      </c>
      <c r="B193">
        <f t="shared" si="54"/>
        <v>0.77777777777777779</v>
      </c>
      <c r="C193">
        <f>[1]!survey_responses[[#This Row],[Tôi tin rằng với các quy định quản lý thuế hiện nay, hành vi gian lận hoặc trốn thuế sẽ dễ dàng bị phát hiện và xử lý nghiêm. - HUMAN-ENF1]]</f>
        <v>8</v>
      </c>
      <c r="D193">
        <f t="shared" si="55"/>
        <v>0.77777777777777779</v>
      </c>
      <c r="E193">
        <f>step3_validation[[#This Row],[AI_ENF2]]</f>
        <v>9</v>
      </c>
      <c r="F193">
        <f t="shared" si="56"/>
        <v>0.88888888888888884</v>
      </c>
      <c r="G193">
        <f>[1]!survey_responses[[#This Row],[Tôi tin rằng Nhà nước, cơ quan thuế có đủ khả năng và công nghệ để phát hiện, xử lý nghiêm các hành vi trốn thuế. - HUMAN-ENF2]]</f>
        <v>8</v>
      </c>
      <c r="H193">
        <f t="shared" si="57"/>
        <v>0.77777777777777779</v>
      </c>
      <c r="I193" s="32">
        <f t="shared" si="58"/>
        <v>0.83333333333333326</v>
      </c>
      <c r="J193" s="32">
        <f t="shared" si="59"/>
        <v>0.77777777777777779</v>
      </c>
      <c r="K193">
        <f>step3_validation[[#This Row],[AI_FAC1]]</f>
        <v>7</v>
      </c>
      <c r="L193">
        <f t="shared" si="60"/>
        <v>0.66666666666666663</v>
      </c>
      <c r="M193">
        <f>[1]!survey_responses[[#This Row],[Các thủ tục khai báo thuế VÀ/HOẶC quy trình làm việc với cơ quan thuế đơn giản, tiện lợi, nhanh chóng hơn so với trước đây. - HUMAN-FAC1]]</f>
        <v>9</v>
      </c>
      <c r="N193">
        <f t="shared" si="61"/>
        <v>0.88888888888888884</v>
      </c>
      <c r="O193">
        <f>step3_validation[[#This Row],[AI_FAC2]]</f>
        <v>6</v>
      </c>
      <c r="P193">
        <f t="shared" si="62"/>
        <v>0.55555555555555558</v>
      </c>
      <c r="Q193">
        <f>[1]!survey_responses[[#This Row],[So với trước đây, tôi thấy cách tính thuế và các bậc thuế trong phương án mới đơn giản, dễ hiểu và dễ thực hiện hơn. - HUMAN-FAC2]]</f>
        <v>9</v>
      </c>
      <c r="R193">
        <f t="shared" si="63"/>
        <v>0.88888888888888884</v>
      </c>
      <c r="S193" s="32">
        <f t="shared" si="64"/>
        <v>0.61111111111111116</v>
      </c>
      <c r="T193" s="32">
        <f t="shared" si="65"/>
        <v>0.88888888888888884</v>
      </c>
      <c r="U193">
        <f>step3_validation[[#This Row],[AI_TRU1]]</f>
        <v>9</v>
      </c>
      <c r="V193">
        <f t="shared" si="66"/>
        <v>0.88888888888888884</v>
      </c>
      <c r="W193">
        <f>[1]!survey_responses[[#This Row],[Tôi tin rằng Nhà nước, cơ quan thuế sẽ thực thi chính sách mới một cách khách quan, công tâm và đối xử bình đẳng với mọi người nộp thuế.  - HUMAN-TRU1]]</f>
        <v>9</v>
      </c>
      <c r="X193">
        <f t="shared" si="67"/>
        <v>0.88888888888888884</v>
      </c>
      <c r="Y193">
        <f>step3_validation[[#This Row],[AI_TRU2]]</f>
        <v>7</v>
      </c>
      <c r="Z193">
        <f t="shared" si="68"/>
        <v>0.66666666666666663</v>
      </c>
      <c r="AA193">
        <f>[1]!survey_responses[[#This Row],[Tôi thấy mức thuế tôi phải đóng theo phương án mới là công bằng (người thu nhập như tôi đóng mức này là hợp lý). - HUMAN-TRU2]]</f>
        <v>9</v>
      </c>
      <c r="AB193">
        <f t="shared" si="69"/>
        <v>0.88888888888888884</v>
      </c>
      <c r="AC193">
        <f>step3_validation[[#This Row],[AI_TRU3]]</f>
        <v>8</v>
      </c>
      <c r="AD193">
        <f t="shared" si="70"/>
        <v>0.77777777777777779</v>
      </c>
      <c r="AE193">
        <f>[1]!survey_responses[[#This Row],[Tôi tin tưởng số tiền thuế tôi đóng sẽ được Nhà nước sử dụng hiệu quả để cải thiện dịch vụ công (y tế, đường xá...). - HUMAN-TRU3]]</f>
        <v>8</v>
      </c>
      <c r="AF193">
        <f t="shared" si="71"/>
        <v>0.77777777777777779</v>
      </c>
      <c r="AG193">
        <f>step3_validation[[#This Row],[AI_TRU4]]</f>
        <v>6</v>
      </c>
      <c r="AH193">
        <f t="shared" si="72"/>
        <v>0.55555555555555558</v>
      </c>
      <c r="AI193">
        <f>[1]!survey_responses[[#This Row],[Tôi thấy Nhà nước đã giải thích rõ ràng, minh bạch về lý do và mục tiêu của việc sửa đổi thuế lần này. - HUMAN-TRU4]]</f>
        <v>8</v>
      </c>
      <c r="AJ193">
        <f t="shared" si="73"/>
        <v>0.77777777777777779</v>
      </c>
      <c r="AK193" s="32">
        <f t="shared" si="74"/>
        <v>0.7222222222222221</v>
      </c>
      <c r="AL193" s="32">
        <f t="shared" si="75"/>
        <v>0.83333333333333326</v>
      </c>
      <c r="AM193" s="7">
        <f t="shared" si="76"/>
        <v>0.72222222222222221</v>
      </c>
      <c r="AN193" s="7">
        <f t="shared" si="77"/>
        <v>0.83333333333333337</v>
      </c>
      <c r="AO193">
        <f>step3_validation[[#This Row],[AI_OUT1]]</f>
        <v>8</v>
      </c>
      <c r="AP193">
        <f t="shared" si="78"/>
        <v>0.77777777777777779</v>
      </c>
      <c r="AQ193">
        <f>[1]!survey_responses[[#This Row],[Sau khi xem xét các quyền lợi và nghĩa vụ, bạn có ủng hộ và tuân thủ chính sách mới hiện nay? - HUMAN-OUT1]]</f>
        <v>9</v>
      </c>
      <c r="AR193">
        <f t="shared" si="79"/>
        <v>0.88888888888888884</v>
      </c>
      <c r="AS193" s="32">
        <f t="shared" si="80"/>
        <v>1</v>
      </c>
    </row>
    <row r="194" spans="1:45" x14ac:dyDescent="0.45">
      <c r="A194">
        <f>step3_validation[[#This Row],[AI_ENF1]]</f>
        <v>7</v>
      </c>
      <c r="B194">
        <f t="shared" si="54"/>
        <v>0.66666666666666663</v>
      </c>
      <c r="C194">
        <f>[1]!survey_responses[[#This Row],[Tôi tin rằng với các quy định quản lý thuế hiện nay, hành vi gian lận hoặc trốn thuế sẽ dễ dàng bị phát hiện và xử lý nghiêm. - HUMAN-ENF1]]</f>
        <v>1</v>
      </c>
      <c r="D194">
        <f t="shared" si="55"/>
        <v>0</v>
      </c>
      <c r="E194">
        <f>step3_validation[[#This Row],[AI_ENF2]]</f>
        <v>8</v>
      </c>
      <c r="F194">
        <f t="shared" si="56"/>
        <v>0.77777777777777779</v>
      </c>
      <c r="G194">
        <f>[1]!survey_responses[[#This Row],[Tôi tin rằng Nhà nước, cơ quan thuế có đủ khả năng và công nghệ để phát hiện, xử lý nghiêm các hành vi trốn thuế. - HUMAN-ENF2]]</f>
        <v>1</v>
      </c>
      <c r="H194">
        <f t="shared" si="57"/>
        <v>0</v>
      </c>
      <c r="I194" s="32">
        <f t="shared" si="58"/>
        <v>0.72222222222222221</v>
      </c>
      <c r="J194" s="32">
        <f t="shared" si="59"/>
        <v>0</v>
      </c>
      <c r="K194">
        <f>step3_validation[[#This Row],[AI_FAC1]]</f>
        <v>9</v>
      </c>
      <c r="L194">
        <f t="shared" si="60"/>
        <v>0.88888888888888884</v>
      </c>
      <c r="M194">
        <f>[1]!survey_responses[[#This Row],[Các thủ tục khai báo thuế VÀ/HOẶC quy trình làm việc với cơ quan thuế đơn giản, tiện lợi, nhanh chóng hơn so với trước đây. - HUMAN-FAC1]]</f>
        <v>7</v>
      </c>
      <c r="N194">
        <f t="shared" si="61"/>
        <v>0.66666666666666663</v>
      </c>
      <c r="O194">
        <f>step3_validation[[#This Row],[AI_FAC2]]</f>
        <v>8</v>
      </c>
      <c r="P194">
        <f t="shared" si="62"/>
        <v>0.77777777777777779</v>
      </c>
      <c r="Q194">
        <f>[1]!survey_responses[[#This Row],[So với trước đây, tôi thấy cách tính thuế và các bậc thuế trong phương án mới đơn giản, dễ hiểu và dễ thực hiện hơn. - HUMAN-FAC2]]</f>
        <v>5</v>
      </c>
      <c r="R194">
        <f t="shared" si="63"/>
        <v>0.44444444444444442</v>
      </c>
      <c r="S194" s="32">
        <f t="shared" si="64"/>
        <v>0.83333333333333326</v>
      </c>
      <c r="T194" s="32">
        <f t="shared" si="65"/>
        <v>0.55555555555555558</v>
      </c>
      <c r="U194">
        <f>step3_validation[[#This Row],[AI_TRU1]]</f>
        <v>6</v>
      </c>
      <c r="V194">
        <f t="shared" si="66"/>
        <v>0.55555555555555558</v>
      </c>
      <c r="W194">
        <f>[1]!survey_responses[[#This Row],[Tôi tin rằng Nhà nước, cơ quan thuế sẽ thực thi chính sách mới một cách khách quan, công tâm và đối xử bình đẳng với mọi người nộp thuế.  - HUMAN-TRU1]]</f>
        <v>5</v>
      </c>
      <c r="X194">
        <f t="shared" si="67"/>
        <v>0.44444444444444442</v>
      </c>
      <c r="Y194">
        <f>step3_validation[[#This Row],[AI_TRU2]]</f>
        <v>7</v>
      </c>
      <c r="Z194">
        <f t="shared" si="68"/>
        <v>0.66666666666666663</v>
      </c>
      <c r="AA194">
        <f>[1]!survey_responses[[#This Row],[Tôi thấy mức thuế tôi phải đóng theo phương án mới là công bằng (người thu nhập như tôi đóng mức này là hợp lý). - HUMAN-TRU2]]</f>
        <v>7</v>
      </c>
      <c r="AB194">
        <f t="shared" si="69"/>
        <v>0.66666666666666663</v>
      </c>
      <c r="AC194">
        <f>step3_validation[[#This Row],[AI_TRU3]]</f>
        <v>6</v>
      </c>
      <c r="AD194">
        <f t="shared" si="70"/>
        <v>0.55555555555555558</v>
      </c>
      <c r="AE194">
        <f>[1]!survey_responses[[#This Row],[Tôi tin tưởng số tiền thuế tôi đóng sẽ được Nhà nước sử dụng hiệu quả để cải thiện dịch vụ công (y tế, đường xá...). - HUMAN-TRU3]]</f>
        <v>2</v>
      </c>
      <c r="AF194">
        <f t="shared" si="71"/>
        <v>0.1111111111111111</v>
      </c>
      <c r="AG194">
        <f>step3_validation[[#This Row],[AI_TRU4]]</f>
        <v>5</v>
      </c>
      <c r="AH194">
        <f t="shared" si="72"/>
        <v>0.44444444444444442</v>
      </c>
      <c r="AI194">
        <f>[1]!survey_responses[[#This Row],[Tôi thấy Nhà nước đã giải thích rõ ràng, minh bạch về lý do và mục tiêu của việc sửa đổi thuế lần này. - HUMAN-TRU4]]</f>
        <v>5</v>
      </c>
      <c r="AJ194">
        <f t="shared" si="73"/>
        <v>0.44444444444444442</v>
      </c>
      <c r="AK194" s="32">
        <f t="shared" si="74"/>
        <v>0.55555555555555558</v>
      </c>
      <c r="AL194" s="32">
        <f t="shared" si="75"/>
        <v>0.41666666666666669</v>
      </c>
      <c r="AM194" s="7">
        <f t="shared" si="76"/>
        <v>0.70370370370370361</v>
      </c>
      <c r="AN194" s="7">
        <f t="shared" si="77"/>
        <v>0.32407407407407413</v>
      </c>
      <c r="AO194">
        <f>step3_validation[[#This Row],[AI_OUT1]]</f>
        <v>7</v>
      </c>
      <c r="AP194">
        <f t="shared" si="78"/>
        <v>0.66666666666666663</v>
      </c>
      <c r="AQ194">
        <f>[1]!survey_responses[[#This Row],[Sau khi xem xét các quyền lợi và nghĩa vụ, bạn có ủng hộ và tuân thủ chính sách mới hiện nay? - HUMAN-OUT1]]</f>
        <v>5</v>
      </c>
      <c r="AR194">
        <f t="shared" si="79"/>
        <v>0.44444444444444442</v>
      </c>
      <c r="AS194" s="32">
        <f t="shared" si="80"/>
        <v>2</v>
      </c>
    </row>
    <row r="195" spans="1:45" x14ac:dyDescent="0.45">
      <c r="A195">
        <f>step3_validation[[#This Row],[AI_ENF1]]</f>
        <v>8</v>
      </c>
      <c r="B195">
        <f t="shared" ref="B195:B258" si="81">(A195-1)/9</f>
        <v>0.77777777777777779</v>
      </c>
      <c r="C195">
        <f>[1]!survey_responses[[#This Row],[Tôi tin rằng với các quy định quản lý thuế hiện nay, hành vi gian lận hoặc trốn thuế sẽ dễ dàng bị phát hiện và xử lý nghiêm. - HUMAN-ENF1]]</f>
        <v>10</v>
      </c>
      <c r="D195">
        <f t="shared" ref="D195:D258" si="82">(C195-1)/9</f>
        <v>1</v>
      </c>
      <c r="E195">
        <f>step3_validation[[#This Row],[AI_ENF2]]</f>
        <v>9</v>
      </c>
      <c r="F195">
        <f t="shared" ref="F195:F258" si="83">(E195-1)/9</f>
        <v>0.88888888888888884</v>
      </c>
      <c r="G195">
        <f>[1]!survey_responses[[#This Row],[Tôi tin rằng Nhà nước, cơ quan thuế có đủ khả năng và công nghệ để phát hiện, xử lý nghiêm các hành vi trốn thuế. - HUMAN-ENF2]]</f>
        <v>10</v>
      </c>
      <c r="H195">
        <f t="shared" ref="H195:H258" si="84">(G195-1)/9</f>
        <v>1</v>
      </c>
      <c r="I195" s="32">
        <f t="shared" ref="I195:I258" si="85">AVERAGE(B195,F195)</f>
        <v>0.83333333333333326</v>
      </c>
      <c r="J195" s="32">
        <f t="shared" ref="J195:J258" si="86">AVERAGE(D195,H195)</f>
        <v>1</v>
      </c>
      <c r="K195">
        <f>step3_validation[[#This Row],[AI_FAC1]]</f>
        <v>8</v>
      </c>
      <c r="L195">
        <f t="shared" ref="L195:L258" si="87">(K195-1)/9</f>
        <v>0.77777777777777779</v>
      </c>
      <c r="M195">
        <f>[1]!survey_responses[[#This Row],[Các thủ tục khai báo thuế VÀ/HOẶC quy trình làm việc với cơ quan thuế đơn giản, tiện lợi, nhanh chóng hơn so với trước đây. - HUMAN-FAC1]]</f>
        <v>6</v>
      </c>
      <c r="N195">
        <f t="shared" ref="N195:N258" si="88">(M195-1)/9</f>
        <v>0.55555555555555558</v>
      </c>
      <c r="O195">
        <f>step3_validation[[#This Row],[AI_FAC2]]</f>
        <v>7</v>
      </c>
      <c r="P195">
        <f t="shared" ref="P195:P258" si="89">(O195-1)/9</f>
        <v>0.66666666666666663</v>
      </c>
      <c r="Q195">
        <f>[1]!survey_responses[[#This Row],[So với trước đây, tôi thấy cách tính thuế và các bậc thuế trong phương án mới đơn giản, dễ hiểu và dễ thực hiện hơn. - HUMAN-FAC2]]</f>
        <v>4</v>
      </c>
      <c r="R195">
        <f t="shared" ref="R195:R258" si="90">(Q195-1)/9</f>
        <v>0.33333333333333331</v>
      </c>
      <c r="S195" s="32">
        <f t="shared" ref="S195:S258" si="91">AVERAGE(L195,P195)</f>
        <v>0.72222222222222221</v>
      </c>
      <c r="T195" s="32">
        <f t="shared" ref="T195:T258" si="92">AVERAGE(N195,R195)</f>
        <v>0.44444444444444442</v>
      </c>
      <c r="U195">
        <f>step3_validation[[#This Row],[AI_TRU1]]</f>
        <v>8</v>
      </c>
      <c r="V195">
        <f t="shared" ref="V195:V258" si="93">(U195-1)/9</f>
        <v>0.77777777777777779</v>
      </c>
      <c r="W195">
        <f>[1]!survey_responses[[#This Row],[Tôi tin rằng Nhà nước, cơ quan thuế sẽ thực thi chính sách mới một cách khách quan, công tâm và đối xử bình đẳng với mọi người nộp thuế.  - HUMAN-TRU1]]</f>
        <v>8</v>
      </c>
      <c r="X195">
        <f t="shared" ref="X195:X258" si="94">(W195-1)/9</f>
        <v>0.77777777777777779</v>
      </c>
      <c r="Y195">
        <f>step3_validation[[#This Row],[AI_TRU2]]</f>
        <v>7</v>
      </c>
      <c r="Z195">
        <f t="shared" ref="Z195:Z258" si="95">(Y195-1)/9</f>
        <v>0.66666666666666663</v>
      </c>
      <c r="AA195">
        <f>[1]!survey_responses[[#This Row],[Tôi thấy mức thuế tôi phải đóng theo phương án mới là công bằng (người thu nhập như tôi đóng mức này là hợp lý). - HUMAN-TRU2]]</f>
        <v>3</v>
      </c>
      <c r="AB195">
        <f t="shared" ref="AB195:AB258" si="96">(AA195-1)/9</f>
        <v>0.22222222222222221</v>
      </c>
      <c r="AC195">
        <f>step3_validation[[#This Row],[AI_TRU3]]</f>
        <v>7</v>
      </c>
      <c r="AD195">
        <f t="shared" ref="AD195:AD258" si="97">(AC195-1)/9</f>
        <v>0.66666666666666663</v>
      </c>
      <c r="AE195">
        <f>[1]!survey_responses[[#This Row],[Tôi tin tưởng số tiền thuế tôi đóng sẽ được Nhà nước sử dụng hiệu quả để cải thiện dịch vụ công (y tế, đường xá...). - HUMAN-TRU3]]</f>
        <v>10</v>
      </c>
      <c r="AF195">
        <f t="shared" ref="AF195:AF258" si="98">(AE195-1)/9</f>
        <v>1</v>
      </c>
      <c r="AG195">
        <f>step3_validation[[#This Row],[AI_TRU4]]</f>
        <v>7</v>
      </c>
      <c r="AH195">
        <f t="shared" ref="AH195:AH258" si="99">(AG195-1)/9</f>
        <v>0.66666666666666663</v>
      </c>
      <c r="AI195">
        <f>[1]!survey_responses[[#This Row],[Tôi thấy Nhà nước đã giải thích rõ ràng, minh bạch về lý do và mục tiêu của việc sửa đổi thuế lần này. - HUMAN-TRU4]]</f>
        <v>10</v>
      </c>
      <c r="AJ195">
        <f t="shared" ref="AJ195:AJ258" si="100">(AI195-1)/9</f>
        <v>1</v>
      </c>
      <c r="AK195" s="32">
        <f t="shared" ref="AK195:AK258" si="101">AVERAGE(V195,Z195,AD195,AH195)</f>
        <v>0.69444444444444442</v>
      </c>
      <c r="AL195" s="32">
        <f t="shared" ref="AL195:AL258" si="102">AVERAGE(X195,AB195,AF195,AJ195)</f>
        <v>0.75</v>
      </c>
      <c r="AM195" s="7">
        <f t="shared" ref="AM195:AM258" si="103">(I195+S195+AK195)/3</f>
        <v>0.75</v>
      </c>
      <c r="AN195" s="7">
        <f t="shared" ref="AN195:AN258" si="104">(J195+T195+AL195)/3</f>
        <v>0.73148148148148151</v>
      </c>
      <c r="AO195">
        <f>step3_validation[[#This Row],[AI_OUT1]]</f>
        <v>8</v>
      </c>
      <c r="AP195">
        <f t="shared" ref="AP195:AP258" si="105">(AO195-1)/9</f>
        <v>0.77777777777777779</v>
      </c>
      <c r="AQ195">
        <f>[1]!survey_responses[[#This Row],[Sau khi xem xét các quyền lợi và nghĩa vụ, bạn có ủng hộ và tuân thủ chính sách mới hiện nay? - HUMAN-OUT1]]</f>
        <v>10</v>
      </c>
      <c r="AR195">
        <f t="shared" ref="AR195:AR258" si="106">(AQ195-1)/9</f>
        <v>1</v>
      </c>
      <c r="AS195" s="32">
        <f t="shared" ref="AS195:AS258" si="107">ABS(AQ195-AO195)</f>
        <v>2</v>
      </c>
    </row>
    <row r="196" spans="1:45" x14ac:dyDescent="0.45">
      <c r="A196">
        <f>step3_validation[[#This Row],[AI_ENF1]]</f>
        <v>6</v>
      </c>
      <c r="B196">
        <f t="shared" si="81"/>
        <v>0.55555555555555558</v>
      </c>
      <c r="C196">
        <f>[1]!survey_responses[[#This Row],[Tôi tin rằng với các quy định quản lý thuế hiện nay, hành vi gian lận hoặc trốn thuế sẽ dễ dàng bị phát hiện và xử lý nghiêm. - HUMAN-ENF1]]</f>
        <v>9</v>
      </c>
      <c r="D196">
        <f t="shared" si="82"/>
        <v>0.88888888888888884</v>
      </c>
      <c r="E196">
        <f>step3_validation[[#This Row],[AI_ENF2]]</f>
        <v>8</v>
      </c>
      <c r="F196">
        <f t="shared" si="83"/>
        <v>0.77777777777777779</v>
      </c>
      <c r="G196">
        <f>[1]!survey_responses[[#This Row],[Tôi tin rằng Nhà nước, cơ quan thuế có đủ khả năng và công nghệ để phát hiện, xử lý nghiêm các hành vi trốn thuế. - HUMAN-ENF2]]</f>
        <v>9</v>
      </c>
      <c r="H196">
        <f t="shared" si="84"/>
        <v>0.88888888888888884</v>
      </c>
      <c r="I196" s="32">
        <f t="shared" si="85"/>
        <v>0.66666666666666674</v>
      </c>
      <c r="J196" s="32">
        <f t="shared" si="86"/>
        <v>0.88888888888888884</v>
      </c>
      <c r="K196">
        <f>step3_validation[[#This Row],[AI_FAC1]]</f>
        <v>9</v>
      </c>
      <c r="L196">
        <f t="shared" si="87"/>
        <v>0.88888888888888884</v>
      </c>
      <c r="M196">
        <f>[1]!survey_responses[[#This Row],[Các thủ tục khai báo thuế VÀ/HOẶC quy trình làm việc với cơ quan thuế đơn giản, tiện lợi, nhanh chóng hơn so với trước đây. - HUMAN-FAC1]]</f>
        <v>5</v>
      </c>
      <c r="N196">
        <f t="shared" si="88"/>
        <v>0.44444444444444442</v>
      </c>
      <c r="O196">
        <f>step3_validation[[#This Row],[AI_FAC2]]</f>
        <v>8</v>
      </c>
      <c r="P196">
        <f t="shared" si="89"/>
        <v>0.77777777777777779</v>
      </c>
      <c r="Q196">
        <f>[1]!survey_responses[[#This Row],[So với trước đây, tôi thấy cách tính thuế và các bậc thuế trong phương án mới đơn giản, dễ hiểu và dễ thực hiện hơn. - HUMAN-FAC2]]</f>
        <v>5</v>
      </c>
      <c r="R196">
        <f t="shared" si="90"/>
        <v>0.44444444444444442</v>
      </c>
      <c r="S196" s="32">
        <f t="shared" si="91"/>
        <v>0.83333333333333326</v>
      </c>
      <c r="T196" s="32">
        <f t="shared" si="92"/>
        <v>0.44444444444444442</v>
      </c>
      <c r="U196">
        <f>step3_validation[[#This Row],[AI_TRU1]]</f>
        <v>7</v>
      </c>
      <c r="V196">
        <f t="shared" si="93"/>
        <v>0.66666666666666663</v>
      </c>
      <c r="W196">
        <f>[1]!survey_responses[[#This Row],[Tôi tin rằng Nhà nước, cơ quan thuế sẽ thực thi chính sách mới một cách khách quan, công tâm và đối xử bình đẳng với mọi người nộp thuế.  - HUMAN-TRU1]]</f>
        <v>7</v>
      </c>
      <c r="X196">
        <f t="shared" si="94"/>
        <v>0.66666666666666663</v>
      </c>
      <c r="Y196">
        <f>step3_validation[[#This Row],[AI_TRU2]]</f>
        <v>8</v>
      </c>
      <c r="Z196">
        <f t="shared" si="95"/>
        <v>0.77777777777777779</v>
      </c>
      <c r="AA196">
        <f>[1]!survey_responses[[#This Row],[Tôi thấy mức thuế tôi phải đóng theo phương án mới là công bằng (người thu nhập như tôi đóng mức này là hợp lý). - HUMAN-TRU2]]</f>
        <v>7</v>
      </c>
      <c r="AB196">
        <f t="shared" si="96"/>
        <v>0.66666666666666663</v>
      </c>
      <c r="AC196">
        <f>step3_validation[[#This Row],[AI_TRU3]]</f>
        <v>6</v>
      </c>
      <c r="AD196">
        <f t="shared" si="97"/>
        <v>0.55555555555555558</v>
      </c>
      <c r="AE196">
        <f>[1]!survey_responses[[#This Row],[Tôi tin tưởng số tiền thuế tôi đóng sẽ được Nhà nước sử dụng hiệu quả để cải thiện dịch vụ công (y tế, đường xá...). - HUMAN-TRU3]]</f>
        <v>8</v>
      </c>
      <c r="AF196">
        <f t="shared" si="98"/>
        <v>0.77777777777777779</v>
      </c>
      <c r="AG196">
        <f>step3_validation[[#This Row],[AI_TRU4]]</f>
        <v>7</v>
      </c>
      <c r="AH196">
        <f t="shared" si="99"/>
        <v>0.66666666666666663</v>
      </c>
      <c r="AI196">
        <f>[1]!survey_responses[[#This Row],[Tôi thấy Nhà nước đã giải thích rõ ràng, minh bạch về lý do và mục tiêu của việc sửa đổi thuế lần này. - HUMAN-TRU4]]</f>
        <v>8</v>
      </c>
      <c r="AJ196">
        <f t="shared" si="100"/>
        <v>0.77777777777777779</v>
      </c>
      <c r="AK196" s="32">
        <f t="shared" si="101"/>
        <v>0.66666666666666663</v>
      </c>
      <c r="AL196" s="32">
        <f t="shared" si="102"/>
        <v>0.72222222222222221</v>
      </c>
      <c r="AM196" s="7">
        <f t="shared" si="103"/>
        <v>0.72222222222222221</v>
      </c>
      <c r="AN196" s="7">
        <f t="shared" si="104"/>
        <v>0.68518518518518512</v>
      </c>
      <c r="AO196">
        <f>step3_validation[[#This Row],[AI_OUT1]]</f>
        <v>8</v>
      </c>
      <c r="AP196">
        <f t="shared" si="105"/>
        <v>0.77777777777777779</v>
      </c>
      <c r="AQ196">
        <f>[1]!survey_responses[[#This Row],[Sau khi xem xét các quyền lợi và nghĩa vụ, bạn có ủng hộ và tuân thủ chính sách mới hiện nay? - HUMAN-OUT1]]</f>
        <v>8</v>
      </c>
      <c r="AR196">
        <f t="shared" si="106"/>
        <v>0.77777777777777779</v>
      </c>
      <c r="AS196" s="32">
        <f t="shared" si="107"/>
        <v>0</v>
      </c>
    </row>
    <row r="197" spans="1:45" x14ac:dyDescent="0.45">
      <c r="A197">
        <f>step3_validation[[#This Row],[AI_ENF1]]</f>
        <v>5</v>
      </c>
      <c r="B197">
        <f t="shared" si="81"/>
        <v>0.44444444444444442</v>
      </c>
      <c r="C197">
        <f>[1]!survey_responses[[#This Row],[Tôi tin rằng với các quy định quản lý thuế hiện nay, hành vi gian lận hoặc trốn thuế sẽ dễ dàng bị phát hiện và xử lý nghiêm. - HUMAN-ENF1]]</f>
        <v>9</v>
      </c>
      <c r="D197">
        <f t="shared" si="82"/>
        <v>0.88888888888888884</v>
      </c>
      <c r="E197">
        <f>step3_validation[[#This Row],[AI_ENF2]]</f>
        <v>6</v>
      </c>
      <c r="F197">
        <f t="shared" si="83"/>
        <v>0.55555555555555558</v>
      </c>
      <c r="G197">
        <f>[1]!survey_responses[[#This Row],[Tôi tin rằng Nhà nước, cơ quan thuế có đủ khả năng và công nghệ để phát hiện, xử lý nghiêm các hành vi trốn thuế. - HUMAN-ENF2]]</f>
        <v>9</v>
      </c>
      <c r="H197">
        <f t="shared" si="84"/>
        <v>0.88888888888888884</v>
      </c>
      <c r="I197" s="32">
        <f t="shared" si="85"/>
        <v>0.5</v>
      </c>
      <c r="J197" s="32">
        <f t="shared" si="86"/>
        <v>0.88888888888888884</v>
      </c>
      <c r="K197">
        <f>step3_validation[[#This Row],[AI_FAC1]]</f>
        <v>8</v>
      </c>
      <c r="L197">
        <f t="shared" si="87"/>
        <v>0.77777777777777779</v>
      </c>
      <c r="M197">
        <f>[1]!survey_responses[[#This Row],[Các thủ tục khai báo thuế VÀ/HOẶC quy trình làm việc với cơ quan thuế đơn giản, tiện lợi, nhanh chóng hơn so với trước đây. - HUMAN-FAC1]]</f>
        <v>9</v>
      </c>
      <c r="N197">
        <f t="shared" si="88"/>
        <v>0.88888888888888884</v>
      </c>
      <c r="O197">
        <f>step3_validation[[#This Row],[AI_FAC2]]</f>
        <v>7</v>
      </c>
      <c r="P197">
        <f t="shared" si="89"/>
        <v>0.66666666666666663</v>
      </c>
      <c r="Q197">
        <f>[1]!survey_responses[[#This Row],[So với trước đây, tôi thấy cách tính thuế và các bậc thuế trong phương án mới đơn giản, dễ hiểu và dễ thực hiện hơn. - HUMAN-FAC2]]</f>
        <v>9</v>
      </c>
      <c r="R197">
        <f t="shared" si="90"/>
        <v>0.88888888888888884</v>
      </c>
      <c r="S197" s="32">
        <f t="shared" si="91"/>
        <v>0.72222222222222221</v>
      </c>
      <c r="T197" s="32">
        <f t="shared" si="92"/>
        <v>0.88888888888888884</v>
      </c>
      <c r="U197">
        <f>step3_validation[[#This Row],[AI_TRU1]]</f>
        <v>6</v>
      </c>
      <c r="V197">
        <f t="shared" si="93"/>
        <v>0.55555555555555558</v>
      </c>
      <c r="W197">
        <f>[1]!survey_responses[[#This Row],[Tôi tin rằng Nhà nước, cơ quan thuế sẽ thực thi chính sách mới một cách khách quan, công tâm và đối xử bình đẳng với mọi người nộp thuế.  - HUMAN-TRU1]]</f>
        <v>9</v>
      </c>
      <c r="X197">
        <f t="shared" si="94"/>
        <v>0.88888888888888884</v>
      </c>
      <c r="Y197">
        <f>step3_validation[[#This Row],[AI_TRU2]]</f>
        <v>5</v>
      </c>
      <c r="Z197">
        <f t="shared" si="95"/>
        <v>0.44444444444444442</v>
      </c>
      <c r="AA197">
        <f>[1]!survey_responses[[#This Row],[Tôi thấy mức thuế tôi phải đóng theo phương án mới là công bằng (người thu nhập như tôi đóng mức này là hợp lý). - HUMAN-TRU2]]</f>
        <v>9</v>
      </c>
      <c r="AB197">
        <f t="shared" si="96"/>
        <v>0.88888888888888884</v>
      </c>
      <c r="AC197">
        <f>step3_validation[[#This Row],[AI_TRU3]]</f>
        <v>7</v>
      </c>
      <c r="AD197">
        <f t="shared" si="97"/>
        <v>0.66666666666666663</v>
      </c>
      <c r="AE197">
        <f>[1]!survey_responses[[#This Row],[Tôi tin tưởng số tiền thuế tôi đóng sẽ được Nhà nước sử dụng hiệu quả để cải thiện dịch vụ công (y tế, đường xá...). - HUMAN-TRU3]]</f>
        <v>9</v>
      </c>
      <c r="AF197">
        <f t="shared" si="98"/>
        <v>0.88888888888888884</v>
      </c>
      <c r="AG197">
        <f>step3_validation[[#This Row],[AI_TRU4]]</f>
        <v>8</v>
      </c>
      <c r="AH197">
        <f t="shared" si="99"/>
        <v>0.77777777777777779</v>
      </c>
      <c r="AI197">
        <f>[1]!survey_responses[[#This Row],[Tôi thấy Nhà nước đã giải thích rõ ràng, minh bạch về lý do và mục tiêu của việc sửa đổi thuế lần này. - HUMAN-TRU4]]</f>
        <v>9</v>
      </c>
      <c r="AJ197">
        <f t="shared" si="100"/>
        <v>0.88888888888888884</v>
      </c>
      <c r="AK197" s="32">
        <f t="shared" si="101"/>
        <v>0.61111111111111105</v>
      </c>
      <c r="AL197" s="32">
        <f t="shared" si="102"/>
        <v>0.88888888888888884</v>
      </c>
      <c r="AM197" s="7">
        <f t="shared" si="103"/>
        <v>0.61111111111111116</v>
      </c>
      <c r="AN197" s="7">
        <f t="shared" si="104"/>
        <v>0.88888888888888884</v>
      </c>
      <c r="AO197">
        <f>step3_validation[[#This Row],[AI_OUT1]]</f>
        <v>9</v>
      </c>
      <c r="AP197">
        <f t="shared" si="105"/>
        <v>0.88888888888888884</v>
      </c>
      <c r="AQ197">
        <f>[1]!survey_responses[[#This Row],[Sau khi xem xét các quyền lợi và nghĩa vụ, bạn có ủng hộ và tuân thủ chính sách mới hiện nay? - HUMAN-OUT1]]</f>
        <v>9</v>
      </c>
      <c r="AR197">
        <f t="shared" si="106"/>
        <v>0.88888888888888884</v>
      </c>
      <c r="AS197" s="32">
        <f t="shared" si="107"/>
        <v>0</v>
      </c>
    </row>
    <row r="198" spans="1:45" x14ac:dyDescent="0.45">
      <c r="A198">
        <f>step3_validation[[#This Row],[AI_ENF1]]</f>
        <v>8</v>
      </c>
      <c r="B198">
        <f t="shared" si="81"/>
        <v>0.77777777777777779</v>
      </c>
      <c r="C198">
        <f>[1]!survey_responses[[#This Row],[Tôi tin rằng với các quy định quản lý thuế hiện nay, hành vi gian lận hoặc trốn thuế sẽ dễ dàng bị phát hiện và xử lý nghiêm. - HUMAN-ENF1]]</f>
        <v>9</v>
      </c>
      <c r="D198">
        <f t="shared" si="82"/>
        <v>0.88888888888888884</v>
      </c>
      <c r="E198">
        <f>step3_validation[[#This Row],[AI_ENF2]]</f>
        <v>7</v>
      </c>
      <c r="F198">
        <f t="shared" si="83"/>
        <v>0.66666666666666663</v>
      </c>
      <c r="G198">
        <f>[1]!survey_responses[[#This Row],[Tôi tin rằng Nhà nước, cơ quan thuế có đủ khả năng và công nghệ để phát hiện, xử lý nghiêm các hành vi trốn thuế. - HUMAN-ENF2]]</f>
        <v>10</v>
      </c>
      <c r="H198">
        <f t="shared" si="84"/>
        <v>1</v>
      </c>
      <c r="I198" s="32">
        <f t="shared" si="85"/>
        <v>0.72222222222222221</v>
      </c>
      <c r="J198" s="32">
        <f t="shared" si="86"/>
        <v>0.94444444444444442</v>
      </c>
      <c r="K198">
        <f>step3_validation[[#This Row],[AI_FAC1]]</f>
        <v>6</v>
      </c>
      <c r="L198">
        <f t="shared" si="87"/>
        <v>0.55555555555555558</v>
      </c>
      <c r="M198">
        <f>[1]!survey_responses[[#This Row],[Các thủ tục khai báo thuế VÀ/HOẶC quy trình làm việc với cơ quan thuế đơn giản, tiện lợi, nhanh chóng hơn so với trước đây. - HUMAN-FAC1]]</f>
        <v>10</v>
      </c>
      <c r="N198">
        <f t="shared" si="88"/>
        <v>1</v>
      </c>
      <c r="O198">
        <f>step3_validation[[#This Row],[AI_FAC2]]</f>
        <v>7</v>
      </c>
      <c r="P198">
        <f t="shared" si="89"/>
        <v>0.66666666666666663</v>
      </c>
      <c r="Q198">
        <f>[1]!survey_responses[[#This Row],[So với trước đây, tôi thấy cách tính thuế và các bậc thuế trong phương án mới đơn giản, dễ hiểu và dễ thực hiện hơn. - HUMAN-FAC2]]</f>
        <v>9</v>
      </c>
      <c r="R198">
        <f t="shared" si="90"/>
        <v>0.88888888888888884</v>
      </c>
      <c r="S198" s="32">
        <f t="shared" si="91"/>
        <v>0.61111111111111116</v>
      </c>
      <c r="T198" s="32">
        <f t="shared" si="92"/>
        <v>0.94444444444444442</v>
      </c>
      <c r="U198">
        <f>step3_validation[[#This Row],[AI_TRU1]]</f>
        <v>8</v>
      </c>
      <c r="V198">
        <f t="shared" si="93"/>
        <v>0.77777777777777779</v>
      </c>
      <c r="W198">
        <f>[1]!survey_responses[[#This Row],[Tôi tin rằng Nhà nước, cơ quan thuế sẽ thực thi chính sách mới một cách khách quan, công tâm và đối xử bình đẳng với mọi người nộp thuế.  - HUMAN-TRU1]]</f>
        <v>10</v>
      </c>
      <c r="X198">
        <f t="shared" si="94"/>
        <v>1</v>
      </c>
      <c r="Y198">
        <f>step3_validation[[#This Row],[AI_TRU2]]</f>
        <v>9</v>
      </c>
      <c r="Z198">
        <f t="shared" si="95"/>
        <v>0.88888888888888884</v>
      </c>
      <c r="AA198">
        <f>[1]!survey_responses[[#This Row],[Tôi thấy mức thuế tôi phải đóng theo phương án mới là công bằng (người thu nhập như tôi đóng mức này là hợp lý). - HUMAN-TRU2]]</f>
        <v>10</v>
      </c>
      <c r="AB198">
        <f t="shared" si="96"/>
        <v>1</v>
      </c>
      <c r="AC198">
        <f>step3_validation[[#This Row],[AI_TRU3]]</f>
        <v>7</v>
      </c>
      <c r="AD198">
        <f t="shared" si="97"/>
        <v>0.66666666666666663</v>
      </c>
      <c r="AE198">
        <f>[1]!survey_responses[[#This Row],[Tôi tin tưởng số tiền thuế tôi đóng sẽ được Nhà nước sử dụng hiệu quả để cải thiện dịch vụ công (y tế, đường xá...). - HUMAN-TRU3]]</f>
        <v>10</v>
      </c>
      <c r="AF198">
        <f t="shared" si="98"/>
        <v>1</v>
      </c>
      <c r="AG198">
        <f>step3_validation[[#This Row],[AI_TRU4]]</f>
        <v>6</v>
      </c>
      <c r="AH198">
        <f t="shared" si="99"/>
        <v>0.55555555555555558</v>
      </c>
      <c r="AI198">
        <f>[1]!survey_responses[[#This Row],[Tôi thấy Nhà nước đã giải thích rõ ràng, minh bạch về lý do và mục tiêu của việc sửa đổi thuế lần này. - HUMAN-TRU4]]</f>
        <v>9</v>
      </c>
      <c r="AJ198">
        <f t="shared" si="100"/>
        <v>0.88888888888888884</v>
      </c>
      <c r="AK198" s="32">
        <f t="shared" si="101"/>
        <v>0.7222222222222221</v>
      </c>
      <c r="AL198" s="32">
        <f t="shared" si="102"/>
        <v>0.97222222222222221</v>
      </c>
      <c r="AM198" s="7">
        <f t="shared" si="103"/>
        <v>0.68518518518518512</v>
      </c>
      <c r="AN198" s="7">
        <f t="shared" si="104"/>
        <v>0.95370370370370372</v>
      </c>
      <c r="AO198">
        <f>step3_validation[[#This Row],[AI_OUT1]]</f>
        <v>8</v>
      </c>
      <c r="AP198">
        <f t="shared" si="105"/>
        <v>0.77777777777777779</v>
      </c>
      <c r="AQ198">
        <f>[1]!survey_responses[[#This Row],[Sau khi xem xét các quyền lợi và nghĩa vụ, bạn có ủng hộ và tuân thủ chính sách mới hiện nay? - HUMAN-OUT1]]</f>
        <v>10</v>
      </c>
      <c r="AR198">
        <f t="shared" si="106"/>
        <v>1</v>
      </c>
      <c r="AS198" s="32">
        <f t="shared" si="107"/>
        <v>2</v>
      </c>
    </row>
    <row r="199" spans="1:45" x14ac:dyDescent="0.45">
      <c r="A199">
        <f>step3_validation[[#This Row],[AI_ENF1]]</f>
        <v>7</v>
      </c>
      <c r="B199">
        <f t="shared" si="81"/>
        <v>0.66666666666666663</v>
      </c>
      <c r="C199">
        <f>[1]!survey_responses[[#This Row],[Tôi tin rằng với các quy định quản lý thuế hiện nay, hành vi gian lận hoặc trốn thuế sẽ dễ dàng bị phát hiện và xử lý nghiêm. - HUMAN-ENF1]]</f>
        <v>5</v>
      </c>
      <c r="D199">
        <f t="shared" si="82"/>
        <v>0.44444444444444442</v>
      </c>
      <c r="E199">
        <f>step3_validation[[#This Row],[AI_ENF2]]</f>
        <v>8</v>
      </c>
      <c r="F199">
        <f t="shared" si="83"/>
        <v>0.77777777777777779</v>
      </c>
      <c r="G199">
        <f>[1]!survey_responses[[#This Row],[Tôi tin rằng Nhà nước, cơ quan thuế có đủ khả năng và công nghệ để phát hiện, xử lý nghiêm các hành vi trốn thuế. - HUMAN-ENF2]]</f>
        <v>5</v>
      </c>
      <c r="H199">
        <f t="shared" si="84"/>
        <v>0.44444444444444442</v>
      </c>
      <c r="I199" s="32">
        <f t="shared" si="85"/>
        <v>0.72222222222222221</v>
      </c>
      <c r="J199" s="32">
        <f t="shared" si="86"/>
        <v>0.44444444444444442</v>
      </c>
      <c r="K199">
        <f>step3_validation[[#This Row],[AI_FAC1]]</f>
        <v>9</v>
      </c>
      <c r="L199">
        <f t="shared" si="87"/>
        <v>0.88888888888888884</v>
      </c>
      <c r="M199">
        <f>[1]!survey_responses[[#This Row],[Các thủ tục khai báo thuế VÀ/HOẶC quy trình làm việc với cơ quan thuế đơn giản, tiện lợi, nhanh chóng hơn so với trước đây. - HUMAN-FAC1]]</f>
        <v>5</v>
      </c>
      <c r="N199">
        <f t="shared" si="88"/>
        <v>0.44444444444444442</v>
      </c>
      <c r="O199">
        <f>step3_validation[[#This Row],[AI_FAC2]]</f>
        <v>8</v>
      </c>
      <c r="P199">
        <f t="shared" si="89"/>
        <v>0.77777777777777779</v>
      </c>
      <c r="Q199">
        <f>[1]!survey_responses[[#This Row],[So với trước đây, tôi thấy cách tính thuế và các bậc thuế trong phương án mới đơn giản, dễ hiểu và dễ thực hiện hơn. - HUMAN-FAC2]]</f>
        <v>5</v>
      </c>
      <c r="R199">
        <f t="shared" si="90"/>
        <v>0.44444444444444442</v>
      </c>
      <c r="S199" s="32">
        <f t="shared" si="91"/>
        <v>0.83333333333333326</v>
      </c>
      <c r="T199" s="32">
        <f t="shared" si="92"/>
        <v>0.44444444444444442</v>
      </c>
      <c r="U199">
        <f>step3_validation[[#This Row],[AI_TRU1]]</f>
        <v>7</v>
      </c>
      <c r="V199">
        <f t="shared" si="93"/>
        <v>0.66666666666666663</v>
      </c>
      <c r="W199">
        <f>[1]!survey_responses[[#This Row],[Tôi tin rằng Nhà nước, cơ quan thuế sẽ thực thi chính sách mới một cách khách quan, công tâm và đối xử bình đẳng với mọi người nộp thuế.  - HUMAN-TRU1]]</f>
        <v>5</v>
      </c>
      <c r="X199">
        <f t="shared" si="94"/>
        <v>0.44444444444444442</v>
      </c>
      <c r="Y199">
        <f>step3_validation[[#This Row],[AI_TRU2]]</f>
        <v>8</v>
      </c>
      <c r="Z199">
        <f t="shared" si="95"/>
        <v>0.77777777777777779</v>
      </c>
      <c r="AA199">
        <f>[1]!survey_responses[[#This Row],[Tôi thấy mức thuế tôi phải đóng theo phương án mới là công bằng (người thu nhập như tôi đóng mức này là hợp lý). - HUMAN-TRU2]]</f>
        <v>5</v>
      </c>
      <c r="AB199">
        <f t="shared" si="96"/>
        <v>0.44444444444444442</v>
      </c>
      <c r="AC199">
        <f>step3_validation[[#This Row],[AI_TRU3]]</f>
        <v>7</v>
      </c>
      <c r="AD199">
        <f t="shared" si="97"/>
        <v>0.66666666666666663</v>
      </c>
      <c r="AE199">
        <f>[1]!survey_responses[[#This Row],[Tôi tin tưởng số tiền thuế tôi đóng sẽ được Nhà nước sử dụng hiệu quả để cải thiện dịch vụ công (y tế, đường xá...). - HUMAN-TRU3]]</f>
        <v>5</v>
      </c>
      <c r="AF199">
        <f t="shared" si="98"/>
        <v>0.44444444444444442</v>
      </c>
      <c r="AG199">
        <f>step3_validation[[#This Row],[AI_TRU4]]</f>
        <v>6</v>
      </c>
      <c r="AH199">
        <f t="shared" si="99"/>
        <v>0.55555555555555558</v>
      </c>
      <c r="AI199">
        <f>[1]!survey_responses[[#This Row],[Tôi thấy Nhà nước đã giải thích rõ ràng, minh bạch về lý do và mục tiêu của việc sửa đổi thuế lần này. - HUMAN-TRU4]]</f>
        <v>4</v>
      </c>
      <c r="AJ199">
        <f t="shared" si="100"/>
        <v>0.33333333333333331</v>
      </c>
      <c r="AK199" s="32">
        <f t="shared" si="101"/>
        <v>0.66666666666666674</v>
      </c>
      <c r="AL199" s="32">
        <f t="shared" si="102"/>
        <v>0.41666666666666663</v>
      </c>
      <c r="AM199" s="7">
        <f t="shared" si="103"/>
        <v>0.74074074074074081</v>
      </c>
      <c r="AN199" s="7">
        <f t="shared" si="104"/>
        <v>0.43518518518518512</v>
      </c>
      <c r="AO199">
        <f>step3_validation[[#This Row],[AI_OUT1]]</f>
        <v>7</v>
      </c>
      <c r="AP199">
        <f t="shared" si="105"/>
        <v>0.66666666666666663</v>
      </c>
      <c r="AQ199">
        <f>[1]!survey_responses[[#This Row],[Sau khi xem xét các quyền lợi và nghĩa vụ, bạn có ủng hộ và tuân thủ chính sách mới hiện nay? - HUMAN-OUT1]]</f>
        <v>5</v>
      </c>
      <c r="AR199">
        <f t="shared" si="106"/>
        <v>0.44444444444444442</v>
      </c>
      <c r="AS199" s="32">
        <f t="shared" si="107"/>
        <v>2</v>
      </c>
    </row>
    <row r="200" spans="1:45" x14ac:dyDescent="0.45">
      <c r="A200">
        <f>step3_validation[[#This Row],[AI_ENF1]]</f>
        <v>6</v>
      </c>
      <c r="B200">
        <f t="shared" si="81"/>
        <v>0.55555555555555558</v>
      </c>
      <c r="C200">
        <f>[1]!survey_responses[[#This Row],[Tôi tin rằng với các quy định quản lý thuế hiện nay, hành vi gian lận hoặc trốn thuế sẽ dễ dàng bị phát hiện và xử lý nghiêm. - HUMAN-ENF1]]</f>
        <v>9</v>
      </c>
      <c r="D200">
        <f t="shared" si="82"/>
        <v>0.88888888888888884</v>
      </c>
      <c r="E200">
        <f>step3_validation[[#This Row],[AI_ENF2]]</f>
        <v>5</v>
      </c>
      <c r="F200">
        <f t="shared" si="83"/>
        <v>0.44444444444444442</v>
      </c>
      <c r="G200">
        <f>[1]!survey_responses[[#This Row],[Tôi tin rằng Nhà nước, cơ quan thuế có đủ khả năng và công nghệ để phát hiện, xử lý nghiêm các hành vi trốn thuế. - HUMAN-ENF2]]</f>
        <v>8</v>
      </c>
      <c r="H200">
        <f t="shared" si="84"/>
        <v>0.77777777777777779</v>
      </c>
      <c r="I200" s="32">
        <f t="shared" si="85"/>
        <v>0.5</v>
      </c>
      <c r="J200" s="32">
        <f t="shared" si="86"/>
        <v>0.83333333333333326</v>
      </c>
      <c r="K200">
        <f>step3_validation[[#This Row],[AI_FAC1]]</f>
        <v>8</v>
      </c>
      <c r="L200">
        <f t="shared" si="87"/>
        <v>0.77777777777777779</v>
      </c>
      <c r="M200">
        <f>[1]!survey_responses[[#This Row],[Các thủ tục khai báo thuế VÀ/HOẶC quy trình làm việc với cơ quan thuế đơn giản, tiện lợi, nhanh chóng hơn so với trước đây. - HUMAN-FAC1]]</f>
        <v>9</v>
      </c>
      <c r="N200">
        <f t="shared" si="88"/>
        <v>0.88888888888888884</v>
      </c>
      <c r="O200">
        <f>step3_validation[[#This Row],[AI_FAC2]]</f>
        <v>9</v>
      </c>
      <c r="P200">
        <f t="shared" si="89"/>
        <v>0.88888888888888884</v>
      </c>
      <c r="Q200">
        <f>[1]!survey_responses[[#This Row],[So với trước đây, tôi thấy cách tính thuế và các bậc thuế trong phương án mới đơn giản, dễ hiểu và dễ thực hiện hơn. - HUMAN-FAC2]]</f>
        <v>9</v>
      </c>
      <c r="R200">
        <f t="shared" si="90"/>
        <v>0.88888888888888884</v>
      </c>
      <c r="S200" s="32">
        <f t="shared" si="91"/>
        <v>0.83333333333333326</v>
      </c>
      <c r="T200" s="32">
        <f t="shared" si="92"/>
        <v>0.88888888888888884</v>
      </c>
      <c r="U200">
        <f>step3_validation[[#This Row],[AI_TRU1]]</f>
        <v>7</v>
      </c>
      <c r="V200">
        <f t="shared" si="93"/>
        <v>0.66666666666666663</v>
      </c>
      <c r="W200">
        <f>[1]!survey_responses[[#This Row],[Tôi tin rằng Nhà nước, cơ quan thuế sẽ thực thi chính sách mới một cách khách quan, công tâm và đối xử bình đẳng với mọi người nộp thuế.  - HUMAN-TRU1]]</f>
        <v>8</v>
      </c>
      <c r="X200">
        <f t="shared" si="94"/>
        <v>0.77777777777777779</v>
      </c>
      <c r="Y200">
        <f>step3_validation[[#This Row],[AI_TRU2]]</f>
        <v>8</v>
      </c>
      <c r="Z200">
        <f t="shared" si="95"/>
        <v>0.77777777777777779</v>
      </c>
      <c r="AA200">
        <f>[1]!survey_responses[[#This Row],[Tôi thấy mức thuế tôi phải đóng theo phương án mới là công bằng (người thu nhập như tôi đóng mức này là hợp lý). - HUMAN-TRU2]]</f>
        <v>9</v>
      </c>
      <c r="AB200">
        <f t="shared" si="96"/>
        <v>0.88888888888888884</v>
      </c>
      <c r="AC200">
        <f>step3_validation[[#This Row],[AI_TRU3]]</f>
        <v>7</v>
      </c>
      <c r="AD200">
        <f t="shared" si="97"/>
        <v>0.66666666666666663</v>
      </c>
      <c r="AE200">
        <f>[1]!survey_responses[[#This Row],[Tôi tin tưởng số tiền thuế tôi đóng sẽ được Nhà nước sử dụng hiệu quả để cải thiện dịch vụ công (y tế, đường xá...). - HUMAN-TRU3]]</f>
        <v>10</v>
      </c>
      <c r="AF200">
        <f t="shared" si="98"/>
        <v>1</v>
      </c>
      <c r="AG200">
        <f>step3_validation[[#This Row],[AI_TRU4]]</f>
        <v>8</v>
      </c>
      <c r="AH200">
        <f t="shared" si="99"/>
        <v>0.77777777777777779</v>
      </c>
      <c r="AI200">
        <f>[1]!survey_responses[[#This Row],[Tôi thấy Nhà nước đã giải thích rõ ràng, minh bạch về lý do và mục tiêu của việc sửa đổi thuế lần này. - HUMAN-TRU4]]</f>
        <v>9</v>
      </c>
      <c r="AJ200">
        <f t="shared" si="100"/>
        <v>0.88888888888888884</v>
      </c>
      <c r="AK200" s="32">
        <f t="shared" si="101"/>
        <v>0.72222222222222221</v>
      </c>
      <c r="AL200" s="32">
        <f t="shared" si="102"/>
        <v>0.88888888888888884</v>
      </c>
      <c r="AM200" s="7">
        <f t="shared" si="103"/>
        <v>0.68518518518518512</v>
      </c>
      <c r="AN200" s="7">
        <f t="shared" si="104"/>
        <v>0.87037037037037024</v>
      </c>
      <c r="AO200">
        <f>step3_validation[[#This Row],[AI_OUT1]]</f>
        <v>7</v>
      </c>
      <c r="AP200">
        <f t="shared" si="105"/>
        <v>0.66666666666666663</v>
      </c>
      <c r="AQ200">
        <f>[1]!survey_responses[[#This Row],[Sau khi xem xét các quyền lợi và nghĩa vụ, bạn có ủng hộ và tuân thủ chính sách mới hiện nay? - HUMAN-OUT1]]</f>
        <v>10</v>
      </c>
      <c r="AR200">
        <f t="shared" si="106"/>
        <v>1</v>
      </c>
      <c r="AS200" s="32">
        <f t="shared" si="107"/>
        <v>3</v>
      </c>
    </row>
    <row r="201" spans="1:45" x14ac:dyDescent="0.45">
      <c r="A201">
        <f>step3_validation[[#This Row],[AI_ENF1]]</f>
        <v>8</v>
      </c>
      <c r="B201">
        <f t="shared" si="81"/>
        <v>0.77777777777777779</v>
      </c>
      <c r="C201">
        <f>[1]!survey_responses[[#This Row],[Tôi tin rằng với các quy định quản lý thuế hiện nay, hành vi gian lận hoặc trốn thuế sẽ dễ dàng bị phát hiện và xử lý nghiêm. - HUMAN-ENF1]]</f>
        <v>4</v>
      </c>
      <c r="D201">
        <f t="shared" si="82"/>
        <v>0.33333333333333331</v>
      </c>
      <c r="E201">
        <f>step3_validation[[#This Row],[AI_ENF2]]</f>
        <v>8</v>
      </c>
      <c r="F201">
        <f t="shared" si="83"/>
        <v>0.77777777777777779</v>
      </c>
      <c r="G201">
        <f>[1]!survey_responses[[#This Row],[Tôi tin rằng Nhà nước, cơ quan thuế có đủ khả năng và công nghệ để phát hiện, xử lý nghiêm các hành vi trốn thuế. - HUMAN-ENF2]]</f>
        <v>4</v>
      </c>
      <c r="H201">
        <f t="shared" si="84"/>
        <v>0.33333333333333331</v>
      </c>
      <c r="I201" s="32">
        <f t="shared" si="85"/>
        <v>0.77777777777777779</v>
      </c>
      <c r="J201" s="32">
        <f t="shared" si="86"/>
        <v>0.33333333333333331</v>
      </c>
      <c r="K201">
        <f>step3_validation[[#This Row],[AI_FAC1]]</f>
        <v>7</v>
      </c>
      <c r="L201">
        <f t="shared" si="87"/>
        <v>0.66666666666666663</v>
      </c>
      <c r="M201">
        <f>[1]!survey_responses[[#This Row],[Các thủ tục khai báo thuế VÀ/HOẶC quy trình làm việc với cơ quan thuế đơn giản, tiện lợi, nhanh chóng hơn so với trước đây. - HUMAN-FAC1]]</f>
        <v>3</v>
      </c>
      <c r="N201">
        <f t="shared" si="88"/>
        <v>0.22222222222222221</v>
      </c>
      <c r="O201">
        <f>step3_validation[[#This Row],[AI_FAC2]]</f>
        <v>8</v>
      </c>
      <c r="P201">
        <f t="shared" si="89"/>
        <v>0.77777777777777779</v>
      </c>
      <c r="Q201">
        <f>[1]!survey_responses[[#This Row],[So với trước đây, tôi thấy cách tính thuế và các bậc thuế trong phương án mới đơn giản, dễ hiểu và dễ thực hiện hơn. - HUMAN-FAC2]]</f>
        <v>5</v>
      </c>
      <c r="R201">
        <f t="shared" si="90"/>
        <v>0.44444444444444442</v>
      </c>
      <c r="S201" s="32">
        <f t="shared" si="91"/>
        <v>0.72222222222222221</v>
      </c>
      <c r="T201" s="32">
        <f t="shared" si="92"/>
        <v>0.33333333333333331</v>
      </c>
      <c r="U201">
        <f>step3_validation[[#This Row],[AI_TRU1]]</f>
        <v>7</v>
      </c>
      <c r="V201">
        <f t="shared" si="93"/>
        <v>0.66666666666666663</v>
      </c>
      <c r="W201">
        <f>[1]!survey_responses[[#This Row],[Tôi tin rằng Nhà nước, cơ quan thuế sẽ thực thi chính sách mới một cách khách quan, công tâm và đối xử bình đẳng với mọi người nộp thuế.  - HUMAN-TRU1]]</f>
        <v>4</v>
      </c>
      <c r="X201">
        <f t="shared" si="94"/>
        <v>0.33333333333333331</v>
      </c>
      <c r="Y201">
        <f>step3_validation[[#This Row],[AI_TRU2]]</f>
        <v>6</v>
      </c>
      <c r="Z201">
        <f t="shared" si="95"/>
        <v>0.55555555555555558</v>
      </c>
      <c r="AA201">
        <f>[1]!survey_responses[[#This Row],[Tôi thấy mức thuế tôi phải đóng theo phương án mới là công bằng (người thu nhập như tôi đóng mức này là hợp lý). - HUMAN-TRU2]]</f>
        <v>5</v>
      </c>
      <c r="AB201">
        <f t="shared" si="96"/>
        <v>0.44444444444444442</v>
      </c>
      <c r="AC201">
        <f>step3_validation[[#This Row],[AI_TRU3]]</f>
        <v>5</v>
      </c>
      <c r="AD201">
        <f t="shared" si="97"/>
        <v>0.44444444444444442</v>
      </c>
      <c r="AE201">
        <f>[1]!survey_responses[[#This Row],[Tôi tin tưởng số tiền thuế tôi đóng sẽ được Nhà nước sử dụng hiệu quả để cải thiện dịch vụ công (y tế, đường xá...). - HUMAN-TRU3]]</f>
        <v>1</v>
      </c>
      <c r="AF201">
        <f t="shared" si="98"/>
        <v>0</v>
      </c>
      <c r="AG201">
        <f>step3_validation[[#This Row],[AI_TRU4]]</f>
        <v>4</v>
      </c>
      <c r="AH201">
        <f t="shared" si="99"/>
        <v>0.33333333333333331</v>
      </c>
      <c r="AI201">
        <f>[1]!survey_responses[[#This Row],[Tôi thấy Nhà nước đã giải thích rõ ràng, minh bạch về lý do và mục tiêu của việc sửa đổi thuế lần này. - HUMAN-TRU4]]</f>
        <v>5</v>
      </c>
      <c r="AJ201">
        <f t="shared" si="100"/>
        <v>0.44444444444444442</v>
      </c>
      <c r="AK201" s="32">
        <f t="shared" si="101"/>
        <v>0.5</v>
      </c>
      <c r="AL201" s="32">
        <f t="shared" si="102"/>
        <v>0.30555555555555552</v>
      </c>
      <c r="AM201" s="7">
        <f t="shared" si="103"/>
        <v>0.66666666666666663</v>
      </c>
      <c r="AN201" s="7">
        <f t="shared" si="104"/>
        <v>0.32407407407407401</v>
      </c>
      <c r="AO201">
        <f>step3_validation[[#This Row],[AI_OUT1]]</f>
        <v>6</v>
      </c>
      <c r="AP201">
        <f t="shared" si="105"/>
        <v>0.55555555555555558</v>
      </c>
      <c r="AQ201">
        <f>[1]!survey_responses[[#This Row],[Sau khi xem xét các quyền lợi và nghĩa vụ, bạn có ủng hộ và tuân thủ chính sách mới hiện nay? - HUMAN-OUT1]]</f>
        <v>5</v>
      </c>
      <c r="AR201">
        <f t="shared" si="106"/>
        <v>0.44444444444444442</v>
      </c>
      <c r="AS201" s="32">
        <f t="shared" si="107"/>
        <v>1</v>
      </c>
    </row>
    <row r="202" spans="1:45" x14ac:dyDescent="0.45">
      <c r="A202">
        <f>step3_validation[[#This Row],[AI_ENF1]]</f>
        <v>8</v>
      </c>
      <c r="B202">
        <f t="shared" si="81"/>
        <v>0.77777777777777779</v>
      </c>
      <c r="C202">
        <f>[1]!survey_responses[[#This Row],[Tôi tin rằng với các quy định quản lý thuế hiện nay, hành vi gian lận hoặc trốn thuế sẽ dễ dàng bị phát hiện và xử lý nghiêm. - HUMAN-ENF1]]</f>
        <v>5</v>
      </c>
      <c r="D202">
        <f t="shared" si="82"/>
        <v>0.44444444444444442</v>
      </c>
      <c r="E202">
        <f>step3_validation[[#This Row],[AI_ENF2]]</f>
        <v>8</v>
      </c>
      <c r="F202">
        <f t="shared" si="83"/>
        <v>0.77777777777777779</v>
      </c>
      <c r="G202">
        <f>[1]!survey_responses[[#This Row],[Tôi tin rằng Nhà nước, cơ quan thuế có đủ khả năng và công nghệ để phát hiện, xử lý nghiêm các hành vi trốn thuế. - HUMAN-ENF2]]</f>
        <v>5</v>
      </c>
      <c r="H202">
        <f t="shared" si="84"/>
        <v>0.44444444444444442</v>
      </c>
      <c r="I202" s="32">
        <f t="shared" si="85"/>
        <v>0.77777777777777779</v>
      </c>
      <c r="J202" s="32">
        <f t="shared" si="86"/>
        <v>0.44444444444444442</v>
      </c>
      <c r="K202">
        <f>step3_validation[[#This Row],[AI_FAC1]]</f>
        <v>9</v>
      </c>
      <c r="L202">
        <f t="shared" si="87"/>
        <v>0.88888888888888884</v>
      </c>
      <c r="M202">
        <f>[1]!survey_responses[[#This Row],[Các thủ tục khai báo thuế VÀ/HOẶC quy trình làm việc với cơ quan thuế đơn giản, tiện lợi, nhanh chóng hơn so với trước đây. - HUMAN-FAC1]]</f>
        <v>1</v>
      </c>
      <c r="N202">
        <f t="shared" si="88"/>
        <v>0</v>
      </c>
      <c r="O202">
        <f>step3_validation[[#This Row],[AI_FAC2]]</f>
        <v>9</v>
      </c>
      <c r="P202">
        <f t="shared" si="89"/>
        <v>0.88888888888888884</v>
      </c>
      <c r="Q202">
        <f>[1]!survey_responses[[#This Row],[So với trước đây, tôi thấy cách tính thuế và các bậc thuế trong phương án mới đơn giản, dễ hiểu và dễ thực hiện hơn. - HUMAN-FAC2]]</f>
        <v>5</v>
      </c>
      <c r="R202">
        <f t="shared" si="90"/>
        <v>0.44444444444444442</v>
      </c>
      <c r="S202" s="32">
        <f t="shared" si="91"/>
        <v>0.88888888888888884</v>
      </c>
      <c r="T202" s="32">
        <f t="shared" si="92"/>
        <v>0.22222222222222221</v>
      </c>
      <c r="U202">
        <f>step3_validation[[#This Row],[AI_TRU1]]</f>
        <v>6</v>
      </c>
      <c r="V202">
        <f t="shared" si="93"/>
        <v>0.55555555555555558</v>
      </c>
      <c r="W202">
        <f>[1]!survey_responses[[#This Row],[Tôi tin rằng Nhà nước, cơ quan thuế sẽ thực thi chính sách mới một cách khách quan, công tâm và đối xử bình đẳng với mọi người nộp thuế.  - HUMAN-TRU1]]</f>
        <v>4</v>
      </c>
      <c r="X202">
        <f t="shared" si="94"/>
        <v>0.33333333333333331</v>
      </c>
      <c r="Y202">
        <f>step3_validation[[#This Row],[AI_TRU2]]</f>
        <v>7</v>
      </c>
      <c r="Z202">
        <f t="shared" si="95"/>
        <v>0.66666666666666663</v>
      </c>
      <c r="AA202">
        <f>[1]!survey_responses[[#This Row],[Tôi thấy mức thuế tôi phải đóng theo phương án mới là công bằng (người thu nhập như tôi đóng mức này là hợp lý). - HUMAN-TRU2]]</f>
        <v>2</v>
      </c>
      <c r="AB202">
        <f t="shared" si="96"/>
        <v>0.1111111111111111</v>
      </c>
      <c r="AC202">
        <f>step3_validation[[#This Row],[AI_TRU3]]</f>
        <v>6</v>
      </c>
      <c r="AD202">
        <f t="shared" si="97"/>
        <v>0.55555555555555558</v>
      </c>
      <c r="AE202">
        <f>[1]!survey_responses[[#This Row],[Tôi tin tưởng số tiền thuế tôi đóng sẽ được Nhà nước sử dụng hiệu quả để cải thiện dịch vụ công (y tế, đường xá...). - HUMAN-TRU3]]</f>
        <v>2</v>
      </c>
      <c r="AF202">
        <f t="shared" si="98"/>
        <v>0.1111111111111111</v>
      </c>
      <c r="AG202">
        <f>step3_validation[[#This Row],[AI_TRU4]]</f>
        <v>7</v>
      </c>
      <c r="AH202">
        <f t="shared" si="99"/>
        <v>0.66666666666666663</v>
      </c>
      <c r="AI202">
        <f>[1]!survey_responses[[#This Row],[Tôi thấy Nhà nước đã giải thích rõ ràng, minh bạch về lý do và mục tiêu của việc sửa đổi thuế lần này. - HUMAN-TRU4]]</f>
        <v>5</v>
      </c>
      <c r="AJ202">
        <f t="shared" si="100"/>
        <v>0.44444444444444442</v>
      </c>
      <c r="AK202" s="32">
        <f t="shared" si="101"/>
        <v>0.61111111111111116</v>
      </c>
      <c r="AL202" s="32">
        <f t="shared" si="102"/>
        <v>0.25</v>
      </c>
      <c r="AM202" s="7">
        <f t="shared" si="103"/>
        <v>0.75925925925925919</v>
      </c>
      <c r="AN202" s="7">
        <f t="shared" si="104"/>
        <v>0.30555555555555552</v>
      </c>
      <c r="AO202">
        <f>step3_validation[[#This Row],[AI_OUT1]]</f>
        <v>7</v>
      </c>
      <c r="AP202">
        <f t="shared" si="105"/>
        <v>0.66666666666666663</v>
      </c>
      <c r="AQ202">
        <f>[1]!survey_responses[[#This Row],[Sau khi xem xét các quyền lợi và nghĩa vụ, bạn có ủng hộ và tuân thủ chính sách mới hiện nay? - HUMAN-OUT1]]</f>
        <v>4</v>
      </c>
      <c r="AR202">
        <f t="shared" si="106"/>
        <v>0.33333333333333331</v>
      </c>
      <c r="AS202" s="32">
        <f t="shared" si="107"/>
        <v>3</v>
      </c>
    </row>
    <row r="203" spans="1:45" x14ac:dyDescent="0.45">
      <c r="A203">
        <f>step3_validation[[#This Row],[AI_ENF1]]</f>
        <v>7</v>
      </c>
      <c r="B203">
        <f t="shared" si="81"/>
        <v>0.66666666666666663</v>
      </c>
      <c r="C203">
        <f>[1]!survey_responses[[#This Row],[Tôi tin rằng với các quy định quản lý thuế hiện nay, hành vi gian lận hoặc trốn thuế sẽ dễ dàng bị phát hiện và xử lý nghiêm. - HUMAN-ENF1]]</f>
        <v>6</v>
      </c>
      <c r="D203">
        <f t="shared" si="82"/>
        <v>0.55555555555555558</v>
      </c>
      <c r="E203">
        <f>step3_validation[[#This Row],[AI_ENF2]]</f>
        <v>8</v>
      </c>
      <c r="F203">
        <f t="shared" si="83"/>
        <v>0.77777777777777779</v>
      </c>
      <c r="G203">
        <f>[1]!survey_responses[[#This Row],[Tôi tin rằng Nhà nước, cơ quan thuế có đủ khả năng và công nghệ để phát hiện, xử lý nghiêm các hành vi trốn thuế. - HUMAN-ENF2]]</f>
        <v>8</v>
      </c>
      <c r="H203">
        <f t="shared" si="84"/>
        <v>0.77777777777777779</v>
      </c>
      <c r="I203" s="32">
        <f t="shared" si="85"/>
        <v>0.72222222222222221</v>
      </c>
      <c r="J203" s="32">
        <f t="shared" si="86"/>
        <v>0.66666666666666674</v>
      </c>
      <c r="K203">
        <f>step3_validation[[#This Row],[AI_FAC1]]</f>
        <v>6</v>
      </c>
      <c r="L203">
        <f t="shared" si="87"/>
        <v>0.55555555555555558</v>
      </c>
      <c r="M203">
        <f>[1]!survey_responses[[#This Row],[Các thủ tục khai báo thuế VÀ/HOẶC quy trình làm việc với cơ quan thuế đơn giản, tiện lợi, nhanh chóng hơn so với trước đây. - HUMAN-FAC1]]</f>
        <v>8</v>
      </c>
      <c r="N203">
        <f t="shared" si="88"/>
        <v>0.77777777777777779</v>
      </c>
      <c r="O203">
        <f>step3_validation[[#This Row],[AI_FAC2]]</f>
        <v>8</v>
      </c>
      <c r="P203">
        <f t="shared" si="89"/>
        <v>0.77777777777777779</v>
      </c>
      <c r="Q203">
        <f>[1]!survey_responses[[#This Row],[So với trước đây, tôi thấy cách tính thuế và các bậc thuế trong phương án mới đơn giản, dễ hiểu và dễ thực hiện hơn. - HUMAN-FAC2]]</f>
        <v>9</v>
      </c>
      <c r="R203">
        <f t="shared" si="90"/>
        <v>0.88888888888888884</v>
      </c>
      <c r="S203" s="32">
        <f t="shared" si="91"/>
        <v>0.66666666666666674</v>
      </c>
      <c r="T203" s="32">
        <f t="shared" si="92"/>
        <v>0.83333333333333326</v>
      </c>
      <c r="U203">
        <f>step3_validation[[#This Row],[AI_TRU1]]</f>
        <v>7</v>
      </c>
      <c r="V203">
        <f t="shared" si="93"/>
        <v>0.66666666666666663</v>
      </c>
      <c r="W203">
        <f>[1]!survey_responses[[#This Row],[Tôi tin rằng Nhà nước, cơ quan thuế sẽ thực thi chính sách mới một cách khách quan, công tâm và đối xử bình đẳng với mọi người nộp thuế.  - HUMAN-TRU1]]</f>
        <v>7</v>
      </c>
      <c r="X203">
        <f t="shared" si="94"/>
        <v>0.66666666666666663</v>
      </c>
      <c r="Y203">
        <f>step3_validation[[#This Row],[AI_TRU2]]</f>
        <v>8</v>
      </c>
      <c r="Z203">
        <f t="shared" si="95"/>
        <v>0.77777777777777779</v>
      </c>
      <c r="AA203">
        <f>[1]!survey_responses[[#This Row],[Tôi thấy mức thuế tôi phải đóng theo phương án mới là công bằng (người thu nhập như tôi đóng mức này là hợp lý). - HUMAN-TRU2]]</f>
        <v>7</v>
      </c>
      <c r="AB203">
        <f t="shared" si="96"/>
        <v>0.66666666666666663</v>
      </c>
      <c r="AC203">
        <f>step3_validation[[#This Row],[AI_TRU3]]</f>
        <v>7</v>
      </c>
      <c r="AD203">
        <f t="shared" si="97"/>
        <v>0.66666666666666663</v>
      </c>
      <c r="AE203">
        <f>[1]!survey_responses[[#This Row],[Tôi tin tưởng số tiền thuế tôi đóng sẽ được Nhà nước sử dụng hiệu quả để cải thiện dịch vụ công (y tế, đường xá...). - HUMAN-TRU3]]</f>
        <v>7</v>
      </c>
      <c r="AF203">
        <f t="shared" si="98"/>
        <v>0.66666666666666663</v>
      </c>
      <c r="AG203">
        <f>step3_validation[[#This Row],[AI_TRU4]]</f>
        <v>8</v>
      </c>
      <c r="AH203">
        <f t="shared" si="99"/>
        <v>0.77777777777777779</v>
      </c>
      <c r="AI203">
        <f>[1]!survey_responses[[#This Row],[Tôi thấy Nhà nước đã giải thích rõ ràng, minh bạch về lý do và mục tiêu của việc sửa đổi thuế lần này. - HUMAN-TRU4]]</f>
        <v>8</v>
      </c>
      <c r="AJ203">
        <f t="shared" si="100"/>
        <v>0.77777777777777779</v>
      </c>
      <c r="AK203" s="32">
        <f t="shared" si="101"/>
        <v>0.72222222222222221</v>
      </c>
      <c r="AL203" s="32">
        <f t="shared" si="102"/>
        <v>0.69444444444444442</v>
      </c>
      <c r="AM203" s="7">
        <f t="shared" si="103"/>
        <v>0.70370370370370372</v>
      </c>
      <c r="AN203" s="7">
        <f t="shared" si="104"/>
        <v>0.73148148148148151</v>
      </c>
      <c r="AO203">
        <f>step3_validation[[#This Row],[AI_OUT1]]</f>
        <v>7</v>
      </c>
      <c r="AP203">
        <f t="shared" si="105"/>
        <v>0.66666666666666663</v>
      </c>
      <c r="AQ203">
        <f>[1]!survey_responses[[#This Row],[Sau khi xem xét các quyền lợi và nghĩa vụ, bạn có ủng hộ và tuân thủ chính sách mới hiện nay? - HUMAN-OUT1]]</f>
        <v>8</v>
      </c>
      <c r="AR203">
        <f t="shared" si="106"/>
        <v>0.77777777777777779</v>
      </c>
      <c r="AS203" s="32">
        <f t="shared" si="107"/>
        <v>1</v>
      </c>
    </row>
    <row r="204" spans="1:45" x14ac:dyDescent="0.45">
      <c r="A204">
        <f>step3_validation[[#This Row],[AI_ENF1]]</f>
        <v>7</v>
      </c>
      <c r="B204">
        <f t="shared" si="81"/>
        <v>0.66666666666666663</v>
      </c>
      <c r="C204">
        <f>[1]!survey_responses[[#This Row],[Tôi tin rằng với các quy định quản lý thuế hiện nay, hành vi gian lận hoặc trốn thuế sẽ dễ dàng bị phát hiện và xử lý nghiêm. - HUMAN-ENF1]]</f>
        <v>5</v>
      </c>
      <c r="D204">
        <f t="shared" si="82"/>
        <v>0.44444444444444442</v>
      </c>
      <c r="E204">
        <f>step3_validation[[#This Row],[AI_ENF2]]</f>
        <v>8</v>
      </c>
      <c r="F204">
        <f t="shared" si="83"/>
        <v>0.77777777777777779</v>
      </c>
      <c r="G204">
        <f>[1]!survey_responses[[#This Row],[Tôi tin rằng Nhà nước, cơ quan thuế có đủ khả năng và công nghệ để phát hiện, xử lý nghiêm các hành vi trốn thuế. - HUMAN-ENF2]]</f>
        <v>5</v>
      </c>
      <c r="H204">
        <f t="shared" si="84"/>
        <v>0.44444444444444442</v>
      </c>
      <c r="I204" s="32">
        <f t="shared" si="85"/>
        <v>0.72222222222222221</v>
      </c>
      <c r="J204" s="32">
        <f t="shared" si="86"/>
        <v>0.44444444444444442</v>
      </c>
      <c r="K204">
        <f>step3_validation[[#This Row],[AI_FAC1]]</f>
        <v>9</v>
      </c>
      <c r="L204">
        <f t="shared" si="87"/>
        <v>0.88888888888888884</v>
      </c>
      <c r="M204">
        <f>[1]!survey_responses[[#This Row],[Các thủ tục khai báo thuế VÀ/HOẶC quy trình làm việc với cơ quan thuế đơn giản, tiện lợi, nhanh chóng hơn so với trước đây. - HUMAN-FAC1]]</f>
        <v>5</v>
      </c>
      <c r="N204">
        <f t="shared" si="88"/>
        <v>0.44444444444444442</v>
      </c>
      <c r="O204">
        <f>step3_validation[[#This Row],[AI_FAC2]]</f>
        <v>8</v>
      </c>
      <c r="P204">
        <f t="shared" si="89"/>
        <v>0.77777777777777779</v>
      </c>
      <c r="Q204">
        <f>[1]!survey_responses[[#This Row],[So với trước đây, tôi thấy cách tính thuế và các bậc thuế trong phương án mới đơn giản, dễ hiểu và dễ thực hiện hơn. - HUMAN-FAC2]]</f>
        <v>5</v>
      </c>
      <c r="R204">
        <f t="shared" si="90"/>
        <v>0.44444444444444442</v>
      </c>
      <c r="S204" s="32">
        <f t="shared" si="91"/>
        <v>0.83333333333333326</v>
      </c>
      <c r="T204" s="32">
        <f t="shared" si="92"/>
        <v>0.44444444444444442</v>
      </c>
      <c r="U204">
        <f>step3_validation[[#This Row],[AI_TRU1]]</f>
        <v>7</v>
      </c>
      <c r="V204">
        <f t="shared" si="93"/>
        <v>0.66666666666666663</v>
      </c>
      <c r="W204">
        <f>[1]!survey_responses[[#This Row],[Tôi tin rằng Nhà nước, cơ quan thuế sẽ thực thi chính sách mới một cách khách quan, công tâm và đối xử bình đẳng với mọi người nộp thuế.  - HUMAN-TRU1]]</f>
        <v>5</v>
      </c>
      <c r="X204">
        <f t="shared" si="94"/>
        <v>0.44444444444444442</v>
      </c>
      <c r="Y204">
        <f>step3_validation[[#This Row],[AI_TRU2]]</f>
        <v>8</v>
      </c>
      <c r="Z204">
        <f t="shared" si="95"/>
        <v>0.77777777777777779</v>
      </c>
      <c r="AA204">
        <f>[1]!survey_responses[[#This Row],[Tôi thấy mức thuế tôi phải đóng theo phương án mới là công bằng (người thu nhập như tôi đóng mức này là hợp lý). - HUMAN-TRU2]]</f>
        <v>5</v>
      </c>
      <c r="AB204">
        <f t="shared" si="96"/>
        <v>0.44444444444444442</v>
      </c>
      <c r="AC204">
        <f>step3_validation[[#This Row],[AI_TRU3]]</f>
        <v>6</v>
      </c>
      <c r="AD204">
        <f t="shared" si="97"/>
        <v>0.55555555555555558</v>
      </c>
      <c r="AE204">
        <f>[1]!survey_responses[[#This Row],[Tôi tin tưởng số tiền thuế tôi đóng sẽ được Nhà nước sử dụng hiệu quả để cải thiện dịch vụ công (y tế, đường xá...). - HUMAN-TRU3]]</f>
        <v>5</v>
      </c>
      <c r="AF204">
        <f t="shared" si="98"/>
        <v>0.44444444444444442</v>
      </c>
      <c r="AG204">
        <f>step3_validation[[#This Row],[AI_TRU4]]</f>
        <v>7</v>
      </c>
      <c r="AH204">
        <f t="shared" si="99"/>
        <v>0.66666666666666663</v>
      </c>
      <c r="AI204">
        <f>[1]!survey_responses[[#This Row],[Tôi thấy Nhà nước đã giải thích rõ ràng, minh bạch về lý do và mục tiêu của việc sửa đổi thuế lần này. - HUMAN-TRU4]]</f>
        <v>5</v>
      </c>
      <c r="AJ204">
        <f t="shared" si="100"/>
        <v>0.44444444444444442</v>
      </c>
      <c r="AK204" s="32">
        <f t="shared" si="101"/>
        <v>0.66666666666666663</v>
      </c>
      <c r="AL204" s="32">
        <f t="shared" si="102"/>
        <v>0.44444444444444442</v>
      </c>
      <c r="AM204" s="7">
        <f t="shared" si="103"/>
        <v>0.74074074074074059</v>
      </c>
      <c r="AN204" s="7">
        <f t="shared" si="104"/>
        <v>0.44444444444444442</v>
      </c>
      <c r="AO204">
        <f>step3_validation[[#This Row],[AI_OUT1]]</f>
        <v>8</v>
      </c>
      <c r="AP204">
        <f t="shared" si="105"/>
        <v>0.77777777777777779</v>
      </c>
      <c r="AQ204">
        <f>[1]!survey_responses[[#This Row],[Sau khi xem xét các quyền lợi và nghĩa vụ, bạn có ủng hộ và tuân thủ chính sách mới hiện nay? - HUMAN-OUT1]]</f>
        <v>5</v>
      </c>
      <c r="AR204">
        <f t="shared" si="106"/>
        <v>0.44444444444444442</v>
      </c>
      <c r="AS204" s="32">
        <f t="shared" si="107"/>
        <v>3</v>
      </c>
    </row>
    <row r="205" spans="1:45" x14ac:dyDescent="0.45">
      <c r="A205">
        <f>step3_validation[[#This Row],[AI_ENF1]]</f>
        <v>6</v>
      </c>
      <c r="B205">
        <f t="shared" si="81"/>
        <v>0.55555555555555558</v>
      </c>
      <c r="C205">
        <f>[1]!survey_responses[[#This Row],[Tôi tin rằng với các quy định quản lý thuế hiện nay, hành vi gian lận hoặc trốn thuế sẽ dễ dàng bị phát hiện và xử lý nghiêm. - HUMAN-ENF1]]</f>
        <v>7</v>
      </c>
      <c r="D205">
        <f t="shared" si="82"/>
        <v>0.66666666666666663</v>
      </c>
      <c r="E205">
        <f>step3_validation[[#This Row],[AI_ENF2]]</f>
        <v>5</v>
      </c>
      <c r="F205">
        <f t="shared" si="83"/>
        <v>0.44444444444444442</v>
      </c>
      <c r="G205">
        <f>[1]!survey_responses[[#This Row],[Tôi tin rằng Nhà nước, cơ quan thuế có đủ khả năng và công nghệ để phát hiện, xử lý nghiêm các hành vi trốn thuế. - HUMAN-ENF2]]</f>
        <v>7</v>
      </c>
      <c r="H205">
        <f t="shared" si="84"/>
        <v>0.66666666666666663</v>
      </c>
      <c r="I205" s="32">
        <f t="shared" si="85"/>
        <v>0.5</v>
      </c>
      <c r="J205" s="32">
        <f t="shared" si="86"/>
        <v>0.66666666666666663</v>
      </c>
      <c r="K205">
        <f>step3_validation[[#This Row],[AI_FAC1]]</f>
        <v>8</v>
      </c>
      <c r="L205">
        <f t="shared" si="87"/>
        <v>0.77777777777777779</v>
      </c>
      <c r="M205">
        <f>[1]!survey_responses[[#This Row],[Các thủ tục khai báo thuế VÀ/HOẶC quy trình làm việc với cơ quan thuế đơn giản, tiện lợi, nhanh chóng hơn so với trước đây. - HUMAN-FAC1]]</f>
        <v>7</v>
      </c>
      <c r="N205">
        <f t="shared" si="88"/>
        <v>0.66666666666666663</v>
      </c>
      <c r="O205">
        <f>step3_validation[[#This Row],[AI_FAC2]]</f>
        <v>9</v>
      </c>
      <c r="P205">
        <f t="shared" si="89"/>
        <v>0.88888888888888884</v>
      </c>
      <c r="Q205">
        <f>[1]!survey_responses[[#This Row],[So với trước đây, tôi thấy cách tính thuế và các bậc thuế trong phương án mới đơn giản, dễ hiểu và dễ thực hiện hơn. - HUMAN-FAC2]]</f>
        <v>8</v>
      </c>
      <c r="R205">
        <f t="shared" si="90"/>
        <v>0.77777777777777779</v>
      </c>
      <c r="S205" s="32">
        <f t="shared" si="91"/>
        <v>0.83333333333333326</v>
      </c>
      <c r="T205" s="32">
        <f t="shared" si="92"/>
        <v>0.72222222222222221</v>
      </c>
      <c r="U205">
        <f>step3_validation[[#This Row],[AI_TRU1]]</f>
        <v>7</v>
      </c>
      <c r="V205">
        <f t="shared" si="93"/>
        <v>0.66666666666666663</v>
      </c>
      <c r="W205">
        <f>[1]!survey_responses[[#This Row],[Tôi tin rằng Nhà nước, cơ quan thuế sẽ thực thi chính sách mới một cách khách quan, công tâm và đối xử bình đẳng với mọi người nộp thuế.  - HUMAN-TRU1]]</f>
        <v>7</v>
      </c>
      <c r="X205">
        <f t="shared" si="94"/>
        <v>0.66666666666666663</v>
      </c>
      <c r="Y205">
        <f>step3_validation[[#This Row],[AI_TRU2]]</f>
        <v>5</v>
      </c>
      <c r="Z205">
        <f t="shared" si="95"/>
        <v>0.44444444444444442</v>
      </c>
      <c r="AA205">
        <f>[1]!survey_responses[[#This Row],[Tôi thấy mức thuế tôi phải đóng theo phương án mới là công bằng (người thu nhập như tôi đóng mức này là hợp lý). - HUMAN-TRU2]]</f>
        <v>7</v>
      </c>
      <c r="AB205">
        <f t="shared" si="96"/>
        <v>0.66666666666666663</v>
      </c>
      <c r="AC205">
        <f>step3_validation[[#This Row],[AI_TRU3]]</f>
        <v>7</v>
      </c>
      <c r="AD205">
        <f t="shared" si="97"/>
        <v>0.66666666666666663</v>
      </c>
      <c r="AE205">
        <f>[1]!survey_responses[[#This Row],[Tôi tin tưởng số tiền thuế tôi đóng sẽ được Nhà nước sử dụng hiệu quả để cải thiện dịch vụ công (y tế, đường xá...). - HUMAN-TRU3]]</f>
        <v>7</v>
      </c>
      <c r="AF205">
        <f t="shared" si="98"/>
        <v>0.66666666666666663</v>
      </c>
      <c r="AG205">
        <f>step3_validation[[#This Row],[AI_TRU4]]</f>
        <v>5</v>
      </c>
      <c r="AH205">
        <f t="shared" si="99"/>
        <v>0.44444444444444442</v>
      </c>
      <c r="AI205">
        <f>[1]!survey_responses[[#This Row],[Tôi thấy Nhà nước đã giải thích rõ ràng, minh bạch về lý do và mục tiêu của việc sửa đổi thuế lần này. - HUMAN-TRU4]]</f>
        <v>7</v>
      </c>
      <c r="AJ205">
        <f t="shared" si="100"/>
        <v>0.66666666666666663</v>
      </c>
      <c r="AK205" s="32">
        <f t="shared" si="101"/>
        <v>0.55555555555555558</v>
      </c>
      <c r="AL205" s="32">
        <f t="shared" si="102"/>
        <v>0.66666666666666663</v>
      </c>
      <c r="AM205" s="7">
        <f t="shared" si="103"/>
        <v>0.62962962962962965</v>
      </c>
      <c r="AN205" s="7">
        <f t="shared" si="104"/>
        <v>0.68518518518518512</v>
      </c>
      <c r="AO205">
        <f>step3_validation[[#This Row],[AI_OUT1]]</f>
        <v>6</v>
      </c>
      <c r="AP205">
        <f t="shared" si="105"/>
        <v>0.55555555555555558</v>
      </c>
      <c r="AQ205">
        <f>[1]!survey_responses[[#This Row],[Sau khi xem xét các quyền lợi và nghĩa vụ, bạn có ủng hộ và tuân thủ chính sách mới hiện nay? - HUMAN-OUT1]]</f>
        <v>7</v>
      </c>
      <c r="AR205">
        <f t="shared" si="106"/>
        <v>0.66666666666666663</v>
      </c>
      <c r="AS205" s="32">
        <f t="shared" si="107"/>
        <v>1</v>
      </c>
    </row>
    <row r="206" spans="1:45" x14ac:dyDescent="0.45">
      <c r="A206">
        <f>step3_validation[[#This Row],[AI_ENF1]]</f>
        <v>7</v>
      </c>
      <c r="B206">
        <f t="shared" si="81"/>
        <v>0.66666666666666663</v>
      </c>
      <c r="C206">
        <f>[1]!survey_responses[[#This Row],[Tôi tin rằng với các quy định quản lý thuế hiện nay, hành vi gian lận hoặc trốn thuế sẽ dễ dàng bị phát hiện và xử lý nghiêm. - HUMAN-ENF1]]</f>
        <v>3</v>
      </c>
      <c r="D206">
        <f t="shared" si="82"/>
        <v>0.22222222222222221</v>
      </c>
      <c r="E206">
        <f>step3_validation[[#This Row],[AI_ENF2]]</f>
        <v>7</v>
      </c>
      <c r="F206">
        <f t="shared" si="83"/>
        <v>0.66666666666666663</v>
      </c>
      <c r="G206">
        <f>[1]!survey_responses[[#This Row],[Tôi tin rằng Nhà nước, cơ quan thuế có đủ khả năng và công nghệ để phát hiện, xử lý nghiêm các hành vi trốn thuế. - HUMAN-ENF2]]</f>
        <v>1</v>
      </c>
      <c r="H206">
        <f t="shared" si="84"/>
        <v>0</v>
      </c>
      <c r="I206" s="32">
        <f t="shared" si="85"/>
        <v>0.66666666666666663</v>
      </c>
      <c r="J206" s="32">
        <f t="shared" si="86"/>
        <v>0.1111111111111111</v>
      </c>
      <c r="K206">
        <f>step3_validation[[#This Row],[AI_FAC1]]</f>
        <v>6</v>
      </c>
      <c r="L206">
        <f t="shared" si="87"/>
        <v>0.55555555555555558</v>
      </c>
      <c r="M206">
        <f>[1]!survey_responses[[#This Row],[Các thủ tục khai báo thuế VÀ/HOẶC quy trình làm việc với cơ quan thuế đơn giản, tiện lợi, nhanh chóng hơn so với trước đây. - HUMAN-FAC1]]</f>
        <v>1</v>
      </c>
      <c r="N206">
        <f t="shared" si="88"/>
        <v>0</v>
      </c>
      <c r="O206">
        <f>step3_validation[[#This Row],[AI_FAC2]]</f>
        <v>8</v>
      </c>
      <c r="P206">
        <f t="shared" si="89"/>
        <v>0.77777777777777779</v>
      </c>
      <c r="Q206">
        <f>[1]!survey_responses[[#This Row],[So với trước đây, tôi thấy cách tính thuế và các bậc thuế trong phương án mới đơn giản, dễ hiểu và dễ thực hiện hơn. - HUMAN-FAC2]]</f>
        <v>5</v>
      </c>
      <c r="R206">
        <f t="shared" si="90"/>
        <v>0.44444444444444442</v>
      </c>
      <c r="S206" s="32">
        <f t="shared" si="91"/>
        <v>0.66666666666666674</v>
      </c>
      <c r="T206" s="32">
        <f t="shared" si="92"/>
        <v>0.22222222222222221</v>
      </c>
      <c r="U206">
        <f>step3_validation[[#This Row],[AI_TRU1]]</f>
        <v>7</v>
      </c>
      <c r="V206">
        <f t="shared" si="93"/>
        <v>0.66666666666666663</v>
      </c>
      <c r="W206">
        <f>[1]!survey_responses[[#This Row],[Tôi tin rằng Nhà nước, cơ quan thuế sẽ thực thi chính sách mới một cách khách quan, công tâm và đối xử bình đẳng với mọi người nộp thuế.  - HUMAN-TRU1]]</f>
        <v>1</v>
      </c>
      <c r="X206">
        <f t="shared" si="94"/>
        <v>0</v>
      </c>
      <c r="Y206">
        <f>step3_validation[[#This Row],[AI_TRU2]]</f>
        <v>6</v>
      </c>
      <c r="Z206">
        <f t="shared" si="95"/>
        <v>0.55555555555555558</v>
      </c>
      <c r="AA206">
        <f>[1]!survey_responses[[#This Row],[Tôi thấy mức thuế tôi phải đóng theo phương án mới là công bằng (người thu nhập như tôi đóng mức này là hợp lý). - HUMAN-TRU2]]</f>
        <v>1</v>
      </c>
      <c r="AB206">
        <f t="shared" si="96"/>
        <v>0</v>
      </c>
      <c r="AC206">
        <f>step3_validation[[#This Row],[AI_TRU3]]</f>
        <v>6</v>
      </c>
      <c r="AD206">
        <f t="shared" si="97"/>
        <v>0.55555555555555558</v>
      </c>
      <c r="AE206">
        <f>[1]!survey_responses[[#This Row],[Tôi tin tưởng số tiền thuế tôi đóng sẽ được Nhà nước sử dụng hiệu quả để cải thiện dịch vụ công (y tế, đường xá...). - HUMAN-TRU3]]</f>
        <v>1</v>
      </c>
      <c r="AF206">
        <f t="shared" si="98"/>
        <v>0</v>
      </c>
      <c r="AG206">
        <f>step3_validation[[#This Row],[AI_TRU4]]</f>
        <v>7</v>
      </c>
      <c r="AH206">
        <f t="shared" si="99"/>
        <v>0.66666666666666663</v>
      </c>
      <c r="AI206">
        <f>[1]!survey_responses[[#This Row],[Tôi thấy Nhà nước đã giải thích rõ ràng, minh bạch về lý do và mục tiêu của việc sửa đổi thuế lần này. - HUMAN-TRU4]]</f>
        <v>4</v>
      </c>
      <c r="AJ206">
        <f t="shared" si="100"/>
        <v>0.33333333333333331</v>
      </c>
      <c r="AK206" s="32">
        <f t="shared" si="101"/>
        <v>0.61111111111111116</v>
      </c>
      <c r="AL206" s="32">
        <f t="shared" si="102"/>
        <v>8.3333333333333329E-2</v>
      </c>
      <c r="AM206" s="7">
        <f t="shared" si="103"/>
        <v>0.64814814814814825</v>
      </c>
      <c r="AN206" s="7">
        <f t="shared" si="104"/>
        <v>0.13888888888888887</v>
      </c>
      <c r="AO206">
        <f>step3_validation[[#This Row],[AI_OUT1]]</f>
        <v>6</v>
      </c>
      <c r="AP206">
        <f t="shared" si="105"/>
        <v>0.55555555555555558</v>
      </c>
      <c r="AQ206">
        <f>[1]!survey_responses[[#This Row],[Sau khi xem xét các quyền lợi và nghĩa vụ, bạn có ủng hộ và tuân thủ chính sách mới hiện nay? - HUMAN-OUT1]]</f>
        <v>5</v>
      </c>
      <c r="AR206">
        <f t="shared" si="106"/>
        <v>0.44444444444444442</v>
      </c>
      <c r="AS206" s="32">
        <f t="shared" si="107"/>
        <v>1</v>
      </c>
    </row>
    <row r="207" spans="1:45" x14ac:dyDescent="0.45">
      <c r="A207">
        <f>step3_validation[[#This Row],[AI_ENF1]]</f>
        <v>7</v>
      </c>
      <c r="B207">
        <f t="shared" si="81"/>
        <v>0.66666666666666663</v>
      </c>
      <c r="C207">
        <f>[1]!survey_responses[[#This Row],[Tôi tin rằng với các quy định quản lý thuế hiện nay, hành vi gian lận hoặc trốn thuế sẽ dễ dàng bị phát hiện và xử lý nghiêm. - HUMAN-ENF1]]</f>
        <v>8</v>
      </c>
      <c r="D207">
        <f t="shared" si="82"/>
        <v>0.77777777777777779</v>
      </c>
      <c r="E207">
        <f>step3_validation[[#This Row],[AI_ENF2]]</f>
        <v>6</v>
      </c>
      <c r="F207">
        <f t="shared" si="83"/>
        <v>0.55555555555555558</v>
      </c>
      <c r="G207">
        <f>[1]!survey_responses[[#This Row],[Tôi tin rằng Nhà nước, cơ quan thuế có đủ khả năng và công nghệ để phát hiện, xử lý nghiêm các hành vi trốn thuế. - HUMAN-ENF2]]</f>
        <v>8</v>
      </c>
      <c r="H207">
        <f t="shared" si="84"/>
        <v>0.77777777777777779</v>
      </c>
      <c r="I207" s="32">
        <f t="shared" si="85"/>
        <v>0.61111111111111116</v>
      </c>
      <c r="J207" s="32">
        <f t="shared" si="86"/>
        <v>0.77777777777777779</v>
      </c>
      <c r="K207">
        <f>step3_validation[[#This Row],[AI_FAC1]]</f>
        <v>8</v>
      </c>
      <c r="L207">
        <f t="shared" si="87"/>
        <v>0.77777777777777779</v>
      </c>
      <c r="M207">
        <f>[1]!survey_responses[[#This Row],[Các thủ tục khai báo thuế VÀ/HOẶC quy trình làm việc với cơ quan thuế đơn giản, tiện lợi, nhanh chóng hơn so với trước đây. - HUMAN-FAC1]]</f>
        <v>5</v>
      </c>
      <c r="N207">
        <f t="shared" si="88"/>
        <v>0.44444444444444442</v>
      </c>
      <c r="O207">
        <f>step3_validation[[#This Row],[AI_FAC2]]</f>
        <v>9</v>
      </c>
      <c r="P207">
        <f t="shared" si="89"/>
        <v>0.88888888888888884</v>
      </c>
      <c r="Q207">
        <f>[1]!survey_responses[[#This Row],[So với trước đây, tôi thấy cách tính thuế và các bậc thuế trong phương án mới đơn giản, dễ hiểu và dễ thực hiện hơn. - HUMAN-FAC2]]</f>
        <v>7</v>
      </c>
      <c r="R207">
        <f t="shared" si="90"/>
        <v>0.66666666666666663</v>
      </c>
      <c r="S207" s="32">
        <f t="shared" si="91"/>
        <v>0.83333333333333326</v>
      </c>
      <c r="T207" s="32">
        <f t="shared" si="92"/>
        <v>0.55555555555555558</v>
      </c>
      <c r="U207">
        <f>step3_validation[[#This Row],[AI_TRU1]]</f>
        <v>7</v>
      </c>
      <c r="V207">
        <f t="shared" si="93"/>
        <v>0.66666666666666663</v>
      </c>
      <c r="W207">
        <f>[1]!survey_responses[[#This Row],[Tôi tin rằng Nhà nước, cơ quan thuế sẽ thực thi chính sách mới một cách khách quan, công tâm và đối xử bình đẳng với mọi người nộp thuế.  - HUMAN-TRU1]]</f>
        <v>7</v>
      </c>
      <c r="X207">
        <f t="shared" si="94"/>
        <v>0.66666666666666663</v>
      </c>
      <c r="Y207">
        <f>step3_validation[[#This Row],[AI_TRU2]]</f>
        <v>8</v>
      </c>
      <c r="Z207">
        <f t="shared" si="95"/>
        <v>0.77777777777777779</v>
      </c>
      <c r="AA207">
        <f>[1]!survey_responses[[#This Row],[Tôi thấy mức thuế tôi phải đóng theo phương án mới là công bằng (người thu nhập như tôi đóng mức này là hợp lý). - HUMAN-TRU2]]</f>
        <v>6</v>
      </c>
      <c r="AB207">
        <f t="shared" si="96"/>
        <v>0.55555555555555558</v>
      </c>
      <c r="AC207">
        <f>step3_validation[[#This Row],[AI_TRU3]]</f>
        <v>7</v>
      </c>
      <c r="AD207">
        <f t="shared" si="97"/>
        <v>0.66666666666666663</v>
      </c>
      <c r="AE207">
        <f>[1]!survey_responses[[#This Row],[Tôi tin tưởng số tiền thuế tôi đóng sẽ được Nhà nước sử dụng hiệu quả để cải thiện dịch vụ công (y tế, đường xá...). - HUMAN-TRU3]]</f>
        <v>6</v>
      </c>
      <c r="AF207">
        <f t="shared" si="98"/>
        <v>0.55555555555555558</v>
      </c>
      <c r="AG207">
        <f>step3_validation[[#This Row],[AI_TRU4]]</f>
        <v>6</v>
      </c>
      <c r="AH207">
        <f t="shared" si="99"/>
        <v>0.55555555555555558</v>
      </c>
      <c r="AI207">
        <f>[1]!survey_responses[[#This Row],[Tôi thấy Nhà nước đã giải thích rõ ràng, minh bạch về lý do và mục tiêu của việc sửa đổi thuế lần này. - HUMAN-TRU4]]</f>
        <v>7</v>
      </c>
      <c r="AJ207">
        <f t="shared" si="100"/>
        <v>0.66666666666666663</v>
      </c>
      <c r="AK207" s="32">
        <f t="shared" si="101"/>
        <v>0.66666666666666674</v>
      </c>
      <c r="AL207" s="32">
        <f t="shared" si="102"/>
        <v>0.61111111111111116</v>
      </c>
      <c r="AM207" s="7">
        <f t="shared" si="103"/>
        <v>0.70370370370370372</v>
      </c>
      <c r="AN207" s="7">
        <f t="shared" si="104"/>
        <v>0.64814814814814825</v>
      </c>
      <c r="AO207">
        <f>step3_validation[[#This Row],[AI_OUT1]]</f>
        <v>8</v>
      </c>
      <c r="AP207">
        <f t="shared" si="105"/>
        <v>0.77777777777777779</v>
      </c>
      <c r="AQ207">
        <f>[1]!survey_responses[[#This Row],[Sau khi xem xét các quyền lợi và nghĩa vụ, bạn có ủng hộ và tuân thủ chính sách mới hiện nay? - HUMAN-OUT1]]</f>
        <v>7</v>
      </c>
      <c r="AR207">
        <f t="shared" si="106"/>
        <v>0.66666666666666663</v>
      </c>
      <c r="AS207" s="32">
        <f t="shared" si="107"/>
        <v>1</v>
      </c>
    </row>
    <row r="208" spans="1:45" x14ac:dyDescent="0.45">
      <c r="A208">
        <f>step3_validation[[#This Row],[AI_ENF1]]</f>
        <v>8</v>
      </c>
      <c r="B208">
        <f t="shared" si="81"/>
        <v>0.77777777777777779</v>
      </c>
      <c r="C208">
        <f>[1]!survey_responses[[#This Row],[Tôi tin rằng với các quy định quản lý thuế hiện nay, hành vi gian lận hoặc trốn thuế sẽ dễ dàng bị phát hiện và xử lý nghiêm. - HUMAN-ENF1]]</f>
        <v>4</v>
      </c>
      <c r="D208">
        <f t="shared" si="82"/>
        <v>0.33333333333333331</v>
      </c>
      <c r="E208">
        <f>step3_validation[[#This Row],[AI_ENF2]]</f>
        <v>8</v>
      </c>
      <c r="F208">
        <f t="shared" si="83"/>
        <v>0.77777777777777779</v>
      </c>
      <c r="G208">
        <f>[1]!survey_responses[[#This Row],[Tôi tin rằng Nhà nước, cơ quan thuế có đủ khả năng và công nghệ để phát hiện, xử lý nghiêm các hành vi trốn thuế. - HUMAN-ENF2]]</f>
        <v>3</v>
      </c>
      <c r="H208">
        <f t="shared" si="84"/>
        <v>0.22222222222222221</v>
      </c>
      <c r="I208" s="32">
        <f t="shared" si="85"/>
        <v>0.77777777777777779</v>
      </c>
      <c r="J208" s="32">
        <f t="shared" si="86"/>
        <v>0.27777777777777779</v>
      </c>
      <c r="K208">
        <f>step3_validation[[#This Row],[AI_FAC1]]</f>
        <v>9</v>
      </c>
      <c r="L208">
        <f t="shared" si="87"/>
        <v>0.88888888888888884</v>
      </c>
      <c r="M208">
        <f>[1]!survey_responses[[#This Row],[Các thủ tục khai báo thuế VÀ/HOẶC quy trình làm việc với cơ quan thuế đơn giản, tiện lợi, nhanh chóng hơn so với trước đây. - HUMAN-FAC1]]</f>
        <v>1</v>
      </c>
      <c r="N208">
        <f t="shared" si="88"/>
        <v>0</v>
      </c>
      <c r="O208">
        <f>step3_validation[[#This Row],[AI_FAC2]]</f>
        <v>8</v>
      </c>
      <c r="P208">
        <f t="shared" si="89"/>
        <v>0.77777777777777779</v>
      </c>
      <c r="Q208">
        <f>[1]!survey_responses[[#This Row],[So với trước đây, tôi thấy cách tính thuế và các bậc thuế trong phương án mới đơn giản, dễ hiểu và dễ thực hiện hơn. - HUMAN-FAC2]]</f>
        <v>2</v>
      </c>
      <c r="R208">
        <f t="shared" si="90"/>
        <v>0.1111111111111111</v>
      </c>
      <c r="S208" s="32">
        <f t="shared" si="91"/>
        <v>0.83333333333333326</v>
      </c>
      <c r="T208" s="32">
        <f t="shared" si="92"/>
        <v>5.5555555555555552E-2</v>
      </c>
      <c r="U208">
        <f>step3_validation[[#This Row],[AI_TRU1]]</f>
        <v>6</v>
      </c>
      <c r="V208">
        <f t="shared" si="93"/>
        <v>0.55555555555555558</v>
      </c>
      <c r="W208">
        <f>[1]!survey_responses[[#This Row],[Tôi tin rằng Nhà nước, cơ quan thuế sẽ thực thi chính sách mới một cách khách quan, công tâm và đối xử bình đẳng với mọi người nộp thuế.  - HUMAN-TRU1]]</f>
        <v>1</v>
      </c>
      <c r="X208">
        <f t="shared" si="94"/>
        <v>0</v>
      </c>
      <c r="Y208">
        <f>step3_validation[[#This Row],[AI_TRU2]]</f>
        <v>7</v>
      </c>
      <c r="Z208">
        <f t="shared" si="95"/>
        <v>0.66666666666666663</v>
      </c>
      <c r="AA208">
        <f>[1]!survey_responses[[#This Row],[Tôi thấy mức thuế tôi phải đóng theo phương án mới là công bằng (người thu nhập như tôi đóng mức này là hợp lý). - HUMAN-TRU2]]</f>
        <v>1</v>
      </c>
      <c r="AB208">
        <f t="shared" si="96"/>
        <v>0</v>
      </c>
      <c r="AC208">
        <f>step3_validation[[#This Row],[AI_TRU3]]</f>
        <v>6</v>
      </c>
      <c r="AD208">
        <f t="shared" si="97"/>
        <v>0.55555555555555558</v>
      </c>
      <c r="AE208">
        <f>[1]!survey_responses[[#This Row],[Tôi tin tưởng số tiền thuế tôi đóng sẽ được Nhà nước sử dụng hiệu quả để cải thiện dịch vụ công (y tế, đường xá...). - HUMAN-TRU3]]</f>
        <v>1</v>
      </c>
      <c r="AF208">
        <f t="shared" si="98"/>
        <v>0</v>
      </c>
      <c r="AG208">
        <f>step3_validation[[#This Row],[AI_TRU4]]</f>
        <v>5</v>
      </c>
      <c r="AH208">
        <f t="shared" si="99"/>
        <v>0.44444444444444442</v>
      </c>
      <c r="AI208">
        <f>[1]!survey_responses[[#This Row],[Tôi thấy Nhà nước đã giải thích rõ ràng, minh bạch về lý do và mục tiêu của việc sửa đổi thuế lần này. - HUMAN-TRU4]]</f>
        <v>4</v>
      </c>
      <c r="AJ208">
        <f t="shared" si="100"/>
        <v>0.33333333333333331</v>
      </c>
      <c r="AK208" s="32">
        <f t="shared" si="101"/>
        <v>0.55555555555555558</v>
      </c>
      <c r="AL208" s="32">
        <f t="shared" si="102"/>
        <v>8.3333333333333329E-2</v>
      </c>
      <c r="AM208" s="7">
        <f t="shared" si="103"/>
        <v>0.72222222222222232</v>
      </c>
      <c r="AN208" s="7">
        <f t="shared" si="104"/>
        <v>0.1388888888888889</v>
      </c>
      <c r="AO208">
        <f>step3_validation[[#This Row],[AI_OUT1]]</f>
        <v>7</v>
      </c>
      <c r="AP208">
        <f t="shared" si="105"/>
        <v>0.66666666666666663</v>
      </c>
      <c r="AQ208">
        <f>[1]!survey_responses[[#This Row],[Sau khi xem xét các quyền lợi và nghĩa vụ, bạn có ủng hộ và tuân thủ chính sách mới hiện nay? - HUMAN-OUT1]]</f>
        <v>2</v>
      </c>
      <c r="AR208">
        <f t="shared" si="106"/>
        <v>0.1111111111111111</v>
      </c>
      <c r="AS208" s="32">
        <f t="shared" si="107"/>
        <v>5</v>
      </c>
    </row>
    <row r="209" spans="1:45" x14ac:dyDescent="0.45">
      <c r="A209">
        <f>step3_validation[[#This Row],[AI_ENF1]]</f>
        <v>7</v>
      </c>
      <c r="B209">
        <f t="shared" si="81"/>
        <v>0.66666666666666663</v>
      </c>
      <c r="C209">
        <f>[1]!survey_responses[[#This Row],[Tôi tin rằng với các quy định quản lý thuế hiện nay, hành vi gian lận hoặc trốn thuế sẽ dễ dàng bị phát hiện và xử lý nghiêm. - HUMAN-ENF1]]</f>
        <v>7</v>
      </c>
      <c r="D209">
        <f t="shared" si="82"/>
        <v>0.66666666666666663</v>
      </c>
      <c r="E209">
        <f>step3_validation[[#This Row],[AI_ENF2]]</f>
        <v>8</v>
      </c>
      <c r="F209">
        <f t="shared" si="83"/>
        <v>0.77777777777777779</v>
      </c>
      <c r="G209">
        <f>[1]!survey_responses[[#This Row],[Tôi tin rằng Nhà nước, cơ quan thuế có đủ khả năng và công nghệ để phát hiện, xử lý nghiêm các hành vi trốn thuế. - HUMAN-ENF2]]</f>
        <v>8</v>
      </c>
      <c r="H209">
        <f t="shared" si="84"/>
        <v>0.77777777777777779</v>
      </c>
      <c r="I209" s="32">
        <f t="shared" si="85"/>
        <v>0.72222222222222221</v>
      </c>
      <c r="J209" s="32">
        <f t="shared" si="86"/>
        <v>0.72222222222222221</v>
      </c>
      <c r="K209">
        <f>step3_validation[[#This Row],[AI_FAC1]]</f>
        <v>9</v>
      </c>
      <c r="L209">
        <f t="shared" si="87"/>
        <v>0.88888888888888884</v>
      </c>
      <c r="M209">
        <f>[1]!survey_responses[[#This Row],[Các thủ tục khai báo thuế VÀ/HOẶC quy trình làm việc với cơ quan thuế đơn giản, tiện lợi, nhanh chóng hơn so với trước đây. - HUMAN-FAC1]]</f>
        <v>6</v>
      </c>
      <c r="N209">
        <f t="shared" si="88"/>
        <v>0.55555555555555558</v>
      </c>
      <c r="O209">
        <f>step3_validation[[#This Row],[AI_FAC2]]</f>
        <v>8</v>
      </c>
      <c r="P209">
        <f t="shared" si="89"/>
        <v>0.77777777777777779</v>
      </c>
      <c r="Q209">
        <f>[1]!survey_responses[[#This Row],[So với trước đây, tôi thấy cách tính thuế và các bậc thuế trong phương án mới đơn giản, dễ hiểu và dễ thực hiện hơn. - HUMAN-FAC2]]</f>
        <v>7</v>
      </c>
      <c r="R209">
        <f t="shared" si="90"/>
        <v>0.66666666666666663</v>
      </c>
      <c r="S209" s="32">
        <f t="shared" si="91"/>
        <v>0.83333333333333326</v>
      </c>
      <c r="T209" s="32">
        <f t="shared" si="92"/>
        <v>0.61111111111111116</v>
      </c>
      <c r="U209">
        <f>step3_validation[[#This Row],[AI_TRU1]]</f>
        <v>9</v>
      </c>
      <c r="V209">
        <f t="shared" si="93"/>
        <v>0.88888888888888884</v>
      </c>
      <c r="W209">
        <f>[1]!survey_responses[[#This Row],[Tôi tin rằng Nhà nước, cơ quan thuế sẽ thực thi chính sách mới một cách khách quan, công tâm và đối xử bình đẳng với mọi người nộp thuế.  - HUMAN-TRU1]]</f>
        <v>6</v>
      </c>
      <c r="X209">
        <f t="shared" si="94"/>
        <v>0.55555555555555558</v>
      </c>
      <c r="Y209">
        <f>step3_validation[[#This Row],[AI_TRU2]]</f>
        <v>8</v>
      </c>
      <c r="Z209">
        <f t="shared" si="95"/>
        <v>0.77777777777777779</v>
      </c>
      <c r="AA209">
        <f>[1]!survey_responses[[#This Row],[Tôi thấy mức thuế tôi phải đóng theo phương án mới là công bằng (người thu nhập như tôi đóng mức này là hợp lý). - HUMAN-TRU2]]</f>
        <v>7</v>
      </c>
      <c r="AB209">
        <f t="shared" si="96"/>
        <v>0.66666666666666663</v>
      </c>
      <c r="AC209">
        <f>step3_validation[[#This Row],[AI_TRU3]]</f>
        <v>7</v>
      </c>
      <c r="AD209">
        <f t="shared" si="97"/>
        <v>0.66666666666666663</v>
      </c>
      <c r="AE209">
        <f>[1]!survey_responses[[#This Row],[Tôi tin tưởng số tiền thuế tôi đóng sẽ được Nhà nước sử dụng hiệu quả để cải thiện dịch vụ công (y tế, đường xá...). - HUMAN-TRU3]]</f>
        <v>6</v>
      </c>
      <c r="AF209">
        <f t="shared" si="98"/>
        <v>0.55555555555555558</v>
      </c>
      <c r="AG209">
        <f>step3_validation[[#This Row],[AI_TRU4]]</f>
        <v>8</v>
      </c>
      <c r="AH209">
        <f t="shared" si="99"/>
        <v>0.77777777777777779</v>
      </c>
      <c r="AI209">
        <f>[1]!survey_responses[[#This Row],[Tôi thấy Nhà nước đã giải thích rõ ràng, minh bạch về lý do và mục tiêu của việc sửa đổi thuế lần này. - HUMAN-TRU4]]</f>
        <v>6</v>
      </c>
      <c r="AJ209">
        <f t="shared" si="100"/>
        <v>0.55555555555555558</v>
      </c>
      <c r="AK209" s="32">
        <f t="shared" si="101"/>
        <v>0.77777777777777768</v>
      </c>
      <c r="AL209" s="32">
        <f t="shared" si="102"/>
        <v>0.58333333333333337</v>
      </c>
      <c r="AM209" s="7">
        <f t="shared" si="103"/>
        <v>0.77777777777777768</v>
      </c>
      <c r="AN209" s="7">
        <f t="shared" si="104"/>
        <v>0.63888888888888895</v>
      </c>
      <c r="AO209">
        <f>step3_validation[[#This Row],[AI_OUT1]]</f>
        <v>8</v>
      </c>
      <c r="AP209">
        <f t="shared" si="105"/>
        <v>0.77777777777777779</v>
      </c>
      <c r="AQ209">
        <f>[1]!survey_responses[[#This Row],[Sau khi xem xét các quyền lợi và nghĩa vụ, bạn có ủng hộ và tuân thủ chính sách mới hiện nay? - HUMAN-OUT1]]</f>
        <v>6</v>
      </c>
      <c r="AR209">
        <f t="shared" si="106"/>
        <v>0.55555555555555558</v>
      </c>
      <c r="AS209" s="32">
        <f t="shared" si="107"/>
        <v>2</v>
      </c>
    </row>
    <row r="210" spans="1:45" x14ac:dyDescent="0.45">
      <c r="A210">
        <f>step3_validation[[#This Row],[AI_ENF1]]</f>
        <v>7</v>
      </c>
      <c r="B210">
        <f t="shared" si="81"/>
        <v>0.66666666666666663</v>
      </c>
      <c r="C210">
        <f>[1]!survey_responses[[#This Row],[Tôi tin rằng với các quy định quản lý thuế hiện nay, hành vi gian lận hoặc trốn thuế sẽ dễ dàng bị phát hiện và xử lý nghiêm. - HUMAN-ENF1]]</f>
        <v>6</v>
      </c>
      <c r="D210">
        <f t="shared" si="82"/>
        <v>0.55555555555555558</v>
      </c>
      <c r="E210">
        <f>step3_validation[[#This Row],[AI_ENF2]]</f>
        <v>8</v>
      </c>
      <c r="F210">
        <f t="shared" si="83"/>
        <v>0.77777777777777779</v>
      </c>
      <c r="G210">
        <f>[1]!survey_responses[[#This Row],[Tôi tin rằng Nhà nước, cơ quan thuế có đủ khả năng và công nghệ để phát hiện, xử lý nghiêm các hành vi trốn thuế. - HUMAN-ENF2]]</f>
        <v>6</v>
      </c>
      <c r="H210">
        <f t="shared" si="84"/>
        <v>0.55555555555555558</v>
      </c>
      <c r="I210" s="32">
        <f t="shared" si="85"/>
        <v>0.72222222222222221</v>
      </c>
      <c r="J210" s="32">
        <f t="shared" si="86"/>
        <v>0.55555555555555558</v>
      </c>
      <c r="K210">
        <f>step3_validation[[#This Row],[AI_FAC1]]</f>
        <v>6</v>
      </c>
      <c r="L210">
        <f t="shared" si="87"/>
        <v>0.55555555555555558</v>
      </c>
      <c r="M210">
        <f>[1]!survey_responses[[#This Row],[Các thủ tục khai báo thuế VÀ/HOẶC quy trình làm việc với cơ quan thuế đơn giản, tiện lợi, nhanh chóng hơn so với trước đây. - HUMAN-FAC1]]</f>
        <v>6</v>
      </c>
      <c r="N210">
        <f t="shared" si="88"/>
        <v>0.55555555555555558</v>
      </c>
      <c r="O210">
        <f>step3_validation[[#This Row],[AI_FAC2]]</f>
        <v>8</v>
      </c>
      <c r="P210">
        <f t="shared" si="89"/>
        <v>0.77777777777777779</v>
      </c>
      <c r="Q210">
        <f>[1]!survey_responses[[#This Row],[So với trước đây, tôi thấy cách tính thuế và các bậc thuế trong phương án mới đơn giản, dễ hiểu và dễ thực hiện hơn. - HUMAN-FAC2]]</f>
        <v>6</v>
      </c>
      <c r="R210">
        <f t="shared" si="90"/>
        <v>0.55555555555555558</v>
      </c>
      <c r="S210" s="32">
        <f t="shared" si="91"/>
        <v>0.66666666666666674</v>
      </c>
      <c r="T210" s="32">
        <f t="shared" si="92"/>
        <v>0.55555555555555558</v>
      </c>
      <c r="U210">
        <f>step3_validation[[#This Row],[AI_TRU1]]</f>
        <v>7</v>
      </c>
      <c r="V210">
        <f t="shared" si="93"/>
        <v>0.66666666666666663</v>
      </c>
      <c r="W210">
        <f>[1]!survey_responses[[#This Row],[Tôi tin rằng Nhà nước, cơ quan thuế sẽ thực thi chính sách mới một cách khách quan, công tâm và đối xử bình đẳng với mọi người nộp thuế.  - HUMAN-TRU1]]</f>
        <v>6</v>
      </c>
      <c r="X210">
        <f t="shared" si="94"/>
        <v>0.55555555555555558</v>
      </c>
      <c r="Y210">
        <f>step3_validation[[#This Row],[AI_TRU2]]</f>
        <v>8</v>
      </c>
      <c r="Z210">
        <f t="shared" si="95"/>
        <v>0.77777777777777779</v>
      </c>
      <c r="AA210">
        <f>[1]!survey_responses[[#This Row],[Tôi thấy mức thuế tôi phải đóng theo phương án mới là công bằng (người thu nhập như tôi đóng mức này là hợp lý). - HUMAN-TRU2]]</f>
        <v>5</v>
      </c>
      <c r="AB210">
        <f t="shared" si="96"/>
        <v>0.44444444444444442</v>
      </c>
      <c r="AC210">
        <f>step3_validation[[#This Row],[AI_TRU3]]</f>
        <v>6</v>
      </c>
      <c r="AD210">
        <f t="shared" si="97"/>
        <v>0.55555555555555558</v>
      </c>
      <c r="AE210">
        <f>[1]!survey_responses[[#This Row],[Tôi tin tưởng số tiền thuế tôi đóng sẽ được Nhà nước sử dụng hiệu quả để cải thiện dịch vụ công (y tế, đường xá...). - HUMAN-TRU3]]</f>
        <v>6</v>
      </c>
      <c r="AF210">
        <f t="shared" si="98"/>
        <v>0.55555555555555558</v>
      </c>
      <c r="AG210">
        <f>step3_validation[[#This Row],[AI_TRU4]]</f>
        <v>5</v>
      </c>
      <c r="AH210">
        <f t="shared" si="99"/>
        <v>0.44444444444444442</v>
      </c>
      <c r="AI210">
        <f>[1]!survey_responses[[#This Row],[Tôi thấy Nhà nước đã giải thích rõ ràng, minh bạch về lý do và mục tiêu của việc sửa đổi thuế lần này. - HUMAN-TRU4]]</f>
        <v>6</v>
      </c>
      <c r="AJ210">
        <f t="shared" si="100"/>
        <v>0.55555555555555558</v>
      </c>
      <c r="AK210" s="32">
        <f t="shared" si="101"/>
        <v>0.61111111111111116</v>
      </c>
      <c r="AL210" s="32">
        <f t="shared" si="102"/>
        <v>0.52777777777777779</v>
      </c>
      <c r="AM210" s="7">
        <f t="shared" si="103"/>
        <v>0.66666666666666663</v>
      </c>
      <c r="AN210" s="7">
        <f t="shared" si="104"/>
        <v>0.54629629629629628</v>
      </c>
      <c r="AO210">
        <f>step3_validation[[#This Row],[AI_OUT1]]</f>
        <v>7</v>
      </c>
      <c r="AP210">
        <f t="shared" si="105"/>
        <v>0.66666666666666663</v>
      </c>
      <c r="AQ210">
        <f>[1]!survey_responses[[#This Row],[Sau khi xem xét các quyền lợi và nghĩa vụ, bạn có ủng hộ và tuân thủ chính sách mới hiện nay? - HUMAN-OUT1]]</f>
        <v>6</v>
      </c>
      <c r="AR210">
        <f t="shared" si="106"/>
        <v>0.55555555555555558</v>
      </c>
      <c r="AS210" s="32">
        <f t="shared" si="107"/>
        <v>1</v>
      </c>
    </row>
    <row r="211" spans="1:45" x14ac:dyDescent="0.45">
      <c r="A211">
        <f>step3_validation[[#This Row],[AI_ENF1]]</f>
        <v>7</v>
      </c>
      <c r="B211">
        <f t="shared" si="81"/>
        <v>0.66666666666666663</v>
      </c>
      <c r="C211">
        <f>[1]!survey_responses[[#This Row],[Tôi tin rằng với các quy định quản lý thuế hiện nay, hành vi gian lận hoặc trốn thuế sẽ dễ dàng bị phát hiện và xử lý nghiêm. - HUMAN-ENF1]]</f>
        <v>7</v>
      </c>
      <c r="D211">
        <f t="shared" si="82"/>
        <v>0.66666666666666663</v>
      </c>
      <c r="E211">
        <f>step3_validation[[#This Row],[AI_ENF2]]</f>
        <v>8</v>
      </c>
      <c r="F211">
        <f t="shared" si="83"/>
        <v>0.77777777777777779</v>
      </c>
      <c r="G211">
        <f>[1]!survey_responses[[#This Row],[Tôi tin rằng Nhà nước, cơ quan thuế có đủ khả năng và công nghệ để phát hiện, xử lý nghiêm các hành vi trốn thuế. - HUMAN-ENF2]]</f>
        <v>7</v>
      </c>
      <c r="H211">
        <f t="shared" si="84"/>
        <v>0.66666666666666663</v>
      </c>
      <c r="I211" s="32">
        <f t="shared" si="85"/>
        <v>0.72222222222222221</v>
      </c>
      <c r="J211" s="32">
        <f t="shared" si="86"/>
        <v>0.66666666666666663</v>
      </c>
      <c r="K211">
        <f>step3_validation[[#This Row],[AI_FAC1]]</f>
        <v>6</v>
      </c>
      <c r="L211">
        <f t="shared" si="87"/>
        <v>0.55555555555555558</v>
      </c>
      <c r="M211">
        <f>[1]!survey_responses[[#This Row],[Các thủ tục khai báo thuế VÀ/HOẶC quy trình làm việc với cơ quan thuế đơn giản, tiện lợi, nhanh chóng hơn so với trước đây. - HUMAN-FAC1]]</f>
        <v>8</v>
      </c>
      <c r="N211">
        <f t="shared" si="88"/>
        <v>0.77777777777777779</v>
      </c>
      <c r="O211">
        <f>step3_validation[[#This Row],[AI_FAC2]]</f>
        <v>9</v>
      </c>
      <c r="P211">
        <f t="shared" si="89"/>
        <v>0.88888888888888884</v>
      </c>
      <c r="Q211">
        <f>[1]!survey_responses[[#This Row],[So với trước đây, tôi thấy cách tính thuế và các bậc thuế trong phương án mới đơn giản, dễ hiểu và dễ thực hiện hơn. - HUMAN-FAC2]]</f>
        <v>8</v>
      </c>
      <c r="R211">
        <f t="shared" si="90"/>
        <v>0.77777777777777779</v>
      </c>
      <c r="S211" s="32">
        <f t="shared" si="91"/>
        <v>0.72222222222222221</v>
      </c>
      <c r="T211" s="32">
        <f t="shared" si="92"/>
        <v>0.77777777777777779</v>
      </c>
      <c r="U211">
        <f>step3_validation[[#This Row],[AI_TRU1]]</f>
        <v>8</v>
      </c>
      <c r="V211">
        <f t="shared" si="93"/>
        <v>0.77777777777777779</v>
      </c>
      <c r="W211">
        <f>[1]!survey_responses[[#This Row],[Tôi tin rằng Nhà nước, cơ quan thuế sẽ thực thi chính sách mới một cách khách quan, công tâm và đối xử bình đẳng với mọi người nộp thuế.  - HUMAN-TRU1]]</f>
        <v>8</v>
      </c>
      <c r="X211">
        <f t="shared" si="94"/>
        <v>0.77777777777777779</v>
      </c>
      <c r="Y211">
        <f>step3_validation[[#This Row],[AI_TRU2]]</f>
        <v>6</v>
      </c>
      <c r="Z211">
        <f t="shared" si="95"/>
        <v>0.55555555555555558</v>
      </c>
      <c r="AA211">
        <f>[1]!survey_responses[[#This Row],[Tôi thấy mức thuế tôi phải đóng theo phương án mới là công bằng (người thu nhập như tôi đóng mức này là hợp lý). - HUMAN-TRU2]]</f>
        <v>9</v>
      </c>
      <c r="AB211">
        <f t="shared" si="96"/>
        <v>0.88888888888888884</v>
      </c>
      <c r="AC211">
        <f>step3_validation[[#This Row],[AI_TRU3]]</f>
        <v>7</v>
      </c>
      <c r="AD211">
        <f t="shared" si="97"/>
        <v>0.66666666666666663</v>
      </c>
      <c r="AE211">
        <f>[1]!survey_responses[[#This Row],[Tôi tin tưởng số tiền thuế tôi đóng sẽ được Nhà nước sử dụng hiệu quả để cải thiện dịch vụ công (y tế, đường xá...). - HUMAN-TRU3]]</f>
        <v>8</v>
      </c>
      <c r="AF211">
        <f t="shared" si="98"/>
        <v>0.77777777777777779</v>
      </c>
      <c r="AG211">
        <f>step3_validation[[#This Row],[AI_TRU4]]</f>
        <v>6</v>
      </c>
      <c r="AH211">
        <f t="shared" si="99"/>
        <v>0.55555555555555558</v>
      </c>
      <c r="AI211">
        <f>[1]!survey_responses[[#This Row],[Tôi thấy Nhà nước đã giải thích rõ ràng, minh bạch về lý do và mục tiêu của việc sửa đổi thuế lần này. - HUMAN-TRU4]]</f>
        <v>8</v>
      </c>
      <c r="AJ211">
        <f t="shared" si="100"/>
        <v>0.77777777777777779</v>
      </c>
      <c r="AK211" s="32">
        <f t="shared" si="101"/>
        <v>0.63888888888888884</v>
      </c>
      <c r="AL211" s="32">
        <f t="shared" si="102"/>
        <v>0.80555555555555547</v>
      </c>
      <c r="AM211" s="7">
        <f t="shared" si="103"/>
        <v>0.69444444444444431</v>
      </c>
      <c r="AN211" s="7">
        <f t="shared" si="104"/>
        <v>0.75</v>
      </c>
      <c r="AO211">
        <f>step3_validation[[#This Row],[AI_OUT1]]</f>
        <v>7</v>
      </c>
      <c r="AP211">
        <f t="shared" si="105"/>
        <v>0.66666666666666663</v>
      </c>
      <c r="AQ211">
        <f>[1]!survey_responses[[#This Row],[Sau khi xem xét các quyền lợi và nghĩa vụ, bạn có ủng hộ và tuân thủ chính sách mới hiện nay? - HUMAN-OUT1]]</f>
        <v>8</v>
      </c>
      <c r="AR211">
        <f t="shared" si="106"/>
        <v>0.77777777777777779</v>
      </c>
      <c r="AS211" s="32">
        <f t="shared" si="107"/>
        <v>1</v>
      </c>
    </row>
    <row r="212" spans="1:45" x14ac:dyDescent="0.45">
      <c r="A212">
        <f>step3_validation[[#This Row],[AI_ENF1]]</f>
        <v>5</v>
      </c>
      <c r="B212">
        <f t="shared" si="81"/>
        <v>0.44444444444444442</v>
      </c>
      <c r="C212">
        <f>[1]!survey_responses[[#This Row],[Tôi tin rằng với các quy định quản lý thuế hiện nay, hành vi gian lận hoặc trốn thuế sẽ dễ dàng bị phát hiện và xử lý nghiêm. - HUMAN-ENF1]]</f>
        <v>7</v>
      </c>
      <c r="D212">
        <f t="shared" si="82"/>
        <v>0.66666666666666663</v>
      </c>
      <c r="E212">
        <f>step3_validation[[#This Row],[AI_ENF2]]</f>
        <v>6</v>
      </c>
      <c r="F212">
        <f t="shared" si="83"/>
        <v>0.55555555555555558</v>
      </c>
      <c r="G212">
        <f>[1]!survey_responses[[#This Row],[Tôi tin rằng Nhà nước, cơ quan thuế có đủ khả năng và công nghệ để phát hiện, xử lý nghiêm các hành vi trốn thuế. - HUMAN-ENF2]]</f>
        <v>7</v>
      </c>
      <c r="H212">
        <f t="shared" si="84"/>
        <v>0.66666666666666663</v>
      </c>
      <c r="I212" s="32">
        <f t="shared" si="85"/>
        <v>0.5</v>
      </c>
      <c r="J212" s="32">
        <f t="shared" si="86"/>
        <v>0.66666666666666663</v>
      </c>
      <c r="K212">
        <f>step3_validation[[#This Row],[AI_FAC1]]</f>
        <v>4</v>
      </c>
      <c r="L212">
        <f t="shared" si="87"/>
        <v>0.33333333333333331</v>
      </c>
      <c r="M212">
        <f>[1]!survey_responses[[#This Row],[Các thủ tục khai báo thuế VÀ/HOẶC quy trình làm việc với cơ quan thuế đơn giản, tiện lợi, nhanh chóng hơn so với trước đây. - HUMAN-FAC1]]</f>
        <v>7</v>
      </c>
      <c r="N212">
        <f t="shared" si="88"/>
        <v>0.66666666666666663</v>
      </c>
      <c r="O212">
        <f>step3_validation[[#This Row],[AI_FAC2]]</f>
        <v>7</v>
      </c>
      <c r="P212">
        <f t="shared" si="89"/>
        <v>0.66666666666666663</v>
      </c>
      <c r="Q212">
        <f>[1]!survey_responses[[#This Row],[So với trước đây, tôi thấy cách tính thuế và các bậc thuế trong phương án mới đơn giản, dễ hiểu và dễ thực hiện hơn. - HUMAN-FAC2]]</f>
        <v>7</v>
      </c>
      <c r="R212">
        <f t="shared" si="90"/>
        <v>0.66666666666666663</v>
      </c>
      <c r="S212" s="32">
        <f t="shared" si="91"/>
        <v>0.5</v>
      </c>
      <c r="T212" s="32">
        <f t="shared" si="92"/>
        <v>0.66666666666666663</v>
      </c>
      <c r="U212">
        <f>step3_validation[[#This Row],[AI_TRU1]]</f>
        <v>6</v>
      </c>
      <c r="V212">
        <f t="shared" si="93"/>
        <v>0.55555555555555558</v>
      </c>
      <c r="W212">
        <f>[1]!survey_responses[[#This Row],[Tôi tin rằng Nhà nước, cơ quan thuế sẽ thực thi chính sách mới một cách khách quan, công tâm và đối xử bình đẳng với mọi người nộp thuế.  - HUMAN-TRU1]]</f>
        <v>7</v>
      </c>
      <c r="X212">
        <f t="shared" si="94"/>
        <v>0.66666666666666663</v>
      </c>
      <c r="Y212">
        <f>step3_validation[[#This Row],[AI_TRU2]]</f>
        <v>8</v>
      </c>
      <c r="Z212">
        <f t="shared" si="95"/>
        <v>0.77777777777777779</v>
      </c>
      <c r="AA212">
        <f>[1]!survey_responses[[#This Row],[Tôi thấy mức thuế tôi phải đóng theo phương án mới là công bằng (người thu nhập như tôi đóng mức này là hợp lý). - HUMAN-TRU2]]</f>
        <v>7</v>
      </c>
      <c r="AB212">
        <f t="shared" si="96"/>
        <v>0.66666666666666663</v>
      </c>
      <c r="AC212">
        <f>step3_validation[[#This Row],[AI_TRU3]]</f>
        <v>5</v>
      </c>
      <c r="AD212">
        <f t="shared" si="97"/>
        <v>0.44444444444444442</v>
      </c>
      <c r="AE212">
        <f>[1]!survey_responses[[#This Row],[Tôi tin tưởng số tiền thuế tôi đóng sẽ được Nhà nước sử dụng hiệu quả để cải thiện dịch vụ công (y tế, đường xá...). - HUMAN-TRU3]]</f>
        <v>7</v>
      </c>
      <c r="AF212">
        <f t="shared" si="98"/>
        <v>0.66666666666666663</v>
      </c>
      <c r="AG212">
        <f>step3_validation[[#This Row],[AI_TRU4]]</f>
        <v>4</v>
      </c>
      <c r="AH212">
        <f t="shared" si="99"/>
        <v>0.33333333333333331</v>
      </c>
      <c r="AI212">
        <f>[1]!survey_responses[[#This Row],[Tôi thấy Nhà nước đã giải thích rõ ràng, minh bạch về lý do và mục tiêu của việc sửa đổi thuế lần này. - HUMAN-TRU4]]</f>
        <v>7</v>
      </c>
      <c r="AJ212">
        <f t="shared" si="100"/>
        <v>0.66666666666666663</v>
      </c>
      <c r="AK212" s="32">
        <f t="shared" si="101"/>
        <v>0.52777777777777779</v>
      </c>
      <c r="AL212" s="32">
        <f t="shared" si="102"/>
        <v>0.66666666666666663</v>
      </c>
      <c r="AM212" s="7">
        <f t="shared" si="103"/>
        <v>0.50925925925925919</v>
      </c>
      <c r="AN212" s="7">
        <f t="shared" si="104"/>
        <v>0.66666666666666663</v>
      </c>
      <c r="AO212">
        <f>step3_validation[[#This Row],[AI_OUT1]]</f>
        <v>5</v>
      </c>
      <c r="AP212">
        <f t="shared" si="105"/>
        <v>0.44444444444444442</v>
      </c>
      <c r="AQ212">
        <f>[1]!survey_responses[[#This Row],[Sau khi xem xét các quyền lợi và nghĩa vụ, bạn có ủng hộ và tuân thủ chính sách mới hiện nay? - HUMAN-OUT1]]</f>
        <v>7</v>
      </c>
      <c r="AR212">
        <f t="shared" si="106"/>
        <v>0.66666666666666663</v>
      </c>
      <c r="AS212" s="32">
        <f t="shared" si="107"/>
        <v>2</v>
      </c>
    </row>
    <row r="213" spans="1:45" x14ac:dyDescent="0.45">
      <c r="A213">
        <f>step3_validation[[#This Row],[AI_ENF1]]</f>
        <v>7</v>
      </c>
      <c r="B213">
        <f t="shared" si="81"/>
        <v>0.66666666666666663</v>
      </c>
      <c r="C213">
        <f>[1]!survey_responses[[#This Row],[Tôi tin rằng với các quy định quản lý thuế hiện nay, hành vi gian lận hoặc trốn thuế sẽ dễ dàng bị phát hiện và xử lý nghiêm. - HUMAN-ENF1]]</f>
        <v>5</v>
      </c>
      <c r="D213">
        <f t="shared" si="82"/>
        <v>0.44444444444444442</v>
      </c>
      <c r="E213">
        <f>step3_validation[[#This Row],[AI_ENF2]]</f>
        <v>8</v>
      </c>
      <c r="F213">
        <f t="shared" si="83"/>
        <v>0.77777777777777779</v>
      </c>
      <c r="G213">
        <f>[1]!survey_responses[[#This Row],[Tôi tin rằng Nhà nước, cơ quan thuế có đủ khả năng và công nghệ để phát hiện, xử lý nghiêm các hành vi trốn thuế. - HUMAN-ENF2]]</f>
        <v>5</v>
      </c>
      <c r="H213">
        <f t="shared" si="84"/>
        <v>0.44444444444444442</v>
      </c>
      <c r="I213" s="32">
        <f t="shared" si="85"/>
        <v>0.72222222222222221</v>
      </c>
      <c r="J213" s="32">
        <f t="shared" si="86"/>
        <v>0.44444444444444442</v>
      </c>
      <c r="K213">
        <f>step3_validation[[#This Row],[AI_FAC1]]</f>
        <v>6</v>
      </c>
      <c r="L213">
        <f t="shared" si="87"/>
        <v>0.55555555555555558</v>
      </c>
      <c r="M213">
        <f>[1]!survey_responses[[#This Row],[Các thủ tục khai báo thuế VÀ/HOẶC quy trình làm việc với cơ quan thuế đơn giản, tiện lợi, nhanh chóng hơn so với trước đây. - HUMAN-FAC1]]</f>
        <v>1</v>
      </c>
      <c r="N213">
        <f t="shared" si="88"/>
        <v>0</v>
      </c>
      <c r="O213">
        <f>step3_validation[[#This Row],[AI_FAC2]]</f>
        <v>5</v>
      </c>
      <c r="P213">
        <f t="shared" si="89"/>
        <v>0.44444444444444442</v>
      </c>
      <c r="Q213">
        <f>[1]!survey_responses[[#This Row],[So với trước đây, tôi thấy cách tính thuế và các bậc thuế trong phương án mới đơn giản, dễ hiểu và dễ thực hiện hơn. - HUMAN-FAC2]]</f>
        <v>5</v>
      </c>
      <c r="R213">
        <f t="shared" si="90"/>
        <v>0.44444444444444442</v>
      </c>
      <c r="S213" s="32">
        <f t="shared" si="91"/>
        <v>0.5</v>
      </c>
      <c r="T213" s="32">
        <f t="shared" si="92"/>
        <v>0.22222222222222221</v>
      </c>
      <c r="U213">
        <f>step3_validation[[#This Row],[AI_TRU1]]</f>
        <v>8</v>
      </c>
      <c r="V213">
        <f t="shared" si="93"/>
        <v>0.77777777777777779</v>
      </c>
      <c r="W213">
        <f>[1]!survey_responses[[#This Row],[Tôi tin rằng Nhà nước, cơ quan thuế sẽ thực thi chính sách mới một cách khách quan, công tâm và đối xử bình đẳng với mọi người nộp thuế.  - HUMAN-TRU1]]</f>
        <v>5</v>
      </c>
      <c r="X213">
        <f t="shared" si="94"/>
        <v>0.44444444444444442</v>
      </c>
      <c r="Y213">
        <f>step3_validation[[#This Row],[AI_TRU2]]</f>
        <v>7</v>
      </c>
      <c r="Z213">
        <f t="shared" si="95"/>
        <v>0.66666666666666663</v>
      </c>
      <c r="AA213">
        <f>[1]!survey_responses[[#This Row],[Tôi thấy mức thuế tôi phải đóng theo phương án mới là công bằng (người thu nhập như tôi đóng mức này là hợp lý). - HUMAN-TRU2]]</f>
        <v>5</v>
      </c>
      <c r="AB213">
        <f t="shared" si="96"/>
        <v>0.44444444444444442</v>
      </c>
      <c r="AC213">
        <f>step3_validation[[#This Row],[AI_TRU3]]</f>
        <v>6</v>
      </c>
      <c r="AD213">
        <f t="shared" si="97"/>
        <v>0.55555555555555558</v>
      </c>
      <c r="AE213">
        <f>[1]!survey_responses[[#This Row],[Tôi tin tưởng số tiền thuế tôi đóng sẽ được Nhà nước sử dụng hiệu quả để cải thiện dịch vụ công (y tế, đường xá...). - HUMAN-TRU3]]</f>
        <v>4</v>
      </c>
      <c r="AF213">
        <f t="shared" si="98"/>
        <v>0.33333333333333331</v>
      </c>
      <c r="AG213">
        <f>step3_validation[[#This Row],[AI_TRU4]]</f>
        <v>7</v>
      </c>
      <c r="AH213">
        <f t="shared" si="99"/>
        <v>0.66666666666666663</v>
      </c>
      <c r="AI213">
        <f>[1]!survey_responses[[#This Row],[Tôi thấy Nhà nước đã giải thích rõ ràng, minh bạch về lý do và mục tiêu của việc sửa đổi thuế lần này. - HUMAN-TRU4]]</f>
        <v>5</v>
      </c>
      <c r="AJ213">
        <f t="shared" si="100"/>
        <v>0.44444444444444442</v>
      </c>
      <c r="AK213" s="32">
        <f t="shared" si="101"/>
        <v>0.66666666666666663</v>
      </c>
      <c r="AL213" s="32">
        <f t="shared" si="102"/>
        <v>0.41666666666666663</v>
      </c>
      <c r="AM213" s="7">
        <f t="shared" si="103"/>
        <v>0.62962962962962965</v>
      </c>
      <c r="AN213" s="7">
        <f t="shared" si="104"/>
        <v>0.3611111111111111</v>
      </c>
      <c r="AO213">
        <f>step3_validation[[#This Row],[AI_OUT1]]</f>
        <v>8</v>
      </c>
      <c r="AP213">
        <f t="shared" si="105"/>
        <v>0.77777777777777779</v>
      </c>
      <c r="AQ213">
        <f>[1]!survey_responses[[#This Row],[Sau khi xem xét các quyền lợi và nghĩa vụ, bạn có ủng hộ và tuân thủ chính sách mới hiện nay? - HUMAN-OUT1]]</f>
        <v>5</v>
      </c>
      <c r="AR213">
        <f t="shared" si="106"/>
        <v>0.44444444444444442</v>
      </c>
      <c r="AS213" s="32">
        <f t="shared" si="107"/>
        <v>3</v>
      </c>
    </row>
    <row r="214" spans="1:45" x14ac:dyDescent="0.45">
      <c r="A214">
        <f>step3_validation[[#This Row],[AI_ENF1]]</f>
        <v>7</v>
      </c>
      <c r="B214">
        <f t="shared" si="81"/>
        <v>0.66666666666666663</v>
      </c>
      <c r="C214">
        <f>[1]!survey_responses[[#This Row],[Tôi tin rằng với các quy định quản lý thuế hiện nay, hành vi gian lận hoặc trốn thuế sẽ dễ dàng bị phát hiện và xử lý nghiêm. - HUMAN-ENF1]]</f>
        <v>7</v>
      </c>
      <c r="D214">
        <f t="shared" si="82"/>
        <v>0.66666666666666663</v>
      </c>
      <c r="E214">
        <f>step3_validation[[#This Row],[AI_ENF2]]</f>
        <v>6</v>
      </c>
      <c r="F214">
        <f t="shared" si="83"/>
        <v>0.55555555555555558</v>
      </c>
      <c r="G214">
        <f>[1]!survey_responses[[#This Row],[Tôi tin rằng Nhà nước, cơ quan thuế có đủ khả năng và công nghệ để phát hiện, xử lý nghiêm các hành vi trốn thuế. - HUMAN-ENF2]]</f>
        <v>8</v>
      </c>
      <c r="H214">
        <f t="shared" si="84"/>
        <v>0.77777777777777779</v>
      </c>
      <c r="I214" s="32">
        <f t="shared" si="85"/>
        <v>0.61111111111111116</v>
      </c>
      <c r="J214" s="32">
        <f t="shared" si="86"/>
        <v>0.72222222222222221</v>
      </c>
      <c r="K214">
        <f>step3_validation[[#This Row],[AI_FAC1]]</f>
        <v>8</v>
      </c>
      <c r="L214">
        <f t="shared" si="87"/>
        <v>0.77777777777777779</v>
      </c>
      <c r="M214">
        <f>[1]!survey_responses[[#This Row],[Các thủ tục khai báo thuế VÀ/HOẶC quy trình làm việc với cơ quan thuế đơn giản, tiện lợi, nhanh chóng hơn so với trước đây. - HUMAN-FAC1]]</f>
        <v>8</v>
      </c>
      <c r="N214">
        <f t="shared" si="88"/>
        <v>0.77777777777777779</v>
      </c>
      <c r="O214">
        <f>step3_validation[[#This Row],[AI_FAC2]]</f>
        <v>9</v>
      </c>
      <c r="P214">
        <f t="shared" si="89"/>
        <v>0.88888888888888884</v>
      </c>
      <c r="Q214">
        <f>[1]!survey_responses[[#This Row],[So với trước đây, tôi thấy cách tính thuế và các bậc thuế trong phương án mới đơn giản, dễ hiểu và dễ thực hiện hơn. - HUMAN-FAC2]]</f>
        <v>8</v>
      </c>
      <c r="R214">
        <f t="shared" si="90"/>
        <v>0.77777777777777779</v>
      </c>
      <c r="S214" s="32">
        <f t="shared" si="91"/>
        <v>0.83333333333333326</v>
      </c>
      <c r="T214" s="32">
        <f t="shared" si="92"/>
        <v>0.77777777777777779</v>
      </c>
      <c r="U214">
        <f>step3_validation[[#This Row],[AI_TRU1]]</f>
        <v>5</v>
      </c>
      <c r="V214">
        <f t="shared" si="93"/>
        <v>0.44444444444444442</v>
      </c>
      <c r="W214">
        <f>[1]!survey_responses[[#This Row],[Tôi tin rằng Nhà nước, cơ quan thuế sẽ thực thi chính sách mới một cách khách quan, công tâm và đối xử bình đẳng với mọi người nộp thuế.  - HUMAN-TRU1]]</f>
        <v>8</v>
      </c>
      <c r="X214">
        <f t="shared" si="94"/>
        <v>0.77777777777777779</v>
      </c>
      <c r="Y214">
        <f>step3_validation[[#This Row],[AI_TRU2]]</f>
        <v>4</v>
      </c>
      <c r="Z214">
        <f t="shared" si="95"/>
        <v>0.33333333333333331</v>
      </c>
      <c r="AA214">
        <f>[1]!survey_responses[[#This Row],[Tôi thấy mức thuế tôi phải đóng theo phương án mới là công bằng (người thu nhập như tôi đóng mức này là hợp lý). - HUMAN-TRU2]]</f>
        <v>8</v>
      </c>
      <c r="AB214">
        <f t="shared" si="96"/>
        <v>0.77777777777777779</v>
      </c>
      <c r="AC214">
        <f>step3_validation[[#This Row],[AI_TRU3]]</f>
        <v>6</v>
      </c>
      <c r="AD214">
        <f t="shared" si="97"/>
        <v>0.55555555555555558</v>
      </c>
      <c r="AE214">
        <f>[1]!survey_responses[[#This Row],[Tôi tin tưởng số tiền thuế tôi đóng sẽ được Nhà nước sử dụng hiệu quả để cải thiện dịch vụ công (y tế, đường xá...). - HUMAN-TRU3]]</f>
        <v>8</v>
      </c>
      <c r="AF214">
        <f t="shared" si="98"/>
        <v>0.77777777777777779</v>
      </c>
      <c r="AG214">
        <f>step3_validation[[#This Row],[AI_TRU4]]</f>
        <v>5</v>
      </c>
      <c r="AH214">
        <f t="shared" si="99"/>
        <v>0.44444444444444442</v>
      </c>
      <c r="AI214">
        <f>[1]!survey_responses[[#This Row],[Tôi thấy Nhà nước đã giải thích rõ ràng, minh bạch về lý do và mục tiêu của việc sửa đổi thuế lần này. - HUMAN-TRU4]]</f>
        <v>8</v>
      </c>
      <c r="AJ214">
        <f t="shared" si="100"/>
        <v>0.77777777777777779</v>
      </c>
      <c r="AK214" s="32">
        <f t="shared" si="101"/>
        <v>0.44444444444444442</v>
      </c>
      <c r="AL214" s="32">
        <f t="shared" si="102"/>
        <v>0.77777777777777779</v>
      </c>
      <c r="AM214" s="7">
        <f t="shared" si="103"/>
        <v>0.62962962962962965</v>
      </c>
      <c r="AN214" s="7">
        <f t="shared" si="104"/>
        <v>0.75925925925925919</v>
      </c>
      <c r="AO214">
        <f>step3_validation[[#This Row],[AI_OUT1]]</f>
        <v>6</v>
      </c>
      <c r="AP214">
        <f t="shared" si="105"/>
        <v>0.55555555555555558</v>
      </c>
      <c r="AQ214">
        <f>[1]!survey_responses[[#This Row],[Sau khi xem xét các quyền lợi và nghĩa vụ, bạn có ủng hộ và tuân thủ chính sách mới hiện nay? - HUMAN-OUT1]]</f>
        <v>8</v>
      </c>
      <c r="AR214">
        <f t="shared" si="106"/>
        <v>0.77777777777777779</v>
      </c>
      <c r="AS214" s="32">
        <f t="shared" si="107"/>
        <v>2</v>
      </c>
    </row>
    <row r="215" spans="1:45" x14ac:dyDescent="0.45">
      <c r="A215">
        <f>step3_validation[[#This Row],[AI_ENF1]]</f>
        <v>7</v>
      </c>
      <c r="B215">
        <f t="shared" si="81"/>
        <v>0.66666666666666663</v>
      </c>
      <c r="C215">
        <f>[1]!survey_responses[[#This Row],[Tôi tin rằng với các quy định quản lý thuế hiện nay, hành vi gian lận hoặc trốn thuế sẽ dễ dàng bị phát hiện và xử lý nghiêm. - HUMAN-ENF1]]</f>
        <v>9</v>
      </c>
      <c r="D215">
        <f t="shared" si="82"/>
        <v>0.88888888888888884</v>
      </c>
      <c r="E215">
        <f>step3_validation[[#This Row],[AI_ENF2]]</f>
        <v>8</v>
      </c>
      <c r="F215">
        <f t="shared" si="83"/>
        <v>0.77777777777777779</v>
      </c>
      <c r="G215">
        <f>[1]!survey_responses[[#This Row],[Tôi tin rằng Nhà nước, cơ quan thuế có đủ khả năng và công nghệ để phát hiện, xử lý nghiêm các hành vi trốn thuế. - HUMAN-ENF2]]</f>
        <v>9</v>
      </c>
      <c r="H215">
        <f t="shared" si="84"/>
        <v>0.88888888888888884</v>
      </c>
      <c r="I215" s="32">
        <f t="shared" si="85"/>
        <v>0.72222222222222221</v>
      </c>
      <c r="J215" s="32">
        <f t="shared" si="86"/>
        <v>0.88888888888888884</v>
      </c>
      <c r="K215">
        <f>step3_validation[[#This Row],[AI_FAC1]]</f>
        <v>9</v>
      </c>
      <c r="L215">
        <f t="shared" si="87"/>
        <v>0.88888888888888884</v>
      </c>
      <c r="M215">
        <f>[1]!survey_responses[[#This Row],[Các thủ tục khai báo thuế VÀ/HOẶC quy trình làm việc với cơ quan thuế đơn giản, tiện lợi, nhanh chóng hơn so với trước đây. - HUMAN-FAC1]]</f>
        <v>9</v>
      </c>
      <c r="N215">
        <f t="shared" si="88"/>
        <v>0.88888888888888884</v>
      </c>
      <c r="O215">
        <f>step3_validation[[#This Row],[AI_FAC2]]</f>
        <v>8</v>
      </c>
      <c r="P215">
        <f t="shared" si="89"/>
        <v>0.77777777777777779</v>
      </c>
      <c r="Q215">
        <f>[1]!survey_responses[[#This Row],[So với trước đây, tôi thấy cách tính thuế và các bậc thuế trong phương án mới đơn giản, dễ hiểu và dễ thực hiện hơn. - HUMAN-FAC2]]</f>
        <v>9</v>
      </c>
      <c r="R215">
        <f t="shared" si="90"/>
        <v>0.88888888888888884</v>
      </c>
      <c r="S215" s="32">
        <f t="shared" si="91"/>
        <v>0.83333333333333326</v>
      </c>
      <c r="T215" s="32">
        <f t="shared" si="92"/>
        <v>0.88888888888888884</v>
      </c>
      <c r="U215">
        <f>step3_validation[[#This Row],[AI_TRU1]]</f>
        <v>9</v>
      </c>
      <c r="V215">
        <f t="shared" si="93"/>
        <v>0.88888888888888884</v>
      </c>
      <c r="W215">
        <f>[1]!survey_responses[[#This Row],[Tôi tin rằng Nhà nước, cơ quan thuế sẽ thực thi chính sách mới một cách khách quan, công tâm và đối xử bình đẳng với mọi người nộp thuế.  - HUMAN-TRU1]]</f>
        <v>9</v>
      </c>
      <c r="X215">
        <f t="shared" si="94"/>
        <v>0.88888888888888884</v>
      </c>
      <c r="Y215">
        <f>step3_validation[[#This Row],[AI_TRU2]]</f>
        <v>7</v>
      </c>
      <c r="Z215">
        <f t="shared" si="95"/>
        <v>0.66666666666666663</v>
      </c>
      <c r="AA215">
        <f>[1]!survey_responses[[#This Row],[Tôi thấy mức thuế tôi phải đóng theo phương án mới là công bằng (người thu nhập như tôi đóng mức này là hợp lý). - HUMAN-TRU2]]</f>
        <v>9</v>
      </c>
      <c r="AB215">
        <f t="shared" si="96"/>
        <v>0.88888888888888884</v>
      </c>
      <c r="AC215">
        <f>step3_validation[[#This Row],[AI_TRU3]]</f>
        <v>8</v>
      </c>
      <c r="AD215">
        <f t="shared" si="97"/>
        <v>0.77777777777777779</v>
      </c>
      <c r="AE215">
        <f>[1]!survey_responses[[#This Row],[Tôi tin tưởng số tiền thuế tôi đóng sẽ được Nhà nước sử dụng hiệu quả để cải thiện dịch vụ công (y tế, đường xá...). - HUMAN-TRU3]]</f>
        <v>9</v>
      </c>
      <c r="AF215">
        <f t="shared" si="98"/>
        <v>0.88888888888888884</v>
      </c>
      <c r="AG215">
        <f>step3_validation[[#This Row],[AI_TRU4]]</f>
        <v>7</v>
      </c>
      <c r="AH215">
        <f t="shared" si="99"/>
        <v>0.66666666666666663</v>
      </c>
      <c r="AI215">
        <f>[1]!survey_responses[[#This Row],[Tôi thấy Nhà nước đã giải thích rõ ràng, minh bạch về lý do và mục tiêu của việc sửa đổi thuế lần này. - HUMAN-TRU4]]</f>
        <v>9</v>
      </c>
      <c r="AJ215">
        <f t="shared" si="100"/>
        <v>0.88888888888888884</v>
      </c>
      <c r="AK215" s="32">
        <f t="shared" si="101"/>
        <v>0.74999999999999989</v>
      </c>
      <c r="AL215" s="32">
        <f t="shared" si="102"/>
        <v>0.88888888888888884</v>
      </c>
      <c r="AM215" s="7">
        <f t="shared" si="103"/>
        <v>0.76851851851851849</v>
      </c>
      <c r="AN215" s="7">
        <f t="shared" si="104"/>
        <v>0.88888888888888884</v>
      </c>
      <c r="AO215">
        <f>step3_validation[[#This Row],[AI_OUT1]]</f>
        <v>9</v>
      </c>
      <c r="AP215">
        <f t="shared" si="105"/>
        <v>0.88888888888888884</v>
      </c>
      <c r="AQ215">
        <f>[1]!survey_responses[[#This Row],[Sau khi xem xét các quyền lợi và nghĩa vụ, bạn có ủng hộ và tuân thủ chính sách mới hiện nay? - HUMAN-OUT1]]</f>
        <v>9</v>
      </c>
      <c r="AR215">
        <f t="shared" si="106"/>
        <v>0.88888888888888884</v>
      </c>
      <c r="AS215" s="32">
        <f t="shared" si="107"/>
        <v>0</v>
      </c>
    </row>
    <row r="216" spans="1:45" x14ac:dyDescent="0.45">
      <c r="A216">
        <f>step3_validation[[#This Row],[AI_ENF1]]</f>
        <v>6</v>
      </c>
      <c r="B216">
        <f t="shared" si="81"/>
        <v>0.55555555555555558</v>
      </c>
      <c r="C216">
        <f>[1]!survey_responses[[#This Row],[Tôi tin rằng với các quy định quản lý thuế hiện nay, hành vi gian lận hoặc trốn thuế sẽ dễ dàng bị phát hiện và xử lý nghiêm. - HUMAN-ENF1]]</f>
        <v>5</v>
      </c>
      <c r="D216">
        <f t="shared" si="82"/>
        <v>0.44444444444444442</v>
      </c>
      <c r="E216">
        <f>step3_validation[[#This Row],[AI_ENF2]]</f>
        <v>7</v>
      </c>
      <c r="F216">
        <f t="shared" si="83"/>
        <v>0.66666666666666663</v>
      </c>
      <c r="G216">
        <f>[1]!survey_responses[[#This Row],[Tôi tin rằng Nhà nước, cơ quan thuế có đủ khả năng và công nghệ để phát hiện, xử lý nghiêm các hành vi trốn thuế. - HUMAN-ENF2]]</f>
        <v>5</v>
      </c>
      <c r="H216">
        <f t="shared" si="84"/>
        <v>0.44444444444444442</v>
      </c>
      <c r="I216" s="32">
        <f t="shared" si="85"/>
        <v>0.61111111111111116</v>
      </c>
      <c r="J216" s="32">
        <f t="shared" si="86"/>
        <v>0.44444444444444442</v>
      </c>
      <c r="K216">
        <f>step3_validation[[#This Row],[AI_FAC1]]</f>
        <v>8</v>
      </c>
      <c r="L216">
        <f t="shared" si="87"/>
        <v>0.77777777777777779</v>
      </c>
      <c r="M216">
        <f>[1]!survey_responses[[#This Row],[Các thủ tục khai báo thuế VÀ/HOẶC quy trình làm việc với cơ quan thuế đơn giản, tiện lợi, nhanh chóng hơn so với trước đây. - HUMAN-FAC1]]</f>
        <v>5</v>
      </c>
      <c r="N216">
        <f t="shared" si="88"/>
        <v>0.44444444444444442</v>
      </c>
      <c r="O216">
        <f>step3_validation[[#This Row],[AI_FAC2]]</f>
        <v>8</v>
      </c>
      <c r="P216">
        <f t="shared" si="89"/>
        <v>0.77777777777777779</v>
      </c>
      <c r="Q216">
        <f>[1]!survey_responses[[#This Row],[So với trước đây, tôi thấy cách tính thuế và các bậc thuế trong phương án mới đơn giản, dễ hiểu và dễ thực hiện hơn. - HUMAN-FAC2]]</f>
        <v>5</v>
      </c>
      <c r="R216">
        <f t="shared" si="90"/>
        <v>0.44444444444444442</v>
      </c>
      <c r="S216" s="32">
        <f t="shared" si="91"/>
        <v>0.77777777777777779</v>
      </c>
      <c r="T216" s="32">
        <f t="shared" si="92"/>
        <v>0.44444444444444442</v>
      </c>
      <c r="U216">
        <f>step3_validation[[#This Row],[AI_TRU1]]</f>
        <v>6</v>
      </c>
      <c r="V216">
        <f t="shared" si="93"/>
        <v>0.55555555555555558</v>
      </c>
      <c r="W216">
        <f>[1]!survey_responses[[#This Row],[Tôi tin rằng Nhà nước, cơ quan thuế sẽ thực thi chính sách mới một cách khách quan, công tâm và đối xử bình đẳng với mọi người nộp thuế.  - HUMAN-TRU1]]</f>
        <v>5</v>
      </c>
      <c r="X216">
        <f t="shared" si="94"/>
        <v>0.44444444444444442</v>
      </c>
      <c r="Y216">
        <f>step3_validation[[#This Row],[AI_TRU2]]</f>
        <v>7</v>
      </c>
      <c r="Z216">
        <f t="shared" si="95"/>
        <v>0.66666666666666663</v>
      </c>
      <c r="AA216">
        <f>[1]!survey_responses[[#This Row],[Tôi thấy mức thuế tôi phải đóng theo phương án mới là công bằng (người thu nhập như tôi đóng mức này là hợp lý). - HUMAN-TRU2]]</f>
        <v>5</v>
      </c>
      <c r="AB216">
        <f t="shared" si="96"/>
        <v>0.44444444444444442</v>
      </c>
      <c r="AC216">
        <f>step3_validation[[#This Row],[AI_TRU3]]</f>
        <v>6</v>
      </c>
      <c r="AD216">
        <f t="shared" si="97"/>
        <v>0.55555555555555558</v>
      </c>
      <c r="AE216">
        <f>[1]!survey_responses[[#This Row],[Tôi tin tưởng số tiền thuế tôi đóng sẽ được Nhà nước sử dụng hiệu quả để cải thiện dịch vụ công (y tế, đường xá...). - HUMAN-TRU3]]</f>
        <v>5</v>
      </c>
      <c r="AF216">
        <f t="shared" si="98"/>
        <v>0.44444444444444442</v>
      </c>
      <c r="AG216">
        <f>step3_validation[[#This Row],[AI_TRU4]]</f>
        <v>7</v>
      </c>
      <c r="AH216">
        <f t="shared" si="99"/>
        <v>0.66666666666666663</v>
      </c>
      <c r="AI216">
        <f>[1]!survey_responses[[#This Row],[Tôi thấy Nhà nước đã giải thích rõ ràng, minh bạch về lý do và mục tiêu của việc sửa đổi thuế lần này. - HUMAN-TRU4]]</f>
        <v>5</v>
      </c>
      <c r="AJ216">
        <f t="shared" si="100"/>
        <v>0.44444444444444442</v>
      </c>
      <c r="AK216" s="32">
        <f t="shared" si="101"/>
        <v>0.61111111111111116</v>
      </c>
      <c r="AL216" s="32">
        <f t="shared" si="102"/>
        <v>0.44444444444444442</v>
      </c>
      <c r="AM216" s="7">
        <f t="shared" si="103"/>
        <v>0.66666666666666663</v>
      </c>
      <c r="AN216" s="7">
        <f t="shared" si="104"/>
        <v>0.44444444444444442</v>
      </c>
      <c r="AO216">
        <f>step3_validation[[#This Row],[AI_OUT1]]</f>
        <v>7</v>
      </c>
      <c r="AP216">
        <f t="shared" si="105"/>
        <v>0.66666666666666663</v>
      </c>
      <c r="AQ216">
        <f>[1]!survey_responses[[#This Row],[Sau khi xem xét các quyền lợi và nghĩa vụ, bạn có ủng hộ và tuân thủ chính sách mới hiện nay? - HUMAN-OUT1]]</f>
        <v>5</v>
      </c>
      <c r="AR216">
        <f t="shared" si="106"/>
        <v>0.44444444444444442</v>
      </c>
      <c r="AS216" s="32">
        <f t="shared" si="107"/>
        <v>2</v>
      </c>
    </row>
    <row r="217" spans="1:45" x14ac:dyDescent="0.45">
      <c r="A217">
        <f>step3_validation[[#This Row],[AI_ENF1]]</f>
        <v>7</v>
      </c>
      <c r="B217">
        <f t="shared" si="81"/>
        <v>0.66666666666666663</v>
      </c>
      <c r="C217">
        <f>[1]!survey_responses[[#This Row],[Tôi tin rằng với các quy định quản lý thuế hiện nay, hành vi gian lận hoặc trốn thuế sẽ dễ dàng bị phát hiện và xử lý nghiêm. - HUMAN-ENF1]]</f>
        <v>6</v>
      </c>
      <c r="D217">
        <f t="shared" si="82"/>
        <v>0.55555555555555558</v>
      </c>
      <c r="E217">
        <f>step3_validation[[#This Row],[AI_ENF2]]</f>
        <v>8</v>
      </c>
      <c r="F217">
        <f t="shared" si="83"/>
        <v>0.77777777777777779</v>
      </c>
      <c r="G217">
        <f>[1]!survey_responses[[#This Row],[Tôi tin rằng Nhà nước, cơ quan thuế có đủ khả năng và công nghệ để phát hiện, xử lý nghiêm các hành vi trốn thuế. - HUMAN-ENF2]]</f>
        <v>7</v>
      </c>
      <c r="H217">
        <f t="shared" si="84"/>
        <v>0.66666666666666663</v>
      </c>
      <c r="I217" s="32">
        <f t="shared" si="85"/>
        <v>0.72222222222222221</v>
      </c>
      <c r="J217" s="32">
        <f t="shared" si="86"/>
        <v>0.61111111111111116</v>
      </c>
      <c r="K217">
        <f>step3_validation[[#This Row],[AI_FAC1]]</f>
        <v>9</v>
      </c>
      <c r="L217">
        <f t="shared" si="87"/>
        <v>0.88888888888888884</v>
      </c>
      <c r="M217">
        <f>[1]!survey_responses[[#This Row],[Các thủ tục khai báo thuế VÀ/HOẶC quy trình làm việc với cơ quan thuế đơn giản, tiện lợi, nhanh chóng hơn so với trước đây. - HUMAN-FAC1]]</f>
        <v>7</v>
      </c>
      <c r="N217">
        <f t="shared" si="88"/>
        <v>0.66666666666666663</v>
      </c>
      <c r="O217">
        <f>step3_validation[[#This Row],[AI_FAC2]]</f>
        <v>8</v>
      </c>
      <c r="P217">
        <f t="shared" si="89"/>
        <v>0.77777777777777779</v>
      </c>
      <c r="Q217">
        <f>[1]!survey_responses[[#This Row],[So với trước đây, tôi thấy cách tính thuế và các bậc thuế trong phương án mới đơn giản, dễ hiểu và dễ thực hiện hơn. - HUMAN-FAC2]]</f>
        <v>7</v>
      </c>
      <c r="R217">
        <f t="shared" si="90"/>
        <v>0.66666666666666663</v>
      </c>
      <c r="S217" s="32">
        <f t="shared" si="91"/>
        <v>0.83333333333333326</v>
      </c>
      <c r="T217" s="32">
        <f t="shared" si="92"/>
        <v>0.66666666666666663</v>
      </c>
      <c r="U217">
        <f>step3_validation[[#This Row],[AI_TRU1]]</f>
        <v>9</v>
      </c>
      <c r="V217">
        <f t="shared" si="93"/>
        <v>0.88888888888888884</v>
      </c>
      <c r="W217">
        <f>[1]!survey_responses[[#This Row],[Tôi tin rằng Nhà nước, cơ quan thuế sẽ thực thi chính sách mới một cách khách quan, công tâm và đối xử bình đẳng với mọi người nộp thuế.  - HUMAN-TRU1]]</f>
        <v>6</v>
      </c>
      <c r="X217">
        <f t="shared" si="94"/>
        <v>0.55555555555555558</v>
      </c>
      <c r="Y217">
        <f>step3_validation[[#This Row],[AI_TRU2]]</f>
        <v>8</v>
      </c>
      <c r="Z217">
        <f t="shared" si="95"/>
        <v>0.77777777777777779</v>
      </c>
      <c r="AA217">
        <f>[1]!survey_responses[[#This Row],[Tôi thấy mức thuế tôi phải đóng theo phương án mới là công bằng (người thu nhập như tôi đóng mức này là hợp lý). - HUMAN-TRU2]]</f>
        <v>7</v>
      </c>
      <c r="AB217">
        <f t="shared" si="96"/>
        <v>0.66666666666666663</v>
      </c>
      <c r="AC217">
        <f>step3_validation[[#This Row],[AI_TRU3]]</f>
        <v>9</v>
      </c>
      <c r="AD217">
        <f t="shared" si="97"/>
        <v>0.88888888888888884</v>
      </c>
      <c r="AE217">
        <f>[1]!survey_responses[[#This Row],[Tôi tin tưởng số tiền thuế tôi đóng sẽ được Nhà nước sử dụng hiệu quả để cải thiện dịch vụ công (y tế, đường xá...). - HUMAN-TRU3]]</f>
        <v>7</v>
      </c>
      <c r="AF217">
        <f t="shared" si="98"/>
        <v>0.66666666666666663</v>
      </c>
      <c r="AG217">
        <f>step3_validation[[#This Row],[AI_TRU4]]</f>
        <v>7</v>
      </c>
      <c r="AH217">
        <f t="shared" si="99"/>
        <v>0.66666666666666663</v>
      </c>
      <c r="AI217">
        <f>[1]!survey_responses[[#This Row],[Tôi thấy Nhà nước đã giải thích rõ ràng, minh bạch về lý do và mục tiêu của việc sửa đổi thuế lần này. - HUMAN-TRU4]]</f>
        <v>7</v>
      </c>
      <c r="AJ217">
        <f t="shared" si="100"/>
        <v>0.66666666666666663</v>
      </c>
      <c r="AK217" s="32">
        <f t="shared" si="101"/>
        <v>0.80555555555555547</v>
      </c>
      <c r="AL217" s="32">
        <f t="shared" si="102"/>
        <v>0.63888888888888884</v>
      </c>
      <c r="AM217" s="7">
        <f t="shared" si="103"/>
        <v>0.78703703703703687</v>
      </c>
      <c r="AN217" s="7">
        <f t="shared" si="104"/>
        <v>0.63888888888888884</v>
      </c>
      <c r="AO217">
        <f>step3_validation[[#This Row],[AI_OUT1]]</f>
        <v>8</v>
      </c>
      <c r="AP217">
        <f t="shared" si="105"/>
        <v>0.77777777777777779</v>
      </c>
      <c r="AQ217">
        <f>[1]!survey_responses[[#This Row],[Sau khi xem xét các quyền lợi và nghĩa vụ, bạn có ủng hộ và tuân thủ chính sách mới hiện nay? - HUMAN-OUT1]]</f>
        <v>7</v>
      </c>
      <c r="AR217">
        <f t="shared" si="106"/>
        <v>0.66666666666666663</v>
      </c>
      <c r="AS217" s="32">
        <f t="shared" si="107"/>
        <v>1</v>
      </c>
    </row>
    <row r="218" spans="1:45" x14ac:dyDescent="0.45">
      <c r="A218">
        <f>step3_validation[[#This Row],[AI_ENF1]]</f>
        <v>8</v>
      </c>
      <c r="B218">
        <f t="shared" si="81"/>
        <v>0.77777777777777779</v>
      </c>
      <c r="C218">
        <f>[1]!survey_responses[[#This Row],[Tôi tin rằng với các quy định quản lý thuế hiện nay, hành vi gian lận hoặc trốn thuế sẽ dễ dàng bị phát hiện và xử lý nghiêm. - HUMAN-ENF1]]</f>
        <v>5</v>
      </c>
      <c r="D218">
        <f t="shared" si="82"/>
        <v>0.44444444444444442</v>
      </c>
      <c r="E218">
        <f>step3_validation[[#This Row],[AI_ENF2]]</f>
        <v>9</v>
      </c>
      <c r="F218">
        <f t="shared" si="83"/>
        <v>0.88888888888888884</v>
      </c>
      <c r="G218">
        <f>[1]!survey_responses[[#This Row],[Tôi tin rằng Nhà nước, cơ quan thuế có đủ khả năng và công nghệ để phát hiện, xử lý nghiêm các hành vi trốn thuế. - HUMAN-ENF2]]</f>
        <v>5</v>
      </c>
      <c r="H218">
        <f t="shared" si="84"/>
        <v>0.44444444444444442</v>
      </c>
      <c r="I218" s="32">
        <f t="shared" si="85"/>
        <v>0.83333333333333326</v>
      </c>
      <c r="J218" s="32">
        <f t="shared" si="86"/>
        <v>0.44444444444444442</v>
      </c>
      <c r="K218">
        <f>step3_validation[[#This Row],[AI_FAC1]]</f>
        <v>6</v>
      </c>
      <c r="L218">
        <f t="shared" si="87"/>
        <v>0.55555555555555558</v>
      </c>
      <c r="M218">
        <f>[1]!survey_responses[[#This Row],[Các thủ tục khai báo thuế VÀ/HOẶC quy trình làm việc với cơ quan thuế đơn giản, tiện lợi, nhanh chóng hơn so với trước đây. - HUMAN-FAC1]]</f>
        <v>5</v>
      </c>
      <c r="N218">
        <f t="shared" si="88"/>
        <v>0.44444444444444442</v>
      </c>
      <c r="O218">
        <f>step3_validation[[#This Row],[AI_FAC2]]</f>
        <v>7</v>
      </c>
      <c r="P218">
        <f t="shared" si="89"/>
        <v>0.66666666666666663</v>
      </c>
      <c r="Q218">
        <f>[1]!survey_responses[[#This Row],[So với trước đây, tôi thấy cách tính thuế và các bậc thuế trong phương án mới đơn giản, dễ hiểu và dễ thực hiện hơn. - HUMAN-FAC2]]</f>
        <v>6</v>
      </c>
      <c r="R218">
        <f t="shared" si="90"/>
        <v>0.55555555555555558</v>
      </c>
      <c r="S218" s="32">
        <f t="shared" si="91"/>
        <v>0.61111111111111116</v>
      </c>
      <c r="T218" s="32">
        <f t="shared" si="92"/>
        <v>0.5</v>
      </c>
      <c r="U218">
        <f>step3_validation[[#This Row],[AI_TRU1]]</f>
        <v>7</v>
      </c>
      <c r="V218">
        <f t="shared" si="93"/>
        <v>0.66666666666666663</v>
      </c>
      <c r="W218">
        <f>[1]!survey_responses[[#This Row],[Tôi tin rằng Nhà nước, cơ quan thuế sẽ thực thi chính sách mới một cách khách quan, công tâm và đối xử bình đẳng với mọi người nộp thuế.  - HUMAN-TRU1]]</f>
        <v>5</v>
      </c>
      <c r="X218">
        <f t="shared" si="94"/>
        <v>0.44444444444444442</v>
      </c>
      <c r="Y218">
        <f>step3_validation[[#This Row],[AI_TRU2]]</f>
        <v>8</v>
      </c>
      <c r="Z218">
        <f t="shared" si="95"/>
        <v>0.77777777777777779</v>
      </c>
      <c r="AA218">
        <f>[1]!survey_responses[[#This Row],[Tôi thấy mức thuế tôi phải đóng theo phương án mới là công bằng (người thu nhập như tôi đóng mức này là hợp lý). - HUMAN-TRU2]]</f>
        <v>5</v>
      </c>
      <c r="AB218">
        <f t="shared" si="96"/>
        <v>0.44444444444444442</v>
      </c>
      <c r="AC218">
        <f>step3_validation[[#This Row],[AI_TRU3]]</f>
        <v>6</v>
      </c>
      <c r="AD218">
        <f t="shared" si="97"/>
        <v>0.55555555555555558</v>
      </c>
      <c r="AE218">
        <f>[1]!survey_responses[[#This Row],[Tôi tin tưởng số tiền thuế tôi đóng sẽ được Nhà nước sử dụng hiệu quả để cải thiện dịch vụ công (y tế, đường xá...). - HUMAN-TRU3]]</f>
        <v>5</v>
      </c>
      <c r="AF218">
        <f t="shared" si="98"/>
        <v>0.44444444444444442</v>
      </c>
      <c r="AG218">
        <f>step3_validation[[#This Row],[AI_TRU4]]</f>
        <v>5</v>
      </c>
      <c r="AH218">
        <f t="shared" si="99"/>
        <v>0.44444444444444442</v>
      </c>
      <c r="AI218">
        <f>[1]!survey_responses[[#This Row],[Tôi thấy Nhà nước đã giải thích rõ ràng, minh bạch về lý do và mục tiêu của việc sửa đổi thuế lần này. - HUMAN-TRU4]]</f>
        <v>5</v>
      </c>
      <c r="AJ218">
        <f t="shared" si="100"/>
        <v>0.44444444444444442</v>
      </c>
      <c r="AK218" s="32">
        <f t="shared" si="101"/>
        <v>0.61111111111111116</v>
      </c>
      <c r="AL218" s="32">
        <f t="shared" si="102"/>
        <v>0.44444444444444442</v>
      </c>
      <c r="AM218" s="7">
        <f t="shared" si="103"/>
        <v>0.68518518518518512</v>
      </c>
      <c r="AN218" s="7">
        <f t="shared" si="104"/>
        <v>0.46296296296296297</v>
      </c>
      <c r="AO218">
        <f>step3_validation[[#This Row],[AI_OUT1]]</f>
        <v>7</v>
      </c>
      <c r="AP218">
        <f t="shared" si="105"/>
        <v>0.66666666666666663</v>
      </c>
      <c r="AQ218">
        <f>[1]!survey_responses[[#This Row],[Sau khi xem xét các quyền lợi và nghĩa vụ, bạn có ủng hộ và tuân thủ chính sách mới hiện nay? - HUMAN-OUT1]]</f>
        <v>5</v>
      </c>
      <c r="AR218">
        <f t="shared" si="106"/>
        <v>0.44444444444444442</v>
      </c>
      <c r="AS218" s="32">
        <f t="shared" si="107"/>
        <v>2</v>
      </c>
    </row>
    <row r="219" spans="1:45" x14ac:dyDescent="0.45">
      <c r="A219">
        <f>step3_validation[[#This Row],[AI_ENF1]]</f>
        <v>8</v>
      </c>
      <c r="B219">
        <f t="shared" si="81"/>
        <v>0.77777777777777779</v>
      </c>
      <c r="C219">
        <f>[1]!survey_responses[[#This Row],[Tôi tin rằng với các quy định quản lý thuế hiện nay, hành vi gian lận hoặc trốn thuế sẽ dễ dàng bị phát hiện và xử lý nghiêm. - HUMAN-ENF1]]</f>
        <v>6</v>
      </c>
      <c r="D219">
        <f t="shared" si="82"/>
        <v>0.55555555555555558</v>
      </c>
      <c r="E219">
        <f>step3_validation[[#This Row],[AI_ENF2]]</f>
        <v>7</v>
      </c>
      <c r="F219">
        <f t="shared" si="83"/>
        <v>0.66666666666666663</v>
      </c>
      <c r="G219">
        <f>[1]!survey_responses[[#This Row],[Tôi tin rằng Nhà nước, cơ quan thuế có đủ khả năng và công nghệ để phát hiện, xử lý nghiêm các hành vi trốn thuế. - HUMAN-ENF2]]</f>
        <v>7</v>
      </c>
      <c r="H219">
        <f t="shared" si="84"/>
        <v>0.66666666666666663</v>
      </c>
      <c r="I219" s="32">
        <f t="shared" si="85"/>
        <v>0.72222222222222221</v>
      </c>
      <c r="J219" s="32">
        <f t="shared" si="86"/>
        <v>0.61111111111111116</v>
      </c>
      <c r="K219">
        <f>step3_validation[[#This Row],[AI_FAC1]]</f>
        <v>6</v>
      </c>
      <c r="L219">
        <f t="shared" si="87"/>
        <v>0.55555555555555558</v>
      </c>
      <c r="M219">
        <f>[1]!survey_responses[[#This Row],[Các thủ tục khai báo thuế VÀ/HOẶC quy trình làm việc với cơ quan thuế đơn giản, tiện lợi, nhanh chóng hơn so với trước đây. - HUMAN-FAC1]]</f>
        <v>7</v>
      </c>
      <c r="N219">
        <f t="shared" si="88"/>
        <v>0.66666666666666663</v>
      </c>
      <c r="O219">
        <f>step3_validation[[#This Row],[AI_FAC2]]</f>
        <v>8</v>
      </c>
      <c r="P219">
        <f t="shared" si="89"/>
        <v>0.77777777777777779</v>
      </c>
      <c r="Q219">
        <f>[1]!survey_responses[[#This Row],[So với trước đây, tôi thấy cách tính thuế và các bậc thuế trong phương án mới đơn giản, dễ hiểu và dễ thực hiện hơn. - HUMAN-FAC2]]</f>
        <v>7</v>
      </c>
      <c r="R219">
        <f t="shared" si="90"/>
        <v>0.66666666666666663</v>
      </c>
      <c r="S219" s="32">
        <f t="shared" si="91"/>
        <v>0.66666666666666674</v>
      </c>
      <c r="T219" s="32">
        <f t="shared" si="92"/>
        <v>0.66666666666666663</v>
      </c>
      <c r="U219">
        <f>step3_validation[[#This Row],[AI_TRU1]]</f>
        <v>6</v>
      </c>
      <c r="V219">
        <f t="shared" si="93"/>
        <v>0.55555555555555558</v>
      </c>
      <c r="W219">
        <f>[1]!survey_responses[[#This Row],[Tôi tin rằng Nhà nước, cơ quan thuế sẽ thực thi chính sách mới một cách khách quan, công tâm và đối xử bình đẳng với mọi người nộp thuế.  - HUMAN-TRU1]]</f>
        <v>7</v>
      </c>
      <c r="X219">
        <f t="shared" si="94"/>
        <v>0.66666666666666663</v>
      </c>
      <c r="Y219">
        <f>step3_validation[[#This Row],[AI_TRU2]]</f>
        <v>7</v>
      </c>
      <c r="Z219">
        <f t="shared" si="95"/>
        <v>0.66666666666666663</v>
      </c>
      <c r="AA219">
        <f>[1]!survey_responses[[#This Row],[Tôi thấy mức thuế tôi phải đóng theo phương án mới là công bằng (người thu nhập như tôi đóng mức này là hợp lý). - HUMAN-TRU2]]</f>
        <v>7</v>
      </c>
      <c r="AB219">
        <f t="shared" si="96"/>
        <v>0.66666666666666663</v>
      </c>
      <c r="AC219">
        <f>step3_validation[[#This Row],[AI_TRU3]]</f>
        <v>6</v>
      </c>
      <c r="AD219">
        <f t="shared" si="97"/>
        <v>0.55555555555555558</v>
      </c>
      <c r="AE219">
        <f>[1]!survey_responses[[#This Row],[Tôi tin tưởng số tiền thuế tôi đóng sẽ được Nhà nước sử dụng hiệu quả để cải thiện dịch vụ công (y tế, đường xá...). - HUMAN-TRU3]]</f>
        <v>7</v>
      </c>
      <c r="AF219">
        <f t="shared" si="98"/>
        <v>0.66666666666666663</v>
      </c>
      <c r="AG219">
        <f>step3_validation[[#This Row],[AI_TRU4]]</f>
        <v>5</v>
      </c>
      <c r="AH219">
        <f t="shared" si="99"/>
        <v>0.44444444444444442</v>
      </c>
      <c r="AI219">
        <f>[1]!survey_responses[[#This Row],[Tôi thấy Nhà nước đã giải thích rõ ràng, minh bạch về lý do và mục tiêu của việc sửa đổi thuế lần này. - HUMAN-TRU4]]</f>
        <v>7</v>
      </c>
      <c r="AJ219">
        <f t="shared" si="100"/>
        <v>0.66666666666666663</v>
      </c>
      <c r="AK219" s="32">
        <f t="shared" si="101"/>
        <v>0.55555555555555558</v>
      </c>
      <c r="AL219" s="32">
        <f t="shared" si="102"/>
        <v>0.66666666666666663</v>
      </c>
      <c r="AM219" s="7">
        <f t="shared" si="103"/>
        <v>0.64814814814814814</v>
      </c>
      <c r="AN219" s="7">
        <f t="shared" si="104"/>
        <v>0.64814814814814803</v>
      </c>
      <c r="AO219">
        <f>step3_validation[[#This Row],[AI_OUT1]]</f>
        <v>7</v>
      </c>
      <c r="AP219">
        <f t="shared" si="105"/>
        <v>0.66666666666666663</v>
      </c>
      <c r="AQ219">
        <f>[1]!survey_responses[[#This Row],[Sau khi xem xét các quyền lợi và nghĩa vụ, bạn có ủng hộ và tuân thủ chính sách mới hiện nay? - HUMAN-OUT1]]</f>
        <v>7</v>
      </c>
      <c r="AR219">
        <f t="shared" si="106"/>
        <v>0.66666666666666663</v>
      </c>
      <c r="AS219" s="32">
        <f t="shared" si="107"/>
        <v>0</v>
      </c>
    </row>
    <row r="220" spans="1:45" x14ac:dyDescent="0.45">
      <c r="A220">
        <f>step3_validation[[#This Row],[AI_ENF1]]</f>
        <v>7</v>
      </c>
      <c r="B220">
        <f t="shared" si="81"/>
        <v>0.66666666666666663</v>
      </c>
      <c r="C220">
        <f>[1]!survey_responses[[#This Row],[Tôi tin rằng với các quy định quản lý thuế hiện nay, hành vi gian lận hoặc trốn thuế sẽ dễ dàng bị phát hiện và xử lý nghiêm. - HUMAN-ENF1]]</f>
        <v>7</v>
      </c>
      <c r="D220">
        <f t="shared" si="82"/>
        <v>0.66666666666666663</v>
      </c>
      <c r="E220">
        <f>step3_validation[[#This Row],[AI_ENF2]]</f>
        <v>6</v>
      </c>
      <c r="F220">
        <f t="shared" si="83"/>
        <v>0.55555555555555558</v>
      </c>
      <c r="G220">
        <f>[1]!survey_responses[[#This Row],[Tôi tin rằng Nhà nước, cơ quan thuế có đủ khả năng và công nghệ để phát hiện, xử lý nghiêm các hành vi trốn thuế. - HUMAN-ENF2]]</f>
        <v>8</v>
      </c>
      <c r="H220">
        <f t="shared" si="84"/>
        <v>0.77777777777777779</v>
      </c>
      <c r="I220" s="32">
        <f t="shared" si="85"/>
        <v>0.61111111111111116</v>
      </c>
      <c r="J220" s="32">
        <f t="shared" si="86"/>
        <v>0.72222222222222221</v>
      </c>
      <c r="K220">
        <f>step3_validation[[#This Row],[AI_FAC1]]</f>
        <v>8</v>
      </c>
      <c r="L220">
        <f t="shared" si="87"/>
        <v>0.77777777777777779</v>
      </c>
      <c r="M220">
        <f>[1]!survey_responses[[#This Row],[Các thủ tục khai báo thuế VÀ/HOẶC quy trình làm việc với cơ quan thuế đơn giản, tiện lợi, nhanh chóng hơn so với trước đây. - HUMAN-FAC1]]</f>
        <v>8</v>
      </c>
      <c r="N220">
        <f t="shared" si="88"/>
        <v>0.77777777777777779</v>
      </c>
      <c r="O220">
        <f>step3_validation[[#This Row],[AI_FAC2]]</f>
        <v>9</v>
      </c>
      <c r="P220">
        <f t="shared" si="89"/>
        <v>0.88888888888888884</v>
      </c>
      <c r="Q220">
        <f>[1]!survey_responses[[#This Row],[So với trước đây, tôi thấy cách tính thuế và các bậc thuế trong phương án mới đơn giản, dễ hiểu và dễ thực hiện hơn. - HUMAN-FAC2]]</f>
        <v>8</v>
      </c>
      <c r="R220">
        <f t="shared" si="90"/>
        <v>0.77777777777777779</v>
      </c>
      <c r="S220" s="32">
        <f t="shared" si="91"/>
        <v>0.83333333333333326</v>
      </c>
      <c r="T220" s="32">
        <f t="shared" si="92"/>
        <v>0.77777777777777779</v>
      </c>
      <c r="U220">
        <f>step3_validation[[#This Row],[AI_TRU1]]</f>
        <v>6</v>
      </c>
      <c r="V220">
        <f t="shared" si="93"/>
        <v>0.55555555555555558</v>
      </c>
      <c r="W220">
        <f>[1]!survey_responses[[#This Row],[Tôi tin rằng Nhà nước, cơ quan thuế sẽ thực thi chính sách mới một cách khách quan, công tâm và đối xử bình đẳng với mọi người nộp thuế.  - HUMAN-TRU1]]</f>
        <v>8</v>
      </c>
      <c r="X220">
        <f t="shared" si="94"/>
        <v>0.77777777777777779</v>
      </c>
      <c r="Y220">
        <f>step3_validation[[#This Row],[AI_TRU2]]</f>
        <v>7</v>
      </c>
      <c r="Z220">
        <f t="shared" si="95"/>
        <v>0.66666666666666663</v>
      </c>
      <c r="AA220">
        <f>[1]!survey_responses[[#This Row],[Tôi thấy mức thuế tôi phải đóng theo phương án mới là công bằng (người thu nhập như tôi đóng mức này là hợp lý). - HUMAN-TRU2]]</f>
        <v>5</v>
      </c>
      <c r="AB220">
        <f t="shared" si="96"/>
        <v>0.44444444444444442</v>
      </c>
      <c r="AC220">
        <f>step3_validation[[#This Row],[AI_TRU3]]</f>
        <v>5</v>
      </c>
      <c r="AD220">
        <f t="shared" si="97"/>
        <v>0.44444444444444442</v>
      </c>
      <c r="AE220">
        <f>[1]!survey_responses[[#This Row],[Tôi tin tưởng số tiền thuế tôi đóng sẽ được Nhà nước sử dụng hiệu quả để cải thiện dịch vụ công (y tế, đường xá...). - HUMAN-TRU3]]</f>
        <v>5</v>
      </c>
      <c r="AF220">
        <f t="shared" si="98"/>
        <v>0.44444444444444442</v>
      </c>
      <c r="AG220">
        <f>step3_validation[[#This Row],[AI_TRU4]]</f>
        <v>6</v>
      </c>
      <c r="AH220">
        <f t="shared" si="99"/>
        <v>0.55555555555555558</v>
      </c>
      <c r="AI220">
        <f>[1]!survey_responses[[#This Row],[Tôi thấy Nhà nước đã giải thích rõ ràng, minh bạch về lý do và mục tiêu của việc sửa đổi thuế lần này. - HUMAN-TRU4]]</f>
        <v>7</v>
      </c>
      <c r="AJ220">
        <f t="shared" si="100"/>
        <v>0.66666666666666663</v>
      </c>
      <c r="AK220" s="32">
        <f t="shared" si="101"/>
        <v>0.55555555555555558</v>
      </c>
      <c r="AL220" s="32">
        <f t="shared" si="102"/>
        <v>0.58333333333333337</v>
      </c>
      <c r="AM220" s="7">
        <f t="shared" si="103"/>
        <v>0.66666666666666663</v>
      </c>
      <c r="AN220" s="7">
        <f t="shared" si="104"/>
        <v>0.69444444444444453</v>
      </c>
      <c r="AO220">
        <f>step3_validation[[#This Row],[AI_OUT1]]</f>
        <v>7</v>
      </c>
      <c r="AP220">
        <f t="shared" si="105"/>
        <v>0.66666666666666663</v>
      </c>
      <c r="AQ220">
        <f>[1]!survey_responses[[#This Row],[Sau khi xem xét các quyền lợi và nghĩa vụ, bạn có ủng hộ và tuân thủ chính sách mới hiện nay? - HUMAN-OUT1]]</f>
        <v>6</v>
      </c>
      <c r="AR220">
        <f t="shared" si="106"/>
        <v>0.55555555555555558</v>
      </c>
      <c r="AS220" s="32">
        <f t="shared" si="107"/>
        <v>1</v>
      </c>
    </row>
    <row r="221" spans="1:45" x14ac:dyDescent="0.45">
      <c r="A221">
        <f>step3_validation[[#This Row],[AI_ENF1]]</f>
        <v>7</v>
      </c>
      <c r="B221">
        <f t="shared" si="81"/>
        <v>0.66666666666666663</v>
      </c>
      <c r="C221">
        <f>[1]!survey_responses[[#This Row],[Tôi tin rằng với các quy định quản lý thuế hiện nay, hành vi gian lận hoặc trốn thuế sẽ dễ dàng bị phát hiện và xử lý nghiêm. - HUMAN-ENF1]]</f>
        <v>10</v>
      </c>
      <c r="D221">
        <f t="shared" si="82"/>
        <v>1</v>
      </c>
      <c r="E221">
        <f>step3_validation[[#This Row],[AI_ENF2]]</f>
        <v>6</v>
      </c>
      <c r="F221">
        <f t="shared" si="83"/>
        <v>0.55555555555555558</v>
      </c>
      <c r="G221">
        <f>[1]!survey_responses[[#This Row],[Tôi tin rằng Nhà nước, cơ quan thuế có đủ khả năng và công nghệ để phát hiện, xử lý nghiêm các hành vi trốn thuế. - HUMAN-ENF2]]</f>
        <v>10</v>
      </c>
      <c r="H221">
        <f t="shared" si="84"/>
        <v>1</v>
      </c>
      <c r="I221" s="32">
        <f t="shared" si="85"/>
        <v>0.61111111111111116</v>
      </c>
      <c r="J221" s="32">
        <f t="shared" si="86"/>
        <v>1</v>
      </c>
      <c r="K221">
        <f>step3_validation[[#This Row],[AI_FAC1]]</f>
        <v>8</v>
      </c>
      <c r="L221">
        <f t="shared" si="87"/>
        <v>0.77777777777777779</v>
      </c>
      <c r="M221">
        <f>[1]!survey_responses[[#This Row],[Các thủ tục khai báo thuế VÀ/HOẶC quy trình làm việc với cơ quan thuế đơn giản, tiện lợi, nhanh chóng hơn so với trước đây. - HUMAN-FAC1]]</f>
        <v>6</v>
      </c>
      <c r="N221">
        <f t="shared" si="88"/>
        <v>0.55555555555555558</v>
      </c>
      <c r="O221">
        <f>step3_validation[[#This Row],[AI_FAC2]]</f>
        <v>9</v>
      </c>
      <c r="P221">
        <f t="shared" si="89"/>
        <v>0.88888888888888884</v>
      </c>
      <c r="Q221">
        <f>[1]!survey_responses[[#This Row],[So với trước đây, tôi thấy cách tính thuế và các bậc thuế trong phương án mới đơn giản, dễ hiểu và dễ thực hiện hơn. - HUMAN-FAC2]]</f>
        <v>9</v>
      </c>
      <c r="R221">
        <f t="shared" si="90"/>
        <v>0.88888888888888884</v>
      </c>
      <c r="S221" s="32">
        <f t="shared" si="91"/>
        <v>0.83333333333333326</v>
      </c>
      <c r="T221" s="32">
        <f t="shared" si="92"/>
        <v>0.72222222222222221</v>
      </c>
      <c r="U221">
        <f>step3_validation[[#This Row],[AI_TRU1]]</f>
        <v>7</v>
      </c>
      <c r="V221">
        <f t="shared" si="93"/>
        <v>0.66666666666666663</v>
      </c>
      <c r="W221">
        <f>[1]!survey_responses[[#This Row],[Tôi tin rằng Nhà nước, cơ quan thuế sẽ thực thi chính sách mới một cách khách quan, công tâm và đối xử bình đẳng với mọi người nộp thuế.  - HUMAN-TRU1]]</f>
        <v>9</v>
      </c>
      <c r="X221">
        <f t="shared" si="94"/>
        <v>0.88888888888888884</v>
      </c>
      <c r="Y221">
        <f>step3_validation[[#This Row],[AI_TRU2]]</f>
        <v>8</v>
      </c>
      <c r="Z221">
        <f t="shared" si="95"/>
        <v>0.77777777777777779</v>
      </c>
      <c r="AA221">
        <f>[1]!survey_responses[[#This Row],[Tôi thấy mức thuế tôi phải đóng theo phương án mới là công bằng (người thu nhập như tôi đóng mức này là hợp lý). - HUMAN-TRU2]]</f>
        <v>9</v>
      </c>
      <c r="AB221">
        <f t="shared" si="96"/>
        <v>0.88888888888888884</v>
      </c>
      <c r="AC221">
        <f>step3_validation[[#This Row],[AI_TRU3]]</f>
        <v>6</v>
      </c>
      <c r="AD221">
        <f t="shared" si="97"/>
        <v>0.55555555555555558</v>
      </c>
      <c r="AE221">
        <f>[1]!survey_responses[[#This Row],[Tôi tin tưởng số tiền thuế tôi đóng sẽ được Nhà nước sử dụng hiệu quả để cải thiện dịch vụ công (y tế, đường xá...). - HUMAN-TRU3]]</f>
        <v>9</v>
      </c>
      <c r="AF221">
        <f t="shared" si="98"/>
        <v>0.88888888888888884</v>
      </c>
      <c r="AG221">
        <f>step3_validation[[#This Row],[AI_TRU4]]</f>
        <v>5</v>
      </c>
      <c r="AH221">
        <f t="shared" si="99"/>
        <v>0.44444444444444442</v>
      </c>
      <c r="AI221">
        <f>[1]!survey_responses[[#This Row],[Tôi thấy Nhà nước đã giải thích rõ ràng, minh bạch về lý do và mục tiêu của việc sửa đổi thuế lần này. - HUMAN-TRU4]]</f>
        <v>8</v>
      </c>
      <c r="AJ221">
        <f t="shared" si="100"/>
        <v>0.77777777777777779</v>
      </c>
      <c r="AK221" s="32">
        <f t="shared" si="101"/>
        <v>0.61111111111111116</v>
      </c>
      <c r="AL221" s="32">
        <f t="shared" si="102"/>
        <v>0.86111111111111105</v>
      </c>
      <c r="AM221" s="7">
        <f t="shared" si="103"/>
        <v>0.68518518518518512</v>
      </c>
      <c r="AN221" s="7">
        <f t="shared" si="104"/>
        <v>0.86111111111111116</v>
      </c>
      <c r="AO221">
        <f>step3_validation[[#This Row],[AI_OUT1]]</f>
        <v>7</v>
      </c>
      <c r="AP221">
        <f t="shared" si="105"/>
        <v>0.66666666666666663</v>
      </c>
      <c r="AQ221">
        <f>[1]!survey_responses[[#This Row],[Sau khi xem xét các quyền lợi và nghĩa vụ, bạn có ủng hộ và tuân thủ chính sách mới hiện nay? - HUMAN-OUT1]]</f>
        <v>8</v>
      </c>
      <c r="AR221">
        <f t="shared" si="106"/>
        <v>0.77777777777777779</v>
      </c>
      <c r="AS221" s="32">
        <f t="shared" si="107"/>
        <v>1</v>
      </c>
    </row>
    <row r="222" spans="1:45" x14ac:dyDescent="0.45">
      <c r="A222">
        <f>step3_validation[[#This Row],[AI_ENF1]]</f>
        <v>8</v>
      </c>
      <c r="B222">
        <f t="shared" si="81"/>
        <v>0.77777777777777779</v>
      </c>
      <c r="C222">
        <f>[1]!survey_responses[[#This Row],[Tôi tin rằng với các quy định quản lý thuế hiện nay, hành vi gian lận hoặc trốn thuế sẽ dễ dàng bị phát hiện và xử lý nghiêm. - HUMAN-ENF1]]</f>
        <v>4</v>
      </c>
      <c r="D222">
        <f t="shared" si="82"/>
        <v>0.33333333333333331</v>
      </c>
      <c r="E222">
        <f>step3_validation[[#This Row],[AI_ENF2]]</f>
        <v>9</v>
      </c>
      <c r="F222">
        <f t="shared" si="83"/>
        <v>0.88888888888888884</v>
      </c>
      <c r="G222">
        <f>[1]!survey_responses[[#This Row],[Tôi tin rằng Nhà nước, cơ quan thuế có đủ khả năng và công nghệ để phát hiện, xử lý nghiêm các hành vi trốn thuế. - HUMAN-ENF2]]</f>
        <v>4</v>
      </c>
      <c r="H222">
        <f t="shared" si="84"/>
        <v>0.33333333333333331</v>
      </c>
      <c r="I222" s="32">
        <f t="shared" si="85"/>
        <v>0.83333333333333326</v>
      </c>
      <c r="J222" s="32">
        <f t="shared" si="86"/>
        <v>0.33333333333333331</v>
      </c>
      <c r="K222">
        <f>step3_validation[[#This Row],[AI_FAC1]]</f>
        <v>8</v>
      </c>
      <c r="L222">
        <f t="shared" si="87"/>
        <v>0.77777777777777779</v>
      </c>
      <c r="M222">
        <f>[1]!survey_responses[[#This Row],[Các thủ tục khai báo thuế VÀ/HOẶC quy trình làm việc với cơ quan thuế đơn giản, tiện lợi, nhanh chóng hơn so với trước đây. - HUMAN-FAC1]]</f>
        <v>4</v>
      </c>
      <c r="N222">
        <f t="shared" si="88"/>
        <v>0.33333333333333331</v>
      </c>
      <c r="O222">
        <f>step3_validation[[#This Row],[AI_FAC2]]</f>
        <v>9</v>
      </c>
      <c r="P222">
        <f t="shared" si="89"/>
        <v>0.88888888888888884</v>
      </c>
      <c r="Q222">
        <f>[1]!survey_responses[[#This Row],[So với trước đây, tôi thấy cách tính thuế và các bậc thuế trong phương án mới đơn giản, dễ hiểu và dễ thực hiện hơn. - HUMAN-FAC2]]</f>
        <v>6</v>
      </c>
      <c r="R222">
        <f t="shared" si="90"/>
        <v>0.55555555555555558</v>
      </c>
      <c r="S222" s="32">
        <f t="shared" si="91"/>
        <v>0.83333333333333326</v>
      </c>
      <c r="T222" s="32">
        <f t="shared" si="92"/>
        <v>0.44444444444444442</v>
      </c>
      <c r="U222">
        <f>step3_validation[[#This Row],[AI_TRU1]]</f>
        <v>7</v>
      </c>
      <c r="V222">
        <f t="shared" si="93"/>
        <v>0.66666666666666663</v>
      </c>
      <c r="W222">
        <f>[1]!survey_responses[[#This Row],[Tôi tin rằng Nhà nước, cơ quan thuế sẽ thực thi chính sách mới một cách khách quan, công tâm và đối xử bình đẳng với mọi người nộp thuế.  - HUMAN-TRU1]]</f>
        <v>5</v>
      </c>
      <c r="X222">
        <f t="shared" si="94"/>
        <v>0.44444444444444442</v>
      </c>
      <c r="Y222">
        <f>step3_validation[[#This Row],[AI_TRU2]]</f>
        <v>8</v>
      </c>
      <c r="Z222">
        <f t="shared" si="95"/>
        <v>0.77777777777777779</v>
      </c>
      <c r="AA222">
        <f>[1]!survey_responses[[#This Row],[Tôi thấy mức thuế tôi phải đóng theo phương án mới là công bằng (người thu nhập như tôi đóng mức này là hợp lý). - HUMAN-TRU2]]</f>
        <v>6</v>
      </c>
      <c r="AB222">
        <f t="shared" si="96"/>
        <v>0.55555555555555558</v>
      </c>
      <c r="AC222">
        <f>step3_validation[[#This Row],[AI_TRU3]]</f>
        <v>7</v>
      </c>
      <c r="AD222">
        <f t="shared" si="97"/>
        <v>0.66666666666666663</v>
      </c>
      <c r="AE222">
        <f>[1]!survey_responses[[#This Row],[Tôi tin tưởng số tiền thuế tôi đóng sẽ được Nhà nước sử dụng hiệu quả để cải thiện dịch vụ công (y tế, đường xá...). - HUMAN-TRU3]]</f>
        <v>5</v>
      </c>
      <c r="AF222">
        <f t="shared" si="98"/>
        <v>0.44444444444444442</v>
      </c>
      <c r="AG222">
        <f>step3_validation[[#This Row],[AI_TRU4]]</f>
        <v>6</v>
      </c>
      <c r="AH222">
        <f t="shared" si="99"/>
        <v>0.55555555555555558</v>
      </c>
      <c r="AI222">
        <f>[1]!survey_responses[[#This Row],[Tôi thấy Nhà nước đã giải thích rõ ràng, minh bạch về lý do và mục tiêu của việc sửa đổi thuế lần này. - HUMAN-TRU4]]</f>
        <v>6</v>
      </c>
      <c r="AJ222">
        <f t="shared" si="100"/>
        <v>0.55555555555555558</v>
      </c>
      <c r="AK222" s="32">
        <f t="shared" si="101"/>
        <v>0.66666666666666674</v>
      </c>
      <c r="AL222" s="32">
        <f t="shared" si="102"/>
        <v>0.5</v>
      </c>
      <c r="AM222" s="7">
        <f t="shared" si="103"/>
        <v>0.77777777777777768</v>
      </c>
      <c r="AN222" s="7">
        <f t="shared" si="104"/>
        <v>0.42592592592592587</v>
      </c>
      <c r="AO222">
        <f>step3_validation[[#This Row],[AI_OUT1]]</f>
        <v>7</v>
      </c>
      <c r="AP222">
        <f t="shared" si="105"/>
        <v>0.66666666666666663</v>
      </c>
      <c r="AQ222">
        <f>[1]!survey_responses[[#This Row],[Sau khi xem xét các quyền lợi và nghĩa vụ, bạn có ủng hộ và tuân thủ chính sách mới hiện nay? - HUMAN-OUT1]]</f>
        <v>5</v>
      </c>
      <c r="AR222">
        <f t="shared" si="106"/>
        <v>0.44444444444444442</v>
      </c>
      <c r="AS222" s="32">
        <f t="shared" si="107"/>
        <v>2</v>
      </c>
    </row>
    <row r="223" spans="1:45" x14ac:dyDescent="0.45">
      <c r="A223">
        <f>step3_validation[[#This Row],[AI_ENF1]]</f>
        <v>8</v>
      </c>
      <c r="B223">
        <f t="shared" si="81"/>
        <v>0.77777777777777779</v>
      </c>
      <c r="C223">
        <f>[1]!survey_responses[[#This Row],[Tôi tin rằng với các quy định quản lý thuế hiện nay, hành vi gian lận hoặc trốn thuế sẽ dễ dàng bị phát hiện và xử lý nghiêm. - HUMAN-ENF1]]</f>
        <v>4</v>
      </c>
      <c r="D223">
        <f t="shared" si="82"/>
        <v>0.33333333333333331</v>
      </c>
      <c r="E223">
        <f>step3_validation[[#This Row],[AI_ENF2]]</f>
        <v>8</v>
      </c>
      <c r="F223">
        <f t="shared" si="83"/>
        <v>0.77777777777777779</v>
      </c>
      <c r="G223">
        <f>[1]!survey_responses[[#This Row],[Tôi tin rằng Nhà nước, cơ quan thuế có đủ khả năng và công nghệ để phát hiện, xử lý nghiêm các hành vi trốn thuế. - HUMAN-ENF2]]</f>
        <v>5</v>
      </c>
      <c r="H223">
        <f t="shared" si="84"/>
        <v>0.44444444444444442</v>
      </c>
      <c r="I223" s="32">
        <f t="shared" si="85"/>
        <v>0.77777777777777779</v>
      </c>
      <c r="J223" s="32">
        <f t="shared" si="86"/>
        <v>0.38888888888888884</v>
      </c>
      <c r="K223">
        <f>step3_validation[[#This Row],[AI_FAC1]]</f>
        <v>9</v>
      </c>
      <c r="L223">
        <f t="shared" si="87"/>
        <v>0.88888888888888884</v>
      </c>
      <c r="M223">
        <f>[1]!survey_responses[[#This Row],[Các thủ tục khai báo thuế VÀ/HOẶC quy trình làm việc với cơ quan thuế đơn giản, tiện lợi, nhanh chóng hơn so với trước đây. - HUMAN-FAC1]]</f>
        <v>4</v>
      </c>
      <c r="N223">
        <f t="shared" si="88"/>
        <v>0.33333333333333331</v>
      </c>
      <c r="O223">
        <f>step3_validation[[#This Row],[AI_FAC2]]</f>
        <v>8</v>
      </c>
      <c r="P223">
        <f t="shared" si="89"/>
        <v>0.77777777777777779</v>
      </c>
      <c r="Q223">
        <f>[1]!survey_responses[[#This Row],[So với trước đây, tôi thấy cách tính thuế và các bậc thuế trong phương án mới đơn giản, dễ hiểu và dễ thực hiện hơn. - HUMAN-FAC2]]</f>
        <v>5</v>
      </c>
      <c r="R223">
        <f t="shared" si="90"/>
        <v>0.44444444444444442</v>
      </c>
      <c r="S223" s="32">
        <f t="shared" si="91"/>
        <v>0.83333333333333326</v>
      </c>
      <c r="T223" s="32">
        <f t="shared" si="92"/>
        <v>0.38888888888888884</v>
      </c>
      <c r="U223">
        <f>step3_validation[[#This Row],[AI_TRU1]]</f>
        <v>7</v>
      </c>
      <c r="V223">
        <f t="shared" si="93"/>
        <v>0.66666666666666663</v>
      </c>
      <c r="W223">
        <f>[1]!survey_responses[[#This Row],[Tôi tin rằng Nhà nước, cơ quan thuế sẽ thực thi chính sách mới một cách khách quan, công tâm và đối xử bình đẳng với mọi người nộp thuế.  - HUMAN-TRU1]]</f>
        <v>5</v>
      </c>
      <c r="X223">
        <f t="shared" si="94"/>
        <v>0.44444444444444442</v>
      </c>
      <c r="Y223">
        <f>step3_validation[[#This Row],[AI_TRU2]]</f>
        <v>6</v>
      </c>
      <c r="Z223">
        <f t="shared" si="95"/>
        <v>0.55555555555555558</v>
      </c>
      <c r="AA223">
        <f>[1]!survey_responses[[#This Row],[Tôi thấy mức thuế tôi phải đóng theo phương án mới là công bằng (người thu nhập như tôi đóng mức này là hợp lý). - HUMAN-TRU2]]</f>
        <v>5</v>
      </c>
      <c r="AB223">
        <f t="shared" si="96"/>
        <v>0.44444444444444442</v>
      </c>
      <c r="AC223">
        <f>step3_validation[[#This Row],[AI_TRU3]]</f>
        <v>6</v>
      </c>
      <c r="AD223">
        <f t="shared" si="97"/>
        <v>0.55555555555555558</v>
      </c>
      <c r="AE223">
        <f>[1]!survey_responses[[#This Row],[Tôi tin tưởng số tiền thuế tôi đóng sẽ được Nhà nước sử dụng hiệu quả để cải thiện dịch vụ công (y tế, đường xá...). - HUMAN-TRU3]]</f>
        <v>5</v>
      </c>
      <c r="AF223">
        <f t="shared" si="98"/>
        <v>0.44444444444444442</v>
      </c>
      <c r="AG223">
        <f>step3_validation[[#This Row],[AI_TRU4]]</f>
        <v>6</v>
      </c>
      <c r="AH223">
        <f t="shared" si="99"/>
        <v>0.55555555555555558</v>
      </c>
      <c r="AI223">
        <f>[1]!survey_responses[[#This Row],[Tôi thấy Nhà nước đã giải thích rõ ràng, minh bạch về lý do và mục tiêu của việc sửa đổi thuế lần này. - HUMAN-TRU4]]</f>
        <v>5</v>
      </c>
      <c r="AJ223">
        <f t="shared" si="100"/>
        <v>0.44444444444444442</v>
      </c>
      <c r="AK223" s="32">
        <f t="shared" si="101"/>
        <v>0.58333333333333337</v>
      </c>
      <c r="AL223" s="32">
        <f t="shared" si="102"/>
        <v>0.44444444444444442</v>
      </c>
      <c r="AM223" s="7">
        <f t="shared" si="103"/>
        <v>0.73148148148148151</v>
      </c>
      <c r="AN223" s="7">
        <f t="shared" si="104"/>
        <v>0.40740740740740738</v>
      </c>
      <c r="AO223">
        <f>step3_validation[[#This Row],[AI_OUT1]]</f>
        <v>7</v>
      </c>
      <c r="AP223">
        <f t="shared" si="105"/>
        <v>0.66666666666666663</v>
      </c>
      <c r="AQ223">
        <f>[1]!survey_responses[[#This Row],[Sau khi xem xét các quyền lợi và nghĩa vụ, bạn có ủng hộ và tuân thủ chính sách mới hiện nay? - HUMAN-OUT1]]</f>
        <v>5</v>
      </c>
      <c r="AR223">
        <f t="shared" si="106"/>
        <v>0.44444444444444442</v>
      </c>
      <c r="AS223" s="32">
        <f t="shared" si="107"/>
        <v>2</v>
      </c>
    </row>
    <row r="224" spans="1:45" x14ac:dyDescent="0.45">
      <c r="A224">
        <f>step3_validation[[#This Row],[AI_ENF1]]</f>
        <v>7</v>
      </c>
      <c r="B224">
        <f t="shared" si="81"/>
        <v>0.66666666666666663</v>
      </c>
      <c r="C224">
        <f>[1]!survey_responses[[#This Row],[Tôi tin rằng với các quy định quản lý thuế hiện nay, hành vi gian lận hoặc trốn thuế sẽ dễ dàng bị phát hiện và xử lý nghiêm. - HUMAN-ENF1]]</f>
        <v>6</v>
      </c>
      <c r="D224">
        <f t="shared" si="82"/>
        <v>0.55555555555555558</v>
      </c>
      <c r="E224">
        <f>step3_validation[[#This Row],[AI_ENF2]]</f>
        <v>6</v>
      </c>
      <c r="F224">
        <f t="shared" si="83"/>
        <v>0.55555555555555558</v>
      </c>
      <c r="G224">
        <f>[1]!survey_responses[[#This Row],[Tôi tin rằng Nhà nước, cơ quan thuế có đủ khả năng và công nghệ để phát hiện, xử lý nghiêm các hành vi trốn thuế. - HUMAN-ENF2]]</f>
        <v>6</v>
      </c>
      <c r="H224">
        <f t="shared" si="84"/>
        <v>0.55555555555555558</v>
      </c>
      <c r="I224" s="32">
        <f t="shared" si="85"/>
        <v>0.61111111111111116</v>
      </c>
      <c r="J224" s="32">
        <f t="shared" si="86"/>
        <v>0.55555555555555558</v>
      </c>
      <c r="K224">
        <f>step3_validation[[#This Row],[AI_FAC1]]</f>
        <v>5</v>
      </c>
      <c r="L224">
        <f t="shared" si="87"/>
        <v>0.44444444444444442</v>
      </c>
      <c r="M224">
        <f>[1]!survey_responses[[#This Row],[Các thủ tục khai báo thuế VÀ/HOẶC quy trình làm việc với cơ quan thuế đơn giản, tiện lợi, nhanh chóng hơn so với trước đây. - HUMAN-FAC1]]</f>
        <v>7</v>
      </c>
      <c r="N224">
        <f t="shared" si="88"/>
        <v>0.66666666666666663</v>
      </c>
      <c r="O224">
        <f>step3_validation[[#This Row],[AI_FAC2]]</f>
        <v>6</v>
      </c>
      <c r="P224">
        <f t="shared" si="89"/>
        <v>0.55555555555555558</v>
      </c>
      <c r="Q224">
        <f>[1]!survey_responses[[#This Row],[So với trước đây, tôi thấy cách tính thuế và các bậc thuế trong phương án mới đơn giản, dễ hiểu và dễ thực hiện hơn. - HUMAN-FAC2]]</f>
        <v>7</v>
      </c>
      <c r="R224">
        <f t="shared" si="90"/>
        <v>0.66666666666666663</v>
      </c>
      <c r="S224" s="32">
        <f t="shared" si="91"/>
        <v>0.5</v>
      </c>
      <c r="T224" s="32">
        <f t="shared" si="92"/>
        <v>0.66666666666666663</v>
      </c>
      <c r="U224">
        <f>step3_validation[[#This Row],[AI_TRU1]]</f>
        <v>8</v>
      </c>
      <c r="V224">
        <f t="shared" si="93"/>
        <v>0.77777777777777779</v>
      </c>
      <c r="W224">
        <f>[1]!survey_responses[[#This Row],[Tôi tin rằng Nhà nước, cơ quan thuế sẽ thực thi chính sách mới một cách khách quan, công tâm và đối xử bình đẳng với mọi người nộp thuế.  - HUMAN-TRU1]]</f>
        <v>6</v>
      </c>
      <c r="X224">
        <f t="shared" si="94"/>
        <v>0.55555555555555558</v>
      </c>
      <c r="Y224">
        <f>step3_validation[[#This Row],[AI_TRU2]]</f>
        <v>7</v>
      </c>
      <c r="Z224">
        <f t="shared" si="95"/>
        <v>0.66666666666666663</v>
      </c>
      <c r="AA224">
        <f>[1]!survey_responses[[#This Row],[Tôi thấy mức thuế tôi phải đóng theo phương án mới là công bằng (người thu nhập như tôi đóng mức này là hợp lý). - HUMAN-TRU2]]</f>
        <v>6</v>
      </c>
      <c r="AB224">
        <f t="shared" si="96"/>
        <v>0.55555555555555558</v>
      </c>
      <c r="AC224">
        <f>step3_validation[[#This Row],[AI_TRU3]]</f>
        <v>6</v>
      </c>
      <c r="AD224">
        <f t="shared" si="97"/>
        <v>0.55555555555555558</v>
      </c>
      <c r="AE224">
        <f>[1]!survey_responses[[#This Row],[Tôi tin tưởng số tiền thuế tôi đóng sẽ được Nhà nước sử dụng hiệu quả để cải thiện dịch vụ công (y tế, đường xá...). - HUMAN-TRU3]]</f>
        <v>8</v>
      </c>
      <c r="AF224">
        <f t="shared" si="98"/>
        <v>0.77777777777777779</v>
      </c>
      <c r="AG224">
        <f>step3_validation[[#This Row],[AI_TRU4]]</f>
        <v>5</v>
      </c>
      <c r="AH224">
        <f t="shared" si="99"/>
        <v>0.44444444444444442</v>
      </c>
      <c r="AI224">
        <f>[1]!survey_responses[[#This Row],[Tôi thấy Nhà nước đã giải thích rõ ràng, minh bạch về lý do và mục tiêu của việc sửa đổi thuế lần này. - HUMAN-TRU4]]</f>
        <v>8</v>
      </c>
      <c r="AJ224">
        <f t="shared" si="100"/>
        <v>0.77777777777777779</v>
      </c>
      <c r="AK224" s="32">
        <f t="shared" si="101"/>
        <v>0.61111111111111116</v>
      </c>
      <c r="AL224" s="32">
        <f t="shared" si="102"/>
        <v>0.66666666666666663</v>
      </c>
      <c r="AM224" s="7">
        <f t="shared" si="103"/>
        <v>0.57407407407407407</v>
      </c>
      <c r="AN224" s="7">
        <f t="shared" si="104"/>
        <v>0.62962962962962965</v>
      </c>
      <c r="AO224">
        <f>step3_validation[[#This Row],[AI_OUT1]]</f>
        <v>7</v>
      </c>
      <c r="AP224">
        <f t="shared" si="105"/>
        <v>0.66666666666666663</v>
      </c>
      <c r="AQ224">
        <f>[1]!survey_responses[[#This Row],[Sau khi xem xét các quyền lợi và nghĩa vụ, bạn có ủng hộ và tuân thủ chính sách mới hiện nay? - HUMAN-OUT1]]</f>
        <v>7</v>
      </c>
      <c r="AR224">
        <f t="shared" si="106"/>
        <v>0.66666666666666663</v>
      </c>
      <c r="AS224" s="32">
        <f t="shared" si="107"/>
        <v>0</v>
      </c>
    </row>
    <row r="225" spans="1:45" x14ac:dyDescent="0.45">
      <c r="A225">
        <f>step3_validation[[#This Row],[AI_ENF1]]</f>
        <v>8</v>
      </c>
      <c r="B225">
        <f t="shared" si="81"/>
        <v>0.77777777777777779</v>
      </c>
      <c r="C225">
        <f>[1]!survey_responses[[#This Row],[Tôi tin rằng với các quy định quản lý thuế hiện nay, hành vi gian lận hoặc trốn thuế sẽ dễ dàng bị phát hiện và xử lý nghiêm. - HUMAN-ENF1]]</f>
        <v>7</v>
      </c>
      <c r="D225">
        <f t="shared" si="82"/>
        <v>0.66666666666666663</v>
      </c>
      <c r="E225">
        <f>step3_validation[[#This Row],[AI_ENF2]]</f>
        <v>9</v>
      </c>
      <c r="F225">
        <f t="shared" si="83"/>
        <v>0.88888888888888884</v>
      </c>
      <c r="G225">
        <f>[1]!survey_responses[[#This Row],[Tôi tin rằng Nhà nước, cơ quan thuế có đủ khả năng và công nghệ để phát hiện, xử lý nghiêm các hành vi trốn thuế. - HUMAN-ENF2]]</f>
        <v>7</v>
      </c>
      <c r="H225">
        <f t="shared" si="84"/>
        <v>0.66666666666666663</v>
      </c>
      <c r="I225" s="32">
        <f t="shared" si="85"/>
        <v>0.83333333333333326</v>
      </c>
      <c r="J225" s="32">
        <f t="shared" si="86"/>
        <v>0.66666666666666663</v>
      </c>
      <c r="K225">
        <f>step3_validation[[#This Row],[AI_FAC1]]</f>
        <v>8</v>
      </c>
      <c r="L225">
        <f t="shared" si="87"/>
        <v>0.77777777777777779</v>
      </c>
      <c r="M225">
        <f>[1]!survey_responses[[#This Row],[Các thủ tục khai báo thuế VÀ/HOẶC quy trình làm việc với cơ quan thuế đơn giản, tiện lợi, nhanh chóng hơn so với trước đây. - HUMAN-FAC1]]</f>
        <v>7</v>
      </c>
      <c r="N225">
        <f t="shared" si="88"/>
        <v>0.66666666666666663</v>
      </c>
      <c r="O225">
        <f>step3_validation[[#This Row],[AI_FAC2]]</f>
        <v>9</v>
      </c>
      <c r="P225">
        <f t="shared" si="89"/>
        <v>0.88888888888888884</v>
      </c>
      <c r="Q225">
        <f>[1]!survey_responses[[#This Row],[So với trước đây, tôi thấy cách tính thuế và các bậc thuế trong phương án mới đơn giản, dễ hiểu và dễ thực hiện hơn. - HUMAN-FAC2]]</f>
        <v>7</v>
      </c>
      <c r="R225">
        <f t="shared" si="90"/>
        <v>0.66666666666666663</v>
      </c>
      <c r="S225" s="32">
        <f t="shared" si="91"/>
        <v>0.83333333333333326</v>
      </c>
      <c r="T225" s="32">
        <f t="shared" si="92"/>
        <v>0.66666666666666663</v>
      </c>
      <c r="U225">
        <f>step3_validation[[#This Row],[AI_TRU1]]</f>
        <v>8</v>
      </c>
      <c r="V225">
        <f t="shared" si="93"/>
        <v>0.77777777777777779</v>
      </c>
      <c r="W225">
        <f>[1]!survey_responses[[#This Row],[Tôi tin rằng Nhà nước, cơ quan thuế sẽ thực thi chính sách mới một cách khách quan, công tâm và đối xử bình đẳng với mọi người nộp thuế.  - HUMAN-TRU1]]</f>
        <v>7</v>
      </c>
      <c r="X225">
        <f t="shared" si="94"/>
        <v>0.66666666666666663</v>
      </c>
      <c r="Y225">
        <f>step3_validation[[#This Row],[AI_TRU2]]</f>
        <v>9</v>
      </c>
      <c r="Z225">
        <f t="shared" si="95"/>
        <v>0.88888888888888884</v>
      </c>
      <c r="AA225">
        <f>[1]!survey_responses[[#This Row],[Tôi thấy mức thuế tôi phải đóng theo phương án mới là công bằng (người thu nhập như tôi đóng mức này là hợp lý). - HUMAN-TRU2]]</f>
        <v>7</v>
      </c>
      <c r="AB225">
        <f t="shared" si="96"/>
        <v>0.66666666666666663</v>
      </c>
      <c r="AC225">
        <f>step3_validation[[#This Row],[AI_TRU3]]</f>
        <v>8</v>
      </c>
      <c r="AD225">
        <f t="shared" si="97"/>
        <v>0.77777777777777779</v>
      </c>
      <c r="AE225">
        <f>[1]!survey_responses[[#This Row],[Tôi tin tưởng số tiền thuế tôi đóng sẽ được Nhà nước sử dụng hiệu quả để cải thiện dịch vụ công (y tế, đường xá...). - HUMAN-TRU3]]</f>
        <v>7</v>
      </c>
      <c r="AF225">
        <f t="shared" si="98"/>
        <v>0.66666666666666663</v>
      </c>
      <c r="AG225">
        <f>step3_validation[[#This Row],[AI_TRU4]]</f>
        <v>7</v>
      </c>
      <c r="AH225">
        <f t="shared" si="99"/>
        <v>0.66666666666666663</v>
      </c>
      <c r="AI225">
        <f>[1]!survey_responses[[#This Row],[Tôi thấy Nhà nước đã giải thích rõ ràng, minh bạch về lý do và mục tiêu của việc sửa đổi thuế lần này. - HUMAN-TRU4]]</f>
        <v>7</v>
      </c>
      <c r="AJ225">
        <f t="shared" si="100"/>
        <v>0.66666666666666663</v>
      </c>
      <c r="AK225" s="32">
        <f t="shared" si="101"/>
        <v>0.77777777777777768</v>
      </c>
      <c r="AL225" s="32">
        <f t="shared" si="102"/>
        <v>0.66666666666666663</v>
      </c>
      <c r="AM225" s="7">
        <f t="shared" si="103"/>
        <v>0.81481481481481477</v>
      </c>
      <c r="AN225" s="7">
        <f t="shared" si="104"/>
        <v>0.66666666666666663</v>
      </c>
      <c r="AO225">
        <f>step3_validation[[#This Row],[AI_OUT1]]</f>
        <v>9</v>
      </c>
      <c r="AP225">
        <f t="shared" si="105"/>
        <v>0.88888888888888884</v>
      </c>
      <c r="AQ225">
        <f>[1]!survey_responses[[#This Row],[Sau khi xem xét các quyền lợi và nghĩa vụ, bạn có ủng hộ và tuân thủ chính sách mới hiện nay? - HUMAN-OUT1]]</f>
        <v>7</v>
      </c>
      <c r="AR225">
        <f t="shared" si="106"/>
        <v>0.66666666666666663</v>
      </c>
      <c r="AS225" s="32">
        <f t="shared" si="107"/>
        <v>2</v>
      </c>
    </row>
    <row r="226" spans="1:45" x14ac:dyDescent="0.45">
      <c r="A226">
        <f>step3_validation[[#This Row],[AI_ENF1]]</f>
        <v>6</v>
      </c>
      <c r="B226">
        <f t="shared" si="81"/>
        <v>0.55555555555555558</v>
      </c>
      <c r="C226">
        <f>[1]!survey_responses[[#This Row],[Tôi tin rằng với các quy định quản lý thuế hiện nay, hành vi gian lận hoặc trốn thuế sẽ dễ dàng bị phát hiện và xử lý nghiêm. - HUMAN-ENF1]]</f>
        <v>6</v>
      </c>
      <c r="D226">
        <f t="shared" si="82"/>
        <v>0.55555555555555558</v>
      </c>
      <c r="E226">
        <f>step3_validation[[#This Row],[AI_ENF2]]</f>
        <v>7</v>
      </c>
      <c r="F226">
        <f t="shared" si="83"/>
        <v>0.66666666666666663</v>
      </c>
      <c r="G226">
        <f>[1]!survey_responses[[#This Row],[Tôi tin rằng Nhà nước, cơ quan thuế có đủ khả năng và công nghệ để phát hiện, xử lý nghiêm các hành vi trốn thuế. - HUMAN-ENF2]]</f>
        <v>6</v>
      </c>
      <c r="H226">
        <f t="shared" si="84"/>
        <v>0.55555555555555558</v>
      </c>
      <c r="I226" s="32">
        <f t="shared" si="85"/>
        <v>0.61111111111111116</v>
      </c>
      <c r="J226" s="32">
        <f t="shared" si="86"/>
        <v>0.55555555555555558</v>
      </c>
      <c r="K226">
        <f>step3_validation[[#This Row],[AI_FAC1]]</f>
        <v>8</v>
      </c>
      <c r="L226">
        <f t="shared" si="87"/>
        <v>0.77777777777777779</v>
      </c>
      <c r="M226">
        <f>[1]!survey_responses[[#This Row],[Các thủ tục khai báo thuế VÀ/HOẶC quy trình làm việc với cơ quan thuế đơn giản, tiện lợi, nhanh chóng hơn so với trước đây. - HUMAN-FAC1]]</f>
        <v>7</v>
      </c>
      <c r="N226">
        <f t="shared" si="88"/>
        <v>0.66666666666666663</v>
      </c>
      <c r="O226">
        <f>step3_validation[[#This Row],[AI_FAC2]]</f>
        <v>9</v>
      </c>
      <c r="P226">
        <f t="shared" si="89"/>
        <v>0.88888888888888884</v>
      </c>
      <c r="Q226">
        <f>[1]!survey_responses[[#This Row],[So với trước đây, tôi thấy cách tính thuế và các bậc thuế trong phương án mới đơn giản, dễ hiểu và dễ thực hiện hơn. - HUMAN-FAC2]]</f>
        <v>7</v>
      </c>
      <c r="R226">
        <f t="shared" si="90"/>
        <v>0.66666666666666663</v>
      </c>
      <c r="S226" s="32">
        <f t="shared" si="91"/>
        <v>0.83333333333333326</v>
      </c>
      <c r="T226" s="32">
        <f t="shared" si="92"/>
        <v>0.66666666666666663</v>
      </c>
      <c r="U226">
        <f>step3_validation[[#This Row],[AI_TRU1]]</f>
        <v>7</v>
      </c>
      <c r="V226">
        <f t="shared" si="93"/>
        <v>0.66666666666666663</v>
      </c>
      <c r="W226">
        <f>[1]!survey_responses[[#This Row],[Tôi tin rằng Nhà nước, cơ quan thuế sẽ thực thi chính sách mới một cách khách quan, công tâm và đối xử bình đẳng với mọi người nộp thuế.  - HUMAN-TRU1]]</f>
        <v>5</v>
      </c>
      <c r="X226">
        <f t="shared" si="94"/>
        <v>0.44444444444444442</v>
      </c>
      <c r="Y226">
        <f>step3_validation[[#This Row],[AI_TRU2]]</f>
        <v>8</v>
      </c>
      <c r="Z226">
        <f t="shared" si="95"/>
        <v>0.77777777777777779</v>
      </c>
      <c r="AA226">
        <f>[1]!survey_responses[[#This Row],[Tôi thấy mức thuế tôi phải đóng theo phương án mới là công bằng (người thu nhập như tôi đóng mức này là hợp lý). - HUMAN-TRU2]]</f>
        <v>6</v>
      </c>
      <c r="AB226">
        <f t="shared" si="96"/>
        <v>0.55555555555555558</v>
      </c>
      <c r="AC226">
        <f>step3_validation[[#This Row],[AI_TRU3]]</f>
        <v>6</v>
      </c>
      <c r="AD226">
        <f t="shared" si="97"/>
        <v>0.55555555555555558</v>
      </c>
      <c r="AE226">
        <f>[1]!survey_responses[[#This Row],[Tôi tin tưởng số tiền thuế tôi đóng sẽ được Nhà nước sử dụng hiệu quả để cải thiện dịch vụ công (y tế, đường xá...). - HUMAN-TRU3]]</f>
        <v>6</v>
      </c>
      <c r="AF226">
        <f t="shared" si="98"/>
        <v>0.55555555555555558</v>
      </c>
      <c r="AG226">
        <f>step3_validation[[#This Row],[AI_TRU4]]</f>
        <v>7</v>
      </c>
      <c r="AH226">
        <f t="shared" si="99"/>
        <v>0.66666666666666663</v>
      </c>
      <c r="AI226">
        <f>[1]!survey_responses[[#This Row],[Tôi thấy Nhà nước đã giải thích rõ ràng, minh bạch về lý do và mục tiêu của việc sửa đổi thuế lần này. - HUMAN-TRU4]]</f>
        <v>6</v>
      </c>
      <c r="AJ226">
        <f t="shared" si="100"/>
        <v>0.55555555555555558</v>
      </c>
      <c r="AK226" s="32">
        <f t="shared" si="101"/>
        <v>0.66666666666666663</v>
      </c>
      <c r="AL226" s="32">
        <f t="shared" si="102"/>
        <v>0.52777777777777779</v>
      </c>
      <c r="AM226" s="7">
        <f t="shared" si="103"/>
        <v>0.70370370370370372</v>
      </c>
      <c r="AN226" s="7">
        <f t="shared" si="104"/>
        <v>0.58333333333333337</v>
      </c>
      <c r="AO226">
        <f>step3_validation[[#This Row],[AI_OUT1]]</f>
        <v>8</v>
      </c>
      <c r="AP226">
        <f t="shared" si="105"/>
        <v>0.77777777777777779</v>
      </c>
      <c r="AQ226">
        <f>[1]!survey_responses[[#This Row],[Sau khi xem xét các quyền lợi và nghĩa vụ, bạn có ủng hộ và tuân thủ chính sách mới hiện nay? - HUMAN-OUT1]]</f>
        <v>7</v>
      </c>
      <c r="AR226">
        <f t="shared" si="106"/>
        <v>0.66666666666666663</v>
      </c>
      <c r="AS226" s="32">
        <f t="shared" si="107"/>
        <v>1</v>
      </c>
    </row>
    <row r="227" spans="1:45" x14ac:dyDescent="0.45">
      <c r="A227">
        <f>step3_validation[[#This Row],[AI_ENF1]]</f>
        <v>8</v>
      </c>
      <c r="B227">
        <f t="shared" si="81"/>
        <v>0.77777777777777779</v>
      </c>
      <c r="C227">
        <f>[1]!survey_responses[[#This Row],[Tôi tin rằng với các quy định quản lý thuế hiện nay, hành vi gian lận hoặc trốn thuế sẽ dễ dàng bị phát hiện và xử lý nghiêm. - HUMAN-ENF1]]</f>
        <v>7</v>
      </c>
      <c r="D227">
        <f t="shared" si="82"/>
        <v>0.66666666666666663</v>
      </c>
      <c r="E227">
        <f>step3_validation[[#This Row],[AI_ENF2]]</f>
        <v>7</v>
      </c>
      <c r="F227">
        <f t="shared" si="83"/>
        <v>0.66666666666666663</v>
      </c>
      <c r="G227">
        <f>[1]!survey_responses[[#This Row],[Tôi tin rằng Nhà nước, cơ quan thuế có đủ khả năng và công nghệ để phát hiện, xử lý nghiêm các hành vi trốn thuế. - HUMAN-ENF2]]</f>
        <v>7</v>
      </c>
      <c r="H227">
        <f t="shared" si="84"/>
        <v>0.66666666666666663</v>
      </c>
      <c r="I227" s="32">
        <f t="shared" si="85"/>
        <v>0.72222222222222221</v>
      </c>
      <c r="J227" s="32">
        <f t="shared" si="86"/>
        <v>0.66666666666666663</v>
      </c>
      <c r="K227">
        <f>step3_validation[[#This Row],[AI_FAC1]]</f>
        <v>9</v>
      </c>
      <c r="L227">
        <f t="shared" si="87"/>
        <v>0.88888888888888884</v>
      </c>
      <c r="M227">
        <f>[1]!survey_responses[[#This Row],[Các thủ tục khai báo thuế VÀ/HOẶC quy trình làm việc với cơ quan thuế đơn giản, tiện lợi, nhanh chóng hơn so với trước đây. - HUMAN-FAC1]]</f>
        <v>6</v>
      </c>
      <c r="N227">
        <f t="shared" si="88"/>
        <v>0.55555555555555558</v>
      </c>
      <c r="O227">
        <f>step3_validation[[#This Row],[AI_FAC2]]</f>
        <v>8</v>
      </c>
      <c r="P227">
        <f t="shared" si="89"/>
        <v>0.77777777777777779</v>
      </c>
      <c r="Q227">
        <f>[1]!survey_responses[[#This Row],[So với trước đây, tôi thấy cách tính thuế và các bậc thuế trong phương án mới đơn giản, dễ hiểu và dễ thực hiện hơn. - HUMAN-FAC2]]</f>
        <v>7</v>
      </c>
      <c r="R227">
        <f t="shared" si="90"/>
        <v>0.66666666666666663</v>
      </c>
      <c r="S227" s="32">
        <f t="shared" si="91"/>
        <v>0.83333333333333326</v>
      </c>
      <c r="T227" s="32">
        <f t="shared" si="92"/>
        <v>0.61111111111111116</v>
      </c>
      <c r="U227">
        <f>step3_validation[[#This Row],[AI_TRU1]]</f>
        <v>7</v>
      </c>
      <c r="V227">
        <f t="shared" si="93"/>
        <v>0.66666666666666663</v>
      </c>
      <c r="W227">
        <f>[1]!survey_responses[[#This Row],[Tôi tin rằng Nhà nước, cơ quan thuế sẽ thực thi chính sách mới một cách khách quan, công tâm và đối xử bình đẳng với mọi người nộp thuế.  - HUMAN-TRU1]]</f>
        <v>7</v>
      </c>
      <c r="X227">
        <f t="shared" si="94"/>
        <v>0.66666666666666663</v>
      </c>
      <c r="Y227">
        <f>step3_validation[[#This Row],[AI_TRU2]]</f>
        <v>6</v>
      </c>
      <c r="Z227">
        <f t="shared" si="95"/>
        <v>0.55555555555555558</v>
      </c>
      <c r="AA227">
        <f>[1]!survey_responses[[#This Row],[Tôi thấy mức thuế tôi phải đóng theo phương án mới là công bằng (người thu nhập như tôi đóng mức này là hợp lý). - HUMAN-TRU2]]</f>
        <v>7</v>
      </c>
      <c r="AB227">
        <f t="shared" si="96"/>
        <v>0.66666666666666663</v>
      </c>
      <c r="AC227">
        <f>step3_validation[[#This Row],[AI_TRU3]]</f>
        <v>5</v>
      </c>
      <c r="AD227">
        <f t="shared" si="97"/>
        <v>0.44444444444444442</v>
      </c>
      <c r="AE227">
        <f>[1]!survey_responses[[#This Row],[Tôi tin tưởng số tiền thuế tôi đóng sẽ được Nhà nước sử dụng hiệu quả để cải thiện dịch vụ công (y tế, đường xá...). - HUMAN-TRU3]]</f>
        <v>7</v>
      </c>
      <c r="AF227">
        <f t="shared" si="98"/>
        <v>0.66666666666666663</v>
      </c>
      <c r="AG227">
        <f>step3_validation[[#This Row],[AI_TRU4]]</f>
        <v>4</v>
      </c>
      <c r="AH227">
        <f t="shared" si="99"/>
        <v>0.33333333333333331</v>
      </c>
      <c r="AI227">
        <f>[1]!survey_responses[[#This Row],[Tôi thấy Nhà nước đã giải thích rõ ràng, minh bạch về lý do và mục tiêu của việc sửa đổi thuế lần này. - HUMAN-TRU4]]</f>
        <v>7</v>
      </c>
      <c r="AJ227">
        <f t="shared" si="100"/>
        <v>0.66666666666666663</v>
      </c>
      <c r="AK227" s="32">
        <f t="shared" si="101"/>
        <v>0.5</v>
      </c>
      <c r="AL227" s="32">
        <f t="shared" si="102"/>
        <v>0.66666666666666663</v>
      </c>
      <c r="AM227" s="7">
        <f t="shared" si="103"/>
        <v>0.68518518518518512</v>
      </c>
      <c r="AN227" s="7">
        <f t="shared" si="104"/>
        <v>0.64814814814814803</v>
      </c>
      <c r="AO227">
        <f>step3_validation[[#This Row],[AI_OUT1]]</f>
        <v>6</v>
      </c>
      <c r="AP227">
        <f t="shared" si="105"/>
        <v>0.55555555555555558</v>
      </c>
      <c r="AQ227">
        <f>[1]!survey_responses[[#This Row],[Sau khi xem xét các quyền lợi và nghĩa vụ, bạn có ủng hộ và tuân thủ chính sách mới hiện nay? - HUMAN-OUT1]]</f>
        <v>7</v>
      </c>
      <c r="AR227">
        <f t="shared" si="106"/>
        <v>0.66666666666666663</v>
      </c>
      <c r="AS227" s="32">
        <f t="shared" si="107"/>
        <v>1</v>
      </c>
    </row>
    <row r="228" spans="1:45" x14ac:dyDescent="0.45">
      <c r="A228">
        <f>step3_validation[[#This Row],[AI_ENF1]]</f>
        <v>6</v>
      </c>
      <c r="B228">
        <f t="shared" si="81"/>
        <v>0.55555555555555558</v>
      </c>
      <c r="C228">
        <f>[1]!survey_responses[[#This Row],[Tôi tin rằng với các quy định quản lý thuế hiện nay, hành vi gian lận hoặc trốn thuế sẽ dễ dàng bị phát hiện và xử lý nghiêm. - HUMAN-ENF1]]</f>
        <v>6</v>
      </c>
      <c r="D228">
        <f t="shared" si="82"/>
        <v>0.55555555555555558</v>
      </c>
      <c r="E228">
        <f>step3_validation[[#This Row],[AI_ENF2]]</f>
        <v>8</v>
      </c>
      <c r="F228">
        <f t="shared" si="83"/>
        <v>0.77777777777777779</v>
      </c>
      <c r="G228">
        <f>[1]!survey_responses[[#This Row],[Tôi tin rằng Nhà nước, cơ quan thuế có đủ khả năng và công nghệ để phát hiện, xử lý nghiêm các hành vi trốn thuế. - HUMAN-ENF2]]</f>
        <v>6</v>
      </c>
      <c r="H228">
        <f t="shared" si="84"/>
        <v>0.55555555555555558</v>
      </c>
      <c r="I228" s="32">
        <f t="shared" si="85"/>
        <v>0.66666666666666674</v>
      </c>
      <c r="J228" s="32">
        <f t="shared" si="86"/>
        <v>0.55555555555555558</v>
      </c>
      <c r="K228">
        <f>step3_validation[[#This Row],[AI_FAC1]]</f>
        <v>7</v>
      </c>
      <c r="L228">
        <f t="shared" si="87"/>
        <v>0.66666666666666663</v>
      </c>
      <c r="M228">
        <f>[1]!survey_responses[[#This Row],[Các thủ tục khai báo thuế VÀ/HOẶC quy trình làm việc với cơ quan thuế đơn giản, tiện lợi, nhanh chóng hơn so với trước đây. - HUMAN-FAC1]]</f>
        <v>6</v>
      </c>
      <c r="N228">
        <f t="shared" si="88"/>
        <v>0.55555555555555558</v>
      </c>
      <c r="O228">
        <f>step3_validation[[#This Row],[AI_FAC2]]</f>
        <v>8</v>
      </c>
      <c r="P228">
        <f t="shared" si="89"/>
        <v>0.77777777777777779</v>
      </c>
      <c r="Q228">
        <f>[1]!survey_responses[[#This Row],[So với trước đây, tôi thấy cách tính thuế và các bậc thuế trong phương án mới đơn giản, dễ hiểu và dễ thực hiện hơn. - HUMAN-FAC2]]</f>
        <v>6</v>
      </c>
      <c r="R228">
        <f t="shared" si="90"/>
        <v>0.55555555555555558</v>
      </c>
      <c r="S228" s="32">
        <f t="shared" si="91"/>
        <v>0.72222222222222221</v>
      </c>
      <c r="T228" s="32">
        <f t="shared" si="92"/>
        <v>0.55555555555555558</v>
      </c>
      <c r="U228">
        <f>step3_validation[[#This Row],[AI_TRU1]]</f>
        <v>7</v>
      </c>
      <c r="V228">
        <f t="shared" si="93"/>
        <v>0.66666666666666663</v>
      </c>
      <c r="W228">
        <f>[1]!survey_responses[[#This Row],[Tôi tin rằng Nhà nước, cơ quan thuế sẽ thực thi chính sách mới một cách khách quan, công tâm và đối xử bình đẳng với mọi người nộp thuế.  - HUMAN-TRU1]]</f>
        <v>6</v>
      </c>
      <c r="X228">
        <f t="shared" si="94"/>
        <v>0.55555555555555558</v>
      </c>
      <c r="Y228">
        <f>step3_validation[[#This Row],[AI_TRU2]]</f>
        <v>7</v>
      </c>
      <c r="Z228">
        <f t="shared" si="95"/>
        <v>0.66666666666666663</v>
      </c>
      <c r="AA228">
        <f>[1]!survey_responses[[#This Row],[Tôi thấy mức thuế tôi phải đóng theo phương án mới là công bằng (người thu nhập như tôi đóng mức này là hợp lý). - HUMAN-TRU2]]</f>
        <v>6</v>
      </c>
      <c r="AB228">
        <f t="shared" si="96"/>
        <v>0.55555555555555558</v>
      </c>
      <c r="AC228">
        <f>step3_validation[[#This Row],[AI_TRU3]]</f>
        <v>7</v>
      </c>
      <c r="AD228">
        <f t="shared" si="97"/>
        <v>0.66666666666666663</v>
      </c>
      <c r="AE228">
        <f>[1]!survey_responses[[#This Row],[Tôi tin tưởng số tiền thuế tôi đóng sẽ được Nhà nước sử dụng hiệu quả để cải thiện dịch vụ công (y tế, đường xá...). - HUMAN-TRU3]]</f>
        <v>6</v>
      </c>
      <c r="AF228">
        <f t="shared" si="98"/>
        <v>0.55555555555555558</v>
      </c>
      <c r="AG228">
        <f>step3_validation[[#This Row],[AI_TRU4]]</f>
        <v>6</v>
      </c>
      <c r="AH228">
        <f t="shared" si="99"/>
        <v>0.55555555555555558</v>
      </c>
      <c r="AI228">
        <f>[1]!survey_responses[[#This Row],[Tôi thấy Nhà nước đã giải thích rõ ràng, minh bạch về lý do và mục tiêu của việc sửa đổi thuế lần này. - HUMAN-TRU4]]</f>
        <v>6</v>
      </c>
      <c r="AJ228">
        <f t="shared" si="100"/>
        <v>0.55555555555555558</v>
      </c>
      <c r="AK228" s="32">
        <f t="shared" si="101"/>
        <v>0.63888888888888884</v>
      </c>
      <c r="AL228" s="32">
        <f t="shared" si="102"/>
        <v>0.55555555555555558</v>
      </c>
      <c r="AM228" s="7">
        <f t="shared" si="103"/>
        <v>0.67592592592592593</v>
      </c>
      <c r="AN228" s="7">
        <f t="shared" si="104"/>
        <v>0.55555555555555558</v>
      </c>
      <c r="AO228">
        <f>step3_validation[[#This Row],[AI_OUT1]]</f>
        <v>6</v>
      </c>
      <c r="AP228">
        <f t="shared" si="105"/>
        <v>0.55555555555555558</v>
      </c>
      <c r="AQ228">
        <f>[1]!survey_responses[[#This Row],[Sau khi xem xét các quyền lợi và nghĩa vụ, bạn có ủng hộ và tuân thủ chính sách mới hiện nay? - HUMAN-OUT1]]</f>
        <v>6</v>
      </c>
      <c r="AR228">
        <f t="shared" si="106"/>
        <v>0.55555555555555558</v>
      </c>
      <c r="AS228" s="32">
        <f t="shared" si="107"/>
        <v>0</v>
      </c>
    </row>
    <row r="229" spans="1:45" x14ac:dyDescent="0.45">
      <c r="A229">
        <f>step3_validation[[#This Row],[AI_ENF1]]</f>
        <v>8</v>
      </c>
      <c r="B229">
        <f t="shared" si="81"/>
        <v>0.77777777777777779</v>
      </c>
      <c r="C229">
        <f>[1]!survey_responses[[#This Row],[Tôi tin rằng với các quy định quản lý thuế hiện nay, hành vi gian lận hoặc trốn thuế sẽ dễ dàng bị phát hiện và xử lý nghiêm. - HUMAN-ENF1]]</f>
        <v>8</v>
      </c>
      <c r="D229">
        <f t="shared" si="82"/>
        <v>0.77777777777777779</v>
      </c>
      <c r="E229">
        <f>step3_validation[[#This Row],[AI_ENF2]]</f>
        <v>7</v>
      </c>
      <c r="F229">
        <f t="shared" si="83"/>
        <v>0.66666666666666663</v>
      </c>
      <c r="G229">
        <f>[1]!survey_responses[[#This Row],[Tôi tin rằng Nhà nước, cơ quan thuế có đủ khả năng và công nghệ để phát hiện, xử lý nghiêm các hành vi trốn thuế. - HUMAN-ENF2]]</f>
        <v>9</v>
      </c>
      <c r="H229">
        <f t="shared" si="84"/>
        <v>0.88888888888888884</v>
      </c>
      <c r="I229" s="32">
        <f t="shared" si="85"/>
        <v>0.72222222222222221</v>
      </c>
      <c r="J229" s="32">
        <f t="shared" si="86"/>
        <v>0.83333333333333326</v>
      </c>
      <c r="K229">
        <f>step3_validation[[#This Row],[AI_FAC1]]</f>
        <v>8</v>
      </c>
      <c r="L229">
        <f t="shared" si="87"/>
        <v>0.77777777777777779</v>
      </c>
      <c r="M229">
        <f>[1]!survey_responses[[#This Row],[Các thủ tục khai báo thuế VÀ/HOẶC quy trình làm việc với cơ quan thuế đơn giản, tiện lợi, nhanh chóng hơn so với trước đây. - HUMAN-FAC1]]</f>
        <v>7</v>
      </c>
      <c r="N229">
        <f t="shared" si="88"/>
        <v>0.66666666666666663</v>
      </c>
      <c r="O229">
        <f>step3_validation[[#This Row],[AI_FAC2]]</f>
        <v>9</v>
      </c>
      <c r="P229">
        <f t="shared" si="89"/>
        <v>0.88888888888888884</v>
      </c>
      <c r="Q229">
        <f>[1]!survey_responses[[#This Row],[So với trước đây, tôi thấy cách tính thuế và các bậc thuế trong phương án mới đơn giản, dễ hiểu và dễ thực hiện hơn. - HUMAN-FAC2]]</f>
        <v>8</v>
      </c>
      <c r="R229">
        <f t="shared" si="90"/>
        <v>0.77777777777777779</v>
      </c>
      <c r="S229" s="32">
        <f t="shared" si="91"/>
        <v>0.83333333333333326</v>
      </c>
      <c r="T229" s="32">
        <f t="shared" si="92"/>
        <v>0.72222222222222221</v>
      </c>
      <c r="U229">
        <f>step3_validation[[#This Row],[AI_TRU1]]</f>
        <v>8</v>
      </c>
      <c r="V229">
        <f t="shared" si="93"/>
        <v>0.77777777777777779</v>
      </c>
      <c r="W229">
        <f>[1]!survey_responses[[#This Row],[Tôi tin rằng Nhà nước, cơ quan thuế sẽ thực thi chính sách mới một cách khách quan, công tâm và đối xử bình đẳng với mọi người nộp thuế.  - HUMAN-TRU1]]</f>
        <v>9</v>
      </c>
      <c r="X229">
        <f t="shared" si="94"/>
        <v>0.88888888888888884</v>
      </c>
      <c r="Y229">
        <f>step3_validation[[#This Row],[AI_TRU2]]</f>
        <v>7</v>
      </c>
      <c r="Z229">
        <f t="shared" si="95"/>
        <v>0.66666666666666663</v>
      </c>
      <c r="AA229">
        <f>[1]!survey_responses[[#This Row],[Tôi thấy mức thuế tôi phải đóng theo phương án mới là công bằng (người thu nhập như tôi đóng mức này là hợp lý). - HUMAN-TRU2]]</f>
        <v>8</v>
      </c>
      <c r="AB229">
        <f t="shared" si="96"/>
        <v>0.77777777777777779</v>
      </c>
      <c r="AC229">
        <f>step3_validation[[#This Row],[AI_TRU3]]</f>
        <v>6</v>
      </c>
      <c r="AD229">
        <f t="shared" si="97"/>
        <v>0.55555555555555558</v>
      </c>
      <c r="AE229">
        <f>[1]!survey_responses[[#This Row],[Tôi tin tưởng số tiền thuế tôi đóng sẽ được Nhà nước sử dụng hiệu quả để cải thiện dịch vụ công (y tế, đường xá...). - HUMAN-TRU3]]</f>
        <v>8</v>
      </c>
      <c r="AF229">
        <f t="shared" si="98"/>
        <v>0.77777777777777779</v>
      </c>
      <c r="AG229">
        <f>step3_validation[[#This Row],[AI_TRU4]]</f>
        <v>5</v>
      </c>
      <c r="AH229">
        <f t="shared" si="99"/>
        <v>0.44444444444444442</v>
      </c>
      <c r="AI229">
        <f>[1]!survey_responses[[#This Row],[Tôi thấy Nhà nước đã giải thích rõ ràng, minh bạch về lý do và mục tiêu của việc sửa đổi thuế lần này. - HUMAN-TRU4]]</f>
        <v>8</v>
      </c>
      <c r="AJ229">
        <f t="shared" si="100"/>
        <v>0.77777777777777779</v>
      </c>
      <c r="AK229" s="32">
        <f t="shared" si="101"/>
        <v>0.61111111111111116</v>
      </c>
      <c r="AL229" s="32">
        <f t="shared" si="102"/>
        <v>0.80555555555555547</v>
      </c>
      <c r="AM229" s="7">
        <f t="shared" si="103"/>
        <v>0.72222222222222221</v>
      </c>
      <c r="AN229" s="7">
        <f t="shared" si="104"/>
        <v>0.78703703703703687</v>
      </c>
      <c r="AO229">
        <f>step3_validation[[#This Row],[AI_OUT1]]</f>
        <v>6</v>
      </c>
      <c r="AP229">
        <f t="shared" si="105"/>
        <v>0.55555555555555558</v>
      </c>
      <c r="AQ229">
        <f>[1]!survey_responses[[#This Row],[Sau khi xem xét các quyền lợi và nghĩa vụ, bạn có ủng hộ và tuân thủ chính sách mới hiện nay? - HUMAN-OUT1]]</f>
        <v>8</v>
      </c>
      <c r="AR229">
        <f t="shared" si="106"/>
        <v>0.77777777777777779</v>
      </c>
      <c r="AS229" s="32">
        <f t="shared" si="107"/>
        <v>2</v>
      </c>
    </row>
    <row r="230" spans="1:45" x14ac:dyDescent="0.45">
      <c r="A230">
        <f>step3_validation[[#This Row],[AI_ENF1]]</f>
        <v>7</v>
      </c>
      <c r="B230">
        <f t="shared" si="81"/>
        <v>0.66666666666666663</v>
      </c>
      <c r="C230">
        <f>[1]!survey_responses[[#This Row],[Tôi tin rằng với các quy định quản lý thuế hiện nay, hành vi gian lận hoặc trốn thuế sẽ dễ dàng bị phát hiện và xử lý nghiêm. - HUMAN-ENF1]]</f>
        <v>6</v>
      </c>
      <c r="D230">
        <f t="shared" si="82"/>
        <v>0.55555555555555558</v>
      </c>
      <c r="E230">
        <f>step3_validation[[#This Row],[AI_ENF2]]</f>
        <v>8</v>
      </c>
      <c r="F230">
        <f t="shared" si="83"/>
        <v>0.77777777777777779</v>
      </c>
      <c r="G230">
        <f>[1]!survey_responses[[#This Row],[Tôi tin rằng Nhà nước, cơ quan thuế có đủ khả năng và công nghệ để phát hiện, xử lý nghiêm các hành vi trốn thuế. - HUMAN-ENF2]]</f>
        <v>6</v>
      </c>
      <c r="H230">
        <f t="shared" si="84"/>
        <v>0.55555555555555558</v>
      </c>
      <c r="I230" s="32">
        <f t="shared" si="85"/>
        <v>0.72222222222222221</v>
      </c>
      <c r="J230" s="32">
        <f t="shared" si="86"/>
        <v>0.55555555555555558</v>
      </c>
      <c r="K230">
        <f>step3_validation[[#This Row],[AI_FAC1]]</f>
        <v>6</v>
      </c>
      <c r="L230">
        <f t="shared" si="87"/>
        <v>0.55555555555555558</v>
      </c>
      <c r="M230">
        <f>[1]!survey_responses[[#This Row],[Các thủ tục khai báo thuế VÀ/HOẶC quy trình làm việc với cơ quan thuế đơn giản, tiện lợi, nhanh chóng hơn so với trước đây. - HUMAN-FAC1]]</f>
        <v>6</v>
      </c>
      <c r="N230">
        <f t="shared" si="88"/>
        <v>0.55555555555555558</v>
      </c>
      <c r="O230">
        <f>step3_validation[[#This Row],[AI_FAC2]]</f>
        <v>8</v>
      </c>
      <c r="P230">
        <f t="shared" si="89"/>
        <v>0.77777777777777779</v>
      </c>
      <c r="Q230">
        <f>[1]!survey_responses[[#This Row],[So với trước đây, tôi thấy cách tính thuế và các bậc thuế trong phương án mới đơn giản, dễ hiểu và dễ thực hiện hơn. - HUMAN-FAC2]]</f>
        <v>6</v>
      </c>
      <c r="R230">
        <f t="shared" si="90"/>
        <v>0.55555555555555558</v>
      </c>
      <c r="S230" s="32">
        <f t="shared" si="91"/>
        <v>0.66666666666666674</v>
      </c>
      <c r="T230" s="32">
        <f t="shared" si="92"/>
        <v>0.55555555555555558</v>
      </c>
      <c r="U230">
        <f>step3_validation[[#This Row],[AI_TRU1]]</f>
        <v>7</v>
      </c>
      <c r="V230">
        <f t="shared" si="93"/>
        <v>0.66666666666666663</v>
      </c>
      <c r="W230">
        <f>[1]!survey_responses[[#This Row],[Tôi tin rằng Nhà nước, cơ quan thuế sẽ thực thi chính sách mới một cách khách quan, công tâm và đối xử bình đẳng với mọi người nộp thuế.  - HUMAN-TRU1]]</f>
        <v>6</v>
      </c>
      <c r="X230">
        <f t="shared" si="94"/>
        <v>0.55555555555555558</v>
      </c>
      <c r="Y230">
        <f>step3_validation[[#This Row],[AI_TRU2]]</f>
        <v>8</v>
      </c>
      <c r="Z230">
        <f t="shared" si="95"/>
        <v>0.77777777777777779</v>
      </c>
      <c r="AA230">
        <f>[1]!survey_responses[[#This Row],[Tôi thấy mức thuế tôi phải đóng theo phương án mới là công bằng (người thu nhập như tôi đóng mức này là hợp lý). - HUMAN-TRU2]]</f>
        <v>7</v>
      </c>
      <c r="AB230">
        <f t="shared" si="96"/>
        <v>0.66666666666666663</v>
      </c>
      <c r="AC230">
        <f>step3_validation[[#This Row],[AI_TRU3]]</f>
        <v>7</v>
      </c>
      <c r="AD230">
        <f t="shared" si="97"/>
        <v>0.66666666666666663</v>
      </c>
      <c r="AE230">
        <f>[1]!survey_responses[[#This Row],[Tôi tin tưởng số tiền thuế tôi đóng sẽ được Nhà nước sử dụng hiệu quả để cải thiện dịch vụ công (y tế, đường xá...). - HUMAN-TRU3]]</f>
        <v>6</v>
      </c>
      <c r="AF230">
        <f t="shared" si="98"/>
        <v>0.55555555555555558</v>
      </c>
      <c r="AG230">
        <f>step3_validation[[#This Row],[AI_TRU4]]</f>
        <v>6</v>
      </c>
      <c r="AH230">
        <f t="shared" si="99"/>
        <v>0.55555555555555558</v>
      </c>
      <c r="AI230">
        <f>[1]!survey_responses[[#This Row],[Tôi thấy Nhà nước đã giải thích rõ ràng, minh bạch về lý do và mục tiêu của việc sửa đổi thuế lần này. - HUMAN-TRU4]]</f>
        <v>6</v>
      </c>
      <c r="AJ230">
        <f t="shared" si="100"/>
        <v>0.55555555555555558</v>
      </c>
      <c r="AK230" s="32">
        <f t="shared" si="101"/>
        <v>0.66666666666666674</v>
      </c>
      <c r="AL230" s="32">
        <f t="shared" si="102"/>
        <v>0.58333333333333337</v>
      </c>
      <c r="AM230" s="7">
        <f t="shared" si="103"/>
        <v>0.68518518518518512</v>
      </c>
      <c r="AN230" s="7">
        <f t="shared" si="104"/>
        <v>0.56481481481481488</v>
      </c>
      <c r="AO230">
        <f>step3_validation[[#This Row],[AI_OUT1]]</f>
        <v>6</v>
      </c>
      <c r="AP230">
        <f t="shared" si="105"/>
        <v>0.55555555555555558</v>
      </c>
      <c r="AQ230">
        <f>[1]!survey_responses[[#This Row],[Sau khi xem xét các quyền lợi và nghĩa vụ, bạn có ủng hộ và tuân thủ chính sách mới hiện nay? - HUMAN-OUT1]]</f>
        <v>7</v>
      </c>
      <c r="AR230">
        <f t="shared" si="106"/>
        <v>0.66666666666666663</v>
      </c>
      <c r="AS230" s="32">
        <f t="shared" si="107"/>
        <v>1</v>
      </c>
    </row>
    <row r="231" spans="1:45" x14ac:dyDescent="0.45">
      <c r="A231">
        <f>step3_validation[[#This Row],[AI_ENF1]]</f>
        <v>8</v>
      </c>
      <c r="B231">
        <f t="shared" si="81"/>
        <v>0.77777777777777779</v>
      </c>
      <c r="C231">
        <f>[1]!survey_responses[[#This Row],[Tôi tin rằng với các quy định quản lý thuế hiện nay, hành vi gian lận hoặc trốn thuế sẽ dễ dàng bị phát hiện và xử lý nghiêm. - HUMAN-ENF1]]</f>
        <v>4</v>
      </c>
      <c r="D231">
        <f t="shared" si="82"/>
        <v>0.33333333333333331</v>
      </c>
      <c r="E231">
        <f>step3_validation[[#This Row],[AI_ENF2]]</f>
        <v>7</v>
      </c>
      <c r="F231">
        <f t="shared" si="83"/>
        <v>0.66666666666666663</v>
      </c>
      <c r="G231">
        <f>[1]!survey_responses[[#This Row],[Tôi tin rằng Nhà nước, cơ quan thuế có đủ khả năng và công nghệ để phát hiện, xử lý nghiêm các hành vi trốn thuế. - HUMAN-ENF2]]</f>
        <v>5</v>
      </c>
      <c r="H231">
        <f t="shared" si="84"/>
        <v>0.44444444444444442</v>
      </c>
      <c r="I231" s="32">
        <f t="shared" si="85"/>
        <v>0.72222222222222221</v>
      </c>
      <c r="J231" s="32">
        <f t="shared" si="86"/>
        <v>0.38888888888888884</v>
      </c>
      <c r="K231">
        <f>step3_validation[[#This Row],[AI_FAC1]]</f>
        <v>7</v>
      </c>
      <c r="L231">
        <f t="shared" si="87"/>
        <v>0.66666666666666663</v>
      </c>
      <c r="M231">
        <f>[1]!survey_responses[[#This Row],[Các thủ tục khai báo thuế VÀ/HOẶC quy trình làm việc với cơ quan thuế đơn giản, tiện lợi, nhanh chóng hơn so với trước đây. - HUMAN-FAC1]]</f>
        <v>1</v>
      </c>
      <c r="N231">
        <f t="shared" si="88"/>
        <v>0</v>
      </c>
      <c r="O231">
        <f>step3_validation[[#This Row],[AI_FAC2]]</f>
        <v>8</v>
      </c>
      <c r="P231">
        <f t="shared" si="89"/>
        <v>0.77777777777777779</v>
      </c>
      <c r="Q231">
        <f>[1]!survey_responses[[#This Row],[So với trước đây, tôi thấy cách tính thuế và các bậc thuế trong phương án mới đơn giản, dễ hiểu và dễ thực hiện hơn. - HUMAN-FAC2]]</f>
        <v>6</v>
      </c>
      <c r="R231">
        <f t="shared" si="90"/>
        <v>0.55555555555555558</v>
      </c>
      <c r="S231" s="32">
        <f t="shared" si="91"/>
        <v>0.72222222222222221</v>
      </c>
      <c r="T231" s="32">
        <f t="shared" si="92"/>
        <v>0.27777777777777779</v>
      </c>
      <c r="U231">
        <f>step3_validation[[#This Row],[AI_TRU1]]</f>
        <v>6</v>
      </c>
      <c r="V231">
        <f t="shared" si="93"/>
        <v>0.55555555555555558</v>
      </c>
      <c r="W231">
        <f>[1]!survey_responses[[#This Row],[Tôi tin rằng Nhà nước, cơ quan thuế sẽ thực thi chính sách mới một cách khách quan, công tâm và đối xử bình đẳng với mọi người nộp thuế.  - HUMAN-TRU1]]</f>
        <v>4</v>
      </c>
      <c r="X231">
        <f t="shared" si="94"/>
        <v>0.33333333333333331</v>
      </c>
      <c r="Y231">
        <f>step3_validation[[#This Row],[AI_TRU2]]</f>
        <v>7</v>
      </c>
      <c r="Z231">
        <f t="shared" si="95"/>
        <v>0.66666666666666663</v>
      </c>
      <c r="AA231">
        <f>[1]!survey_responses[[#This Row],[Tôi thấy mức thuế tôi phải đóng theo phương án mới là công bằng (người thu nhập như tôi đóng mức này là hợp lý). - HUMAN-TRU2]]</f>
        <v>4</v>
      </c>
      <c r="AB231">
        <f t="shared" si="96"/>
        <v>0.33333333333333331</v>
      </c>
      <c r="AC231">
        <f>step3_validation[[#This Row],[AI_TRU3]]</f>
        <v>5</v>
      </c>
      <c r="AD231">
        <f t="shared" si="97"/>
        <v>0.44444444444444442</v>
      </c>
      <c r="AE231">
        <f>[1]!survey_responses[[#This Row],[Tôi tin tưởng số tiền thuế tôi đóng sẽ được Nhà nước sử dụng hiệu quả để cải thiện dịch vụ công (y tế, đường xá...). - HUMAN-TRU3]]</f>
        <v>5</v>
      </c>
      <c r="AF231">
        <f t="shared" si="98"/>
        <v>0.44444444444444442</v>
      </c>
      <c r="AG231">
        <f>step3_validation[[#This Row],[AI_TRU4]]</f>
        <v>6</v>
      </c>
      <c r="AH231">
        <f t="shared" si="99"/>
        <v>0.55555555555555558</v>
      </c>
      <c r="AI231">
        <f>[1]!survey_responses[[#This Row],[Tôi thấy Nhà nước đã giải thích rõ ràng, minh bạch về lý do và mục tiêu của việc sửa đổi thuế lần này. - HUMAN-TRU4]]</f>
        <v>5</v>
      </c>
      <c r="AJ231">
        <f t="shared" si="100"/>
        <v>0.44444444444444442</v>
      </c>
      <c r="AK231" s="32">
        <f t="shared" si="101"/>
        <v>0.55555555555555558</v>
      </c>
      <c r="AL231" s="32">
        <f t="shared" si="102"/>
        <v>0.3888888888888889</v>
      </c>
      <c r="AM231" s="7">
        <f t="shared" si="103"/>
        <v>0.66666666666666663</v>
      </c>
      <c r="AN231" s="7">
        <f t="shared" si="104"/>
        <v>0.35185185185185186</v>
      </c>
      <c r="AO231">
        <f>step3_validation[[#This Row],[AI_OUT1]]</f>
        <v>6</v>
      </c>
      <c r="AP231">
        <f t="shared" si="105"/>
        <v>0.55555555555555558</v>
      </c>
      <c r="AQ231">
        <f>[1]!survey_responses[[#This Row],[Sau khi xem xét các quyền lợi và nghĩa vụ, bạn có ủng hộ và tuân thủ chính sách mới hiện nay? - HUMAN-OUT1]]</f>
        <v>5</v>
      </c>
      <c r="AR231">
        <f t="shared" si="106"/>
        <v>0.44444444444444442</v>
      </c>
      <c r="AS231" s="32">
        <f t="shared" si="107"/>
        <v>1</v>
      </c>
    </row>
    <row r="232" spans="1:45" x14ac:dyDescent="0.45">
      <c r="A232">
        <f>step3_validation[[#This Row],[AI_ENF1]]</f>
        <v>7</v>
      </c>
      <c r="B232">
        <f t="shared" si="81"/>
        <v>0.66666666666666663</v>
      </c>
      <c r="C232">
        <f>[1]!survey_responses[[#This Row],[Tôi tin rằng với các quy định quản lý thuế hiện nay, hành vi gian lận hoặc trốn thuế sẽ dễ dàng bị phát hiện và xử lý nghiêm. - HUMAN-ENF1]]</f>
        <v>8</v>
      </c>
      <c r="D232">
        <f t="shared" si="82"/>
        <v>0.77777777777777779</v>
      </c>
      <c r="E232">
        <f>step3_validation[[#This Row],[AI_ENF2]]</f>
        <v>8</v>
      </c>
      <c r="F232">
        <f t="shared" si="83"/>
        <v>0.77777777777777779</v>
      </c>
      <c r="G232">
        <f>[1]!survey_responses[[#This Row],[Tôi tin rằng Nhà nước, cơ quan thuế có đủ khả năng và công nghệ để phát hiện, xử lý nghiêm các hành vi trốn thuế. - HUMAN-ENF2]]</f>
        <v>8</v>
      </c>
      <c r="H232">
        <f t="shared" si="84"/>
        <v>0.77777777777777779</v>
      </c>
      <c r="I232" s="32">
        <f t="shared" si="85"/>
        <v>0.72222222222222221</v>
      </c>
      <c r="J232" s="32">
        <f t="shared" si="86"/>
        <v>0.77777777777777779</v>
      </c>
      <c r="K232">
        <f>step3_validation[[#This Row],[AI_FAC1]]</f>
        <v>6</v>
      </c>
      <c r="L232">
        <f t="shared" si="87"/>
        <v>0.55555555555555558</v>
      </c>
      <c r="M232">
        <f>[1]!survey_responses[[#This Row],[Các thủ tục khai báo thuế VÀ/HOẶC quy trình làm việc với cơ quan thuế đơn giản, tiện lợi, nhanh chóng hơn so với trước đây. - HUMAN-FAC1]]</f>
        <v>8</v>
      </c>
      <c r="N232">
        <f t="shared" si="88"/>
        <v>0.77777777777777779</v>
      </c>
      <c r="O232">
        <f>step3_validation[[#This Row],[AI_FAC2]]</f>
        <v>8</v>
      </c>
      <c r="P232">
        <f t="shared" si="89"/>
        <v>0.77777777777777779</v>
      </c>
      <c r="Q232">
        <f>[1]!survey_responses[[#This Row],[So với trước đây, tôi thấy cách tính thuế và các bậc thuế trong phương án mới đơn giản, dễ hiểu và dễ thực hiện hơn. - HUMAN-FAC2]]</f>
        <v>8</v>
      </c>
      <c r="R232">
        <f t="shared" si="90"/>
        <v>0.77777777777777779</v>
      </c>
      <c r="S232" s="32">
        <f t="shared" si="91"/>
        <v>0.66666666666666674</v>
      </c>
      <c r="T232" s="32">
        <f t="shared" si="92"/>
        <v>0.77777777777777779</v>
      </c>
      <c r="U232">
        <f>step3_validation[[#This Row],[AI_TRU1]]</f>
        <v>7</v>
      </c>
      <c r="V232">
        <f t="shared" si="93"/>
        <v>0.66666666666666663</v>
      </c>
      <c r="W232">
        <f>[1]!survey_responses[[#This Row],[Tôi tin rằng Nhà nước, cơ quan thuế sẽ thực thi chính sách mới một cách khách quan, công tâm và đối xử bình đẳng với mọi người nộp thuế.  - HUMAN-TRU1]]</f>
        <v>7</v>
      </c>
      <c r="X232">
        <f t="shared" si="94"/>
        <v>0.66666666666666663</v>
      </c>
      <c r="Y232">
        <f>step3_validation[[#This Row],[AI_TRU2]]</f>
        <v>5</v>
      </c>
      <c r="Z232">
        <f t="shared" si="95"/>
        <v>0.44444444444444442</v>
      </c>
      <c r="AA232">
        <f>[1]!survey_responses[[#This Row],[Tôi thấy mức thuế tôi phải đóng theo phương án mới là công bằng (người thu nhập như tôi đóng mức này là hợp lý). - HUMAN-TRU2]]</f>
        <v>7</v>
      </c>
      <c r="AB232">
        <f t="shared" si="96"/>
        <v>0.66666666666666663</v>
      </c>
      <c r="AC232">
        <f>step3_validation[[#This Row],[AI_TRU3]]</f>
        <v>6</v>
      </c>
      <c r="AD232">
        <f t="shared" si="97"/>
        <v>0.55555555555555558</v>
      </c>
      <c r="AE232">
        <f>[1]!survey_responses[[#This Row],[Tôi tin tưởng số tiền thuế tôi đóng sẽ được Nhà nước sử dụng hiệu quả để cải thiện dịch vụ công (y tế, đường xá...). - HUMAN-TRU3]]</f>
        <v>8</v>
      </c>
      <c r="AF232">
        <f t="shared" si="98"/>
        <v>0.77777777777777779</v>
      </c>
      <c r="AG232">
        <f>step3_validation[[#This Row],[AI_TRU4]]</f>
        <v>4</v>
      </c>
      <c r="AH232">
        <f t="shared" si="99"/>
        <v>0.33333333333333331</v>
      </c>
      <c r="AI232">
        <f>[1]!survey_responses[[#This Row],[Tôi thấy Nhà nước đã giải thích rõ ràng, minh bạch về lý do và mục tiêu của việc sửa đổi thuế lần này. - HUMAN-TRU4]]</f>
        <v>7</v>
      </c>
      <c r="AJ232">
        <f t="shared" si="100"/>
        <v>0.66666666666666663</v>
      </c>
      <c r="AK232" s="32">
        <f t="shared" si="101"/>
        <v>0.5</v>
      </c>
      <c r="AL232" s="32">
        <f t="shared" si="102"/>
        <v>0.69444444444444442</v>
      </c>
      <c r="AM232" s="7">
        <f t="shared" si="103"/>
        <v>0.62962962962962965</v>
      </c>
      <c r="AN232" s="7">
        <f t="shared" si="104"/>
        <v>0.75</v>
      </c>
      <c r="AO232">
        <f>step3_validation[[#This Row],[AI_OUT1]]</f>
        <v>7</v>
      </c>
      <c r="AP232">
        <f t="shared" si="105"/>
        <v>0.66666666666666663</v>
      </c>
      <c r="AQ232">
        <f>[1]!survey_responses[[#This Row],[Sau khi xem xét các quyền lợi và nghĩa vụ, bạn có ủng hộ và tuân thủ chính sách mới hiện nay? - HUMAN-OUT1]]</f>
        <v>8</v>
      </c>
      <c r="AR232">
        <f t="shared" si="106"/>
        <v>0.77777777777777779</v>
      </c>
      <c r="AS232" s="32">
        <f t="shared" si="107"/>
        <v>1</v>
      </c>
    </row>
    <row r="233" spans="1:45" x14ac:dyDescent="0.45">
      <c r="A233">
        <f>step3_validation[[#This Row],[AI_ENF1]]</f>
        <v>8</v>
      </c>
      <c r="B233">
        <f t="shared" si="81"/>
        <v>0.77777777777777779</v>
      </c>
      <c r="C233">
        <f>[1]!survey_responses[[#This Row],[Tôi tin rằng với các quy định quản lý thuế hiện nay, hành vi gian lận hoặc trốn thuế sẽ dễ dàng bị phát hiện và xử lý nghiêm. - HUMAN-ENF1]]</f>
        <v>6</v>
      </c>
      <c r="D233">
        <f t="shared" si="82"/>
        <v>0.55555555555555558</v>
      </c>
      <c r="E233">
        <f>step3_validation[[#This Row],[AI_ENF2]]</f>
        <v>7</v>
      </c>
      <c r="F233">
        <f t="shared" si="83"/>
        <v>0.66666666666666663</v>
      </c>
      <c r="G233">
        <f>[1]!survey_responses[[#This Row],[Tôi tin rằng Nhà nước, cơ quan thuế có đủ khả năng và công nghệ để phát hiện, xử lý nghiêm các hành vi trốn thuế. - HUMAN-ENF2]]</f>
        <v>6</v>
      </c>
      <c r="H233">
        <f t="shared" si="84"/>
        <v>0.55555555555555558</v>
      </c>
      <c r="I233" s="32">
        <f t="shared" si="85"/>
        <v>0.72222222222222221</v>
      </c>
      <c r="J233" s="32">
        <f t="shared" si="86"/>
        <v>0.55555555555555558</v>
      </c>
      <c r="K233">
        <f>step3_validation[[#This Row],[AI_FAC1]]</f>
        <v>8</v>
      </c>
      <c r="L233">
        <f t="shared" si="87"/>
        <v>0.77777777777777779</v>
      </c>
      <c r="M233">
        <f>[1]!survey_responses[[#This Row],[Các thủ tục khai báo thuế VÀ/HOẶC quy trình làm việc với cơ quan thuế đơn giản, tiện lợi, nhanh chóng hơn so với trước đây. - HUMAN-FAC1]]</f>
        <v>6</v>
      </c>
      <c r="N233">
        <f t="shared" si="88"/>
        <v>0.55555555555555558</v>
      </c>
      <c r="O233">
        <f>step3_validation[[#This Row],[AI_FAC2]]</f>
        <v>9</v>
      </c>
      <c r="P233">
        <f t="shared" si="89"/>
        <v>0.88888888888888884</v>
      </c>
      <c r="Q233">
        <f>[1]!survey_responses[[#This Row],[So với trước đây, tôi thấy cách tính thuế và các bậc thuế trong phương án mới đơn giản, dễ hiểu và dễ thực hiện hơn. - HUMAN-FAC2]]</f>
        <v>6</v>
      </c>
      <c r="R233">
        <f t="shared" si="90"/>
        <v>0.55555555555555558</v>
      </c>
      <c r="S233" s="32">
        <f t="shared" si="91"/>
        <v>0.83333333333333326</v>
      </c>
      <c r="T233" s="32">
        <f t="shared" si="92"/>
        <v>0.55555555555555558</v>
      </c>
      <c r="U233">
        <f>step3_validation[[#This Row],[AI_TRU1]]</f>
        <v>7</v>
      </c>
      <c r="V233">
        <f t="shared" si="93"/>
        <v>0.66666666666666663</v>
      </c>
      <c r="W233">
        <f>[1]!survey_responses[[#This Row],[Tôi tin rằng Nhà nước, cơ quan thuế sẽ thực thi chính sách mới một cách khách quan, công tâm và đối xử bình đẳng với mọi người nộp thuế.  - HUMAN-TRU1]]</f>
        <v>6</v>
      </c>
      <c r="X233">
        <f t="shared" si="94"/>
        <v>0.55555555555555558</v>
      </c>
      <c r="Y233">
        <f>step3_validation[[#This Row],[AI_TRU2]]</f>
        <v>8</v>
      </c>
      <c r="Z233">
        <f t="shared" si="95"/>
        <v>0.77777777777777779</v>
      </c>
      <c r="AA233">
        <f>[1]!survey_responses[[#This Row],[Tôi thấy mức thuế tôi phải đóng theo phương án mới là công bằng (người thu nhập như tôi đóng mức này là hợp lý). - HUMAN-TRU2]]</f>
        <v>6</v>
      </c>
      <c r="AB233">
        <f t="shared" si="96"/>
        <v>0.55555555555555558</v>
      </c>
      <c r="AC233">
        <f>step3_validation[[#This Row],[AI_TRU3]]</f>
        <v>7</v>
      </c>
      <c r="AD233">
        <f t="shared" si="97"/>
        <v>0.66666666666666663</v>
      </c>
      <c r="AE233">
        <f>[1]!survey_responses[[#This Row],[Tôi tin tưởng số tiền thuế tôi đóng sẽ được Nhà nước sử dụng hiệu quả để cải thiện dịch vụ công (y tế, đường xá...). - HUMAN-TRU3]]</f>
        <v>6</v>
      </c>
      <c r="AF233">
        <f t="shared" si="98"/>
        <v>0.55555555555555558</v>
      </c>
      <c r="AG233">
        <f>step3_validation[[#This Row],[AI_TRU4]]</f>
        <v>6</v>
      </c>
      <c r="AH233">
        <f t="shared" si="99"/>
        <v>0.55555555555555558</v>
      </c>
      <c r="AI233">
        <f>[1]!survey_responses[[#This Row],[Tôi thấy Nhà nước đã giải thích rõ ràng, minh bạch về lý do và mục tiêu của việc sửa đổi thuế lần này. - HUMAN-TRU4]]</f>
        <v>6</v>
      </c>
      <c r="AJ233">
        <f t="shared" si="100"/>
        <v>0.55555555555555558</v>
      </c>
      <c r="AK233" s="32">
        <f t="shared" si="101"/>
        <v>0.66666666666666674</v>
      </c>
      <c r="AL233" s="32">
        <f t="shared" si="102"/>
        <v>0.55555555555555558</v>
      </c>
      <c r="AM233" s="7">
        <f t="shared" si="103"/>
        <v>0.74074074074074081</v>
      </c>
      <c r="AN233" s="7">
        <f t="shared" si="104"/>
        <v>0.55555555555555558</v>
      </c>
      <c r="AO233">
        <f>step3_validation[[#This Row],[AI_OUT1]]</f>
        <v>5</v>
      </c>
      <c r="AP233">
        <f t="shared" si="105"/>
        <v>0.44444444444444442</v>
      </c>
      <c r="AQ233">
        <f>[1]!survey_responses[[#This Row],[Sau khi xem xét các quyền lợi và nghĩa vụ, bạn có ủng hộ và tuân thủ chính sách mới hiện nay? - HUMAN-OUT1]]</f>
        <v>6</v>
      </c>
      <c r="AR233">
        <f t="shared" si="106"/>
        <v>0.55555555555555558</v>
      </c>
      <c r="AS233" s="32">
        <f t="shared" si="107"/>
        <v>1</v>
      </c>
    </row>
    <row r="234" spans="1:45" x14ac:dyDescent="0.45">
      <c r="A234">
        <f>step3_validation[[#This Row],[AI_ENF1]]</f>
        <v>8</v>
      </c>
      <c r="B234">
        <f t="shared" si="81"/>
        <v>0.77777777777777779</v>
      </c>
      <c r="C234">
        <f>[1]!survey_responses[[#This Row],[Tôi tin rằng với các quy định quản lý thuế hiện nay, hành vi gian lận hoặc trốn thuế sẽ dễ dàng bị phát hiện và xử lý nghiêm. - HUMAN-ENF1]]</f>
        <v>8</v>
      </c>
      <c r="D234">
        <f t="shared" si="82"/>
        <v>0.77777777777777779</v>
      </c>
      <c r="E234">
        <f>step3_validation[[#This Row],[AI_ENF2]]</f>
        <v>9</v>
      </c>
      <c r="F234">
        <f t="shared" si="83"/>
        <v>0.88888888888888884</v>
      </c>
      <c r="G234">
        <f>[1]!survey_responses[[#This Row],[Tôi tin rằng Nhà nước, cơ quan thuế có đủ khả năng và công nghệ để phát hiện, xử lý nghiêm các hành vi trốn thuế. - HUMAN-ENF2]]</f>
        <v>8</v>
      </c>
      <c r="H234">
        <f t="shared" si="84"/>
        <v>0.77777777777777779</v>
      </c>
      <c r="I234" s="32">
        <f t="shared" si="85"/>
        <v>0.83333333333333326</v>
      </c>
      <c r="J234" s="32">
        <f t="shared" si="86"/>
        <v>0.77777777777777779</v>
      </c>
      <c r="K234">
        <f>step3_validation[[#This Row],[AI_FAC1]]</f>
        <v>7</v>
      </c>
      <c r="L234">
        <f t="shared" si="87"/>
        <v>0.66666666666666663</v>
      </c>
      <c r="M234">
        <f>[1]!survey_responses[[#This Row],[Các thủ tục khai báo thuế VÀ/HOẶC quy trình làm việc với cơ quan thuế đơn giản, tiện lợi, nhanh chóng hơn so với trước đây. - HUMAN-FAC1]]</f>
        <v>8</v>
      </c>
      <c r="N234">
        <f t="shared" si="88"/>
        <v>0.77777777777777779</v>
      </c>
      <c r="O234">
        <f>step3_validation[[#This Row],[AI_FAC2]]</f>
        <v>6</v>
      </c>
      <c r="P234">
        <f t="shared" si="89"/>
        <v>0.55555555555555558</v>
      </c>
      <c r="Q234">
        <f>[1]!survey_responses[[#This Row],[So với trước đây, tôi thấy cách tính thuế và các bậc thuế trong phương án mới đơn giản, dễ hiểu và dễ thực hiện hơn. - HUMAN-FAC2]]</f>
        <v>8</v>
      </c>
      <c r="R234">
        <f t="shared" si="90"/>
        <v>0.77777777777777779</v>
      </c>
      <c r="S234" s="32">
        <f t="shared" si="91"/>
        <v>0.61111111111111116</v>
      </c>
      <c r="T234" s="32">
        <f t="shared" si="92"/>
        <v>0.77777777777777779</v>
      </c>
      <c r="U234">
        <f>step3_validation[[#This Row],[AI_TRU1]]</f>
        <v>7</v>
      </c>
      <c r="V234">
        <f t="shared" si="93"/>
        <v>0.66666666666666663</v>
      </c>
      <c r="W234">
        <f>[1]!survey_responses[[#This Row],[Tôi tin rằng Nhà nước, cơ quan thuế sẽ thực thi chính sách mới một cách khách quan, công tâm và đối xử bình đẳng với mọi người nộp thuế.  - HUMAN-TRU1]]</f>
        <v>9</v>
      </c>
      <c r="X234">
        <f t="shared" si="94"/>
        <v>0.88888888888888884</v>
      </c>
      <c r="Y234">
        <f>step3_validation[[#This Row],[AI_TRU2]]</f>
        <v>4</v>
      </c>
      <c r="Z234">
        <f t="shared" si="95"/>
        <v>0.33333333333333331</v>
      </c>
      <c r="AA234">
        <f>[1]!survey_responses[[#This Row],[Tôi thấy mức thuế tôi phải đóng theo phương án mới là công bằng (người thu nhập như tôi đóng mức này là hợp lý). - HUMAN-TRU2]]</f>
        <v>8</v>
      </c>
      <c r="AB234">
        <f t="shared" si="96"/>
        <v>0.77777777777777779</v>
      </c>
      <c r="AC234">
        <f>step3_validation[[#This Row],[AI_TRU3]]</f>
        <v>6</v>
      </c>
      <c r="AD234">
        <f t="shared" si="97"/>
        <v>0.55555555555555558</v>
      </c>
      <c r="AE234">
        <f>[1]!survey_responses[[#This Row],[Tôi tin tưởng số tiền thuế tôi đóng sẽ được Nhà nước sử dụng hiệu quả để cải thiện dịch vụ công (y tế, đường xá...). - HUMAN-TRU3]]</f>
        <v>8</v>
      </c>
      <c r="AF234">
        <f t="shared" si="98"/>
        <v>0.77777777777777779</v>
      </c>
      <c r="AG234">
        <f>step3_validation[[#This Row],[AI_TRU4]]</f>
        <v>5</v>
      </c>
      <c r="AH234">
        <f t="shared" si="99"/>
        <v>0.44444444444444442</v>
      </c>
      <c r="AI234">
        <f>[1]!survey_responses[[#This Row],[Tôi thấy Nhà nước đã giải thích rõ ràng, minh bạch về lý do và mục tiêu của việc sửa đổi thuế lần này. - HUMAN-TRU4]]</f>
        <v>8</v>
      </c>
      <c r="AJ234">
        <f t="shared" si="100"/>
        <v>0.77777777777777779</v>
      </c>
      <c r="AK234" s="32">
        <f t="shared" si="101"/>
        <v>0.5</v>
      </c>
      <c r="AL234" s="32">
        <f t="shared" si="102"/>
        <v>0.80555555555555547</v>
      </c>
      <c r="AM234" s="7">
        <f t="shared" si="103"/>
        <v>0.64814814814814814</v>
      </c>
      <c r="AN234" s="7">
        <f t="shared" si="104"/>
        <v>0.78703703703703709</v>
      </c>
      <c r="AO234">
        <f>step3_validation[[#This Row],[AI_OUT1]]</f>
        <v>3</v>
      </c>
      <c r="AP234">
        <f t="shared" si="105"/>
        <v>0.22222222222222221</v>
      </c>
      <c r="AQ234">
        <f>[1]!survey_responses[[#This Row],[Sau khi xem xét các quyền lợi và nghĩa vụ, bạn có ủng hộ và tuân thủ chính sách mới hiện nay? - HUMAN-OUT1]]</f>
        <v>10</v>
      </c>
      <c r="AR234">
        <f t="shared" si="106"/>
        <v>1</v>
      </c>
      <c r="AS234" s="32">
        <f t="shared" si="107"/>
        <v>7</v>
      </c>
    </row>
    <row r="235" spans="1:45" x14ac:dyDescent="0.45">
      <c r="A235">
        <f>step3_validation[[#This Row],[AI_ENF1]]</f>
        <v>6</v>
      </c>
      <c r="B235">
        <f t="shared" si="81"/>
        <v>0.55555555555555558</v>
      </c>
      <c r="C235">
        <f>[1]!survey_responses[[#This Row],[Tôi tin rằng với các quy định quản lý thuế hiện nay, hành vi gian lận hoặc trốn thuế sẽ dễ dàng bị phát hiện và xử lý nghiêm. - HUMAN-ENF1]]</f>
        <v>4</v>
      </c>
      <c r="D235">
        <f t="shared" si="82"/>
        <v>0.33333333333333331</v>
      </c>
      <c r="E235">
        <f>step3_validation[[#This Row],[AI_ENF2]]</f>
        <v>7</v>
      </c>
      <c r="F235">
        <f t="shared" si="83"/>
        <v>0.66666666666666663</v>
      </c>
      <c r="G235">
        <f>[1]!survey_responses[[#This Row],[Tôi tin rằng Nhà nước, cơ quan thuế có đủ khả năng và công nghệ để phát hiện, xử lý nghiêm các hành vi trốn thuế. - HUMAN-ENF2]]</f>
        <v>4</v>
      </c>
      <c r="H235">
        <f t="shared" si="84"/>
        <v>0.33333333333333331</v>
      </c>
      <c r="I235" s="32">
        <f t="shared" si="85"/>
        <v>0.61111111111111116</v>
      </c>
      <c r="J235" s="32">
        <f t="shared" si="86"/>
        <v>0.33333333333333331</v>
      </c>
      <c r="K235">
        <f>step3_validation[[#This Row],[AI_FAC1]]</f>
        <v>8</v>
      </c>
      <c r="L235">
        <f t="shared" si="87"/>
        <v>0.77777777777777779</v>
      </c>
      <c r="M235">
        <f>[1]!survey_responses[[#This Row],[Các thủ tục khai báo thuế VÀ/HOẶC quy trình làm việc với cơ quan thuế đơn giản, tiện lợi, nhanh chóng hơn so với trước đây. - HUMAN-FAC1]]</f>
        <v>4</v>
      </c>
      <c r="N235">
        <f t="shared" si="88"/>
        <v>0.33333333333333331</v>
      </c>
      <c r="O235">
        <f>step3_validation[[#This Row],[AI_FAC2]]</f>
        <v>9</v>
      </c>
      <c r="P235">
        <f t="shared" si="89"/>
        <v>0.88888888888888884</v>
      </c>
      <c r="Q235">
        <f>[1]!survey_responses[[#This Row],[So với trước đây, tôi thấy cách tính thuế và các bậc thuế trong phương án mới đơn giản, dễ hiểu và dễ thực hiện hơn. - HUMAN-FAC2]]</f>
        <v>4</v>
      </c>
      <c r="R235">
        <f t="shared" si="90"/>
        <v>0.33333333333333331</v>
      </c>
      <c r="S235" s="32">
        <f t="shared" si="91"/>
        <v>0.83333333333333326</v>
      </c>
      <c r="T235" s="32">
        <f t="shared" si="92"/>
        <v>0.33333333333333331</v>
      </c>
      <c r="U235">
        <f>step3_validation[[#This Row],[AI_TRU1]]</f>
        <v>7</v>
      </c>
      <c r="V235">
        <f t="shared" si="93"/>
        <v>0.66666666666666663</v>
      </c>
      <c r="W235">
        <f>[1]!survey_responses[[#This Row],[Tôi tin rằng Nhà nước, cơ quan thuế sẽ thực thi chính sách mới một cách khách quan, công tâm và đối xử bình đẳng với mọi người nộp thuế.  - HUMAN-TRU1]]</f>
        <v>1</v>
      </c>
      <c r="X235">
        <f t="shared" si="94"/>
        <v>0</v>
      </c>
      <c r="Y235">
        <f>step3_validation[[#This Row],[AI_TRU2]]</f>
        <v>8</v>
      </c>
      <c r="Z235">
        <f t="shared" si="95"/>
        <v>0.77777777777777779</v>
      </c>
      <c r="AA235">
        <f>[1]!survey_responses[[#This Row],[Tôi thấy mức thuế tôi phải đóng theo phương án mới là công bằng (người thu nhập như tôi đóng mức này là hợp lý). - HUMAN-TRU2]]</f>
        <v>3</v>
      </c>
      <c r="AB235">
        <f t="shared" si="96"/>
        <v>0.22222222222222221</v>
      </c>
      <c r="AC235">
        <f>step3_validation[[#This Row],[AI_TRU3]]</f>
        <v>7</v>
      </c>
      <c r="AD235">
        <f t="shared" si="97"/>
        <v>0.66666666666666663</v>
      </c>
      <c r="AE235">
        <f>[1]!survey_responses[[#This Row],[Tôi tin tưởng số tiền thuế tôi đóng sẽ được Nhà nước sử dụng hiệu quả để cải thiện dịch vụ công (y tế, đường xá...). - HUMAN-TRU3]]</f>
        <v>1</v>
      </c>
      <c r="AF235">
        <f t="shared" si="98"/>
        <v>0</v>
      </c>
      <c r="AG235">
        <f>step3_validation[[#This Row],[AI_TRU4]]</f>
        <v>8</v>
      </c>
      <c r="AH235">
        <f t="shared" si="99"/>
        <v>0.77777777777777779</v>
      </c>
      <c r="AI235">
        <f>[1]!survey_responses[[#This Row],[Tôi thấy Nhà nước đã giải thích rõ ràng, minh bạch về lý do và mục tiêu của việc sửa đổi thuế lần này. - HUMAN-TRU4]]</f>
        <v>1</v>
      </c>
      <c r="AJ235">
        <f t="shared" si="100"/>
        <v>0</v>
      </c>
      <c r="AK235" s="32">
        <f t="shared" si="101"/>
        <v>0.72222222222222221</v>
      </c>
      <c r="AL235" s="32">
        <f t="shared" si="102"/>
        <v>5.5555555555555552E-2</v>
      </c>
      <c r="AM235" s="7">
        <f t="shared" si="103"/>
        <v>0.72222222222222221</v>
      </c>
      <c r="AN235" s="7">
        <f t="shared" si="104"/>
        <v>0.24074074074074073</v>
      </c>
      <c r="AO235">
        <f>step3_validation[[#This Row],[AI_OUT1]]</f>
        <v>7</v>
      </c>
      <c r="AP235">
        <f t="shared" si="105"/>
        <v>0.66666666666666663</v>
      </c>
      <c r="AQ235">
        <f>[1]!survey_responses[[#This Row],[Sau khi xem xét các quyền lợi và nghĩa vụ, bạn có ủng hộ và tuân thủ chính sách mới hiện nay? - HUMAN-OUT1]]</f>
        <v>1</v>
      </c>
      <c r="AR235">
        <f t="shared" si="106"/>
        <v>0</v>
      </c>
      <c r="AS235" s="32">
        <f t="shared" si="107"/>
        <v>6</v>
      </c>
    </row>
    <row r="236" spans="1:45" x14ac:dyDescent="0.45">
      <c r="A236">
        <f>step3_validation[[#This Row],[AI_ENF1]]</f>
        <v>7</v>
      </c>
      <c r="B236">
        <f t="shared" si="81"/>
        <v>0.66666666666666663</v>
      </c>
      <c r="C236">
        <f>[1]!survey_responses[[#This Row],[Tôi tin rằng với các quy định quản lý thuế hiện nay, hành vi gian lận hoặc trốn thuế sẽ dễ dàng bị phát hiện và xử lý nghiêm. - HUMAN-ENF1]]</f>
        <v>6</v>
      </c>
      <c r="D236">
        <f t="shared" si="82"/>
        <v>0.55555555555555558</v>
      </c>
      <c r="E236">
        <f>step3_validation[[#This Row],[AI_ENF2]]</f>
        <v>8</v>
      </c>
      <c r="F236">
        <f t="shared" si="83"/>
        <v>0.77777777777777779</v>
      </c>
      <c r="G236">
        <f>[1]!survey_responses[[#This Row],[Tôi tin rằng Nhà nước, cơ quan thuế có đủ khả năng và công nghệ để phát hiện, xử lý nghiêm các hành vi trốn thuế. - HUMAN-ENF2]]</f>
        <v>6</v>
      </c>
      <c r="H236">
        <f t="shared" si="84"/>
        <v>0.55555555555555558</v>
      </c>
      <c r="I236" s="32">
        <f t="shared" si="85"/>
        <v>0.72222222222222221</v>
      </c>
      <c r="J236" s="32">
        <f t="shared" si="86"/>
        <v>0.55555555555555558</v>
      </c>
      <c r="K236">
        <f>step3_validation[[#This Row],[AI_FAC1]]</f>
        <v>9</v>
      </c>
      <c r="L236">
        <f t="shared" si="87"/>
        <v>0.88888888888888884</v>
      </c>
      <c r="M236">
        <f>[1]!survey_responses[[#This Row],[Các thủ tục khai báo thuế VÀ/HOẶC quy trình làm việc với cơ quan thuế đơn giản, tiện lợi, nhanh chóng hơn so với trước đây. - HUMAN-FAC1]]</f>
        <v>1</v>
      </c>
      <c r="N236">
        <f t="shared" si="88"/>
        <v>0</v>
      </c>
      <c r="O236">
        <f>step3_validation[[#This Row],[AI_FAC2]]</f>
        <v>8</v>
      </c>
      <c r="P236">
        <f t="shared" si="89"/>
        <v>0.77777777777777779</v>
      </c>
      <c r="Q236">
        <f>[1]!survey_responses[[#This Row],[So với trước đây, tôi thấy cách tính thuế và các bậc thuế trong phương án mới đơn giản, dễ hiểu và dễ thực hiện hơn. - HUMAN-FAC2]]</f>
        <v>6</v>
      </c>
      <c r="R236">
        <f t="shared" si="90"/>
        <v>0.55555555555555558</v>
      </c>
      <c r="S236" s="32">
        <f t="shared" si="91"/>
        <v>0.83333333333333326</v>
      </c>
      <c r="T236" s="32">
        <f t="shared" si="92"/>
        <v>0.27777777777777779</v>
      </c>
      <c r="U236">
        <f>step3_validation[[#This Row],[AI_TRU1]]</f>
        <v>6</v>
      </c>
      <c r="V236">
        <f t="shared" si="93"/>
        <v>0.55555555555555558</v>
      </c>
      <c r="W236">
        <f>[1]!survey_responses[[#This Row],[Tôi tin rằng Nhà nước, cơ quan thuế sẽ thực thi chính sách mới một cách khách quan, công tâm và đối xử bình đẳng với mọi người nộp thuế.  - HUMAN-TRU1]]</f>
        <v>5</v>
      </c>
      <c r="X236">
        <f t="shared" si="94"/>
        <v>0.44444444444444442</v>
      </c>
      <c r="Y236">
        <f>step3_validation[[#This Row],[AI_TRU2]]</f>
        <v>6</v>
      </c>
      <c r="Z236">
        <f t="shared" si="95"/>
        <v>0.55555555555555558</v>
      </c>
      <c r="AA236">
        <f>[1]!survey_responses[[#This Row],[Tôi thấy mức thuế tôi phải đóng theo phương án mới là công bằng (người thu nhập như tôi đóng mức này là hợp lý). - HUMAN-TRU2]]</f>
        <v>6</v>
      </c>
      <c r="AB236">
        <f t="shared" si="96"/>
        <v>0.55555555555555558</v>
      </c>
      <c r="AC236">
        <f>step3_validation[[#This Row],[AI_TRU3]]</f>
        <v>6</v>
      </c>
      <c r="AD236">
        <f t="shared" si="97"/>
        <v>0.55555555555555558</v>
      </c>
      <c r="AE236">
        <f>[1]!survey_responses[[#This Row],[Tôi tin tưởng số tiền thuế tôi đóng sẽ được Nhà nước sử dụng hiệu quả để cải thiện dịch vụ công (y tế, đường xá...). - HUMAN-TRU3]]</f>
        <v>5</v>
      </c>
      <c r="AF236">
        <f t="shared" si="98"/>
        <v>0.44444444444444442</v>
      </c>
      <c r="AG236">
        <f>step3_validation[[#This Row],[AI_TRU4]]</f>
        <v>5</v>
      </c>
      <c r="AH236">
        <f t="shared" si="99"/>
        <v>0.44444444444444442</v>
      </c>
      <c r="AI236">
        <f>[1]!survey_responses[[#This Row],[Tôi thấy Nhà nước đã giải thích rõ ràng, minh bạch về lý do và mục tiêu của việc sửa đổi thuế lần này. - HUMAN-TRU4]]</f>
        <v>6</v>
      </c>
      <c r="AJ236">
        <f t="shared" si="100"/>
        <v>0.55555555555555558</v>
      </c>
      <c r="AK236" s="32">
        <f t="shared" si="101"/>
        <v>0.52777777777777779</v>
      </c>
      <c r="AL236" s="32">
        <f t="shared" si="102"/>
        <v>0.5</v>
      </c>
      <c r="AM236" s="7">
        <f t="shared" si="103"/>
        <v>0.69444444444444431</v>
      </c>
      <c r="AN236" s="7">
        <f t="shared" si="104"/>
        <v>0.44444444444444448</v>
      </c>
      <c r="AO236">
        <f>step3_validation[[#This Row],[AI_OUT1]]</f>
        <v>7</v>
      </c>
      <c r="AP236">
        <f t="shared" si="105"/>
        <v>0.66666666666666663</v>
      </c>
      <c r="AQ236">
        <f>[1]!survey_responses[[#This Row],[Sau khi xem xét các quyền lợi và nghĩa vụ, bạn có ủng hộ và tuân thủ chính sách mới hiện nay? - HUMAN-OUT1]]</f>
        <v>6</v>
      </c>
      <c r="AR236">
        <f t="shared" si="106"/>
        <v>0.55555555555555558</v>
      </c>
      <c r="AS236" s="32">
        <f t="shared" si="107"/>
        <v>1</v>
      </c>
    </row>
    <row r="237" spans="1:45" x14ac:dyDescent="0.45">
      <c r="A237">
        <f>step3_validation[[#This Row],[AI_ENF1]]</f>
        <v>7</v>
      </c>
      <c r="B237">
        <f t="shared" si="81"/>
        <v>0.66666666666666663</v>
      </c>
      <c r="C237">
        <f>[1]!survey_responses[[#This Row],[Tôi tin rằng với các quy định quản lý thuế hiện nay, hành vi gian lận hoặc trốn thuế sẽ dễ dàng bị phát hiện và xử lý nghiêm. - HUMAN-ENF1]]</f>
        <v>7</v>
      </c>
      <c r="D237">
        <f t="shared" si="82"/>
        <v>0.66666666666666663</v>
      </c>
      <c r="E237">
        <f>step3_validation[[#This Row],[AI_ENF2]]</f>
        <v>6</v>
      </c>
      <c r="F237">
        <f t="shared" si="83"/>
        <v>0.55555555555555558</v>
      </c>
      <c r="G237">
        <f>[1]!survey_responses[[#This Row],[Tôi tin rằng Nhà nước, cơ quan thuế có đủ khả năng và công nghệ để phát hiện, xử lý nghiêm các hành vi trốn thuế. - HUMAN-ENF2]]</f>
        <v>7</v>
      </c>
      <c r="H237">
        <f t="shared" si="84"/>
        <v>0.66666666666666663</v>
      </c>
      <c r="I237" s="32">
        <f t="shared" si="85"/>
        <v>0.61111111111111116</v>
      </c>
      <c r="J237" s="32">
        <f t="shared" si="86"/>
        <v>0.66666666666666663</v>
      </c>
      <c r="K237">
        <f>step3_validation[[#This Row],[AI_FAC1]]</f>
        <v>8</v>
      </c>
      <c r="L237">
        <f t="shared" si="87"/>
        <v>0.77777777777777779</v>
      </c>
      <c r="M237">
        <f>[1]!survey_responses[[#This Row],[Các thủ tục khai báo thuế VÀ/HOẶC quy trình làm việc với cơ quan thuế đơn giản, tiện lợi, nhanh chóng hơn so với trước đây. - HUMAN-FAC1]]</f>
        <v>7</v>
      </c>
      <c r="N237">
        <f t="shared" si="88"/>
        <v>0.66666666666666663</v>
      </c>
      <c r="O237">
        <f>step3_validation[[#This Row],[AI_FAC2]]</f>
        <v>9</v>
      </c>
      <c r="P237">
        <f t="shared" si="89"/>
        <v>0.88888888888888884</v>
      </c>
      <c r="Q237">
        <f>[1]!survey_responses[[#This Row],[So với trước đây, tôi thấy cách tính thuế và các bậc thuế trong phương án mới đơn giản, dễ hiểu và dễ thực hiện hơn. - HUMAN-FAC2]]</f>
        <v>7</v>
      </c>
      <c r="R237">
        <f t="shared" si="90"/>
        <v>0.66666666666666663</v>
      </c>
      <c r="S237" s="32">
        <f t="shared" si="91"/>
        <v>0.83333333333333326</v>
      </c>
      <c r="T237" s="32">
        <f t="shared" si="92"/>
        <v>0.66666666666666663</v>
      </c>
      <c r="U237">
        <f>step3_validation[[#This Row],[AI_TRU1]]</f>
        <v>7</v>
      </c>
      <c r="V237">
        <f t="shared" si="93"/>
        <v>0.66666666666666663</v>
      </c>
      <c r="W237">
        <f>[1]!survey_responses[[#This Row],[Tôi tin rằng Nhà nước, cơ quan thuế sẽ thực thi chính sách mới một cách khách quan, công tâm và đối xử bình đẳng với mọi người nộp thuế.  - HUMAN-TRU1]]</f>
        <v>7</v>
      </c>
      <c r="X237">
        <f t="shared" si="94"/>
        <v>0.66666666666666663</v>
      </c>
      <c r="Y237">
        <f>step3_validation[[#This Row],[AI_TRU2]]</f>
        <v>6</v>
      </c>
      <c r="Z237">
        <f t="shared" si="95"/>
        <v>0.55555555555555558</v>
      </c>
      <c r="AA237">
        <f>[1]!survey_responses[[#This Row],[Tôi thấy mức thuế tôi phải đóng theo phương án mới là công bằng (người thu nhập như tôi đóng mức này là hợp lý). - HUMAN-TRU2]]</f>
        <v>7</v>
      </c>
      <c r="AB237">
        <f t="shared" si="96"/>
        <v>0.66666666666666663</v>
      </c>
      <c r="AC237">
        <f>step3_validation[[#This Row],[AI_TRU3]]</f>
        <v>5</v>
      </c>
      <c r="AD237">
        <f t="shared" si="97"/>
        <v>0.44444444444444442</v>
      </c>
      <c r="AE237">
        <f>[1]!survey_responses[[#This Row],[Tôi tin tưởng số tiền thuế tôi đóng sẽ được Nhà nước sử dụng hiệu quả để cải thiện dịch vụ công (y tế, đường xá...). - HUMAN-TRU3]]</f>
        <v>7</v>
      </c>
      <c r="AF237">
        <f t="shared" si="98"/>
        <v>0.66666666666666663</v>
      </c>
      <c r="AG237">
        <f>step3_validation[[#This Row],[AI_TRU4]]</f>
        <v>6</v>
      </c>
      <c r="AH237">
        <f t="shared" si="99"/>
        <v>0.55555555555555558</v>
      </c>
      <c r="AI237">
        <f>[1]!survey_responses[[#This Row],[Tôi thấy Nhà nước đã giải thích rõ ràng, minh bạch về lý do và mục tiêu của việc sửa đổi thuế lần này. - HUMAN-TRU4]]</f>
        <v>7</v>
      </c>
      <c r="AJ237">
        <f t="shared" si="100"/>
        <v>0.66666666666666663</v>
      </c>
      <c r="AK237" s="32">
        <f t="shared" si="101"/>
        <v>0.55555555555555558</v>
      </c>
      <c r="AL237" s="32">
        <f t="shared" si="102"/>
        <v>0.66666666666666663</v>
      </c>
      <c r="AM237" s="7">
        <f t="shared" si="103"/>
        <v>0.66666666666666663</v>
      </c>
      <c r="AN237" s="7">
        <f t="shared" si="104"/>
        <v>0.66666666666666663</v>
      </c>
      <c r="AO237">
        <f>step3_validation[[#This Row],[AI_OUT1]]</f>
        <v>7</v>
      </c>
      <c r="AP237">
        <f t="shared" si="105"/>
        <v>0.66666666666666663</v>
      </c>
      <c r="AQ237">
        <f>[1]!survey_responses[[#This Row],[Sau khi xem xét các quyền lợi và nghĩa vụ, bạn có ủng hộ và tuân thủ chính sách mới hiện nay? - HUMAN-OUT1]]</f>
        <v>7</v>
      </c>
      <c r="AR237">
        <f t="shared" si="106"/>
        <v>0.66666666666666663</v>
      </c>
      <c r="AS237" s="32">
        <f t="shared" si="107"/>
        <v>0</v>
      </c>
    </row>
    <row r="238" spans="1:45" x14ac:dyDescent="0.45">
      <c r="A238">
        <f>step3_validation[[#This Row],[AI_ENF1]]</f>
        <v>6</v>
      </c>
      <c r="B238">
        <f t="shared" si="81"/>
        <v>0.55555555555555558</v>
      </c>
      <c r="C238">
        <f>[1]!survey_responses[[#This Row],[Tôi tin rằng với các quy định quản lý thuế hiện nay, hành vi gian lận hoặc trốn thuế sẽ dễ dàng bị phát hiện và xử lý nghiêm. - HUMAN-ENF1]]</f>
        <v>10</v>
      </c>
      <c r="D238">
        <f t="shared" si="82"/>
        <v>1</v>
      </c>
      <c r="E238">
        <f>step3_validation[[#This Row],[AI_ENF2]]</f>
        <v>7</v>
      </c>
      <c r="F238">
        <f t="shared" si="83"/>
        <v>0.66666666666666663</v>
      </c>
      <c r="G238">
        <f>[1]!survey_responses[[#This Row],[Tôi tin rằng Nhà nước, cơ quan thuế có đủ khả năng và công nghệ để phát hiện, xử lý nghiêm các hành vi trốn thuế. - HUMAN-ENF2]]</f>
        <v>10</v>
      </c>
      <c r="H238">
        <f t="shared" si="84"/>
        <v>1</v>
      </c>
      <c r="I238" s="32">
        <f t="shared" si="85"/>
        <v>0.61111111111111116</v>
      </c>
      <c r="J238" s="32">
        <f t="shared" si="86"/>
        <v>1</v>
      </c>
      <c r="K238">
        <f>step3_validation[[#This Row],[AI_FAC1]]</f>
        <v>6</v>
      </c>
      <c r="L238">
        <f t="shared" si="87"/>
        <v>0.55555555555555558</v>
      </c>
      <c r="M238">
        <f>[1]!survey_responses[[#This Row],[Các thủ tục khai báo thuế VÀ/HOẶC quy trình làm việc với cơ quan thuế đơn giản, tiện lợi, nhanh chóng hơn so với trước đây. - HUMAN-FAC1]]</f>
        <v>4</v>
      </c>
      <c r="N238">
        <f t="shared" si="88"/>
        <v>0.33333333333333331</v>
      </c>
      <c r="O238">
        <f>step3_validation[[#This Row],[AI_FAC2]]</f>
        <v>8</v>
      </c>
      <c r="P238">
        <f t="shared" si="89"/>
        <v>0.77777777777777779</v>
      </c>
      <c r="Q238">
        <f>[1]!survey_responses[[#This Row],[So với trước đây, tôi thấy cách tính thuế và các bậc thuế trong phương án mới đơn giản, dễ hiểu và dễ thực hiện hơn. - HUMAN-FAC2]]</f>
        <v>6</v>
      </c>
      <c r="R238">
        <f t="shared" si="90"/>
        <v>0.55555555555555558</v>
      </c>
      <c r="S238" s="32">
        <f t="shared" si="91"/>
        <v>0.66666666666666674</v>
      </c>
      <c r="T238" s="32">
        <f t="shared" si="92"/>
        <v>0.44444444444444442</v>
      </c>
      <c r="U238">
        <f>step3_validation[[#This Row],[AI_TRU1]]</f>
        <v>7</v>
      </c>
      <c r="V238">
        <f t="shared" si="93"/>
        <v>0.66666666666666663</v>
      </c>
      <c r="W238">
        <f>[1]!survey_responses[[#This Row],[Tôi tin rằng Nhà nước, cơ quan thuế sẽ thực thi chính sách mới một cách khách quan, công tâm và đối xử bình đẳng với mọi người nộp thuế.  - HUMAN-TRU1]]</f>
        <v>3</v>
      </c>
      <c r="X238">
        <f t="shared" si="94"/>
        <v>0.22222222222222221</v>
      </c>
      <c r="Y238">
        <f>step3_validation[[#This Row],[AI_TRU2]]</f>
        <v>8</v>
      </c>
      <c r="Z238">
        <f t="shared" si="95"/>
        <v>0.77777777777777779</v>
      </c>
      <c r="AA238">
        <f>[1]!survey_responses[[#This Row],[Tôi thấy mức thuế tôi phải đóng theo phương án mới là công bằng (người thu nhập như tôi đóng mức này là hợp lý). - HUMAN-TRU2]]</f>
        <v>1</v>
      </c>
      <c r="AB238">
        <f t="shared" si="96"/>
        <v>0</v>
      </c>
      <c r="AC238">
        <f>step3_validation[[#This Row],[AI_TRU3]]</f>
        <v>7</v>
      </c>
      <c r="AD238">
        <f t="shared" si="97"/>
        <v>0.66666666666666663</v>
      </c>
      <c r="AE238">
        <f>[1]!survey_responses[[#This Row],[Tôi tin tưởng số tiền thuế tôi đóng sẽ được Nhà nước sử dụng hiệu quả để cải thiện dịch vụ công (y tế, đường xá...). - HUMAN-TRU3]]</f>
        <v>1</v>
      </c>
      <c r="AF238">
        <f t="shared" si="98"/>
        <v>0</v>
      </c>
      <c r="AG238">
        <f>step3_validation[[#This Row],[AI_TRU4]]</f>
        <v>6</v>
      </c>
      <c r="AH238">
        <f t="shared" si="99"/>
        <v>0.55555555555555558</v>
      </c>
      <c r="AI238">
        <f>[1]!survey_responses[[#This Row],[Tôi thấy Nhà nước đã giải thích rõ ràng, minh bạch về lý do và mục tiêu của việc sửa đổi thuế lần này. - HUMAN-TRU4]]</f>
        <v>3</v>
      </c>
      <c r="AJ238">
        <f t="shared" si="100"/>
        <v>0.22222222222222221</v>
      </c>
      <c r="AK238" s="32">
        <f t="shared" si="101"/>
        <v>0.66666666666666674</v>
      </c>
      <c r="AL238" s="32">
        <f t="shared" si="102"/>
        <v>0.1111111111111111</v>
      </c>
      <c r="AM238" s="7">
        <f t="shared" si="103"/>
        <v>0.64814814814814825</v>
      </c>
      <c r="AN238" s="7">
        <f t="shared" si="104"/>
        <v>0.51851851851851849</v>
      </c>
      <c r="AO238">
        <f>step3_validation[[#This Row],[AI_OUT1]]</f>
        <v>7</v>
      </c>
      <c r="AP238">
        <f t="shared" si="105"/>
        <v>0.66666666666666663</v>
      </c>
      <c r="AQ238">
        <f>[1]!survey_responses[[#This Row],[Sau khi xem xét các quyền lợi và nghĩa vụ, bạn có ủng hộ và tuân thủ chính sách mới hiện nay? - HUMAN-OUT1]]</f>
        <v>1</v>
      </c>
      <c r="AR238">
        <f t="shared" si="106"/>
        <v>0</v>
      </c>
      <c r="AS238" s="32">
        <f t="shared" si="107"/>
        <v>6</v>
      </c>
    </row>
    <row r="239" spans="1:45" x14ac:dyDescent="0.45">
      <c r="A239">
        <f>step3_validation[[#This Row],[AI_ENF1]]</f>
        <v>6</v>
      </c>
      <c r="B239">
        <f t="shared" si="81"/>
        <v>0.55555555555555558</v>
      </c>
      <c r="C239">
        <f>[1]!survey_responses[[#This Row],[Tôi tin rằng với các quy định quản lý thuế hiện nay, hành vi gian lận hoặc trốn thuế sẽ dễ dàng bị phát hiện và xử lý nghiêm. - HUMAN-ENF1]]</f>
        <v>8</v>
      </c>
      <c r="D239">
        <f t="shared" si="82"/>
        <v>0.77777777777777779</v>
      </c>
      <c r="E239">
        <f>step3_validation[[#This Row],[AI_ENF2]]</f>
        <v>7</v>
      </c>
      <c r="F239">
        <f t="shared" si="83"/>
        <v>0.66666666666666663</v>
      </c>
      <c r="G239">
        <f>[1]!survey_responses[[#This Row],[Tôi tin rằng Nhà nước, cơ quan thuế có đủ khả năng và công nghệ để phát hiện, xử lý nghiêm các hành vi trốn thuế. - HUMAN-ENF2]]</f>
        <v>10</v>
      </c>
      <c r="H239">
        <f t="shared" si="84"/>
        <v>1</v>
      </c>
      <c r="I239" s="32">
        <f t="shared" si="85"/>
        <v>0.61111111111111116</v>
      </c>
      <c r="J239" s="32">
        <f t="shared" si="86"/>
        <v>0.88888888888888884</v>
      </c>
      <c r="K239">
        <f>step3_validation[[#This Row],[AI_FAC1]]</f>
        <v>8</v>
      </c>
      <c r="L239">
        <f t="shared" si="87"/>
        <v>0.77777777777777779</v>
      </c>
      <c r="M239">
        <f>[1]!survey_responses[[#This Row],[Các thủ tục khai báo thuế VÀ/HOẶC quy trình làm việc với cơ quan thuế đơn giản, tiện lợi, nhanh chóng hơn so với trước đây. - HUMAN-FAC1]]</f>
        <v>8</v>
      </c>
      <c r="N239">
        <f t="shared" si="88"/>
        <v>0.77777777777777779</v>
      </c>
      <c r="O239">
        <f>step3_validation[[#This Row],[AI_FAC2]]</f>
        <v>7</v>
      </c>
      <c r="P239">
        <f t="shared" si="89"/>
        <v>0.66666666666666663</v>
      </c>
      <c r="Q239">
        <f>[1]!survey_responses[[#This Row],[So với trước đây, tôi thấy cách tính thuế và các bậc thuế trong phương án mới đơn giản, dễ hiểu và dễ thực hiện hơn. - HUMAN-FAC2]]</f>
        <v>10</v>
      </c>
      <c r="R239">
        <f t="shared" si="90"/>
        <v>1</v>
      </c>
      <c r="S239" s="32">
        <f t="shared" si="91"/>
        <v>0.72222222222222221</v>
      </c>
      <c r="T239" s="32">
        <f t="shared" si="92"/>
        <v>0.88888888888888884</v>
      </c>
      <c r="U239">
        <f>step3_validation[[#This Row],[AI_TRU1]]</f>
        <v>6</v>
      </c>
      <c r="V239">
        <f t="shared" si="93"/>
        <v>0.55555555555555558</v>
      </c>
      <c r="W239">
        <f>[1]!survey_responses[[#This Row],[Tôi tin rằng Nhà nước, cơ quan thuế sẽ thực thi chính sách mới một cách khách quan, công tâm và đối xử bình đẳng với mọi người nộp thuế.  - HUMAN-TRU1]]</f>
        <v>9</v>
      </c>
      <c r="X239">
        <f t="shared" si="94"/>
        <v>0.88888888888888884</v>
      </c>
      <c r="Y239">
        <f>step3_validation[[#This Row],[AI_TRU2]]</f>
        <v>7</v>
      </c>
      <c r="Z239">
        <f t="shared" si="95"/>
        <v>0.66666666666666663</v>
      </c>
      <c r="AA239">
        <f>[1]!survey_responses[[#This Row],[Tôi thấy mức thuế tôi phải đóng theo phương án mới là công bằng (người thu nhập như tôi đóng mức này là hợp lý). - HUMAN-TRU2]]</f>
        <v>8</v>
      </c>
      <c r="AB239">
        <f t="shared" si="96"/>
        <v>0.77777777777777779</v>
      </c>
      <c r="AC239">
        <f>step3_validation[[#This Row],[AI_TRU3]]</f>
        <v>6</v>
      </c>
      <c r="AD239">
        <f t="shared" si="97"/>
        <v>0.55555555555555558</v>
      </c>
      <c r="AE239">
        <f>[1]!survey_responses[[#This Row],[Tôi tin tưởng số tiền thuế tôi đóng sẽ được Nhà nước sử dụng hiệu quả để cải thiện dịch vụ công (y tế, đường xá...). - HUMAN-TRU3]]</f>
        <v>7</v>
      </c>
      <c r="AF239">
        <f t="shared" si="98"/>
        <v>0.66666666666666663</v>
      </c>
      <c r="AG239">
        <f>step3_validation[[#This Row],[AI_TRU4]]</f>
        <v>7</v>
      </c>
      <c r="AH239">
        <f t="shared" si="99"/>
        <v>0.66666666666666663</v>
      </c>
      <c r="AI239">
        <f>[1]!survey_responses[[#This Row],[Tôi thấy Nhà nước đã giải thích rõ ràng, minh bạch về lý do và mục tiêu của việc sửa đổi thuế lần này. - HUMAN-TRU4]]</f>
        <v>9</v>
      </c>
      <c r="AJ239">
        <f t="shared" si="100"/>
        <v>0.88888888888888884</v>
      </c>
      <c r="AK239" s="32">
        <f t="shared" si="101"/>
        <v>0.61111111111111116</v>
      </c>
      <c r="AL239" s="32">
        <f t="shared" si="102"/>
        <v>0.80555555555555547</v>
      </c>
      <c r="AM239" s="7">
        <f t="shared" si="103"/>
        <v>0.64814814814814825</v>
      </c>
      <c r="AN239" s="7">
        <f t="shared" si="104"/>
        <v>0.86111111111111105</v>
      </c>
      <c r="AO239">
        <f>step3_validation[[#This Row],[AI_OUT1]]</f>
        <v>8</v>
      </c>
      <c r="AP239">
        <f t="shared" si="105"/>
        <v>0.77777777777777779</v>
      </c>
      <c r="AQ239">
        <f>[1]!survey_responses[[#This Row],[Sau khi xem xét các quyền lợi và nghĩa vụ, bạn có ủng hộ và tuân thủ chính sách mới hiện nay? - HUMAN-OUT1]]</f>
        <v>9</v>
      </c>
      <c r="AR239">
        <f t="shared" si="106"/>
        <v>0.88888888888888884</v>
      </c>
      <c r="AS239" s="32">
        <f t="shared" si="107"/>
        <v>1</v>
      </c>
    </row>
    <row r="240" spans="1:45" x14ac:dyDescent="0.45">
      <c r="A240">
        <f>step3_validation[[#This Row],[AI_ENF1]]</f>
        <v>9</v>
      </c>
      <c r="B240">
        <f t="shared" si="81"/>
        <v>0.88888888888888884</v>
      </c>
      <c r="C240">
        <f>[1]!survey_responses[[#This Row],[Tôi tin rằng với các quy định quản lý thuế hiện nay, hành vi gian lận hoặc trốn thuế sẽ dễ dàng bị phát hiện và xử lý nghiêm. - HUMAN-ENF1]]</f>
        <v>6</v>
      </c>
      <c r="D240">
        <f t="shared" si="82"/>
        <v>0.55555555555555558</v>
      </c>
      <c r="E240">
        <f>step3_validation[[#This Row],[AI_ENF2]]</f>
        <v>8</v>
      </c>
      <c r="F240">
        <f t="shared" si="83"/>
        <v>0.77777777777777779</v>
      </c>
      <c r="G240">
        <f>[1]!survey_responses[[#This Row],[Tôi tin rằng Nhà nước, cơ quan thuế có đủ khả năng và công nghệ để phát hiện, xử lý nghiêm các hành vi trốn thuế. - HUMAN-ENF2]]</f>
        <v>6</v>
      </c>
      <c r="H240">
        <f t="shared" si="84"/>
        <v>0.55555555555555558</v>
      </c>
      <c r="I240" s="32">
        <f t="shared" si="85"/>
        <v>0.83333333333333326</v>
      </c>
      <c r="J240" s="32">
        <f t="shared" si="86"/>
        <v>0.55555555555555558</v>
      </c>
      <c r="K240">
        <f>step3_validation[[#This Row],[AI_FAC1]]</f>
        <v>9</v>
      </c>
      <c r="L240">
        <f t="shared" si="87"/>
        <v>0.88888888888888884</v>
      </c>
      <c r="M240">
        <f>[1]!survey_responses[[#This Row],[Các thủ tục khai báo thuế VÀ/HOẶC quy trình làm việc với cơ quan thuế đơn giản, tiện lợi, nhanh chóng hơn so với trước đây. - HUMAN-FAC1]]</f>
        <v>6</v>
      </c>
      <c r="N240">
        <f t="shared" si="88"/>
        <v>0.55555555555555558</v>
      </c>
      <c r="O240">
        <f>step3_validation[[#This Row],[AI_FAC2]]</f>
        <v>8</v>
      </c>
      <c r="P240">
        <f t="shared" si="89"/>
        <v>0.77777777777777779</v>
      </c>
      <c r="Q240">
        <f>[1]!survey_responses[[#This Row],[So với trước đây, tôi thấy cách tính thuế và các bậc thuế trong phương án mới đơn giản, dễ hiểu và dễ thực hiện hơn. - HUMAN-FAC2]]</f>
        <v>6</v>
      </c>
      <c r="R240">
        <f t="shared" si="90"/>
        <v>0.55555555555555558</v>
      </c>
      <c r="S240" s="32">
        <f t="shared" si="91"/>
        <v>0.83333333333333326</v>
      </c>
      <c r="T240" s="32">
        <f t="shared" si="92"/>
        <v>0.55555555555555558</v>
      </c>
      <c r="U240">
        <f>step3_validation[[#This Row],[AI_TRU1]]</f>
        <v>9</v>
      </c>
      <c r="V240">
        <f t="shared" si="93"/>
        <v>0.88888888888888884</v>
      </c>
      <c r="W240">
        <f>[1]!survey_responses[[#This Row],[Tôi tin rằng Nhà nước, cơ quan thuế sẽ thực thi chính sách mới một cách khách quan, công tâm và đối xử bình đẳng với mọi người nộp thuế.  - HUMAN-TRU1]]</f>
        <v>6</v>
      </c>
      <c r="X240">
        <f t="shared" si="94"/>
        <v>0.55555555555555558</v>
      </c>
      <c r="Y240">
        <f>step3_validation[[#This Row],[AI_TRU2]]</f>
        <v>8</v>
      </c>
      <c r="Z240">
        <f t="shared" si="95"/>
        <v>0.77777777777777779</v>
      </c>
      <c r="AA240">
        <f>[1]!survey_responses[[#This Row],[Tôi thấy mức thuế tôi phải đóng theo phương án mới là công bằng (người thu nhập như tôi đóng mức này là hợp lý). - HUMAN-TRU2]]</f>
        <v>6</v>
      </c>
      <c r="AB240">
        <f t="shared" si="96"/>
        <v>0.55555555555555558</v>
      </c>
      <c r="AC240">
        <f>step3_validation[[#This Row],[AI_TRU3]]</f>
        <v>9</v>
      </c>
      <c r="AD240">
        <f t="shared" si="97"/>
        <v>0.88888888888888884</v>
      </c>
      <c r="AE240">
        <f>[1]!survey_responses[[#This Row],[Tôi tin tưởng số tiền thuế tôi đóng sẽ được Nhà nước sử dụng hiệu quả để cải thiện dịch vụ công (y tế, đường xá...). - HUMAN-TRU3]]</f>
        <v>6</v>
      </c>
      <c r="AF240">
        <f t="shared" si="98"/>
        <v>0.55555555555555558</v>
      </c>
      <c r="AG240">
        <f>step3_validation[[#This Row],[AI_TRU4]]</f>
        <v>7</v>
      </c>
      <c r="AH240">
        <f t="shared" si="99"/>
        <v>0.66666666666666663</v>
      </c>
      <c r="AI240">
        <f>[1]!survey_responses[[#This Row],[Tôi thấy Nhà nước đã giải thích rõ ràng, minh bạch về lý do và mục tiêu của việc sửa đổi thuế lần này. - HUMAN-TRU4]]</f>
        <v>7</v>
      </c>
      <c r="AJ240">
        <f t="shared" si="100"/>
        <v>0.66666666666666663</v>
      </c>
      <c r="AK240" s="32">
        <f t="shared" si="101"/>
        <v>0.80555555555555547</v>
      </c>
      <c r="AL240" s="32">
        <f t="shared" si="102"/>
        <v>0.58333333333333337</v>
      </c>
      <c r="AM240" s="7">
        <f t="shared" si="103"/>
        <v>0.82407407407407396</v>
      </c>
      <c r="AN240" s="7">
        <f t="shared" si="104"/>
        <v>0.56481481481481488</v>
      </c>
      <c r="AO240">
        <f>step3_validation[[#This Row],[AI_OUT1]]</f>
        <v>8</v>
      </c>
      <c r="AP240">
        <f t="shared" si="105"/>
        <v>0.77777777777777779</v>
      </c>
      <c r="AQ240">
        <f>[1]!survey_responses[[#This Row],[Sau khi xem xét các quyền lợi và nghĩa vụ, bạn có ủng hộ và tuân thủ chính sách mới hiện nay? - HUMAN-OUT1]]</f>
        <v>6</v>
      </c>
      <c r="AR240">
        <f t="shared" si="106"/>
        <v>0.55555555555555558</v>
      </c>
      <c r="AS240" s="32">
        <f t="shared" si="107"/>
        <v>2</v>
      </c>
    </row>
    <row r="241" spans="1:45" x14ac:dyDescent="0.45">
      <c r="A241">
        <f>step3_validation[[#This Row],[AI_ENF1]]</f>
        <v>7</v>
      </c>
      <c r="B241">
        <f t="shared" si="81"/>
        <v>0.66666666666666663</v>
      </c>
      <c r="C241">
        <f>[1]!survey_responses[[#This Row],[Tôi tin rằng với các quy định quản lý thuế hiện nay, hành vi gian lận hoặc trốn thuế sẽ dễ dàng bị phát hiện và xử lý nghiêm. - HUMAN-ENF1]]</f>
        <v>8</v>
      </c>
      <c r="D241">
        <f t="shared" si="82"/>
        <v>0.77777777777777779</v>
      </c>
      <c r="E241">
        <f>step3_validation[[#This Row],[AI_ENF2]]</f>
        <v>6</v>
      </c>
      <c r="F241">
        <f t="shared" si="83"/>
        <v>0.55555555555555558</v>
      </c>
      <c r="G241">
        <f>[1]!survey_responses[[#This Row],[Tôi tin rằng Nhà nước, cơ quan thuế có đủ khả năng và công nghệ để phát hiện, xử lý nghiêm các hành vi trốn thuế. - HUMAN-ENF2]]</f>
        <v>8</v>
      </c>
      <c r="H241">
        <f t="shared" si="84"/>
        <v>0.77777777777777779</v>
      </c>
      <c r="I241" s="32">
        <f t="shared" si="85"/>
        <v>0.61111111111111116</v>
      </c>
      <c r="J241" s="32">
        <f t="shared" si="86"/>
        <v>0.77777777777777779</v>
      </c>
      <c r="K241">
        <f>step3_validation[[#This Row],[AI_FAC1]]</f>
        <v>8</v>
      </c>
      <c r="L241">
        <f t="shared" si="87"/>
        <v>0.77777777777777779</v>
      </c>
      <c r="M241">
        <f>[1]!survey_responses[[#This Row],[Các thủ tục khai báo thuế VÀ/HOẶC quy trình làm việc với cơ quan thuế đơn giản, tiện lợi, nhanh chóng hơn so với trước đây. - HUMAN-FAC1]]</f>
        <v>8</v>
      </c>
      <c r="N241">
        <f t="shared" si="88"/>
        <v>0.77777777777777779</v>
      </c>
      <c r="O241">
        <f>step3_validation[[#This Row],[AI_FAC2]]</f>
        <v>7</v>
      </c>
      <c r="P241">
        <f t="shared" si="89"/>
        <v>0.66666666666666663</v>
      </c>
      <c r="Q241">
        <f>[1]!survey_responses[[#This Row],[So với trước đây, tôi thấy cách tính thuế và các bậc thuế trong phương án mới đơn giản, dễ hiểu và dễ thực hiện hơn. - HUMAN-FAC2]]</f>
        <v>8</v>
      </c>
      <c r="R241">
        <f t="shared" si="90"/>
        <v>0.77777777777777779</v>
      </c>
      <c r="S241" s="32">
        <f t="shared" si="91"/>
        <v>0.72222222222222221</v>
      </c>
      <c r="T241" s="32">
        <f t="shared" si="92"/>
        <v>0.77777777777777779</v>
      </c>
      <c r="U241">
        <f>step3_validation[[#This Row],[AI_TRU1]]</f>
        <v>8</v>
      </c>
      <c r="V241">
        <f t="shared" si="93"/>
        <v>0.77777777777777779</v>
      </c>
      <c r="W241">
        <f>[1]!survey_responses[[#This Row],[Tôi tin rằng Nhà nước, cơ quan thuế sẽ thực thi chính sách mới một cách khách quan, công tâm và đối xử bình đẳng với mọi người nộp thuế.  - HUMAN-TRU1]]</f>
        <v>8</v>
      </c>
      <c r="X241">
        <f t="shared" si="94"/>
        <v>0.77777777777777779</v>
      </c>
      <c r="Y241">
        <f>step3_validation[[#This Row],[AI_TRU2]]</f>
        <v>7</v>
      </c>
      <c r="Z241">
        <f t="shared" si="95"/>
        <v>0.66666666666666663</v>
      </c>
      <c r="AA241">
        <f>[1]!survey_responses[[#This Row],[Tôi thấy mức thuế tôi phải đóng theo phương án mới là công bằng (người thu nhập như tôi đóng mức này là hợp lý). - HUMAN-TRU2]]</f>
        <v>8</v>
      </c>
      <c r="AB241">
        <f t="shared" si="96"/>
        <v>0.77777777777777779</v>
      </c>
      <c r="AC241">
        <f>step3_validation[[#This Row],[AI_TRU3]]</f>
        <v>8</v>
      </c>
      <c r="AD241">
        <f t="shared" si="97"/>
        <v>0.77777777777777779</v>
      </c>
      <c r="AE241">
        <f>[1]!survey_responses[[#This Row],[Tôi tin tưởng số tiền thuế tôi đóng sẽ được Nhà nước sử dụng hiệu quả để cải thiện dịch vụ công (y tế, đường xá...). - HUMAN-TRU3]]</f>
        <v>8</v>
      </c>
      <c r="AF241">
        <f t="shared" si="98"/>
        <v>0.77777777777777779</v>
      </c>
      <c r="AG241">
        <f>step3_validation[[#This Row],[AI_TRU4]]</f>
        <v>5</v>
      </c>
      <c r="AH241">
        <f t="shared" si="99"/>
        <v>0.44444444444444442</v>
      </c>
      <c r="AI241">
        <f>[1]!survey_responses[[#This Row],[Tôi thấy Nhà nước đã giải thích rõ ràng, minh bạch về lý do và mục tiêu của việc sửa đổi thuế lần này. - HUMAN-TRU4]]</f>
        <v>8</v>
      </c>
      <c r="AJ241">
        <f t="shared" si="100"/>
        <v>0.77777777777777779</v>
      </c>
      <c r="AK241" s="32">
        <f t="shared" si="101"/>
        <v>0.66666666666666674</v>
      </c>
      <c r="AL241" s="32">
        <f t="shared" si="102"/>
        <v>0.77777777777777779</v>
      </c>
      <c r="AM241" s="7">
        <f t="shared" si="103"/>
        <v>0.66666666666666663</v>
      </c>
      <c r="AN241" s="7">
        <f t="shared" si="104"/>
        <v>0.77777777777777779</v>
      </c>
      <c r="AO241">
        <f>step3_validation[[#This Row],[AI_OUT1]]</f>
        <v>7</v>
      </c>
      <c r="AP241">
        <f t="shared" si="105"/>
        <v>0.66666666666666663</v>
      </c>
      <c r="AQ241">
        <f>[1]!survey_responses[[#This Row],[Sau khi xem xét các quyền lợi và nghĩa vụ, bạn có ủng hộ và tuân thủ chính sách mới hiện nay? - HUMAN-OUT1]]</f>
        <v>8</v>
      </c>
      <c r="AR241">
        <f t="shared" si="106"/>
        <v>0.77777777777777779</v>
      </c>
      <c r="AS241" s="32">
        <f t="shared" si="107"/>
        <v>1</v>
      </c>
    </row>
    <row r="242" spans="1:45" x14ac:dyDescent="0.45">
      <c r="A242">
        <f>step3_validation[[#This Row],[AI_ENF1]]</f>
        <v>7</v>
      </c>
      <c r="B242">
        <f t="shared" si="81"/>
        <v>0.66666666666666663</v>
      </c>
      <c r="C242">
        <f>[1]!survey_responses[[#This Row],[Tôi tin rằng với các quy định quản lý thuế hiện nay, hành vi gian lận hoặc trốn thuế sẽ dễ dàng bị phát hiện và xử lý nghiêm. - HUMAN-ENF1]]</f>
        <v>7</v>
      </c>
      <c r="D242">
        <f t="shared" si="82"/>
        <v>0.66666666666666663</v>
      </c>
      <c r="E242">
        <f>step3_validation[[#This Row],[AI_ENF2]]</f>
        <v>8</v>
      </c>
      <c r="F242">
        <f t="shared" si="83"/>
        <v>0.77777777777777779</v>
      </c>
      <c r="G242">
        <f>[1]!survey_responses[[#This Row],[Tôi tin rằng Nhà nước, cơ quan thuế có đủ khả năng và công nghệ để phát hiện, xử lý nghiêm các hành vi trốn thuế. - HUMAN-ENF2]]</f>
        <v>6</v>
      </c>
      <c r="H242">
        <f t="shared" si="84"/>
        <v>0.55555555555555558</v>
      </c>
      <c r="I242" s="32">
        <f t="shared" si="85"/>
        <v>0.72222222222222221</v>
      </c>
      <c r="J242" s="32">
        <f t="shared" si="86"/>
        <v>0.61111111111111116</v>
      </c>
      <c r="K242">
        <f>step3_validation[[#This Row],[AI_FAC1]]</f>
        <v>6</v>
      </c>
      <c r="L242">
        <f t="shared" si="87"/>
        <v>0.55555555555555558</v>
      </c>
      <c r="M242">
        <f>[1]!survey_responses[[#This Row],[Các thủ tục khai báo thuế VÀ/HOẶC quy trình làm việc với cơ quan thuế đơn giản, tiện lợi, nhanh chóng hơn so với trước đây. - HUMAN-FAC1]]</f>
        <v>7</v>
      </c>
      <c r="N242">
        <f t="shared" si="88"/>
        <v>0.66666666666666663</v>
      </c>
      <c r="O242">
        <f>step3_validation[[#This Row],[AI_FAC2]]</f>
        <v>8</v>
      </c>
      <c r="P242">
        <f t="shared" si="89"/>
        <v>0.77777777777777779</v>
      </c>
      <c r="Q242">
        <f>[1]!survey_responses[[#This Row],[So với trước đây, tôi thấy cách tính thuế và các bậc thuế trong phương án mới đơn giản, dễ hiểu và dễ thực hiện hơn. - HUMAN-FAC2]]</f>
        <v>7</v>
      </c>
      <c r="R242">
        <f t="shared" si="90"/>
        <v>0.66666666666666663</v>
      </c>
      <c r="S242" s="32">
        <f t="shared" si="91"/>
        <v>0.66666666666666674</v>
      </c>
      <c r="T242" s="32">
        <f t="shared" si="92"/>
        <v>0.66666666666666663</v>
      </c>
      <c r="U242">
        <f>step3_validation[[#This Row],[AI_TRU1]]</f>
        <v>7</v>
      </c>
      <c r="V242">
        <f t="shared" si="93"/>
        <v>0.66666666666666663</v>
      </c>
      <c r="W242">
        <f>[1]!survey_responses[[#This Row],[Tôi tin rằng Nhà nước, cơ quan thuế sẽ thực thi chính sách mới một cách khách quan, công tâm và đối xử bình đẳng với mọi người nộp thuế.  - HUMAN-TRU1]]</f>
        <v>8</v>
      </c>
      <c r="X242">
        <f t="shared" si="94"/>
        <v>0.77777777777777779</v>
      </c>
      <c r="Y242">
        <f>step3_validation[[#This Row],[AI_TRU2]]</f>
        <v>6</v>
      </c>
      <c r="Z242">
        <f t="shared" si="95"/>
        <v>0.55555555555555558</v>
      </c>
      <c r="AA242">
        <f>[1]!survey_responses[[#This Row],[Tôi thấy mức thuế tôi phải đóng theo phương án mới là công bằng (người thu nhập như tôi đóng mức này là hợp lý). - HUMAN-TRU2]]</f>
        <v>8</v>
      </c>
      <c r="AB242">
        <f t="shared" si="96"/>
        <v>0.77777777777777779</v>
      </c>
      <c r="AC242">
        <f>step3_validation[[#This Row],[AI_TRU3]]</f>
        <v>6</v>
      </c>
      <c r="AD242">
        <f t="shared" si="97"/>
        <v>0.55555555555555558</v>
      </c>
      <c r="AE242">
        <f>[1]!survey_responses[[#This Row],[Tôi tin tưởng số tiền thuế tôi đóng sẽ được Nhà nước sử dụng hiệu quả để cải thiện dịch vụ công (y tế, đường xá...). - HUMAN-TRU3]]</f>
        <v>8</v>
      </c>
      <c r="AF242">
        <f t="shared" si="98"/>
        <v>0.77777777777777779</v>
      </c>
      <c r="AG242">
        <f>step3_validation[[#This Row],[AI_TRU4]]</f>
        <v>5</v>
      </c>
      <c r="AH242">
        <f t="shared" si="99"/>
        <v>0.44444444444444442</v>
      </c>
      <c r="AI242">
        <f>[1]!survey_responses[[#This Row],[Tôi thấy Nhà nước đã giải thích rõ ràng, minh bạch về lý do và mục tiêu của việc sửa đổi thuế lần này. - HUMAN-TRU4]]</f>
        <v>8</v>
      </c>
      <c r="AJ242">
        <f t="shared" si="100"/>
        <v>0.77777777777777779</v>
      </c>
      <c r="AK242" s="32">
        <f t="shared" si="101"/>
        <v>0.55555555555555558</v>
      </c>
      <c r="AL242" s="32">
        <f t="shared" si="102"/>
        <v>0.77777777777777779</v>
      </c>
      <c r="AM242" s="7">
        <f t="shared" si="103"/>
        <v>0.64814814814814814</v>
      </c>
      <c r="AN242" s="7">
        <f t="shared" si="104"/>
        <v>0.68518518518518512</v>
      </c>
      <c r="AO242">
        <f>step3_validation[[#This Row],[AI_OUT1]]</f>
        <v>7</v>
      </c>
      <c r="AP242">
        <f t="shared" si="105"/>
        <v>0.66666666666666663</v>
      </c>
      <c r="AQ242">
        <f>[1]!survey_responses[[#This Row],[Sau khi xem xét các quyền lợi và nghĩa vụ, bạn có ủng hộ và tuân thủ chính sách mới hiện nay? - HUMAN-OUT1]]</f>
        <v>8</v>
      </c>
      <c r="AR242">
        <f t="shared" si="106"/>
        <v>0.77777777777777779</v>
      </c>
      <c r="AS242" s="32">
        <f t="shared" si="107"/>
        <v>1</v>
      </c>
    </row>
    <row r="243" spans="1:45" x14ac:dyDescent="0.45">
      <c r="A243">
        <f>step3_validation[[#This Row],[AI_ENF1]]</f>
        <v>7</v>
      </c>
      <c r="B243">
        <f t="shared" si="81"/>
        <v>0.66666666666666663</v>
      </c>
      <c r="C243">
        <f>[1]!survey_responses[[#This Row],[Tôi tin rằng với các quy định quản lý thuế hiện nay, hành vi gian lận hoặc trốn thuế sẽ dễ dàng bị phát hiện và xử lý nghiêm. - HUMAN-ENF1]]</f>
        <v>6</v>
      </c>
      <c r="D243">
        <f t="shared" si="82"/>
        <v>0.55555555555555558</v>
      </c>
      <c r="E243">
        <f>step3_validation[[#This Row],[AI_ENF2]]</f>
        <v>8</v>
      </c>
      <c r="F243">
        <f t="shared" si="83"/>
        <v>0.77777777777777779</v>
      </c>
      <c r="G243">
        <f>[1]!survey_responses[[#This Row],[Tôi tin rằng Nhà nước, cơ quan thuế có đủ khả năng và công nghệ để phát hiện, xử lý nghiêm các hành vi trốn thuế. - HUMAN-ENF2]]</f>
        <v>5</v>
      </c>
      <c r="H243">
        <f t="shared" si="84"/>
        <v>0.44444444444444442</v>
      </c>
      <c r="I243" s="32">
        <f t="shared" si="85"/>
        <v>0.72222222222222221</v>
      </c>
      <c r="J243" s="32">
        <f t="shared" si="86"/>
        <v>0.5</v>
      </c>
      <c r="K243">
        <f>step3_validation[[#This Row],[AI_FAC1]]</f>
        <v>6</v>
      </c>
      <c r="L243">
        <f t="shared" si="87"/>
        <v>0.55555555555555558</v>
      </c>
      <c r="M243">
        <f>[1]!survey_responses[[#This Row],[Các thủ tục khai báo thuế VÀ/HOẶC quy trình làm việc với cơ quan thuế đơn giản, tiện lợi, nhanh chóng hơn so với trước đây. - HUMAN-FAC1]]</f>
        <v>5</v>
      </c>
      <c r="N243">
        <f t="shared" si="88"/>
        <v>0.44444444444444442</v>
      </c>
      <c r="O243">
        <f>step3_validation[[#This Row],[AI_FAC2]]</f>
        <v>7</v>
      </c>
      <c r="P243">
        <f t="shared" si="89"/>
        <v>0.66666666666666663</v>
      </c>
      <c r="Q243">
        <f>[1]!survey_responses[[#This Row],[So với trước đây, tôi thấy cách tính thuế và các bậc thuế trong phương án mới đơn giản, dễ hiểu và dễ thực hiện hơn. - HUMAN-FAC2]]</f>
        <v>7</v>
      </c>
      <c r="R243">
        <f t="shared" si="90"/>
        <v>0.66666666666666663</v>
      </c>
      <c r="S243" s="32">
        <f t="shared" si="91"/>
        <v>0.61111111111111116</v>
      </c>
      <c r="T243" s="32">
        <f t="shared" si="92"/>
        <v>0.55555555555555558</v>
      </c>
      <c r="U243">
        <f>step3_validation[[#This Row],[AI_TRU1]]</f>
        <v>7</v>
      </c>
      <c r="V243">
        <f t="shared" si="93"/>
        <v>0.66666666666666663</v>
      </c>
      <c r="W243">
        <f>[1]!survey_responses[[#This Row],[Tôi tin rằng Nhà nước, cơ quan thuế sẽ thực thi chính sách mới một cách khách quan, công tâm và đối xử bình đẳng với mọi người nộp thuế.  - HUMAN-TRU1]]</f>
        <v>7</v>
      </c>
      <c r="X243">
        <f t="shared" si="94"/>
        <v>0.66666666666666663</v>
      </c>
      <c r="Y243">
        <f>step3_validation[[#This Row],[AI_TRU2]]</f>
        <v>8</v>
      </c>
      <c r="Z243">
        <f t="shared" si="95"/>
        <v>0.77777777777777779</v>
      </c>
      <c r="AA243">
        <f>[1]!survey_responses[[#This Row],[Tôi thấy mức thuế tôi phải đóng theo phương án mới là công bằng (người thu nhập như tôi đóng mức này là hợp lý). - HUMAN-TRU2]]</f>
        <v>7</v>
      </c>
      <c r="AB243">
        <f t="shared" si="96"/>
        <v>0.66666666666666663</v>
      </c>
      <c r="AC243">
        <f>step3_validation[[#This Row],[AI_TRU3]]</f>
        <v>6</v>
      </c>
      <c r="AD243">
        <f t="shared" si="97"/>
        <v>0.55555555555555558</v>
      </c>
      <c r="AE243">
        <f>[1]!survey_responses[[#This Row],[Tôi tin tưởng số tiền thuế tôi đóng sẽ được Nhà nước sử dụng hiệu quả để cải thiện dịch vụ công (y tế, đường xá...). - HUMAN-TRU3]]</f>
        <v>7</v>
      </c>
      <c r="AF243">
        <f t="shared" si="98"/>
        <v>0.66666666666666663</v>
      </c>
      <c r="AG243">
        <f>step3_validation[[#This Row],[AI_TRU4]]</f>
        <v>7</v>
      </c>
      <c r="AH243">
        <f t="shared" si="99"/>
        <v>0.66666666666666663</v>
      </c>
      <c r="AI243">
        <f>[1]!survey_responses[[#This Row],[Tôi thấy Nhà nước đã giải thích rõ ràng, minh bạch về lý do và mục tiêu của việc sửa đổi thuế lần này. - HUMAN-TRU4]]</f>
        <v>8</v>
      </c>
      <c r="AJ243">
        <f t="shared" si="100"/>
        <v>0.77777777777777779</v>
      </c>
      <c r="AK243" s="32">
        <f t="shared" si="101"/>
        <v>0.66666666666666663</v>
      </c>
      <c r="AL243" s="32">
        <f t="shared" si="102"/>
        <v>0.69444444444444442</v>
      </c>
      <c r="AM243" s="7">
        <f t="shared" si="103"/>
        <v>0.66666666666666663</v>
      </c>
      <c r="AN243" s="7">
        <f t="shared" si="104"/>
        <v>0.58333333333333337</v>
      </c>
      <c r="AO243">
        <f>step3_validation[[#This Row],[AI_OUT1]]</f>
        <v>8</v>
      </c>
      <c r="AP243">
        <f t="shared" si="105"/>
        <v>0.77777777777777779</v>
      </c>
      <c r="AQ243">
        <f>[1]!survey_responses[[#This Row],[Sau khi xem xét các quyền lợi và nghĩa vụ, bạn có ủng hộ và tuân thủ chính sách mới hiện nay? - HUMAN-OUT1]]</f>
        <v>8</v>
      </c>
      <c r="AR243">
        <f t="shared" si="106"/>
        <v>0.77777777777777779</v>
      </c>
      <c r="AS243" s="32">
        <f t="shared" si="107"/>
        <v>0</v>
      </c>
    </row>
    <row r="244" spans="1:45" x14ac:dyDescent="0.45">
      <c r="A244">
        <f>step3_validation[[#This Row],[AI_ENF1]]</f>
        <v>7</v>
      </c>
      <c r="B244">
        <f t="shared" si="81"/>
        <v>0.66666666666666663</v>
      </c>
      <c r="C244">
        <f>[1]!survey_responses[[#This Row],[Tôi tin rằng với các quy định quản lý thuế hiện nay, hành vi gian lận hoặc trốn thuế sẽ dễ dàng bị phát hiện và xử lý nghiêm. - HUMAN-ENF1]]</f>
        <v>6</v>
      </c>
      <c r="D244">
        <f t="shared" si="82"/>
        <v>0.55555555555555558</v>
      </c>
      <c r="E244">
        <f>step3_validation[[#This Row],[AI_ENF2]]</f>
        <v>6</v>
      </c>
      <c r="F244">
        <f t="shared" si="83"/>
        <v>0.55555555555555558</v>
      </c>
      <c r="G244">
        <f>[1]!survey_responses[[#This Row],[Tôi tin rằng Nhà nước, cơ quan thuế có đủ khả năng và công nghệ để phát hiện, xử lý nghiêm các hành vi trốn thuế. - HUMAN-ENF2]]</f>
        <v>6</v>
      </c>
      <c r="H244">
        <f t="shared" si="84"/>
        <v>0.55555555555555558</v>
      </c>
      <c r="I244" s="32">
        <f t="shared" si="85"/>
        <v>0.61111111111111116</v>
      </c>
      <c r="J244" s="32">
        <f t="shared" si="86"/>
        <v>0.55555555555555558</v>
      </c>
      <c r="K244">
        <f>step3_validation[[#This Row],[AI_FAC1]]</f>
        <v>8</v>
      </c>
      <c r="L244">
        <f t="shared" si="87"/>
        <v>0.77777777777777779</v>
      </c>
      <c r="M244">
        <f>[1]!survey_responses[[#This Row],[Các thủ tục khai báo thuế VÀ/HOẶC quy trình làm việc với cơ quan thuế đơn giản, tiện lợi, nhanh chóng hơn so với trước đây. - HUMAN-FAC1]]</f>
        <v>6</v>
      </c>
      <c r="N244">
        <f t="shared" si="88"/>
        <v>0.55555555555555558</v>
      </c>
      <c r="O244">
        <f>step3_validation[[#This Row],[AI_FAC2]]</f>
        <v>9</v>
      </c>
      <c r="P244">
        <f t="shared" si="89"/>
        <v>0.88888888888888884</v>
      </c>
      <c r="Q244">
        <f>[1]!survey_responses[[#This Row],[So với trước đây, tôi thấy cách tính thuế và các bậc thuế trong phương án mới đơn giản, dễ hiểu và dễ thực hiện hơn. - HUMAN-FAC2]]</f>
        <v>6</v>
      </c>
      <c r="R244">
        <f t="shared" si="90"/>
        <v>0.55555555555555558</v>
      </c>
      <c r="S244" s="32">
        <f t="shared" si="91"/>
        <v>0.83333333333333326</v>
      </c>
      <c r="T244" s="32">
        <f t="shared" si="92"/>
        <v>0.55555555555555558</v>
      </c>
      <c r="U244">
        <f>step3_validation[[#This Row],[AI_TRU1]]</f>
        <v>6</v>
      </c>
      <c r="V244">
        <f t="shared" si="93"/>
        <v>0.55555555555555558</v>
      </c>
      <c r="W244">
        <f>[1]!survey_responses[[#This Row],[Tôi tin rằng Nhà nước, cơ quan thuế sẽ thực thi chính sách mới một cách khách quan, công tâm và đối xử bình đẳng với mọi người nộp thuế.  - HUMAN-TRU1]]</f>
        <v>6</v>
      </c>
      <c r="X244">
        <f t="shared" si="94"/>
        <v>0.55555555555555558</v>
      </c>
      <c r="Y244">
        <f>step3_validation[[#This Row],[AI_TRU2]]</f>
        <v>7</v>
      </c>
      <c r="Z244">
        <f t="shared" si="95"/>
        <v>0.66666666666666663</v>
      </c>
      <c r="AA244">
        <f>[1]!survey_responses[[#This Row],[Tôi thấy mức thuế tôi phải đóng theo phương án mới là công bằng (người thu nhập như tôi đóng mức này là hợp lý). - HUMAN-TRU2]]</f>
        <v>6</v>
      </c>
      <c r="AB244">
        <f t="shared" si="96"/>
        <v>0.55555555555555558</v>
      </c>
      <c r="AC244">
        <f>step3_validation[[#This Row],[AI_TRU3]]</f>
        <v>6</v>
      </c>
      <c r="AD244">
        <f t="shared" si="97"/>
        <v>0.55555555555555558</v>
      </c>
      <c r="AE244">
        <f>[1]!survey_responses[[#This Row],[Tôi tin tưởng số tiền thuế tôi đóng sẽ được Nhà nước sử dụng hiệu quả để cải thiện dịch vụ công (y tế, đường xá...). - HUMAN-TRU3]]</f>
        <v>6</v>
      </c>
      <c r="AF244">
        <f t="shared" si="98"/>
        <v>0.55555555555555558</v>
      </c>
      <c r="AG244">
        <f>step3_validation[[#This Row],[AI_TRU4]]</f>
        <v>5</v>
      </c>
      <c r="AH244">
        <f t="shared" si="99"/>
        <v>0.44444444444444442</v>
      </c>
      <c r="AI244">
        <f>[1]!survey_responses[[#This Row],[Tôi thấy Nhà nước đã giải thích rõ ràng, minh bạch về lý do và mục tiêu của việc sửa đổi thuế lần này. - HUMAN-TRU4]]</f>
        <v>6</v>
      </c>
      <c r="AJ244">
        <f t="shared" si="100"/>
        <v>0.55555555555555558</v>
      </c>
      <c r="AK244" s="32">
        <f t="shared" si="101"/>
        <v>0.55555555555555558</v>
      </c>
      <c r="AL244" s="32">
        <f t="shared" si="102"/>
        <v>0.55555555555555558</v>
      </c>
      <c r="AM244" s="7">
        <f t="shared" si="103"/>
        <v>0.66666666666666663</v>
      </c>
      <c r="AN244" s="7">
        <f t="shared" si="104"/>
        <v>0.55555555555555558</v>
      </c>
      <c r="AO244">
        <f>step3_validation[[#This Row],[AI_OUT1]]</f>
        <v>7</v>
      </c>
      <c r="AP244">
        <f t="shared" si="105"/>
        <v>0.66666666666666663</v>
      </c>
      <c r="AQ244">
        <f>[1]!survey_responses[[#This Row],[Sau khi xem xét các quyền lợi và nghĩa vụ, bạn có ủng hộ và tuân thủ chính sách mới hiện nay? - HUMAN-OUT1]]</f>
        <v>6</v>
      </c>
      <c r="AR244">
        <f t="shared" si="106"/>
        <v>0.55555555555555558</v>
      </c>
      <c r="AS244" s="32">
        <f t="shared" si="107"/>
        <v>1</v>
      </c>
    </row>
    <row r="245" spans="1:45" x14ac:dyDescent="0.45">
      <c r="A245">
        <f>step3_validation[[#This Row],[AI_ENF1]]</f>
        <v>8</v>
      </c>
      <c r="B245">
        <f t="shared" si="81"/>
        <v>0.77777777777777779</v>
      </c>
      <c r="C245">
        <f>[1]!survey_responses[[#This Row],[Tôi tin rằng với các quy định quản lý thuế hiện nay, hành vi gian lận hoặc trốn thuế sẽ dễ dàng bị phát hiện và xử lý nghiêm. - HUMAN-ENF1]]</f>
        <v>7</v>
      </c>
      <c r="D245">
        <f t="shared" si="82"/>
        <v>0.66666666666666663</v>
      </c>
      <c r="E245">
        <f>step3_validation[[#This Row],[AI_ENF2]]</f>
        <v>9</v>
      </c>
      <c r="F245">
        <f t="shared" si="83"/>
        <v>0.88888888888888884</v>
      </c>
      <c r="G245">
        <f>[1]!survey_responses[[#This Row],[Tôi tin rằng Nhà nước, cơ quan thuế có đủ khả năng và công nghệ để phát hiện, xử lý nghiêm các hành vi trốn thuế. - HUMAN-ENF2]]</f>
        <v>6</v>
      </c>
      <c r="H245">
        <f t="shared" si="84"/>
        <v>0.55555555555555558</v>
      </c>
      <c r="I245" s="32">
        <f t="shared" si="85"/>
        <v>0.83333333333333326</v>
      </c>
      <c r="J245" s="32">
        <f t="shared" si="86"/>
        <v>0.61111111111111116</v>
      </c>
      <c r="K245">
        <f>step3_validation[[#This Row],[AI_FAC1]]</f>
        <v>7</v>
      </c>
      <c r="L245">
        <f t="shared" si="87"/>
        <v>0.66666666666666663</v>
      </c>
      <c r="M245">
        <f>[1]!survey_responses[[#This Row],[Các thủ tục khai báo thuế VÀ/HOẶC quy trình làm việc với cơ quan thuế đơn giản, tiện lợi, nhanh chóng hơn so với trước đây. - HUMAN-FAC1]]</f>
        <v>6</v>
      </c>
      <c r="N245">
        <f t="shared" si="88"/>
        <v>0.55555555555555558</v>
      </c>
      <c r="O245">
        <f>step3_validation[[#This Row],[AI_FAC2]]</f>
        <v>8</v>
      </c>
      <c r="P245">
        <f t="shared" si="89"/>
        <v>0.77777777777777779</v>
      </c>
      <c r="Q245">
        <f>[1]!survey_responses[[#This Row],[So với trước đây, tôi thấy cách tính thuế và các bậc thuế trong phương án mới đơn giản, dễ hiểu và dễ thực hiện hơn. - HUMAN-FAC2]]</f>
        <v>8</v>
      </c>
      <c r="R245">
        <f t="shared" si="90"/>
        <v>0.77777777777777779</v>
      </c>
      <c r="S245" s="32">
        <f t="shared" si="91"/>
        <v>0.72222222222222221</v>
      </c>
      <c r="T245" s="32">
        <f t="shared" si="92"/>
        <v>0.66666666666666674</v>
      </c>
      <c r="U245">
        <f>step3_validation[[#This Row],[AI_TRU1]]</f>
        <v>7</v>
      </c>
      <c r="V245">
        <f t="shared" si="93"/>
        <v>0.66666666666666663</v>
      </c>
      <c r="W245">
        <f>[1]!survey_responses[[#This Row],[Tôi tin rằng Nhà nước, cơ quan thuế sẽ thực thi chính sách mới một cách khách quan, công tâm và đối xử bình đẳng với mọi người nộp thuế.  - HUMAN-TRU1]]</f>
        <v>6</v>
      </c>
      <c r="X245">
        <f t="shared" si="94"/>
        <v>0.55555555555555558</v>
      </c>
      <c r="Y245">
        <f>step3_validation[[#This Row],[AI_TRU2]]</f>
        <v>8</v>
      </c>
      <c r="Z245">
        <f t="shared" si="95"/>
        <v>0.77777777777777779</v>
      </c>
      <c r="AA245">
        <f>[1]!survey_responses[[#This Row],[Tôi thấy mức thuế tôi phải đóng theo phương án mới là công bằng (người thu nhập như tôi đóng mức này là hợp lý). - HUMAN-TRU2]]</f>
        <v>6</v>
      </c>
      <c r="AB245">
        <f t="shared" si="96"/>
        <v>0.55555555555555558</v>
      </c>
      <c r="AC245">
        <f>step3_validation[[#This Row],[AI_TRU3]]</f>
        <v>6</v>
      </c>
      <c r="AD245">
        <f t="shared" si="97"/>
        <v>0.55555555555555558</v>
      </c>
      <c r="AE245">
        <f>[1]!survey_responses[[#This Row],[Tôi tin tưởng số tiền thuế tôi đóng sẽ được Nhà nước sử dụng hiệu quả để cải thiện dịch vụ công (y tế, đường xá...). - HUMAN-TRU3]]</f>
        <v>6</v>
      </c>
      <c r="AF245">
        <f t="shared" si="98"/>
        <v>0.55555555555555558</v>
      </c>
      <c r="AG245">
        <f>step3_validation[[#This Row],[AI_TRU4]]</f>
        <v>5</v>
      </c>
      <c r="AH245">
        <f t="shared" si="99"/>
        <v>0.44444444444444442</v>
      </c>
      <c r="AI245">
        <f>[1]!survey_responses[[#This Row],[Tôi thấy Nhà nước đã giải thích rõ ràng, minh bạch về lý do và mục tiêu của việc sửa đổi thuế lần này. - HUMAN-TRU4]]</f>
        <v>6</v>
      </c>
      <c r="AJ245">
        <f t="shared" si="100"/>
        <v>0.55555555555555558</v>
      </c>
      <c r="AK245" s="32">
        <f t="shared" si="101"/>
        <v>0.61111111111111116</v>
      </c>
      <c r="AL245" s="32">
        <f t="shared" si="102"/>
        <v>0.55555555555555558</v>
      </c>
      <c r="AM245" s="7">
        <f t="shared" si="103"/>
        <v>0.72222222222222221</v>
      </c>
      <c r="AN245" s="7">
        <f t="shared" si="104"/>
        <v>0.61111111111111116</v>
      </c>
      <c r="AO245">
        <f>step3_validation[[#This Row],[AI_OUT1]]</f>
        <v>7</v>
      </c>
      <c r="AP245">
        <f t="shared" si="105"/>
        <v>0.66666666666666663</v>
      </c>
      <c r="AQ245">
        <f>[1]!survey_responses[[#This Row],[Sau khi xem xét các quyền lợi và nghĩa vụ, bạn có ủng hộ và tuân thủ chính sách mới hiện nay? - HUMAN-OUT1]]</f>
        <v>6</v>
      </c>
      <c r="AR245">
        <f t="shared" si="106"/>
        <v>0.55555555555555558</v>
      </c>
      <c r="AS245" s="32">
        <f t="shared" si="107"/>
        <v>1</v>
      </c>
    </row>
    <row r="246" spans="1:45" x14ac:dyDescent="0.45">
      <c r="A246">
        <f>step3_validation[[#This Row],[AI_ENF1]]</f>
        <v>6</v>
      </c>
      <c r="B246">
        <f t="shared" si="81"/>
        <v>0.55555555555555558</v>
      </c>
      <c r="C246">
        <f>[1]!survey_responses[[#This Row],[Tôi tin rằng với các quy định quản lý thuế hiện nay, hành vi gian lận hoặc trốn thuế sẽ dễ dàng bị phát hiện và xử lý nghiêm. - HUMAN-ENF1]]</f>
        <v>4</v>
      </c>
      <c r="D246">
        <f t="shared" si="82"/>
        <v>0.33333333333333331</v>
      </c>
      <c r="E246">
        <f>step3_validation[[#This Row],[AI_ENF2]]</f>
        <v>7</v>
      </c>
      <c r="F246">
        <f t="shared" si="83"/>
        <v>0.66666666666666663</v>
      </c>
      <c r="G246">
        <f>[1]!survey_responses[[#This Row],[Tôi tin rằng Nhà nước, cơ quan thuế có đủ khả năng và công nghệ để phát hiện, xử lý nghiêm các hành vi trốn thuế. - HUMAN-ENF2]]</f>
        <v>4</v>
      </c>
      <c r="H246">
        <f t="shared" si="84"/>
        <v>0.33333333333333331</v>
      </c>
      <c r="I246" s="32">
        <f t="shared" si="85"/>
        <v>0.61111111111111116</v>
      </c>
      <c r="J246" s="32">
        <f t="shared" si="86"/>
        <v>0.33333333333333331</v>
      </c>
      <c r="K246">
        <f>step3_validation[[#This Row],[AI_FAC1]]</f>
        <v>8</v>
      </c>
      <c r="L246">
        <f t="shared" si="87"/>
        <v>0.77777777777777779</v>
      </c>
      <c r="M246">
        <f>[1]!survey_responses[[#This Row],[Các thủ tục khai báo thuế VÀ/HOẶC quy trình làm việc với cơ quan thuế đơn giản, tiện lợi, nhanh chóng hơn so với trước đây. - HUMAN-FAC1]]</f>
        <v>1</v>
      </c>
      <c r="N246">
        <f t="shared" si="88"/>
        <v>0</v>
      </c>
      <c r="O246">
        <f>step3_validation[[#This Row],[AI_FAC2]]</f>
        <v>9</v>
      </c>
      <c r="P246">
        <f t="shared" si="89"/>
        <v>0.88888888888888884</v>
      </c>
      <c r="Q246">
        <f>[1]!survey_responses[[#This Row],[So với trước đây, tôi thấy cách tính thuế và các bậc thuế trong phương án mới đơn giản, dễ hiểu và dễ thực hiện hơn. - HUMAN-FAC2]]</f>
        <v>4</v>
      </c>
      <c r="R246">
        <f t="shared" si="90"/>
        <v>0.33333333333333331</v>
      </c>
      <c r="S246" s="32">
        <f t="shared" si="91"/>
        <v>0.83333333333333326</v>
      </c>
      <c r="T246" s="32">
        <f t="shared" si="92"/>
        <v>0.16666666666666666</v>
      </c>
      <c r="U246">
        <f>step3_validation[[#This Row],[AI_TRU1]]</f>
        <v>5</v>
      </c>
      <c r="V246">
        <f t="shared" si="93"/>
        <v>0.44444444444444442</v>
      </c>
      <c r="W246">
        <f>[1]!survey_responses[[#This Row],[Tôi tin rằng Nhà nước, cơ quan thuế sẽ thực thi chính sách mới một cách khách quan, công tâm và đối xử bình đẳng với mọi người nộp thuế.  - HUMAN-TRU1]]</f>
        <v>4</v>
      </c>
      <c r="X246">
        <f t="shared" si="94"/>
        <v>0.33333333333333331</v>
      </c>
      <c r="Y246">
        <f>step3_validation[[#This Row],[AI_TRU2]]</f>
        <v>7</v>
      </c>
      <c r="Z246">
        <f t="shared" si="95"/>
        <v>0.66666666666666663</v>
      </c>
      <c r="AA246">
        <f>[1]!survey_responses[[#This Row],[Tôi thấy mức thuế tôi phải đóng theo phương án mới là công bằng (người thu nhập như tôi đóng mức này là hợp lý). - HUMAN-TRU2]]</f>
        <v>4</v>
      </c>
      <c r="AB246">
        <f t="shared" si="96"/>
        <v>0.33333333333333331</v>
      </c>
      <c r="AC246">
        <f>step3_validation[[#This Row],[AI_TRU3]]</f>
        <v>4</v>
      </c>
      <c r="AD246">
        <f t="shared" si="97"/>
        <v>0.33333333333333331</v>
      </c>
      <c r="AE246">
        <f>[1]!survey_responses[[#This Row],[Tôi tin tưởng số tiền thuế tôi đóng sẽ được Nhà nước sử dụng hiệu quả để cải thiện dịch vụ công (y tế, đường xá...). - HUMAN-TRU3]]</f>
        <v>5</v>
      </c>
      <c r="AF246">
        <f t="shared" si="98"/>
        <v>0.44444444444444442</v>
      </c>
      <c r="AG246">
        <f>step3_validation[[#This Row],[AI_TRU4]]</f>
        <v>5</v>
      </c>
      <c r="AH246">
        <f t="shared" si="99"/>
        <v>0.44444444444444442</v>
      </c>
      <c r="AI246">
        <f>[1]!survey_responses[[#This Row],[Tôi thấy Nhà nước đã giải thích rõ ràng, minh bạch về lý do và mục tiêu của việc sửa đổi thuế lần này. - HUMAN-TRU4]]</f>
        <v>5</v>
      </c>
      <c r="AJ246">
        <f t="shared" si="100"/>
        <v>0.44444444444444442</v>
      </c>
      <c r="AK246" s="32">
        <f t="shared" si="101"/>
        <v>0.47222222222222221</v>
      </c>
      <c r="AL246" s="32">
        <f t="shared" si="102"/>
        <v>0.3888888888888889</v>
      </c>
      <c r="AM246" s="7">
        <f t="shared" si="103"/>
        <v>0.63888888888888884</v>
      </c>
      <c r="AN246" s="7">
        <f t="shared" si="104"/>
        <v>0.29629629629629628</v>
      </c>
      <c r="AO246">
        <f>step3_validation[[#This Row],[AI_OUT1]]</f>
        <v>6</v>
      </c>
      <c r="AP246">
        <f t="shared" si="105"/>
        <v>0.55555555555555558</v>
      </c>
      <c r="AQ246">
        <f>[1]!survey_responses[[#This Row],[Sau khi xem xét các quyền lợi và nghĩa vụ, bạn có ủng hộ và tuân thủ chính sách mới hiện nay? - HUMAN-OUT1]]</f>
        <v>5</v>
      </c>
      <c r="AR246">
        <f t="shared" si="106"/>
        <v>0.44444444444444442</v>
      </c>
      <c r="AS246" s="32">
        <f t="shared" si="107"/>
        <v>1</v>
      </c>
    </row>
    <row r="247" spans="1:45" x14ac:dyDescent="0.45">
      <c r="A247">
        <f>step3_validation[[#This Row],[AI_ENF1]]</f>
        <v>7</v>
      </c>
      <c r="B247">
        <f t="shared" si="81"/>
        <v>0.66666666666666663</v>
      </c>
      <c r="C247">
        <f>[1]!survey_responses[[#This Row],[Tôi tin rằng với các quy định quản lý thuế hiện nay, hành vi gian lận hoặc trốn thuế sẽ dễ dàng bị phát hiện và xử lý nghiêm. - HUMAN-ENF1]]</f>
        <v>6</v>
      </c>
      <c r="D247">
        <f t="shared" si="82"/>
        <v>0.55555555555555558</v>
      </c>
      <c r="E247">
        <f>step3_validation[[#This Row],[AI_ENF2]]</f>
        <v>8</v>
      </c>
      <c r="F247">
        <f t="shared" si="83"/>
        <v>0.77777777777777779</v>
      </c>
      <c r="G247">
        <f>[1]!survey_responses[[#This Row],[Tôi tin rằng Nhà nước, cơ quan thuế có đủ khả năng và công nghệ để phát hiện, xử lý nghiêm các hành vi trốn thuế. - HUMAN-ENF2]]</f>
        <v>7</v>
      </c>
      <c r="H247">
        <f t="shared" si="84"/>
        <v>0.66666666666666663</v>
      </c>
      <c r="I247" s="32">
        <f t="shared" si="85"/>
        <v>0.72222222222222221</v>
      </c>
      <c r="J247" s="32">
        <f t="shared" si="86"/>
        <v>0.61111111111111116</v>
      </c>
      <c r="K247">
        <f>step3_validation[[#This Row],[AI_FAC1]]</f>
        <v>9</v>
      </c>
      <c r="L247">
        <f t="shared" si="87"/>
        <v>0.88888888888888884</v>
      </c>
      <c r="M247">
        <f>[1]!survey_responses[[#This Row],[Các thủ tục khai báo thuế VÀ/HOẶC quy trình làm việc với cơ quan thuế đơn giản, tiện lợi, nhanh chóng hơn so với trước đây. - HUMAN-FAC1]]</f>
        <v>7</v>
      </c>
      <c r="N247">
        <f t="shared" si="88"/>
        <v>0.66666666666666663</v>
      </c>
      <c r="O247">
        <f>step3_validation[[#This Row],[AI_FAC2]]</f>
        <v>8</v>
      </c>
      <c r="P247">
        <f t="shared" si="89"/>
        <v>0.77777777777777779</v>
      </c>
      <c r="Q247">
        <f>[1]!survey_responses[[#This Row],[So với trước đây, tôi thấy cách tính thuế và các bậc thuế trong phương án mới đơn giản, dễ hiểu và dễ thực hiện hơn. - HUMAN-FAC2]]</f>
        <v>7</v>
      </c>
      <c r="R247">
        <f t="shared" si="90"/>
        <v>0.66666666666666663</v>
      </c>
      <c r="S247" s="32">
        <f t="shared" si="91"/>
        <v>0.83333333333333326</v>
      </c>
      <c r="T247" s="32">
        <f t="shared" si="92"/>
        <v>0.66666666666666663</v>
      </c>
      <c r="U247">
        <f>step3_validation[[#This Row],[AI_TRU1]]</f>
        <v>7</v>
      </c>
      <c r="V247">
        <f t="shared" si="93"/>
        <v>0.66666666666666663</v>
      </c>
      <c r="W247">
        <f>[1]!survey_responses[[#This Row],[Tôi tin rằng Nhà nước, cơ quan thuế sẽ thực thi chính sách mới một cách khách quan, công tâm và đối xử bình đẳng với mọi người nộp thuế.  - HUMAN-TRU1]]</f>
        <v>7</v>
      </c>
      <c r="X247">
        <f t="shared" si="94"/>
        <v>0.66666666666666663</v>
      </c>
      <c r="Y247">
        <f>step3_validation[[#This Row],[AI_TRU2]]</f>
        <v>6</v>
      </c>
      <c r="Z247">
        <f t="shared" si="95"/>
        <v>0.55555555555555558</v>
      </c>
      <c r="AA247">
        <f>[1]!survey_responses[[#This Row],[Tôi thấy mức thuế tôi phải đóng theo phương án mới là công bằng (người thu nhập như tôi đóng mức này là hợp lý). - HUMAN-TRU2]]</f>
        <v>7</v>
      </c>
      <c r="AB247">
        <f t="shared" si="96"/>
        <v>0.66666666666666663</v>
      </c>
      <c r="AC247">
        <f>step3_validation[[#This Row],[AI_TRU3]]</f>
        <v>7</v>
      </c>
      <c r="AD247">
        <f t="shared" si="97"/>
        <v>0.66666666666666663</v>
      </c>
      <c r="AE247">
        <f>[1]!survey_responses[[#This Row],[Tôi tin tưởng số tiền thuế tôi đóng sẽ được Nhà nước sử dụng hiệu quả để cải thiện dịch vụ công (y tế, đường xá...). - HUMAN-TRU3]]</f>
        <v>7</v>
      </c>
      <c r="AF247">
        <f t="shared" si="98"/>
        <v>0.66666666666666663</v>
      </c>
      <c r="AG247">
        <f>step3_validation[[#This Row],[AI_TRU4]]</f>
        <v>5</v>
      </c>
      <c r="AH247">
        <f t="shared" si="99"/>
        <v>0.44444444444444442</v>
      </c>
      <c r="AI247">
        <f>[1]!survey_responses[[#This Row],[Tôi thấy Nhà nước đã giải thích rõ ràng, minh bạch về lý do và mục tiêu của việc sửa đổi thuế lần này. - HUMAN-TRU4]]</f>
        <v>7</v>
      </c>
      <c r="AJ247">
        <f t="shared" si="100"/>
        <v>0.66666666666666663</v>
      </c>
      <c r="AK247" s="32">
        <f t="shared" si="101"/>
        <v>0.58333333333333326</v>
      </c>
      <c r="AL247" s="32">
        <f t="shared" si="102"/>
        <v>0.66666666666666663</v>
      </c>
      <c r="AM247" s="7">
        <f t="shared" si="103"/>
        <v>0.7129629629629628</v>
      </c>
      <c r="AN247" s="7">
        <f t="shared" si="104"/>
        <v>0.64814814814814803</v>
      </c>
      <c r="AO247">
        <f>step3_validation[[#This Row],[AI_OUT1]]</f>
        <v>6</v>
      </c>
      <c r="AP247">
        <f t="shared" si="105"/>
        <v>0.55555555555555558</v>
      </c>
      <c r="AQ247">
        <f>[1]!survey_responses[[#This Row],[Sau khi xem xét các quyền lợi và nghĩa vụ, bạn có ủng hộ và tuân thủ chính sách mới hiện nay? - HUMAN-OUT1]]</f>
        <v>7</v>
      </c>
      <c r="AR247">
        <f t="shared" si="106"/>
        <v>0.66666666666666663</v>
      </c>
      <c r="AS247" s="32">
        <f t="shared" si="107"/>
        <v>1</v>
      </c>
    </row>
    <row r="248" spans="1:45" x14ac:dyDescent="0.45">
      <c r="A248">
        <f>step3_validation[[#This Row],[AI_ENF1]]</f>
        <v>7</v>
      </c>
      <c r="B248">
        <f t="shared" si="81"/>
        <v>0.66666666666666663</v>
      </c>
      <c r="C248">
        <f>[1]!survey_responses[[#This Row],[Tôi tin rằng với các quy định quản lý thuế hiện nay, hành vi gian lận hoặc trốn thuế sẽ dễ dàng bị phát hiện và xử lý nghiêm. - HUMAN-ENF1]]</f>
        <v>8</v>
      </c>
      <c r="D248">
        <f t="shared" si="82"/>
        <v>0.77777777777777779</v>
      </c>
      <c r="E248">
        <f>step3_validation[[#This Row],[AI_ENF2]]</f>
        <v>8</v>
      </c>
      <c r="F248">
        <f t="shared" si="83"/>
        <v>0.77777777777777779</v>
      </c>
      <c r="G248">
        <f>[1]!survey_responses[[#This Row],[Tôi tin rằng Nhà nước, cơ quan thuế có đủ khả năng và công nghệ để phát hiện, xử lý nghiêm các hành vi trốn thuế. - HUMAN-ENF2]]</f>
        <v>8</v>
      </c>
      <c r="H248">
        <f t="shared" si="84"/>
        <v>0.77777777777777779</v>
      </c>
      <c r="I248" s="32">
        <f t="shared" si="85"/>
        <v>0.72222222222222221</v>
      </c>
      <c r="J248" s="32">
        <f t="shared" si="86"/>
        <v>0.77777777777777779</v>
      </c>
      <c r="K248">
        <f>step3_validation[[#This Row],[AI_FAC1]]</f>
        <v>9</v>
      </c>
      <c r="L248">
        <f t="shared" si="87"/>
        <v>0.88888888888888884</v>
      </c>
      <c r="M248">
        <f>[1]!survey_responses[[#This Row],[Các thủ tục khai báo thuế VÀ/HOẶC quy trình làm việc với cơ quan thuế đơn giản, tiện lợi, nhanh chóng hơn so với trước đây. - HUMAN-FAC1]]</f>
        <v>8</v>
      </c>
      <c r="N248">
        <f t="shared" si="88"/>
        <v>0.77777777777777779</v>
      </c>
      <c r="O248">
        <f>step3_validation[[#This Row],[AI_FAC2]]</f>
        <v>8</v>
      </c>
      <c r="P248">
        <f t="shared" si="89"/>
        <v>0.77777777777777779</v>
      </c>
      <c r="Q248">
        <f>[1]!survey_responses[[#This Row],[So với trước đây, tôi thấy cách tính thuế và các bậc thuế trong phương án mới đơn giản, dễ hiểu và dễ thực hiện hơn. - HUMAN-FAC2]]</f>
        <v>8</v>
      </c>
      <c r="R248">
        <f t="shared" si="90"/>
        <v>0.77777777777777779</v>
      </c>
      <c r="S248" s="32">
        <f t="shared" si="91"/>
        <v>0.83333333333333326</v>
      </c>
      <c r="T248" s="32">
        <f t="shared" si="92"/>
        <v>0.77777777777777779</v>
      </c>
      <c r="U248">
        <f>step3_validation[[#This Row],[AI_TRU1]]</f>
        <v>7</v>
      </c>
      <c r="V248">
        <f t="shared" si="93"/>
        <v>0.66666666666666663</v>
      </c>
      <c r="W248">
        <f>[1]!survey_responses[[#This Row],[Tôi tin rằng Nhà nước, cơ quan thuế sẽ thực thi chính sách mới một cách khách quan, công tâm và đối xử bình đẳng với mọi người nộp thuế.  - HUMAN-TRU1]]</f>
        <v>8</v>
      </c>
      <c r="X248">
        <f t="shared" si="94"/>
        <v>0.77777777777777779</v>
      </c>
      <c r="Y248">
        <f>step3_validation[[#This Row],[AI_TRU2]]</f>
        <v>8</v>
      </c>
      <c r="Z248">
        <f t="shared" si="95"/>
        <v>0.77777777777777779</v>
      </c>
      <c r="AA248">
        <f>[1]!survey_responses[[#This Row],[Tôi thấy mức thuế tôi phải đóng theo phương án mới là công bằng (người thu nhập như tôi đóng mức này là hợp lý). - HUMAN-TRU2]]</f>
        <v>8</v>
      </c>
      <c r="AB248">
        <f t="shared" si="96"/>
        <v>0.77777777777777779</v>
      </c>
      <c r="AC248">
        <f>step3_validation[[#This Row],[AI_TRU3]]</f>
        <v>6</v>
      </c>
      <c r="AD248">
        <f t="shared" si="97"/>
        <v>0.55555555555555558</v>
      </c>
      <c r="AE248">
        <f>[1]!survey_responses[[#This Row],[Tôi tin tưởng số tiền thuế tôi đóng sẽ được Nhà nước sử dụng hiệu quả để cải thiện dịch vụ công (y tế, đường xá...). - HUMAN-TRU3]]</f>
        <v>8</v>
      </c>
      <c r="AF248">
        <f t="shared" si="98"/>
        <v>0.77777777777777779</v>
      </c>
      <c r="AG248">
        <f>step3_validation[[#This Row],[AI_TRU4]]</f>
        <v>5</v>
      </c>
      <c r="AH248">
        <f t="shared" si="99"/>
        <v>0.44444444444444442</v>
      </c>
      <c r="AI248">
        <f>[1]!survey_responses[[#This Row],[Tôi thấy Nhà nước đã giải thích rõ ràng, minh bạch về lý do và mục tiêu của việc sửa đổi thuế lần này. - HUMAN-TRU4]]</f>
        <v>8</v>
      </c>
      <c r="AJ248">
        <f t="shared" si="100"/>
        <v>0.77777777777777779</v>
      </c>
      <c r="AK248" s="32">
        <f t="shared" si="101"/>
        <v>0.61111111111111116</v>
      </c>
      <c r="AL248" s="32">
        <f t="shared" si="102"/>
        <v>0.77777777777777779</v>
      </c>
      <c r="AM248" s="7">
        <f t="shared" si="103"/>
        <v>0.72222222222222221</v>
      </c>
      <c r="AN248" s="7">
        <f t="shared" si="104"/>
        <v>0.77777777777777779</v>
      </c>
      <c r="AO248">
        <f>step3_validation[[#This Row],[AI_OUT1]]</f>
        <v>6</v>
      </c>
      <c r="AP248">
        <f t="shared" si="105"/>
        <v>0.55555555555555558</v>
      </c>
      <c r="AQ248">
        <f>[1]!survey_responses[[#This Row],[Sau khi xem xét các quyền lợi và nghĩa vụ, bạn có ủng hộ và tuân thủ chính sách mới hiện nay? - HUMAN-OUT1]]</f>
        <v>8</v>
      </c>
      <c r="AR248">
        <f t="shared" si="106"/>
        <v>0.77777777777777779</v>
      </c>
      <c r="AS248" s="32">
        <f t="shared" si="107"/>
        <v>2</v>
      </c>
    </row>
    <row r="249" spans="1:45" x14ac:dyDescent="0.45">
      <c r="A249">
        <f>step3_validation[[#This Row],[AI_ENF1]]</f>
        <v>7</v>
      </c>
      <c r="B249">
        <f t="shared" si="81"/>
        <v>0.66666666666666663</v>
      </c>
      <c r="C249">
        <f>[1]!survey_responses[[#This Row],[Tôi tin rằng với các quy định quản lý thuế hiện nay, hành vi gian lận hoặc trốn thuế sẽ dễ dàng bị phát hiện và xử lý nghiêm. - HUMAN-ENF1]]</f>
        <v>7</v>
      </c>
      <c r="D249">
        <f t="shared" si="82"/>
        <v>0.66666666666666663</v>
      </c>
      <c r="E249">
        <f>step3_validation[[#This Row],[AI_ENF2]]</f>
        <v>8</v>
      </c>
      <c r="F249">
        <f t="shared" si="83"/>
        <v>0.77777777777777779</v>
      </c>
      <c r="G249">
        <f>[1]!survey_responses[[#This Row],[Tôi tin rằng Nhà nước, cơ quan thuế có đủ khả năng và công nghệ để phát hiện, xử lý nghiêm các hành vi trốn thuế. - HUMAN-ENF2]]</f>
        <v>7</v>
      </c>
      <c r="H249">
        <f t="shared" si="84"/>
        <v>0.66666666666666663</v>
      </c>
      <c r="I249" s="32">
        <f t="shared" si="85"/>
        <v>0.72222222222222221</v>
      </c>
      <c r="J249" s="32">
        <f t="shared" si="86"/>
        <v>0.66666666666666663</v>
      </c>
      <c r="K249">
        <f>step3_validation[[#This Row],[AI_FAC1]]</f>
        <v>6</v>
      </c>
      <c r="L249">
        <f t="shared" si="87"/>
        <v>0.55555555555555558</v>
      </c>
      <c r="M249">
        <f>[1]!survey_responses[[#This Row],[Các thủ tục khai báo thuế VÀ/HOẶC quy trình làm việc với cơ quan thuế đơn giản, tiện lợi, nhanh chóng hơn so với trước đây. - HUMAN-FAC1]]</f>
        <v>7</v>
      </c>
      <c r="N249">
        <f t="shared" si="88"/>
        <v>0.66666666666666663</v>
      </c>
      <c r="O249">
        <f>step3_validation[[#This Row],[AI_FAC2]]</f>
        <v>9</v>
      </c>
      <c r="P249">
        <f t="shared" si="89"/>
        <v>0.88888888888888884</v>
      </c>
      <c r="Q249">
        <f>[1]!survey_responses[[#This Row],[So với trước đây, tôi thấy cách tính thuế và các bậc thuế trong phương án mới đơn giản, dễ hiểu và dễ thực hiện hơn. - HUMAN-FAC2]]</f>
        <v>7</v>
      </c>
      <c r="R249">
        <f t="shared" si="90"/>
        <v>0.66666666666666663</v>
      </c>
      <c r="S249" s="32">
        <f t="shared" si="91"/>
        <v>0.72222222222222221</v>
      </c>
      <c r="T249" s="32">
        <f t="shared" si="92"/>
        <v>0.66666666666666663</v>
      </c>
      <c r="U249">
        <f>step3_validation[[#This Row],[AI_TRU1]]</f>
        <v>6</v>
      </c>
      <c r="V249">
        <f t="shared" si="93"/>
        <v>0.55555555555555558</v>
      </c>
      <c r="W249">
        <f>[1]!survey_responses[[#This Row],[Tôi tin rằng Nhà nước, cơ quan thuế sẽ thực thi chính sách mới một cách khách quan, công tâm và đối xử bình đẳng với mọi người nộp thuế.  - HUMAN-TRU1]]</f>
        <v>7</v>
      </c>
      <c r="X249">
        <f t="shared" si="94"/>
        <v>0.66666666666666663</v>
      </c>
      <c r="Y249">
        <f>step3_validation[[#This Row],[AI_TRU2]]</f>
        <v>7</v>
      </c>
      <c r="Z249">
        <f t="shared" si="95"/>
        <v>0.66666666666666663</v>
      </c>
      <c r="AA249">
        <f>[1]!survey_responses[[#This Row],[Tôi thấy mức thuế tôi phải đóng theo phương án mới là công bằng (người thu nhập như tôi đóng mức này là hợp lý). - HUMAN-TRU2]]</f>
        <v>7</v>
      </c>
      <c r="AB249">
        <f t="shared" si="96"/>
        <v>0.66666666666666663</v>
      </c>
      <c r="AC249">
        <f>step3_validation[[#This Row],[AI_TRU3]]</f>
        <v>6</v>
      </c>
      <c r="AD249">
        <f t="shared" si="97"/>
        <v>0.55555555555555558</v>
      </c>
      <c r="AE249">
        <f>[1]!survey_responses[[#This Row],[Tôi tin tưởng số tiền thuế tôi đóng sẽ được Nhà nước sử dụng hiệu quả để cải thiện dịch vụ công (y tế, đường xá...). - HUMAN-TRU3]]</f>
        <v>7</v>
      </c>
      <c r="AF249">
        <f t="shared" si="98"/>
        <v>0.66666666666666663</v>
      </c>
      <c r="AG249">
        <f>step3_validation[[#This Row],[AI_TRU4]]</f>
        <v>7</v>
      </c>
      <c r="AH249">
        <f t="shared" si="99"/>
        <v>0.66666666666666663</v>
      </c>
      <c r="AI249">
        <f>[1]!survey_responses[[#This Row],[Tôi thấy Nhà nước đã giải thích rõ ràng, minh bạch về lý do và mục tiêu của việc sửa đổi thuế lần này. - HUMAN-TRU4]]</f>
        <v>7</v>
      </c>
      <c r="AJ249">
        <f t="shared" si="100"/>
        <v>0.66666666666666663</v>
      </c>
      <c r="AK249" s="32">
        <f t="shared" si="101"/>
        <v>0.61111111111111116</v>
      </c>
      <c r="AL249" s="32">
        <f t="shared" si="102"/>
        <v>0.66666666666666663</v>
      </c>
      <c r="AM249" s="7">
        <f t="shared" si="103"/>
        <v>0.68518518518518512</v>
      </c>
      <c r="AN249" s="7">
        <f t="shared" si="104"/>
        <v>0.66666666666666663</v>
      </c>
      <c r="AO249">
        <f>step3_validation[[#This Row],[AI_OUT1]]</f>
        <v>8</v>
      </c>
      <c r="AP249">
        <f t="shared" si="105"/>
        <v>0.77777777777777779</v>
      </c>
      <c r="AQ249">
        <f>[1]!survey_responses[[#This Row],[Sau khi xem xét các quyền lợi và nghĩa vụ, bạn có ủng hộ và tuân thủ chính sách mới hiện nay? - HUMAN-OUT1]]</f>
        <v>7</v>
      </c>
      <c r="AR249">
        <f t="shared" si="106"/>
        <v>0.66666666666666663</v>
      </c>
      <c r="AS249" s="32">
        <f t="shared" si="107"/>
        <v>1</v>
      </c>
    </row>
    <row r="250" spans="1:45" x14ac:dyDescent="0.45">
      <c r="A250">
        <f>step3_validation[[#This Row],[AI_ENF1]]</f>
        <v>8</v>
      </c>
      <c r="B250">
        <f t="shared" si="81"/>
        <v>0.77777777777777779</v>
      </c>
      <c r="C250">
        <f>[1]!survey_responses[[#This Row],[Tôi tin rằng với các quy định quản lý thuế hiện nay, hành vi gian lận hoặc trốn thuế sẽ dễ dàng bị phát hiện và xử lý nghiêm. - HUMAN-ENF1]]</f>
        <v>9</v>
      </c>
      <c r="D250">
        <f t="shared" si="82"/>
        <v>0.88888888888888884</v>
      </c>
      <c r="E250">
        <f>step3_validation[[#This Row],[AI_ENF2]]</f>
        <v>7</v>
      </c>
      <c r="F250">
        <f t="shared" si="83"/>
        <v>0.66666666666666663</v>
      </c>
      <c r="G250">
        <f>[1]!survey_responses[[#This Row],[Tôi tin rằng Nhà nước, cơ quan thuế có đủ khả năng và công nghệ để phát hiện, xử lý nghiêm các hành vi trốn thuế. - HUMAN-ENF2]]</f>
        <v>9</v>
      </c>
      <c r="H250">
        <f t="shared" si="84"/>
        <v>0.88888888888888884</v>
      </c>
      <c r="I250" s="32">
        <f t="shared" si="85"/>
        <v>0.72222222222222221</v>
      </c>
      <c r="J250" s="32">
        <f t="shared" si="86"/>
        <v>0.88888888888888884</v>
      </c>
      <c r="K250">
        <f>step3_validation[[#This Row],[AI_FAC1]]</f>
        <v>9</v>
      </c>
      <c r="L250">
        <f t="shared" si="87"/>
        <v>0.88888888888888884</v>
      </c>
      <c r="M250">
        <f>[1]!survey_responses[[#This Row],[Các thủ tục khai báo thuế VÀ/HOẶC quy trình làm việc với cơ quan thuế đơn giản, tiện lợi, nhanh chóng hơn so với trước đây. - HUMAN-FAC1]]</f>
        <v>9</v>
      </c>
      <c r="N250">
        <f t="shared" si="88"/>
        <v>0.88888888888888884</v>
      </c>
      <c r="O250">
        <f>step3_validation[[#This Row],[AI_FAC2]]</f>
        <v>8</v>
      </c>
      <c r="P250">
        <f t="shared" si="89"/>
        <v>0.77777777777777779</v>
      </c>
      <c r="Q250">
        <f>[1]!survey_responses[[#This Row],[So với trước đây, tôi thấy cách tính thuế và các bậc thuế trong phương án mới đơn giản, dễ hiểu và dễ thực hiện hơn. - HUMAN-FAC2]]</f>
        <v>9</v>
      </c>
      <c r="R250">
        <f t="shared" si="90"/>
        <v>0.88888888888888884</v>
      </c>
      <c r="S250" s="32">
        <f t="shared" si="91"/>
        <v>0.83333333333333326</v>
      </c>
      <c r="T250" s="32">
        <f t="shared" si="92"/>
        <v>0.88888888888888884</v>
      </c>
      <c r="U250">
        <f>step3_validation[[#This Row],[AI_TRU1]]</f>
        <v>9</v>
      </c>
      <c r="V250">
        <f t="shared" si="93"/>
        <v>0.88888888888888884</v>
      </c>
      <c r="W250">
        <f>[1]!survey_responses[[#This Row],[Tôi tin rằng Nhà nước, cơ quan thuế sẽ thực thi chính sách mới một cách khách quan, công tâm và đối xử bình đẳng với mọi người nộp thuế.  - HUMAN-TRU1]]</f>
        <v>9</v>
      </c>
      <c r="X250">
        <f t="shared" si="94"/>
        <v>0.88888888888888884</v>
      </c>
      <c r="Y250">
        <f>step3_validation[[#This Row],[AI_TRU2]]</f>
        <v>8</v>
      </c>
      <c r="Z250">
        <f t="shared" si="95"/>
        <v>0.77777777777777779</v>
      </c>
      <c r="AA250">
        <f>[1]!survey_responses[[#This Row],[Tôi thấy mức thuế tôi phải đóng theo phương án mới là công bằng (người thu nhập như tôi đóng mức này là hợp lý). - HUMAN-TRU2]]</f>
        <v>9</v>
      </c>
      <c r="AB250">
        <f t="shared" si="96"/>
        <v>0.88888888888888884</v>
      </c>
      <c r="AC250">
        <f>step3_validation[[#This Row],[AI_TRU3]]</f>
        <v>9</v>
      </c>
      <c r="AD250">
        <f t="shared" si="97"/>
        <v>0.88888888888888884</v>
      </c>
      <c r="AE250">
        <f>[1]!survey_responses[[#This Row],[Tôi tin tưởng số tiền thuế tôi đóng sẽ được Nhà nước sử dụng hiệu quả để cải thiện dịch vụ công (y tế, đường xá...). - HUMAN-TRU3]]</f>
        <v>9</v>
      </c>
      <c r="AF250">
        <f t="shared" si="98"/>
        <v>0.88888888888888884</v>
      </c>
      <c r="AG250">
        <f>step3_validation[[#This Row],[AI_TRU4]]</f>
        <v>6</v>
      </c>
      <c r="AH250">
        <f t="shared" si="99"/>
        <v>0.55555555555555558</v>
      </c>
      <c r="AI250">
        <f>[1]!survey_responses[[#This Row],[Tôi thấy Nhà nước đã giải thích rõ ràng, minh bạch về lý do và mục tiêu của việc sửa đổi thuế lần này. - HUMAN-TRU4]]</f>
        <v>9</v>
      </c>
      <c r="AJ250">
        <f t="shared" si="100"/>
        <v>0.88888888888888884</v>
      </c>
      <c r="AK250" s="32">
        <f t="shared" si="101"/>
        <v>0.77777777777777768</v>
      </c>
      <c r="AL250" s="32">
        <f t="shared" si="102"/>
        <v>0.88888888888888884</v>
      </c>
      <c r="AM250" s="7">
        <f t="shared" si="103"/>
        <v>0.77777777777777768</v>
      </c>
      <c r="AN250" s="7">
        <f t="shared" si="104"/>
        <v>0.88888888888888884</v>
      </c>
      <c r="AO250">
        <f>step3_validation[[#This Row],[AI_OUT1]]</f>
        <v>7</v>
      </c>
      <c r="AP250">
        <f t="shared" si="105"/>
        <v>0.66666666666666663</v>
      </c>
      <c r="AQ250">
        <f>[1]!survey_responses[[#This Row],[Sau khi xem xét các quyền lợi và nghĩa vụ, bạn có ủng hộ và tuân thủ chính sách mới hiện nay? - HUMAN-OUT1]]</f>
        <v>9</v>
      </c>
      <c r="AR250">
        <f t="shared" si="106"/>
        <v>0.88888888888888884</v>
      </c>
      <c r="AS250" s="32">
        <f t="shared" si="107"/>
        <v>2</v>
      </c>
    </row>
    <row r="251" spans="1:45" x14ac:dyDescent="0.45">
      <c r="A251">
        <f>step3_validation[[#This Row],[AI_ENF1]]</f>
        <v>7</v>
      </c>
      <c r="B251">
        <f t="shared" si="81"/>
        <v>0.66666666666666663</v>
      </c>
      <c r="C251">
        <f>[1]!survey_responses[[#This Row],[Tôi tin rằng với các quy định quản lý thuế hiện nay, hành vi gian lận hoặc trốn thuế sẽ dễ dàng bị phát hiện và xử lý nghiêm. - HUMAN-ENF1]]</f>
        <v>7</v>
      </c>
      <c r="D251">
        <f t="shared" si="82"/>
        <v>0.66666666666666663</v>
      </c>
      <c r="E251">
        <f>step3_validation[[#This Row],[AI_ENF2]]</f>
        <v>8</v>
      </c>
      <c r="F251">
        <f t="shared" si="83"/>
        <v>0.77777777777777779</v>
      </c>
      <c r="G251">
        <f>[1]!survey_responses[[#This Row],[Tôi tin rằng Nhà nước, cơ quan thuế có đủ khả năng và công nghệ để phát hiện, xử lý nghiêm các hành vi trốn thuế. - HUMAN-ENF2]]</f>
        <v>6</v>
      </c>
      <c r="H251">
        <f t="shared" si="84"/>
        <v>0.55555555555555558</v>
      </c>
      <c r="I251" s="32">
        <f t="shared" si="85"/>
        <v>0.72222222222222221</v>
      </c>
      <c r="J251" s="32">
        <f t="shared" si="86"/>
        <v>0.61111111111111116</v>
      </c>
      <c r="K251">
        <f>step3_validation[[#This Row],[AI_FAC1]]</f>
        <v>6</v>
      </c>
      <c r="L251">
        <f t="shared" si="87"/>
        <v>0.55555555555555558</v>
      </c>
      <c r="M251">
        <f>[1]!survey_responses[[#This Row],[Các thủ tục khai báo thuế VÀ/HOẶC quy trình làm việc với cơ quan thuế đơn giản, tiện lợi, nhanh chóng hơn so với trước đây. - HUMAN-FAC1]]</f>
        <v>5</v>
      </c>
      <c r="N251">
        <f t="shared" si="88"/>
        <v>0.44444444444444442</v>
      </c>
      <c r="O251">
        <f>step3_validation[[#This Row],[AI_FAC2]]</f>
        <v>8</v>
      </c>
      <c r="P251">
        <f t="shared" si="89"/>
        <v>0.77777777777777779</v>
      </c>
      <c r="Q251">
        <f>[1]!survey_responses[[#This Row],[So với trước đây, tôi thấy cách tính thuế và các bậc thuế trong phương án mới đơn giản, dễ hiểu và dễ thực hiện hơn. - HUMAN-FAC2]]</f>
        <v>6</v>
      </c>
      <c r="R251">
        <f t="shared" si="90"/>
        <v>0.55555555555555558</v>
      </c>
      <c r="S251" s="32">
        <f t="shared" si="91"/>
        <v>0.66666666666666674</v>
      </c>
      <c r="T251" s="32">
        <f t="shared" si="92"/>
        <v>0.5</v>
      </c>
      <c r="U251">
        <f>step3_validation[[#This Row],[AI_TRU1]]</f>
        <v>7</v>
      </c>
      <c r="V251">
        <f t="shared" si="93"/>
        <v>0.66666666666666663</v>
      </c>
      <c r="W251">
        <f>[1]!survey_responses[[#This Row],[Tôi tin rằng Nhà nước, cơ quan thuế sẽ thực thi chính sách mới một cách khách quan, công tâm và đối xử bình đẳng với mọi người nộp thuế.  - HUMAN-TRU1]]</f>
        <v>6</v>
      </c>
      <c r="X251">
        <f t="shared" si="94"/>
        <v>0.55555555555555558</v>
      </c>
      <c r="Y251">
        <f>step3_validation[[#This Row],[AI_TRU2]]</f>
        <v>6</v>
      </c>
      <c r="Z251">
        <f t="shared" si="95"/>
        <v>0.55555555555555558</v>
      </c>
      <c r="AA251">
        <f>[1]!survey_responses[[#This Row],[Tôi thấy mức thuế tôi phải đóng theo phương án mới là công bằng (người thu nhập như tôi đóng mức này là hợp lý). - HUMAN-TRU2]]</f>
        <v>6</v>
      </c>
      <c r="AB251">
        <f t="shared" si="96"/>
        <v>0.55555555555555558</v>
      </c>
      <c r="AC251">
        <f>step3_validation[[#This Row],[AI_TRU3]]</f>
        <v>5</v>
      </c>
      <c r="AD251">
        <f t="shared" si="97"/>
        <v>0.44444444444444442</v>
      </c>
      <c r="AE251">
        <f>[1]!survey_responses[[#This Row],[Tôi tin tưởng số tiền thuế tôi đóng sẽ được Nhà nước sử dụng hiệu quả để cải thiện dịch vụ công (y tế, đường xá...). - HUMAN-TRU3]]</f>
        <v>6</v>
      </c>
      <c r="AF251">
        <f t="shared" si="98"/>
        <v>0.55555555555555558</v>
      </c>
      <c r="AG251">
        <f>step3_validation[[#This Row],[AI_TRU4]]</f>
        <v>7</v>
      </c>
      <c r="AH251">
        <f t="shared" si="99"/>
        <v>0.66666666666666663</v>
      </c>
      <c r="AI251">
        <f>[1]!survey_responses[[#This Row],[Tôi thấy Nhà nước đã giải thích rõ ràng, minh bạch về lý do và mục tiêu của việc sửa đổi thuế lần này. - HUMAN-TRU4]]</f>
        <v>6</v>
      </c>
      <c r="AJ251">
        <f t="shared" si="100"/>
        <v>0.55555555555555558</v>
      </c>
      <c r="AK251" s="32">
        <f t="shared" si="101"/>
        <v>0.58333333333333337</v>
      </c>
      <c r="AL251" s="32">
        <f t="shared" si="102"/>
        <v>0.55555555555555558</v>
      </c>
      <c r="AM251" s="7">
        <f t="shared" si="103"/>
        <v>0.65740740740740744</v>
      </c>
      <c r="AN251" s="7">
        <f t="shared" si="104"/>
        <v>0.55555555555555558</v>
      </c>
      <c r="AO251">
        <f>step3_validation[[#This Row],[AI_OUT1]]</f>
        <v>6</v>
      </c>
      <c r="AP251">
        <f t="shared" si="105"/>
        <v>0.55555555555555558</v>
      </c>
      <c r="AQ251">
        <f>[1]!survey_responses[[#This Row],[Sau khi xem xét các quyền lợi và nghĩa vụ, bạn có ủng hộ và tuân thủ chính sách mới hiện nay? - HUMAN-OUT1]]</f>
        <v>7</v>
      </c>
      <c r="AR251">
        <f t="shared" si="106"/>
        <v>0.66666666666666663</v>
      </c>
      <c r="AS251" s="32">
        <f t="shared" si="107"/>
        <v>1</v>
      </c>
    </row>
    <row r="252" spans="1:45" x14ac:dyDescent="0.45">
      <c r="A252">
        <f>step3_validation[[#This Row],[AI_ENF1]]</f>
        <v>7</v>
      </c>
      <c r="B252">
        <f t="shared" si="81"/>
        <v>0.66666666666666663</v>
      </c>
      <c r="C252">
        <f>[1]!survey_responses[[#This Row],[Tôi tin rằng với các quy định quản lý thuế hiện nay, hành vi gian lận hoặc trốn thuế sẽ dễ dàng bị phát hiện và xử lý nghiêm. - HUMAN-ENF1]]</f>
        <v>8</v>
      </c>
      <c r="D252">
        <f t="shared" si="82"/>
        <v>0.77777777777777779</v>
      </c>
      <c r="E252">
        <f>step3_validation[[#This Row],[AI_ENF2]]</f>
        <v>8</v>
      </c>
      <c r="F252">
        <f t="shared" si="83"/>
        <v>0.77777777777777779</v>
      </c>
      <c r="G252">
        <f>[1]!survey_responses[[#This Row],[Tôi tin rằng Nhà nước, cơ quan thuế có đủ khả năng và công nghệ để phát hiện, xử lý nghiêm các hành vi trốn thuế. - HUMAN-ENF2]]</f>
        <v>8</v>
      </c>
      <c r="H252">
        <f t="shared" si="84"/>
        <v>0.77777777777777779</v>
      </c>
      <c r="I252" s="32">
        <f t="shared" si="85"/>
        <v>0.72222222222222221</v>
      </c>
      <c r="J252" s="32">
        <f t="shared" si="86"/>
        <v>0.77777777777777779</v>
      </c>
      <c r="K252">
        <f>step3_validation[[#This Row],[AI_FAC1]]</f>
        <v>9</v>
      </c>
      <c r="L252">
        <f t="shared" si="87"/>
        <v>0.88888888888888884</v>
      </c>
      <c r="M252">
        <f>[1]!survey_responses[[#This Row],[Các thủ tục khai báo thuế VÀ/HOẶC quy trình làm việc với cơ quan thuế đơn giản, tiện lợi, nhanh chóng hơn so với trước đây. - HUMAN-FAC1]]</f>
        <v>8</v>
      </c>
      <c r="N252">
        <f t="shared" si="88"/>
        <v>0.77777777777777779</v>
      </c>
      <c r="O252">
        <f>step3_validation[[#This Row],[AI_FAC2]]</f>
        <v>8</v>
      </c>
      <c r="P252">
        <f t="shared" si="89"/>
        <v>0.77777777777777779</v>
      </c>
      <c r="Q252">
        <f>[1]!survey_responses[[#This Row],[So với trước đây, tôi thấy cách tính thuế và các bậc thuế trong phương án mới đơn giản, dễ hiểu và dễ thực hiện hơn. - HUMAN-FAC2]]</f>
        <v>9</v>
      </c>
      <c r="R252">
        <f t="shared" si="90"/>
        <v>0.88888888888888884</v>
      </c>
      <c r="S252" s="32">
        <f t="shared" si="91"/>
        <v>0.83333333333333326</v>
      </c>
      <c r="T252" s="32">
        <f t="shared" si="92"/>
        <v>0.83333333333333326</v>
      </c>
      <c r="U252">
        <f>step3_validation[[#This Row],[AI_TRU1]]</f>
        <v>7</v>
      </c>
      <c r="V252">
        <f t="shared" si="93"/>
        <v>0.66666666666666663</v>
      </c>
      <c r="W252">
        <f>[1]!survey_responses[[#This Row],[Tôi tin rằng Nhà nước, cơ quan thuế sẽ thực thi chính sách mới một cách khách quan, công tâm và đối xử bình đẳng với mọi người nộp thuế.  - HUMAN-TRU1]]</f>
        <v>8</v>
      </c>
      <c r="X252">
        <f t="shared" si="94"/>
        <v>0.77777777777777779</v>
      </c>
      <c r="Y252">
        <f>step3_validation[[#This Row],[AI_TRU2]]</f>
        <v>6</v>
      </c>
      <c r="Z252">
        <f t="shared" si="95"/>
        <v>0.55555555555555558</v>
      </c>
      <c r="AA252">
        <f>[1]!survey_responses[[#This Row],[Tôi thấy mức thuế tôi phải đóng theo phương án mới là công bằng (người thu nhập như tôi đóng mức này là hợp lý). - HUMAN-TRU2]]</f>
        <v>10</v>
      </c>
      <c r="AB252">
        <f t="shared" si="96"/>
        <v>1</v>
      </c>
      <c r="AC252">
        <f>step3_validation[[#This Row],[AI_TRU3]]</f>
        <v>7</v>
      </c>
      <c r="AD252">
        <f t="shared" si="97"/>
        <v>0.66666666666666663</v>
      </c>
      <c r="AE252">
        <f>[1]!survey_responses[[#This Row],[Tôi tin tưởng số tiền thuế tôi đóng sẽ được Nhà nước sử dụng hiệu quả để cải thiện dịch vụ công (y tế, đường xá...). - HUMAN-TRU3]]</f>
        <v>7</v>
      </c>
      <c r="AF252">
        <f t="shared" si="98"/>
        <v>0.66666666666666663</v>
      </c>
      <c r="AG252">
        <f>step3_validation[[#This Row],[AI_TRU4]]</f>
        <v>6</v>
      </c>
      <c r="AH252">
        <f t="shared" si="99"/>
        <v>0.55555555555555558</v>
      </c>
      <c r="AI252">
        <f>[1]!survey_responses[[#This Row],[Tôi thấy Nhà nước đã giải thích rõ ràng, minh bạch về lý do và mục tiêu của việc sửa đổi thuế lần này. - HUMAN-TRU4]]</f>
        <v>7</v>
      </c>
      <c r="AJ252">
        <f t="shared" si="100"/>
        <v>0.66666666666666663</v>
      </c>
      <c r="AK252" s="32">
        <f t="shared" si="101"/>
        <v>0.61111111111111116</v>
      </c>
      <c r="AL252" s="32">
        <f t="shared" si="102"/>
        <v>0.77777777777777768</v>
      </c>
      <c r="AM252" s="7">
        <f t="shared" si="103"/>
        <v>0.72222222222222221</v>
      </c>
      <c r="AN252" s="7">
        <f t="shared" si="104"/>
        <v>0.79629629629629628</v>
      </c>
      <c r="AO252">
        <f>step3_validation[[#This Row],[AI_OUT1]]</f>
        <v>8</v>
      </c>
      <c r="AP252">
        <f t="shared" si="105"/>
        <v>0.77777777777777779</v>
      </c>
      <c r="AQ252">
        <f>[1]!survey_responses[[#This Row],[Sau khi xem xét các quyền lợi và nghĩa vụ, bạn có ủng hộ và tuân thủ chính sách mới hiện nay? - HUMAN-OUT1]]</f>
        <v>10</v>
      </c>
      <c r="AR252">
        <f t="shared" si="106"/>
        <v>1</v>
      </c>
      <c r="AS252" s="32">
        <f t="shared" si="107"/>
        <v>2</v>
      </c>
    </row>
    <row r="253" spans="1:45" x14ac:dyDescent="0.45">
      <c r="A253">
        <f>step3_validation[[#This Row],[AI_ENF1]]</f>
        <v>7</v>
      </c>
      <c r="B253">
        <f t="shared" si="81"/>
        <v>0.66666666666666663</v>
      </c>
      <c r="C253">
        <f>[1]!survey_responses[[#This Row],[Tôi tin rằng với các quy định quản lý thuế hiện nay, hành vi gian lận hoặc trốn thuế sẽ dễ dàng bị phát hiện và xử lý nghiêm. - HUMAN-ENF1]]</f>
        <v>6</v>
      </c>
      <c r="D253">
        <f t="shared" si="82"/>
        <v>0.55555555555555558</v>
      </c>
      <c r="E253">
        <f>step3_validation[[#This Row],[AI_ENF2]]</f>
        <v>6</v>
      </c>
      <c r="F253">
        <f t="shared" si="83"/>
        <v>0.55555555555555558</v>
      </c>
      <c r="G253">
        <f>[1]!survey_responses[[#This Row],[Tôi tin rằng Nhà nước, cơ quan thuế có đủ khả năng và công nghệ để phát hiện, xử lý nghiêm các hành vi trốn thuế. - HUMAN-ENF2]]</f>
        <v>6</v>
      </c>
      <c r="H253">
        <f t="shared" si="84"/>
        <v>0.55555555555555558</v>
      </c>
      <c r="I253" s="32">
        <f t="shared" si="85"/>
        <v>0.61111111111111116</v>
      </c>
      <c r="J253" s="32">
        <f t="shared" si="86"/>
        <v>0.55555555555555558</v>
      </c>
      <c r="K253">
        <f>step3_validation[[#This Row],[AI_FAC1]]</f>
        <v>5</v>
      </c>
      <c r="L253">
        <f t="shared" si="87"/>
        <v>0.44444444444444442</v>
      </c>
      <c r="M253">
        <f>[1]!survey_responses[[#This Row],[Các thủ tục khai báo thuế VÀ/HOẶC quy trình làm việc với cơ quan thuế đơn giản, tiện lợi, nhanh chóng hơn so với trước đây. - HUMAN-FAC1]]</f>
        <v>1</v>
      </c>
      <c r="N253">
        <f t="shared" si="88"/>
        <v>0</v>
      </c>
      <c r="O253">
        <f>step3_validation[[#This Row],[AI_FAC2]]</f>
        <v>8</v>
      </c>
      <c r="P253">
        <f t="shared" si="89"/>
        <v>0.77777777777777779</v>
      </c>
      <c r="Q253">
        <f>[1]!survey_responses[[#This Row],[So với trước đây, tôi thấy cách tính thuế và các bậc thuế trong phương án mới đơn giản, dễ hiểu và dễ thực hiện hơn. - HUMAN-FAC2]]</f>
        <v>6</v>
      </c>
      <c r="R253">
        <f t="shared" si="90"/>
        <v>0.55555555555555558</v>
      </c>
      <c r="S253" s="32">
        <f t="shared" si="91"/>
        <v>0.61111111111111116</v>
      </c>
      <c r="T253" s="32">
        <f t="shared" si="92"/>
        <v>0.27777777777777779</v>
      </c>
      <c r="U253">
        <f>step3_validation[[#This Row],[AI_TRU1]]</f>
        <v>7</v>
      </c>
      <c r="V253">
        <f t="shared" si="93"/>
        <v>0.66666666666666663</v>
      </c>
      <c r="W253">
        <f>[1]!survey_responses[[#This Row],[Tôi tin rằng Nhà nước, cơ quan thuế sẽ thực thi chính sách mới một cách khách quan, công tâm và đối xử bình đẳng với mọi người nộp thuế.  - HUMAN-TRU1]]</f>
        <v>5</v>
      </c>
      <c r="X253">
        <f t="shared" si="94"/>
        <v>0.44444444444444442</v>
      </c>
      <c r="Y253">
        <f>step3_validation[[#This Row],[AI_TRU2]]</f>
        <v>6</v>
      </c>
      <c r="Z253">
        <f t="shared" si="95"/>
        <v>0.55555555555555558</v>
      </c>
      <c r="AA253">
        <f>[1]!survey_responses[[#This Row],[Tôi thấy mức thuế tôi phải đóng theo phương án mới là công bằng (người thu nhập như tôi đóng mức này là hợp lý). - HUMAN-TRU2]]</f>
        <v>6</v>
      </c>
      <c r="AB253">
        <f t="shared" si="96"/>
        <v>0.55555555555555558</v>
      </c>
      <c r="AC253">
        <f>step3_validation[[#This Row],[AI_TRU3]]</f>
        <v>7</v>
      </c>
      <c r="AD253">
        <f t="shared" si="97"/>
        <v>0.66666666666666663</v>
      </c>
      <c r="AE253">
        <f>[1]!survey_responses[[#This Row],[Tôi tin tưởng số tiền thuế tôi đóng sẽ được Nhà nước sử dụng hiệu quả để cải thiện dịch vụ công (y tế, đường xá...). - HUMAN-TRU3]]</f>
        <v>6</v>
      </c>
      <c r="AF253">
        <f t="shared" si="98"/>
        <v>0.55555555555555558</v>
      </c>
      <c r="AG253">
        <f>step3_validation[[#This Row],[AI_TRU4]]</f>
        <v>5</v>
      </c>
      <c r="AH253">
        <f t="shared" si="99"/>
        <v>0.44444444444444442</v>
      </c>
      <c r="AI253">
        <f>[1]!survey_responses[[#This Row],[Tôi thấy Nhà nước đã giải thích rõ ràng, minh bạch về lý do và mục tiêu của việc sửa đổi thuế lần này. - HUMAN-TRU4]]</f>
        <v>6</v>
      </c>
      <c r="AJ253">
        <f t="shared" si="100"/>
        <v>0.55555555555555558</v>
      </c>
      <c r="AK253" s="32">
        <f t="shared" si="101"/>
        <v>0.58333333333333326</v>
      </c>
      <c r="AL253" s="32">
        <f t="shared" si="102"/>
        <v>0.52777777777777779</v>
      </c>
      <c r="AM253" s="7">
        <f t="shared" si="103"/>
        <v>0.60185185185185186</v>
      </c>
      <c r="AN253" s="7">
        <f t="shared" si="104"/>
        <v>0.45370370370370372</v>
      </c>
      <c r="AO253">
        <f>step3_validation[[#This Row],[AI_OUT1]]</f>
        <v>6</v>
      </c>
      <c r="AP253">
        <f t="shared" si="105"/>
        <v>0.55555555555555558</v>
      </c>
      <c r="AQ253">
        <f>[1]!survey_responses[[#This Row],[Sau khi xem xét các quyền lợi và nghĩa vụ, bạn có ủng hộ và tuân thủ chính sách mới hiện nay? - HUMAN-OUT1]]</f>
        <v>6</v>
      </c>
      <c r="AR253">
        <f t="shared" si="106"/>
        <v>0.55555555555555558</v>
      </c>
      <c r="AS253" s="32">
        <f t="shared" si="107"/>
        <v>0</v>
      </c>
    </row>
    <row r="254" spans="1:45" x14ac:dyDescent="0.45">
      <c r="A254">
        <f>step3_validation[[#This Row],[AI_ENF1]]</f>
        <v>6</v>
      </c>
      <c r="B254">
        <f t="shared" si="81"/>
        <v>0.55555555555555558</v>
      </c>
      <c r="C254">
        <f>[1]!survey_responses[[#This Row],[Tôi tin rằng với các quy định quản lý thuế hiện nay, hành vi gian lận hoặc trốn thuế sẽ dễ dàng bị phát hiện và xử lý nghiêm. - HUMAN-ENF1]]</f>
        <v>8</v>
      </c>
      <c r="D254">
        <f t="shared" si="82"/>
        <v>0.77777777777777779</v>
      </c>
      <c r="E254">
        <f>step3_validation[[#This Row],[AI_ENF2]]</f>
        <v>5</v>
      </c>
      <c r="F254">
        <f t="shared" si="83"/>
        <v>0.44444444444444442</v>
      </c>
      <c r="G254">
        <f>[1]!survey_responses[[#This Row],[Tôi tin rằng Nhà nước, cơ quan thuế có đủ khả năng và công nghệ để phát hiện, xử lý nghiêm các hành vi trốn thuế. - HUMAN-ENF2]]</f>
        <v>8</v>
      </c>
      <c r="H254">
        <f t="shared" si="84"/>
        <v>0.77777777777777779</v>
      </c>
      <c r="I254" s="32">
        <f t="shared" si="85"/>
        <v>0.5</v>
      </c>
      <c r="J254" s="32">
        <f t="shared" si="86"/>
        <v>0.77777777777777779</v>
      </c>
      <c r="K254">
        <f>step3_validation[[#This Row],[AI_FAC1]]</f>
        <v>7</v>
      </c>
      <c r="L254">
        <f t="shared" si="87"/>
        <v>0.66666666666666663</v>
      </c>
      <c r="M254">
        <f>[1]!survey_responses[[#This Row],[Các thủ tục khai báo thuế VÀ/HOẶC quy trình làm việc với cơ quan thuế đơn giản, tiện lợi, nhanh chóng hơn so với trước đây. - HUMAN-FAC1]]</f>
        <v>3</v>
      </c>
      <c r="N254">
        <f t="shared" si="88"/>
        <v>0.22222222222222221</v>
      </c>
      <c r="O254">
        <f>step3_validation[[#This Row],[AI_FAC2]]</f>
        <v>6</v>
      </c>
      <c r="P254">
        <f t="shared" si="89"/>
        <v>0.55555555555555558</v>
      </c>
      <c r="Q254">
        <f>[1]!survey_responses[[#This Row],[So với trước đây, tôi thấy cách tính thuế và các bậc thuế trong phương án mới đơn giản, dễ hiểu và dễ thực hiện hơn. - HUMAN-FAC2]]</f>
        <v>9</v>
      </c>
      <c r="R254">
        <f t="shared" si="90"/>
        <v>0.88888888888888884</v>
      </c>
      <c r="S254" s="32">
        <f t="shared" si="91"/>
        <v>0.61111111111111116</v>
      </c>
      <c r="T254" s="32">
        <f t="shared" si="92"/>
        <v>0.55555555555555558</v>
      </c>
      <c r="U254">
        <f>step3_validation[[#This Row],[AI_TRU1]]</f>
        <v>8</v>
      </c>
      <c r="V254">
        <f t="shared" si="93"/>
        <v>0.77777777777777779</v>
      </c>
      <c r="W254">
        <f>[1]!survey_responses[[#This Row],[Tôi tin rằng Nhà nước, cơ quan thuế sẽ thực thi chính sách mới một cách khách quan, công tâm và đối xử bình đẳng với mọi người nộp thuế.  - HUMAN-TRU1]]</f>
        <v>8</v>
      </c>
      <c r="X254">
        <f t="shared" si="94"/>
        <v>0.77777777777777779</v>
      </c>
      <c r="Y254">
        <f>step3_validation[[#This Row],[AI_TRU2]]</f>
        <v>5</v>
      </c>
      <c r="Z254">
        <f t="shared" si="95"/>
        <v>0.44444444444444442</v>
      </c>
      <c r="AA254">
        <f>[1]!survey_responses[[#This Row],[Tôi thấy mức thuế tôi phải đóng theo phương án mới là công bằng (người thu nhập như tôi đóng mức này là hợp lý). - HUMAN-TRU2]]</f>
        <v>8</v>
      </c>
      <c r="AB254">
        <f t="shared" si="96"/>
        <v>0.77777777777777779</v>
      </c>
      <c r="AC254">
        <f>step3_validation[[#This Row],[AI_TRU3]]</f>
        <v>7</v>
      </c>
      <c r="AD254">
        <f t="shared" si="97"/>
        <v>0.66666666666666663</v>
      </c>
      <c r="AE254">
        <f>[1]!survey_responses[[#This Row],[Tôi tin tưởng số tiền thuế tôi đóng sẽ được Nhà nước sử dụng hiệu quả để cải thiện dịch vụ công (y tế, đường xá...). - HUMAN-TRU3]]</f>
        <v>8</v>
      </c>
      <c r="AF254">
        <f t="shared" si="98"/>
        <v>0.77777777777777779</v>
      </c>
      <c r="AG254">
        <f>step3_validation[[#This Row],[AI_TRU4]]</f>
        <v>5</v>
      </c>
      <c r="AH254">
        <f t="shared" si="99"/>
        <v>0.44444444444444442</v>
      </c>
      <c r="AI254">
        <f>[1]!survey_responses[[#This Row],[Tôi thấy Nhà nước đã giải thích rõ ràng, minh bạch về lý do và mục tiêu của việc sửa đổi thuế lần này. - HUMAN-TRU4]]</f>
        <v>8</v>
      </c>
      <c r="AJ254">
        <f t="shared" si="100"/>
        <v>0.77777777777777779</v>
      </c>
      <c r="AK254" s="32">
        <f t="shared" si="101"/>
        <v>0.58333333333333326</v>
      </c>
      <c r="AL254" s="32">
        <f t="shared" si="102"/>
        <v>0.77777777777777779</v>
      </c>
      <c r="AM254" s="7">
        <f t="shared" si="103"/>
        <v>0.56481481481481477</v>
      </c>
      <c r="AN254" s="7">
        <f t="shared" si="104"/>
        <v>0.70370370370370372</v>
      </c>
      <c r="AO254">
        <f>step3_validation[[#This Row],[AI_OUT1]]</f>
        <v>7</v>
      </c>
      <c r="AP254">
        <f t="shared" si="105"/>
        <v>0.66666666666666663</v>
      </c>
      <c r="AQ254">
        <f>[1]!survey_responses[[#This Row],[Sau khi xem xét các quyền lợi và nghĩa vụ, bạn có ủng hộ và tuân thủ chính sách mới hiện nay? - HUMAN-OUT1]]</f>
        <v>8</v>
      </c>
      <c r="AR254">
        <f t="shared" si="106"/>
        <v>0.77777777777777779</v>
      </c>
      <c r="AS254" s="32">
        <f t="shared" si="107"/>
        <v>1</v>
      </c>
    </row>
    <row r="255" spans="1:45" x14ac:dyDescent="0.45">
      <c r="A255">
        <f>step3_validation[[#This Row],[AI_ENF1]]</f>
        <v>7</v>
      </c>
      <c r="B255">
        <f t="shared" si="81"/>
        <v>0.66666666666666663</v>
      </c>
      <c r="C255">
        <f>[1]!survey_responses[[#This Row],[Tôi tin rằng với các quy định quản lý thuế hiện nay, hành vi gian lận hoặc trốn thuế sẽ dễ dàng bị phát hiện và xử lý nghiêm. - HUMAN-ENF1]]</f>
        <v>4</v>
      </c>
      <c r="D255">
        <f t="shared" si="82"/>
        <v>0.33333333333333331</v>
      </c>
      <c r="E255">
        <f>step3_validation[[#This Row],[AI_ENF2]]</f>
        <v>8</v>
      </c>
      <c r="F255">
        <f t="shared" si="83"/>
        <v>0.77777777777777779</v>
      </c>
      <c r="G255">
        <f>[1]!survey_responses[[#This Row],[Tôi tin rằng Nhà nước, cơ quan thuế có đủ khả năng và công nghệ để phát hiện, xử lý nghiêm các hành vi trốn thuế. - HUMAN-ENF2]]</f>
        <v>3</v>
      </c>
      <c r="H255">
        <f t="shared" si="84"/>
        <v>0.22222222222222221</v>
      </c>
      <c r="I255" s="32">
        <f t="shared" si="85"/>
        <v>0.72222222222222221</v>
      </c>
      <c r="J255" s="32">
        <f t="shared" si="86"/>
        <v>0.27777777777777779</v>
      </c>
      <c r="K255">
        <f>step3_validation[[#This Row],[AI_FAC1]]</f>
        <v>6</v>
      </c>
      <c r="L255">
        <f t="shared" si="87"/>
        <v>0.55555555555555558</v>
      </c>
      <c r="M255">
        <f>[1]!survey_responses[[#This Row],[Các thủ tục khai báo thuế VÀ/HOẶC quy trình làm việc với cơ quan thuế đơn giản, tiện lợi, nhanh chóng hơn so với trước đây. - HUMAN-FAC1]]</f>
        <v>1</v>
      </c>
      <c r="N255">
        <f t="shared" si="88"/>
        <v>0</v>
      </c>
      <c r="O255">
        <f>step3_validation[[#This Row],[AI_FAC2]]</f>
        <v>7</v>
      </c>
      <c r="P255">
        <f t="shared" si="89"/>
        <v>0.66666666666666663</v>
      </c>
      <c r="Q255">
        <f>[1]!survey_responses[[#This Row],[So với trước đây, tôi thấy cách tính thuế và các bậc thuế trong phương án mới đơn giản, dễ hiểu và dễ thực hiện hơn. - HUMAN-FAC2]]</f>
        <v>7</v>
      </c>
      <c r="R255">
        <f t="shared" si="90"/>
        <v>0.66666666666666663</v>
      </c>
      <c r="S255" s="32">
        <f t="shared" si="91"/>
        <v>0.61111111111111116</v>
      </c>
      <c r="T255" s="32">
        <f t="shared" si="92"/>
        <v>0.33333333333333331</v>
      </c>
      <c r="U255">
        <f>step3_validation[[#This Row],[AI_TRU1]]</f>
        <v>8</v>
      </c>
      <c r="V255">
        <f t="shared" si="93"/>
        <v>0.77777777777777779</v>
      </c>
      <c r="W255">
        <f>[1]!survey_responses[[#This Row],[Tôi tin rằng Nhà nước, cơ quan thuế sẽ thực thi chính sách mới một cách khách quan, công tâm và đối xử bình đẳng với mọi người nộp thuế.  - HUMAN-TRU1]]</f>
        <v>3</v>
      </c>
      <c r="X255">
        <f t="shared" si="94"/>
        <v>0.22222222222222221</v>
      </c>
      <c r="Y255">
        <f>step3_validation[[#This Row],[AI_TRU2]]</f>
        <v>7</v>
      </c>
      <c r="Z255">
        <f t="shared" si="95"/>
        <v>0.66666666666666663</v>
      </c>
      <c r="AA255">
        <f>[1]!survey_responses[[#This Row],[Tôi thấy mức thuế tôi phải đóng theo phương án mới là công bằng (người thu nhập như tôi đóng mức này là hợp lý). - HUMAN-TRU2]]</f>
        <v>6</v>
      </c>
      <c r="AB255">
        <f t="shared" si="96"/>
        <v>0.55555555555555558</v>
      </c>
      <c r="AC255">
        <f>step3_validation[[#This Row],[AI_TRU3]]</f>
        <v>8</v>
      </c>
      <c r="AD255">
        <f t="shared" si="97"/>
        <v>0.77777777777777779</v>
      </c>
      <c r="AE255">
        <f>[1]!survey_responses[[#This Row],[Tôi tin tưởng số tiền thuế tôi đóng sẽ được Nhà nước sử dụng hiệu quả để cải thiện dịch vụ công (y tế, đường xá...). - HUMAN-TRU3]]</f>
        <v>5</v>
      </c>
      <c r="AF255">
        <f t="shared" si="98"/>
        <v>0.44444444444444442</v>
      </c>
      <c r="AG255">
        <f>step3_validation[[#This Row],[AI_TRU4]]</f>
        <v>7</v>
      </c>
      <c r="AH255">
        <f t="shared" si="99"/>
        <v>0.66666666666666663</v>
      </c>
      <c r="AI255">
        <f>[1]!survey_responses[[#This Row],[Tôi thấy Nhà nước đã giải thích rõ ràng, minh bạch về lý do và mục tiêu của việc sửa đổi thuế lần này. - HUMAN-TRU4]]</f>
        <v>6</v>
      </c>
      <c r="AJ255">
        <f t="shared" si="100"/>
        <v>0.55555555555555558</v>
      </c>
      <c r="AK255" s="32">
        <f t="shared" si="101"/>
        <v>0.72222222222222221</v>
      </c>
      <c r="AL255" s="32">
        <f t="shared" si="102"/>
        <v>0.44444444444444448</v>
      </c>
      <c r="AM255" s="7">
        <f t="shared" si="103"/>
        <v>0.68518518518518523</v>
      </c>
      <c r="AN255" s="7">
        <f t="shared" si="104"/>
        <v>0.35185185185185186</v>
      </c>
      <c r="AO255">
        <f>step3_validation[[#This Row],[AI_OUT1]]</f>
        <v>7</v>
      </c>
      <c r="AP255">
        <f t="shared" si="105"/>
        <v>0.66666666666666663</v>
      </c>
      <c r="AQ255">
        <f>[1]!survey_responses[[#This Row],[Sau khi xem xét các quyền lợi và nghĩa vụ, bạn có ủng hộ và tuân thủ chính sách mới hiện nay? - HUMAN-OUT1]]</f>
        <v>6</v>
      </c>
      <c r="AR255">
        <f t="shared" si="106"/>
        <v>0.55555555555555558</v>
      </c>
      <c r="AS255" s="32">
        <f t="shared" si="107"/>
        <v>1</v>
      </c>
    </row>
    <row r="256" spans="1:45" x14ac:dyDescent="0.45">
      <c r="A256">
        <f>step3_validation[[#This Row],[AI_ENF1]]</f>
        <v>8</v>
      </c>
      <c r="B256">
        <f t="shared" si="81"/>
        <v>0.77777777777777779</v>
      </c>
      <c r="C256">
        <f>[1]!survey_responses[[#This Row],[Tôi tin rằng với các quy định quản lý thuế hiện nay, hành vi gian lận hoặc trốn thuế sẽ dễ dàng bị phát hiện và xử lý nghiêm. - HUMAN-ENF1]]</f>
        <v>6</v>
      </c>
      <c r="D256">
        <f t="shared" si="82"/>
        <v>0.55555555555555558</v>
      </c>
      <c r="E256">
        <f>step3_validation[[#This Row],[AI_ENF2]]</f>
        <v>7</v>
      </c>
      <c r="F256">
        <f t="shared" si="83"/>
        <v>0.66666666666666663</v>
      </c>
      <c r="G256">
        <f>[1]!survey_responses[[#This Row],[Tôi tin rằng Nhà nước, cơ quan thuế có đủ khả năng và công nghệ để phát hiện, xử lý nghiêm các hành vi trốn thuế. - HUMAN-ENF2]]</f>
        <v>6</v>
      </c>
      <c r="H256">
        <f t="shared" si="84"/>
        <v>0.55555555555555558</v>
      </c>
      <c r="I256" s="32">
        <f t="shared" si="85"/>
        <v>0.72222222222222221</v>
      </c>
      <c r="J256" s="32">
        <f t="shared" si="86"/>
        <v>0.55555555555555558</v>
      </c>
      <c r="K256">
        <f>step3_validation[[#This Row],[AI_FAC1]]</f>
        <v>9</v>
      </c>
      <c r="L256">
        <f t="shared" si="87"/>
        <v>0.88888888888888884</v>
      </c>
      <c r="M256">
        <f>[1]!survey_responses[[#This Row],[Các thủ tục khai báo thuế VÀ/HOẶC quy trình làm việc với cơ quan thuế đơn giản, tiện lợi, nhanh chóng hơn so với trước đây. - HUMAN-FAC1]]</f>
        <v>1</v>
      </c>
      <c r="N256">
        <f t="shared" si="88"/>
        <v>0</v>
      </c>
      <c r="O256">
        <f>step3_validation[[#This Row],[AI_FAC2]]</f>
        <v>7</v>
      </c>
      <c r="P256">
        <f t="shared" si="89"/>
        <v>0.66666666666666663</v>
      </c>
      <c r="Q256">
        <f>[1]!survey_responses[[#This Row],[So với trước đây, tôi thấy cách tính thuế và các bậc thuế trong phương án mới đơn giản, dễ hiểu và dễ thực hiện hơn. - HUMAN-FAC2]]</f>
        <v>7</v>
      </c>
      <c r="R256">
        <f t="shared" si="90"/>
        <v>0.66666666666666663</v>
      </c>
      <c r="S256" s="32">
        <f t="shared" si="91"/>
        <v>0.77777777777777768</v>
      </c>
      <c r="T256" s="32">
        <f t="shared" si="92"/>
        <v>0.33333333333333331</v>
      </c>
      <c r="U256">
        <f>step3_validation[[#This Row],[AI_TRU1]]</f>
        <v>8</v>
      </c>
      <c r="V256">
        <f t="shared" si="93"/>
        <v>0.77777777777777779</v>
      </c>
      <c r="W256">
        <f>[1]!survey_responses[[#This Row],[Tôi tin rằng Nhà nước, cơ quan thuế sẽ thực thi chính sách mới một cách khách quan, công tâm và đối xử bình đẳng với mọi người nộp thuế.  - HUMAN-TRU1]]</f>
        <v>5</v>
      </c>
      <c r="X256">
        <f t="shared" si="94"/>
        <v>0.44444444444444442</v>
      </c>
      <c r="Y256">
        <f>step3_validation[[#This Row],[AI_TRU2]]</f>
        <v>6</v>
      </c>
      <c r="Z256">
        <f t="shared" si="95"/>
        <v>0.55555555555555558</v>
      </c>
      <c r="AA256">
        <f>[1]!survey_responses[[#This Row],[Tôi thấy mức thuế tôi phải đóng theo phương án mới là công bằng (người thu nhập như tôi đóng mức này là hợp lý). - HUMAN-TRU2]]</f>
        <v>6</v>
      </c>
      <c r="AB256">
        <f t="shared" si="96"/>
        <v>0.55555555555555558</v>
      </c>
      <c r="AC256">
        <f>step3_validation[[#This Row],[AI_TRU3]]</f>
        <v>7</v>
      </c>
      <c r="AD256">
        <f t="shared" si="97"/>
        <v>0.66666666666666663</v>
      </c>
      <c r="AE256">
        <f>[1]!survey_responses[[#This Row],[Tôi tin tưởng số tiền thuế tôi đóng sẽ được Nhà nước sử dụng hiệu quả để cải thiện dịch vụ công (y tế, đường xá...). - HUMAN-TRU3]]</f>
        <v>6</v>
      </c>
      <c r="AF256">
        <f t="shared" si="98"/>
        <v>0.55555555555555558</v>
      </c>
      <c r="AG256">
        <f>step3_validation[[#This Row],[AI_TRU4]]</f>
        <v>5</v>
      </c>
      <c r="AH256">
        <f t="shared" si="99"/>
        <v>0.44444444444444442</v>
      </c>
      <c r="AI256">
        <f>[1]!survey_responses[[#This Row],[Tôi thấy Nhà nước đã giải thích rõ ràng, minh bạch về lý do và mục tiêu của việc sửa đổi thuế lần này. - HUMAN-TRU4]]</f>
        <v>6</v>
      </c>
      <c r="AJ256">
        <f t="shared" si="100"/>
        <v>0.55555555555555558</v>
      </c>
      <c r="AK256" s="32">
        <f t="shared" si="101"/>
        <v>0.61111111111111116</v>
      </c>
      <c r="AL256" s="32">
        <f t="shared" si="102"/>
        <v>0.52777777777777779</v>
      </c>
      <c r="AM256" s="7">
        <f t="shared" si="103"/>
        <v>0.70370370370370372</v>
      </c>
      <c r="AN256" s="7">
        <f t="shared" si="104"/>
        <v>0.47222222222222215</v>
      </c>
      <c r="AO256">
        <f>step3_validation[[#This Row],[AI_OUT1]]</f>
        <v>7</v>
      </c>
      <c r="AP256">
        <f t="shared" si="105"/>
        <v>0.66666666666666663</v>
      </c>
      <c r="AQ256">
        <f>[1]!survey_responses[[#This Row],[Sau khi xem xét các quyền lợi và nghĩa vụ, bạn có ủng hộ và tuân thủ chính sách mới hiện nay? - HUMAN-OUT1]]</f>
        <v>6</v>
      </c>
      <c r="AR256">
        <f t="shared" si="106"/>
        <v>0.55555555555555558</v>
      </c>
      <c r="AS256" s="32">
        <f t="shared" si="107"/>
        <v>1</v>
      </c>
    </row>
    <row r="257" spans="1:45" x14ac:dyDescent="0.45">
      <c r="A257">
        <f>step3_validation[[#This Row],[AI_ENF1]]</f>
        <v>7</v>
      </c>
      <c r="B257">
        <f t="shared" si="81"/>
        <v>0.66666666666666663</v>
      </c>
      <c r="C257">
        <f>[1]!survey_responses[[#This Row],[Tôi tin rằng với các quy định quản lý thuế hiện nay, hành vi gian lận hoặc trốn thuế sẽ dễ dàng bị phát hiện và xử lý nghiêm. - HUMAN-ENF1]]</f>
        <v>8</v>
      </c>
      <c r="D257">
        <f t="shared" si="82"/>
        <v>0.77777777777777779</v>
      </c>
      <c r="E257">
        <f>step3_validation[[#This Row],[AI_ENF2]]</f>
        <v>8</v>
      </c>
      <c r="F257">
        <f t="shared" si="83"/>
        <v>0.77777777777777779</v>
      </c>
      <c r="G257">
        <f>[1]!survey_responses[[#This Row],[Tôi tin rằng Nhà nước, cơ quan thuế có đủ khả năng và công nghệ để phát hiện, xử lý nghiêm các hành vi trốn thuế. - HUMAN-ENF2]]</f>
        <v>8</v>
      </c>
      <c r="H257">
        <f t="shared" si="84"/>
        <v>0.77777777777777779</v>
      </c>
      <c r="I257" s="32">
        <f t="shared" si="85"/>
        <v>0.72222222222222221</v>
      </c>
      <c r="J257" s="32">
        <f t="shared" si="86"/>
        <v>0.77777777777777779</v>
      </c>
      <c r="K257">
        <f>step3_validation[[#This Row],[AI_FAC1]]</f>
        <v>6</v>
      </c>
      <c r="L257">
        <f t="shared" si="87"/>
        <v>0.55555555555555558</v>
      </c>
      <c r="M257">
        <f>[1]!survey_responses[[#This Row],[Các thủ tục khai báo thuế VÀ/HOẶC quy trình làm việc với cơ quan thuế đơn giản, tiện lợi, nhanh chóng hơn so với trước đây. - HUMAN-FAC1]]</f>
        <v>5</v>
      </c>
      <c r="N257">
        <f t="shared" si="88"/>
        <v>0.44444444444444442</v>
      </c>
      <c r="O257">
        <f>step3_validation[[#This Row],[AI_FAC2]]</f>
        <v>8</v>
      </c>
      <c r="P257">
        <f t="shared" si="89"/>
        <v>0.77777777777777779</v>
      </c>
      <c r="Q257">
        <f>[1]!survey_responses[[#This Row],[So với trước đây, tôi thấy cách tính thuế và các bậc thuế trong phương án mới đơn giản, dễ hiểu và dễ thực hiện hơn. - HUMAN-FAC2]]</f>
        <v>8</v>
      </c>
      <c r="R257">
        <f t="shared" si="90"/>
        <v>0.77777777777777779</v>
      </c>
      <c r="S257" s="32">
        <f t="shared" si="91"/>
        <v>0.66666666666666674</v>
      </c>
      <c r="T257" s="32">
        <f t="shared" si="92"/>
        <v>0.61111111111111116</v>
      </c>
      <c r="U257">
        <f>step3_validation[[#This Row],[AI_TRU1]]</f>
        <v>7</v>
      </c>
      <c r="V257">
        <f t="shared" si="93"/>
        <v>0.66666666666666663</v>
      </c>
      <c r="W257">
        <f>[1]!survey_responses[[#This Row],[Tôi tin rằng Nhà nước, cơ quan thuế sẽ thực thi chính sách mới một cách khách quan, công tâm và đối xử bình đẳng với mọi người nộp thuế.  - HUMAN-TRU1]]</f>
        <v>8</v>
      </c>
      <c r="X257">
        <f t="shared" si="94"/>
        <v>0.77777777777777779</v>
      </c>
      <c r="Y257">
        <f>step3_validation[[#This Row],[AI_TRU2]]</f>
        <v>7</v>
      </c>
      <c r="Z257">
        <f t="shared" si="95"/>
        <v>0.66666666666666663</v>
      </c>
      <c r="AA257">
        <f>[1]!survey_responses[[#This Row],[Tôi thấy mức thuế tôi phải đóng theo phương án mới là công bằng (người thu nhập như tôi đóng mức này là hợp lý). - HUMAN-TRU2]]</f>
        <v>7</v>
      </c>
      <c r="AB257">
        <f t="shared" si="96"/>
        <v>0.66666666666666663</v>
      </c>
      <c r="AC257">
        <f>step3_validation[[#This Row],[AI_TRU3]]</f>
        <v>6</v>
      </c>
      <c r="AD257">
        <f t="shared" si="97"/>
        <v>0.55555555555555558</v>
      </c>
      <c r="AE257">
        <f>[1]!survey_responses[[#This Row],[Tôi tin tưởng số tiền thuế tôi đóng sẽ được Nhà nước sử dụng hiệu quả để cải thiện dịch vụ công (y tế, đường xá...). - HUMAN-TRU3]]</f>
        <v>7</v>
      </c>
      <c r="AF257">
        <f t="shared" si="98"/>
        <v>0.66666666666666663</v>
      </c>
      <c r="AG257">
        <f>step3_validation[[#This Row],[AI_TRU4]]</f>
        <v>7</v>
      </c>
      <c r="AH257">
        <f t="shared" si="99"/>
        <v>0.66666666666666663</v>
      </c>
      <c r="AI257">
        <f>[1]!survey_responses[[#This Row],[Tôi thấy Nhà nước đã giải thích rõ ràng, minh bạch về lý do và mục tiêu của việc sửa đổi thuế lần này. - HUMAN-TRU4]]</f>
        <v>7</v>
      </c>
      <c r="AJ257">
        <f t="shared" si="100"/>
        <v>0.66666666666666663</v>
      </c>
      <c r="AK257" s="32">
        <f t="shared" si="101"/>
        <v>0.63888888888888884</v>
      </c>
      <c r="AL257" s="32">
        <f t="shared" si="102"/>
        <v>0.69444444444444442</v>
      </c>
      <c r="AM257" s="7">
        <f t="shared" si="103"/>
        <v>0.67592592592592593</v>
      </c>
      <c r="AN257" s="7">
        <f t="shared" si="104"/>
        <v>0.69444444444444431</v>
      </c>
      <c r="AO257">
        <f>step3_validation[[#This Row],[AI_OUT1]]</f>
        <v>7</v>
      </c>
      <c r="AP257">
        <f t="shared" si="105"/>
        <v>0.66666666666666663</v>
      </c>
      <c r="AQ257">
        <f>[1]!survey_responses[[#This Row],[Sau khi xem xét các quyền lợi và nghĩa vụ, bạn có ủng hộ và tuân thủ chính sách mới hiện nay? - HUMAN-OUT1]]</f>
        <v>7</v>
      </c>
      <c r="AR257">
        <f t="shared" si="106"/>
        <v>0.66666666666666663</v>
      </c>
      <c r="AS257" s="32">
        <f t="shared" si="107"/>
        <v>0</v>
      </c>
    </row>
    <row r="258" spans="1:45" x14ac:dyDescent="0.45">
      <c r="A258">
        <f>step3_validation[[#This Row],[AI_ENF1]]</f>
        <v>8</v>
      </c>
      <c r="B258">
        <f t="shared" si="81"/>
        <v>0.77777777777777779</v>
      </c>
      <c r="C258">
        <f>[1]!survey_responses[[#This Row],[Tôi tin rằng với các quy định quản lý thuế hiện nay, hành vi gian lận hoặc trốn thuế sẽ dễ dàng bị phát hiện và xử lý nghiêm. - HUMAN-ENF1]]</f>
        <v>7</v>
      </c>
      <c r="D258">
        <f t="shared" si="82"/>
        <v>0.66666666666666663</v>
      </c>
      <c r="E258">
        <f>step3_validation[[#This Row],[AI_ENF2]]</f>
        <v>9</v>
      </c>
      <c r="F258">
        <f t="shared" si="83"/>
        <v>0.88888888888888884</v>
      </c>
      <c r="G258">
        <f>[1]!survey_responses[[#This Row],[Tôi tin rằng Nhà nước, cơ quan thuế có đủ khả năng và công nghệ để phát hiện, xử lý nghiêm các hành vi trốn thuế. - HUMAN-ENF2]]</f>
        <v>8</v>
      </c>
      <c r="H258">
        <f t="shared" si="84"/>
        <v>0.77777777777777779</v>
      </c>
      <c r="I258" s="32">
        <f t="shared" si="85"/>
        <v>0.83333333333333326</v>
      </c>
      <c r="J258" s="32">
        <f t="shared" si="86"/>
        <v>0.72222222222222221</v>
      </c>
      <c r="K258">
        <f>step3_validation[[#This Row],[AI_FAC1]]</f>
        <v>7</v>
      </c>
      <c r="L258">
        <f t="shared" si="87"/>
        <v>0.66666666666666663</v>
      </c>
      <c r="M258">
        <f>[1]!survey_responses[[#This Row],[Các thủ tục khai báo thuế VÀ/HOẶC quy trình làm việc với cơ quan thuế đơn giản, tiện lợi, nhanh chóng hơn so với trước đây. - HUMAN-FAC1]]</f>
        <v>4</v>
      </c>
      <c r="N258">
        <f t="shared" si="88"/>
        <v>0.33333333333333331</v>
      </c>
      <c r="O258">
        <f>step3_validation[[#This Row],[AI_FAC2]]</f>
        <v>8</v>
      </c>
      <c r="P258">
        <f t="shared" si="89"/>
        <v>0.77777777777777779</v>
      </c>
      <c r="Q258">
        <f>[1]!survey_responses[[#This Row],[So với trước đây, tôi thấy cách tính thuế và các bậc thuế trong phương án mới đơn giản, dễ hiểu và dễ thực hiện hơn. - HUMAN-FAC2]]</f>
        <v>8</v>
      </c>
      <c r="R258">
        <f t="shared" si="90"/>
        <v>0.77777777777777779</v>
      </c>
      <c r="S258" s="32">
        <f t="shared" si="91"/>
        <v>0.72222222222222221</v>
      </c>
      <c r="T258" s="32">
        <f t="shared" si="92"/>
        <v>0.55555555555555558</v>
      </c>
      <c r="U258">
        <f>step3_validation[[#This Row],[AI_TRU1]]</f>
        <v>7</v>
      </c>
      <c r="V258">
        <f t="shared" si="93"/>
        <v>0.66666666666666663</v>
      </c>
      <c r="W258">
        <f>[1]!survey_responses[[#This Row],[Tôi tin rằng Nhà nước, cơ quan thuế sẽ thực thi chính sách mới một cách khách quan, công tâm và đối xử bình đẳng với mọi người nộp thuế.  - HUMAN-TRU1]]</f>
        <v>5</v>
      </c>
      <c r="X258">
        <f t="shared" si="94"/>
        <v>0.44444444444444442</v>
      </c>
      <c r="Y258">
        <f>step3_validation[[#This Row],[AI_TRU2]]</f>
        <v>8</v>
      </c>
      <c r="Z258">
        <f t="shared" si="95"/>
        <v>0.77777777777777779</v>
      </c>
      <c r="AA258">
        <f>[1]!survey_responses[[#This Row],[Tôi thấy mức thuế tôi phải đóng theo phương án mới là công bằng (người thu nhập như tôi đóng mức này là hợp lý). - HUMAN-TRU2]]</f>
        <v>7</v>
      </c>
      <c r="AB258">
        <f t="shared" si="96"/>
        <v>0.66666666666666663</v>
      </c>
      <c r="AC258">
        <f>step3_validation[[#This Row],[AI_TRU3]]</f>
        <v>7</v>
      </c>
      <c r="AD258">
        <f t="shared" si="97"/>
        <v>0.66666666666666663</v>
      </c>
      <c r="AE258">
        <f>[1]!survey_responses[[#This Row],[Tôi tin tưởng số tiền thuế tôi đóng sẽ được Nhà nước sử dụng hiệu quả để cải thiện dịch vụ công (y tế, đường xá...). - HUMAN-TRU3]]</f>
        <v>5</v>
      </c>
      <c r="AF258">
        <f t="shared" si="98"/>
        <v>0.44444444444444442</v>
      </c>
      <c r="AG258">
        <f>step3_validation[[#This Row],[AI_TRU4]]</f>
        <v>8</v>
      </c>
      <c r="AH258">
        <f t="shared" si="99"/>
        <v>0.77777777777777779</v>
      </c>
      <c r="AI258">
        <f>[1]!survey_responses[[#This Row],[Tôi thấy Nhà nước đã giải thích rõ ràng, minh bạch về lý do và mục tiêu của việc sửa đổi thuế lần này. - HUMAN-TRU4]]</f>
        <v>6</v>
      </c>
      <c r="AJ258">
        <f t="shared" si="100"/>
        <v>0.55555555555555558</v>
      </c>
      <c r="AK258" s="32">
        <f t="shared" si="101"/>
        <v>0.72222222222222221</v>
      </c>
      <c r="AL258" s="32">
        <f t="shared" si="102"/>
        <v>0.52777777777777779</v>
      </c>
      <c r="AM258" s="7">
        <f t="shared" si="103"/>
        <v>0.75925925925925919</v>
      </c>
      <c r="AN258" s="7">
        <f t="shared" si="104"/>
        <v>0.60185185185185175</v>
      </c>
      <c r="AO258">
        <f>step3_validation[[#This Row],[AI_OUT1]]</f>
        <v>7</v>
      </c>
      <c r="AP258">
        <f t="shared" si="105"/>
        <v>0.66666666666666663</v>
      </c>
      <c r="AQ258">
        <f>[1]!survey_responses[[#This Row],[Sau khi xem xét các quyền lợi và nghĩa vụ, bạn có ủng hộ và tuân thủ chính sách mới hiện nay? - HUMAN-OUT1]]</f>
        <v>6</v>
      </c>
      <c r="AR258">
        <f t="shared" si="106"/>
        <v>0.55555555555555558</v>
      </c>
      <c r="AS258" s="32">
        <f t="shared" si="107"/>
        <v>1</v>
      </c>
    </row>
    <row r="259" spans="1:45" x14ac:dyDescent="0.45">
      <c r="A259">
        <f>step3_validation[[#This Row],[AI_ENF1]]</f>
        <v>7</v>
      </c>
      <c r="B259">
        <f t="shared" ref="B259:B322" si="108">(A259-1)/9</f>
        <v>0.66666666666666663</v>
      </c>
      <c r="C259">
        <f>[1]!survey_responses[[#This Row],[Tôi tin rằng với các quy định quản lý thuế hiện nay, hành vi gian lận hoặc trốn thuế sẽ dễ dàng bị phát hiện và xử lý nghiêm. - HUMAN-ENF1]]</f>
        <v>6</v>
      </c>
      <c r="D259">
        <f t="shared" ref="D259:D322" si="109">(C259-1)/9</f>
        <v>0.55555555555555558</v>
      </c>
      <c r="E259">
        <f>step3_validation[[#This Row],[AI_ENF2]]</f>
        <v>6</v>
      </c>
      <c r="F259">
        <f t="shared" ref="F259:F322" si="110">(E259-1)/9</f>
        <v>0.55555555555555558</v>
      </c>
      <c r="G259">
        <f>[1]!survey_responses[[#This Row],[Tôi tin rằng Nhà nước, cơ quan thuế có đủ khả năng và công nghệ để phát hiện, xử lý nghiêm các hành vi trốn thuế. - HUMAN-ENF2]]</f>
        <v>7</v>
      </c>
      <c r="H259">
        <f t="shared" ref="H259:H322" si="111">(G259-1)/9</f>
        <v>0.66666666666666663</v>
      </c>
      <c r="I259" s="32">
        <f t="shared" ref="I259:I322" si="112">AVERAGE(B259,F259)</f>
        <v>0.61111111111111116</v>
      </c>
      <c r="J259" s="32">
        <f t="shared" ref="J259:J322" si="113">AVERAGE(D259,H259)</f>
        <v>0.61111111111111116</v>
      </c>
      <c r="K259">
        <f>step3_validation[[#This Row],[AI_FAC1]]</f>
        <v>7</v>
      </c>
      <c r="L259">
        <f t="shared" ref="L259:L322" si="114">(K259-1)/9</f>
        <v>0.66666666666666663</v>
      </c>
      <c r="M259">
        <f>[1]!survey_responses[[#This Row],[Các thủ tục khai báo thuế VÀ/HOẶC quy trình làm việc với cơ quan thuế đơn giản, tiện lợi, nhanh chóng hơn so với trước đây. - HUMAN-FAC1]]</f>
        <v>2</v>
      </c>
      <c r="N259">
        <f t="shared" ref="N259:N322" si="115">(M259-1)/9</f>
        <v>0.1111111111111111</v>
      </c>
      <c r="O259">
        <f>step3_validation[[#This Row],[AI_FAC2]]</f>
        <v>8</v>
      </c>
      <c r="P259">
        <f t="shared" ref="P259:P322" si="116">(O259-1)/9</f>
        <v>0.77777777777777779</v>
      </c>
      <c r="Q259">
        <f>[1]!survey_responses[[#This Row],[So với trước đây, tôi thấy cách tính thuế và các bậc thuế trong phương án mới đơn giản, dễ hiểu và dễ thực hiện hơn. - HUMAN-FAC2]]</f>
        <v>7</v>
      </c>
      <c r="R259">
        <f t="shared" ref="R259:R322" si="117">(Q259-1)/9</f>
        <v>0.66666666666666663</v>
      </c>
      <c r="S259" s="32">
        <f t="shared" ref="S259:S322" si="118">AVERAGE(L259,P259)</f>
        <v>0.72222222222222221</v>
      </c>
      <c r="T259" s="32">
        <f t="shared" ref="T259:T322" si="119">AVERAGE(N259,R259)</f>
        <v>0.38888888888888884</v>
      </c>
      <c r="U259">
        <f>step3_validation[[#This Row],[AI_TRU1]]</f>
        <v>6</v>
      </c>
      <c r="V259">
        <f t="shared" ref="V259:V322" si="120">(U259-1)/9</f>
        <v>0.55555555555555558</v>
      </c>
      <c r="W259">
        <f>[1]!survey_responses[[#This Row],[Tôi tin rằng Nhà nước, cơ quan thuế sẽ thực thi chính sách mới một cách khách quan, công tâm và đối xử bình đẳng với mọi người nộp thuế.  - HUMAN-TRU1]]</f>
        <v>5</v>
      </c>
      <c r="X259">
        <f t="shared" ref="X259:X322" si="121">(W259-1)/9</f>
        <v>0.44444444444444442</v>
      </c>
      <c r="Y259">
        <f>step3_validation[[#This Row],[AI_TRU2]]</f>
        <v>5</v>
      </c>
      <c r="Z259">
        <f t="shared" ref="Z259:Z322" si="122">(Y259-1)/9</f>
        <v>0.44444444444444442</v>
      </c>
      <c r="AA259">
        <f>[1]!survey_responses[[#This Row],[Tôi thấy mức thuế tôi phải đóng theo phương án mới là công bằng (người thu nhập như tôi đóng mức này là hợp lý). - HUMAN-TRU2]]</f>
        <v>5</v>
      </c>
      <c r="AB259">
        <f t="shared" ref="AB259:AB322" si="123">(AA259-1)/9</f>
        <v>0.44444444444444442</v>
      </c>
      <c r="AC259">
        <f>step3_validation[[#This Row],[AI_TRU3]]</f>
        <v>4</v>
      </c>
      <c r="AD259">
        <f t="shared" ref="AD259:AD322" si="124">(AC259-1)/9</f>
        <v>0.33333333333333331</v>
      </c>
      <c r="AE259">
        <f>[1]!survey_responses[[#This Row],[Tôi tin tưởng số tiền thuế tôi đóng sẽ được Nhà nước sử dụng hiệu quả để cải thiện dịch vụ công (y tế, đường xá...). - HUMAN-TRU3]]</f>
        <v>5</v>
      </c>
      <c r="AF259">
        <f t="shared" ref="AF259:AF322" si="125">(AE259-1)/9</f>
        <v>0.44444444444444442</v>
      </c>
      <c r="AG259">
        <f>step3_validation[[#This Row],[AI_TRU4]]</f>
        <v>5</v>
      </c>
      <c r="AH259">
        <f t="shared" ref="AH259:AH322" si="126">(AG259-1)/9</f>
        <v>0.44444444444444442</v>
      </c>
      <c r="AI259">
        <f>[1]!survey_responses[[#This Row],[Tôi thấy Nhà nước đã giải thích rõ ràng, minh bạch về lý do và mục tiêu của việc sửa đổi thuế lần này. - HUMAN-TRU4]]</f>
        <v>6</v>
      </c>
      <c r="AJ259">
        <f t="shared" ref="AJ259:AJ322" si="127">(AI259-1)/9</f>
        <v>0.55555555555555558</v>
      </c>
      <c r="AK259" s="32">
        <f t="shared" ref="AK259:AK322" si="128">AVERAGE(V259,Z259,AD259,AH259)</f>
        <v>0.44444444444444442</v>
      </c>
      <c r="AL259" s="32">
        <f t="shared" ref="AL259:AL322" si="129">AVERAGE(X259,AB259,AF259,AJ259)</f>
        <v>0.47222222222222221</v>
      </c>
      <c r="AM259" s="7">
        <f t="shared" ref="AM259:AM322" si="130">(I259+S259+AK259)/3</f>
        <v>0.59259259259259267</v>
      </c>
      <c r="AN259" s="7">
        <f t="shared" ref="AN259:AN322" si="131">(J259+T259+AL259)/3</f>
        <v>0.49074074074074076</v>
      </c>
      <c r="AO259">
        <f>step3_validation[[#This Row],[AI_OUT1]]</f>
        <v>4</v>
      </c>
      <c r="AP259">
        <f t="shared" ref="AP259:AP322" si="132">(AO259-1)/9</f>
        <v>0.33333333333333331</v>
      </c>
      <c r="AQ259">
        <f>[1]!survey_responses[[#This Row],[Sau khi xem xét các quyền lợi và nghĩa vụ, bạn có ủng hộ và tuân thủ chính sách mới hiện nay? - HUMAN-OUT1]]</f>
        <v>5</v>
      </c>
      <c r="AR259">
        <f t="shared" ref="AR259:AR322" si="133">(AQ259-1)/9</f>
        <v>0.44444444444444442</v>
      </c>
      <c r="AS259" s="32">
        <f t="shared" ref="AS259:AS322" si="134">ABS(AQ259-AO259)</f>
        <v>1</v>
      </c>
    </row>
    <row r="260" spans="1:45" x14ac:dyDescent="0.45">
      <c r="A260">
        <f>step3_validation[[#This Row],[AI_ENF1]]</f>
        <v>7</v>
      </c>
      <c r="B260">
        <f t="shared" si="108"/>
        <v>0.66666666666666663</v>
      </c>
      <c r="C260">
        <f>[1]!survey_responses[[#This Row],[Tôi tin rằng với các quy định quản lý thuế hiện nay, hành vi gian lận hoặc trốn thuế sẽ dễ dàng bị phát hiện và xử lý nghiêm. - HUMAN-ENF1]]</f>
        <v>2</v>
      </c>
      <c r="D260">
        <f t="shared" si="109"/>
        <v>0.1111111111111111</v>
      </c>
      <c r="E260">
        <f>step3_validation[[#This Row],[AI_ENF2]]</f>
        <v>8</v>
      </c>
      <c r="F260">
        <f t="shared" si="110"/>
        <v>0.77777777777777779</v>
      </c>
      <c r="G260">
        <f>[1]!survey_responses[[#This Row],[Tôi tin rằng Nhà nước, cơ quan thuế có đủ khả năng và công nghệ để phát hiện, xử lý nghiêm các hành vi trốn thuế. - HUMAN-ENF2]]</f>
        <v>1</v>
      </c>
      <c r="H260">
        <f t="shared" si="111"/>
        <v>0</v>
      </c>
      <c r="I260" s="32">
        <f t="shared" si="112"/>
        <v>0.72222222222222221</v>
      </c>
      <c r="J260" s="32">
        <f t="shared" si="113"/>
        <v>5.5555555555555552E-2</v>
      </c>
      <c r="K260">
        <f>step3_validation[[#This Row],[AI_FAC1]]</f>
        <v>9</v>
      </c>
      <c r="L260">
        <f t="shared" si="114"/>
        <v>0.88888888888888884</v>
      </c>
      <c r="M260">
        <f>[1]!survey_responses[[#This Row],[Các thủ tục khai báo thuế VÀ/HOẶC quy trình làm việc với cơ quan thuế đơn giản, tiện lợi, nhanh chóng hơn so với trước đây. - HUMAN-FAC1]]</f>
        <v>1</v>
      </c>
      <c r="N260">
        <f t="shared" si="115"/>
        <v>0</v>
      </c>
      <c r="O260">
        <f>step3_validation[[#This Row],[AI_FAC2]]</f>
        <v>7</v>
      </c>
      <c r="P260">
        <f t="shared" si="116"/>
        <v>0.66666666666666663</v>
      </c>
      <c r="Q260">
        <f>[1]!survey_responses[[#This Row],[So với trước đây, tôi thấy cách tính thuế và các bậc thuế trong phương án mới đơn giản, dễ hiểu và dễ thực hiện hơn. - HUMAN-FAC2]]</f>
        <v>6</v>
      </c>
      <c r="R260">
        <f t="shared" si="117"/>
        <v>0.55555555555555558</v>
      </c>
      <c r="S260" s="32">
        <f t="shared" si="118"/>
        <v>0.77777777777777768</v>
      </c>
      <c r="T260" s="32">
        <f t="shared" si="119"/>
        <v>0.27777777777777779</v>
      </c>
      <c r="U260">
        <f>step3_validation[[#This Row],[AI_TRU1]]</f>
        <v>6</v>
      </c>
      <c r="V260">
        <f t="shared" si="120"/>
        <v>0.55555555555555558</v>
      </c>
      <c r="W260">
        <f>[1]!survey_responses[[#This Row],[Tôi tin rằng Nhà nước, cơ quan thuế sẽ thực thi chính sách mới một cách khách quan, công tâm và đối xử bình đẳng với mọi người nộp thuế.  - HUMAN-TRU1]]</f>
        <v>2</v>
      </c>
      <c r="X260">
        <f t="shared" si="121"/>
        <v>0.1111111111111111</v>
      </c>
      <c r="Y260">
        <f>step3_validation[[#This Row],[AI_TRU2]]</f>
        <v>7</v>
      </c>
      <c r="Z260">
        <f t="shared" si="122"/>
        <v>0.66666666666666663</v>
      </c>
      <c r="AA260">
        <f>[1]!survey_responses[[#This Row],[Tôi thấy mức thuế tôi phải đóng theo phương án mới là công bằng (người thu nhập như tôi đóng mức này là hợp lý). - HUMAN-TRU2]]</f>
        <v>3</v>
      </c>
      <c r="AB260">
        <f t="shared" si="123"/>
        <v>0.22222222222222221</v>
      </c>
      <c r="AC260">
        <f>step3_validation[[#This Row],[AI_TRU3]]</f>
        <v>5</v>
      </c>
      <c r="AD260">
        <f t="shared" si="124"/>
        <v>0.44444444444444442</v>
      </c>
      <c r="AE260">
        <f>[1]!survey_responses[[#This Row],[Tôi tin tưởng số tiền thuế tôi đóng sẽ được Nhà nước sử dụng hiệu quả để cải thiện dịch vụ công (y tế, đường xá...). - HUMAN-TRU3]]</f>
        <v>1</v>
      </c>
      <c r="AF260">
        <f t="shared" si="125"/>
        <v>0</v>
      </c>
      <c r="AG260">
        <f>step3_validation[[#This Row],[AI_TRU4]]</f>
        <v>6</v>
      </c>
      <c r="AH260">
        <f t="shared" si="126"/>
        <v>0.55555555555555558</v>
      </c>
      <c r="AI260">
        <f>[1]!survey_responses[[#This Row],[Tôi thấy Nhà nước đã giải thích rõ ràng, minh bạch về lý do và mục tiêu của việc sửa đổi thuế lần này. - HUMAN-TRU4]]</f>
        <v>5</v>
      </c>
      <c r="AJ260">
        <f t="shared" si="127"/>
        <v>0.44444444444444442</v>
      </c>
      <c r="AK260" s="32">
        <f t="shared" si="128"/>
        <v>0.55555555555555558</v>
      </c>
      <c r="AL260" s="32">
        <f t="shared" si="129"/>
        <v>0.19444444444444442</v>
      </c>
      <c r="AM260" s="7">
        <f t="shared" si="130"/>
        <v>0.68518518518518512</v>
      </c>
      <c r="AN260" s="7">
        <f t="shared" si="131"/>
        <v>0.17592592592592593</v>
      </c>
      <c r="AO260">
        <f>step3_validation[[#This Row],[AI_OUT1]]</f>
        <v>8</v>
      </c>
      <c r="AP260">
        <f t="shared" si="132"/>
        <v>0.77777777777777779</v>
      </c>
      <c r="AQ260">
        <f>[1]!survey_responses[[#This Row],[Sau khi xem xét các quyền lợi và nghĩa vụ, bạn có ủng hộ và tuân thủ chính sách mới hiện nay? - HUMAN-OUT1]]</f>
        <v>4</v>
      </c>
      <c r="AR260">
        <f t="shared" si="133"/>
        <v>0.33333333333333331</v>
      </c>
      <c r="AS260" s="32">
        <f t="shared" si="134"/>
        <v>4</v>
      </c>
    </row>
    <row r="261" spans="1:45" x14ac:dyDescent="0.45">
      <c r="A261">
        <f>step3_validation[[#This Row],[AI_ENF1]]</f>
        <v>8</v>
      </c>
      <c r="B261">
        <f t="shared" si="108"/>
        <v>0.77777777777777779</v>
      </c>
      <c r="C261">
        <f>[1]!survey_responses[[#This Row],[Tôi tin rằng với các quy định quản lý thuế hiện nay, hành vi gian lận hoặc trốn thuế sẽ dễ dàng bị phát hiện và xử lý nghiêm. - HUMAN-ENF1]]</f>
        <v>6</v>
      </c>
      <c r="D261">
        <f t="shared" si="109"/>
        <v>0.55555555555555558</v>
      </c>
      <c r="E261">
        <f>step3_validation[[#This Row],[AI_ENF2]]</f>
        <v>7</v>
      </c>
      <c r="F261">
        <f t="shared" si="110"/>
        <v>0.66666666666666663</v>
      </c>
      <c r="G261">
        <f>[1]!survey_responses[[#This Row],[Tôi tin rằng Nhà nước, cơ quan thuế có đủ khả năng và công nghệ để phát hiện, xử lý nghiêm các hành vi trốn thuế. - HUMAN-ENF2]]</f>
        <v>6</v>
      </c>
      <c r="H261">
        <f t="shared" si="111"/>
        <v>0.55555555555555558</v>
      </c>
      <c r="I261" s="32">
        <f t="shared" si="112"/>
        <v>0.72222222222222221</v>
      </c>
      <c r="J261" s="32">
        <f t="shared" si="113"/>
        <v>0.55555555555555558</v>
      </c>
      <c r="K261">
        <f>step3_validation[[#This Row],[AI_FAC1]]</f>
        <v>9</v>
      </c>
      <c r="L261">
        <f t="shared" si="114"/>
        <v>0.88888888888888884</v>
      </c>
      <c r="M261">
        <f>[1]!survey_responses[[#This Row],[Các thủ tục khai báo thuế VÀ/HOẶC quy trình làm việc với cơ quan thuế đơn giản, tiện lợi, nhanh chóng hơn so với trước đây. - HUMAN-FAC1]]</f>
        <v>7</v>
      </c>
      <c r="N261">
        <f t="shared" si="115"/>
        <v>0.66666666666666663</v>
      </c>
      <c r="O261">
        <f>step3_validation[[#This Row],[AI_FAC2]]</f>
        <v>8</v>
      </c>
      <c r="P261">
        <f t="shared" si="116"/>
        <v>0.77777777777777779</v>
      </c>
      <c r="Q261">
        <f>[1]!survey_responses[[#This Row],[So với trước đây, tôi thấy cách tính thuế và các bậc thuế trong phương án mới đơn giản, dễ hiểu và dễ thực hiện hơn. - HUMAN-FAC2]]</f>
        <v>6</v>
      </c>
      <c r="R261">
        <f t="shared" si="117"/>
        <v>0.55555555555555558</v>
      </c>
      <c r="S261" s="32">
        <f t="shared" si="118"/>
        <v>0.83333333333333326</v>
      </c>
      <c r="T261" s="32">
        <f t="shared" si="119"/>
        <v>0.61111111111111116</v>
      </c>
      <c r="U261">
        <f>step3_validation[[#This Row],[AI_TRU1]]</f>
        <v>7</v>
      </c>
      <c r="V261">
        <f t="shared" si="120"/>
        <v>0.66666666666666663</v>
      </c>
      <c r="W261">
        <f>[1]!survey_responses[[#This Row],[Tôi tin rằng Nhà nước, cơ quan thuế sẽ thực thi chính sách mới một cách khách quan, công tâm và đối xử bình đẳng với mọi người nộp thuế.  - HUMAN-TRU1]]</f>
        <v>5</v>
      </c>
      <c r="X261">
        <f t="shared" si="121"/>
        <v>0.44444444444444442</v>
      </c>
      <c r="Y261">
        <f>step3_validation[[#This Row],[AI_TRU2]]</f>
        <v>6</v>
      </c>
      <c r="Z261">
        <f t="shared" si="122"/>
        <v>0.55555555555555558</v>
      </c>
      <c r="AA261">
        <f>[1]!survey_responses[[#This Row],[Tôi thấy mức thuế tôi phải đóng theo phương án mới là công bằng (người thu nhập như tôi đóng mức này là hợp lý). - HUMAN-TRU2]]</f>
        <v>6</v>
      </c>
      <c r="AB261">
        <f t="shared" si="123"/>
        <v>0.55555555555555558</v>
      </c>
      <c r="AC261">
        <f>step3_validation[[#This Row],[AI_TRU3]]</f>
        <v>7</v>
      </c>
      <c r="AD261">
        <f t="shared" si="124"/>
        <v>0.66666666666666663</v>
      </c>
      <c r="AE261">
        <f>[1]!survey_responses[[#This Row],[Tôi tin tưởng số tiền thuế tôi đóng sẽ được Nhà nước sử dụng hiệu quả để cải thiện dịch vụ công (y tế, đường xá...). - HUMAN-TRU3]]</f>
        <v>5</v>
      </c>
      <c r="AF261">
        <f t="shared" si="125"/>
        <v>0.44444444444444442</v>
      </c>
      <c r="AG261">
        <f>step3_validation[[#This Row],[AI_TRU4]]</f>
        <v>6</v>
      </c>
      <c r="AH261">
        <f t="shared" si="126"/>
        <v>0.55555555555555558</v>
      </c>
      <c r="AI261">
        <f>[1]!survey_responses[[#This Row],[Tôi thấy Nhà nước đã giải thích rõ ràng, minh bạch về lý do và mục tiêu của việc sửa đổi thuế lần này. - HUMAN-TRU4]]</f>
        <v>6</v>
      </c>
      <c r="AJ261">
        <f t="shared" si="127"/>
        <v>0.55555555555555558</v>
      </c>
      <c r="AK261" s="32">
        <f t="shared" si="128"/>
        <v>0.61111111111111116</v>
      </c>
      <c r="AL261" s="32">
        <f t="shared" si="129"/>
        <v>0.5</v>
      </c>
      <c r="AM261" s="7">
        <f t="shared" si="130"/>
        <v>0.72222222222222221</v>
      </c>
      <c r="AN261" s="7">
        <f t="shared" si="131"/>
        <v>0.55555555555555558</v>
      </c>
      <c r="AO261">
        <f>step3_validation[[#This Row],[AI_OUT1]]</f>
        <v>5</v>
      </c>
      <c r="AP261">
        <f t="shared" si="132"/>
        <v>0.44444444444444442</v>
      </c>
      <c r="AQ261">
        <f>[1]!survey_responses[[#This Row],[Sau khi xem xét các quyền lợi và nghĩa vụ, bạn có ủng hộ và tuân thủ chính sách mới hiện nay? - HUMAN-OUT1]]</f>
        <v>6</v>
      </c>
      <c r="AR261">
        <f t="shared" si="133"/>
        <v>0.55555555555555558</v>
      </c>
      <c r="AS261" s="32">
        <f t="shared" si="134"/>
        <v>1</v>
      </c>
    </row>
    <row r="262" spans="1:45" x14ac:dyDescent="0.45">
      <c r="A262">
        <f>step3_validation[[#This Row],[AI_ENF1]]</f>
        <v>7</v>
      </c>
      <c r="B262">
        <f t="shared" si="108"/>
        <v>0.66666666666666663</v>
      </c>
      <c r="C262">
        <f>[1]!survey_responses[[#This Row],[Tôi tin rằng với các quy định quản lý thuế hiện nay, hành vi gian lận hoặc trốn thuế sẽ dễ dàng bị phát hiện và xử lý nghiêm. - HUMAN-ENF1]]</f>
        <v>6</v>
      </c>
      <c r="D262">
        <f t="shared" si="109"/>
        <v>0.55555555555555558</v>
      </c>
      <c r="E262">
        <f>step3_validation[[#This Row],[AI_ENF2]]</f>
        <v>6</v>
      </c>
      <c r="F262">
        <f t="shared" si="110"/>
        <v>0.55555555555555558</v>
      </c>
      <c r="G262">
        <f>[1]!survey_responses[[#This Row],[Tôi tin rằng Nhà nước, cơ quan thuế có đủ khả năng và công nghệ để phát hiện, xử lý nghiêm các hành vi trốn thuế. - HUMAN-ENF2]]</f>
        <v>7</v>
      </c>
      <c r="H262">
        <f t="shared" si="111"/>
        <v>0.66666666666666663</v>
      </c>
      <c r="I262" s="32">
        <f t="shared" si="112"/>
        <v>0.61111111111111116</v>
      </c>
      <c r="J262" s="32">
        <f t="shared" si="113"/>
        <v>0.61111111111111116</v>
      </c>
      <c r="K262">
        <f>step3_validation[[#This Row],[AI_FAC1]]</f>
        <v>8</v>
      </c>
      <c r="L262">
        <f t="shared" si="114"/>
        <v>0.77777777777777779</v>
      </c>
      <c r="M262">
        <f>[1]!survey_responses[[#This Row],[Các thủ tục khai báo thuế VÀ/HOẶC quy trình làm việc với cơ quan thuế đơn giản, tiện lợi, nhanh chóng hơn so với trước đây. - HUMAN-FAC1]]</f>
        <v>1</v>
      </c>
      <c r="N262">
        <f t="shared" si="115"/>
        <v>0</v>
      </c>
      <c r="O262">
        <f>step3_validation[[#This Row],[AI_FAC2]]</f>
        <v>7</v>
      </c>
      <c r="P262">
        <f t="shared" si="116"/>
        <v>0.66666666666666663</v>
      </c>
      <c r="Q262">
        <f>[1]!survey_responses[[#This Row],[So với trước đây, tôi thấy cách tính thuế và các bậc thuế trong phương án mới đơn giản, dễ hiểu và dễ thực hiện hơn. - HUMAN-FAC2]]</f>
        <v>9</v>
      </c>
      <c r="R262">
        <f t="shared" si="117"/>
        <v>0.88888888888888884</v>
      </c>
      <c r="S262" s="32">
        <f t="shared" si="118"/>
        <v>0.72222222222222221</v>
      </c>
      <c r="T262" s="32">
        <f t="shared" si="119"/>
        <v>0.44444444444444442</v>
      </c>
      <c r="U262">
        <f>step3_validation[[#This Row],[AI_TRU1]]</f>
        <v>8</v>
      </c>
      <c r="V262">
        <f t="shared" si="120"/>
        <v>0.77777777777777779</v>
      </c>
      <c r="W262">
        <f>[1]!survey_responses[[#This Row],[Tôi tin rằng Nhà nước, cơ quan thuế sẽ thực thi chính sách mới một cách khách quan, công tâm và đối xử bình đẳng với mọi người nộp thuế.  - HUMAN-TRU1]]</f>
        <v>5</v>
      </c>
      <c r="X262">
        <f t="shared" si="121"/>
        <v>0.44444444444444442</v>
      </c>
      <c r="Y262">
        <f>step3_validation[[#This Row],[AI_TRU2]]</f>
        <v>6</v>
      </c>
      <c r="Z262">
        <f t="shared" si="122"/>
        <v>0.55555555555555558</v>
      </c>
      <c r="AA262">
        <f>[1]!survey_responses[[#This Row],[Tôi thấy mức thuế tôi phải đóng theo phương án mới là công bằng (người thu nhập như tôi đóng mức này là hợp lý). - HUMAN-TRU2]]</f>
        <v>4</v>
      </c>
      <c r="AB262">
        <f t="shared" si="123"/>
        <v>0.33333333333333331</v>
      </c>
      <c r="AC262">
        <f>step3_validation[[#This Row],[AI_TRU3]]</f>
        <v>7</v>
      </c>
      <c r="AD262">
        <f t="shared" si="124"/>
        <v>0.66666666666666663</v>
      </c>
      <c r="AE262">
        <f>[1]!survey_responses[[#This Row],[Tôi tin tưởng số tiền thuế tôi đóng sẽ được Nhà nước sử dụng hiệu quả để cải thiện dịch vụ công (y tế, đường xá...). - HUMAN-TRU3]]</f>
        <v>4</v>
      </c>
      <c r="AF262">
        <f t="shared" si="125"/>
        <v>0.33333333333333331</v>
      </c>
      <c r="AG262">
        <f>step3_validation[[#This Row],[AI_TRU4]]</f>
        <v>6</v>
      </c>
      <c r="AH262">
        <f t="shared" si="126"/>
        <v>0.55555555555555558</v>
      </c>
      <c r="AI262">
        <f>[1]!survey_responses[[#This Row],[Tôi thấy Nhà nước đã giải thích rõ ràng, minh bạch về lý do và mục tiêu của việc sửa đổi thuế lần này. - HUMAN-TRU4]]</f>
        <v>5</v>
      </c>
      <c r="AJ262">
        <f t="shared" si="127"/>
        <v>0.44444444444444442</v>
      </c>
      <c r="AK262" s="32">
        <f t="shared" si="128"/>
        <v>0.63888888888888884</v>
      </c>
      <c r="AL262" s="32">
        <f t="shared" si="129"/>
        <v>0.38888888888888884</v>
      </c>
      <c r="AM262" s="7">
        <f t="shared" si="130"/>
        <v>0.65740740740740744</v>
      </c>
      <c r="AN262" s="7">
        <f t="shared" si="131"/>
        <v>0.48148148148148145</v>
      </c>
      <c r="AO262">
        <f>step3_validation[[#This Row],[AI_OUT1]]</f>
        <v>8</v>
      </c>
      <c r="AP262">
        <f t="shared" si="132"/>
        <v>0.77777777777777779</v>
      </c>
      <c r="AQ262">
        <f>[1]!survey_responses[[#This Row],[Sau khi xem xét các quyền lợi và nghĩa vụ, bạn có ủng hộ và tuân thủ chính sách mới hiện nay? - HUMAN-OUT1]]</f>
        <v>5</v>
      </c>
      <c r="AR262">
        <f t="shared" si="133"/>
        <v>0.44444444444444442</v>
      </c>
      <c r="AS262" s="32">
        <f t="shared" si="134"/>
        <v>3</v>
      </c>
    </row>
    <row r="263" spans="1:45" x14ac:dyDescent="0.45">
      <c r="A263">
        <f>step3_validation[[#This Row],[AI_ENF1]]</f>
        <v>8</v>
      </c>
      <c r="B263">
        <f t="shared" si="108"/>
        <v>0.77777777777777779</v>
      </c>
      <c r="C263">
        <f>[1]!survey_responses[[#This Row],[Tôi tin rằng với các quy định quản lý thuế hiện nay, hành vi gian lận hoặc trốn thuế sẽ dễ dàng bị phát hiện và xử lý nghiêm. - HUMAN-ENF1]]</f>
        <v>9</v>
      </c>
      <c r="D263">
        <f t="shared" si="109"/>
        <v>0.88888888888888884</v>
      </c>
      <c r="E263">
        <f>step3_validation[[#This Row],[AI_ENF2]]</f>
        <v>9</v>
      </c>
      <c r="F263">
        <f t="shared" si="110"/>
        <v>0.88888888888888884</v>
      </c>
      <c r="G263">
        <f>[1]!survey_responses[[#This Row],[Tôi tin rằng Nhà nước, cơ quan thuế có đủ khả năng và công nghệ để phát hiện, xử lý nghiêm các hành vi trốn thuế. - HUMAN-ENF2]]</f>
        <v>9</v>
      </c>
      <c r="H263">
        <f t="shared" si="111"/>
        <v>0.88888888888888884</v>
      </c>
      <c r="I263" s="32">
        <f t="shared" si="112"/>
        <v>0.83333333333333326</v>
      </c>
      <c r="J263" s="32">
        <f t="shared" si="113"/>
        <v>0.88888888888888884</v>
      </c>
      <c r="K263">
        <f>step3_validation[[#This Row],[AI_FAC1]]</f>
        <v>7</v>
      </c>
      <c r="L263">
        <f t="shared" si="114"/>
        <v>0.66666666666666663</v>
      </c>
      <c r="M263">
        <f>[1]!survey_responses[[#This Row],[Các thủ tục khai báo thuế VÀ/HOẶC quy trình làm việc với cơ quan thuế đơn giản, tiện lợi, nhanh chóng hơn so với trước đây. - HUMAN-FAC1]]</f>
        <v>8</v>
      </c>
      <c r="N263">
        <f t="shared" si="115"/>
        <v>0.77777777777777779</v>
      </c>
      <c r="O263">
        <f>step3_validation[[#This Row],[AI_FAC2]]</f>
        <v>6</v>
      </c>
      <c r="P263">
        <f t="shared" si="116"/>
        <v>0.55555555555555558</v>
      </c>
      <c r="Q263">
        <f>[1]!survey_responses[[#This Row],[So với trước đây, tôi thấy cách tính thuế và các bậc thuế trong phương án mới đơn giản, dễ hiểu và dễ thực hiện hơn. - HUMAN-FAC2]]</f>
        <v>9</v>
      </c>
      <c r="R263">
        <f t="shared" si="117"/>
        <v>0.88888888888888884</v>
      </c>
      <c r="S263" s="32">
        <f t="shared" si="118"/>
        <v>0.61111111111111116</v>
      </c>
      <c r="T263" s="32">
        <f t="shared" si="119"/>
        <v>0.83333333333333326</v>
      </c>
      <c r="U263">
        <f>step3_validation[[#This Row],[AI_TRU1]]</f>
        <v>8</v>
      </c>
      <c r="V263">
        <f t="shared" si="120"/>
        <v>0.77777777777777779</v>
      </c>
      <c r="W263">
        <f>[1]!survey_responses[[#This Row],[Tôi tin rằng Nhà nước, cơ quan thuế sẽ thực thi chính sách mới một cách khách quan, công tâm và đối xử bình đẳng với mọi người nộp thuế.  - HUMAN-TRU1]]</f>
        <v>8</v>
      </c>
      <c r="X263">
        <f t="shared" si="121"/>
        <v>0.77777777777777779</v>
      </c>
      <c r="Y263">
        <f>step3_validation[[#This Row],[AI_TRU2]]</f>
        <v>7</v>
      </c>
      <c r="Z263">
        <f t="shared" si="122"/>
        <v>0.66666666666666663</v>
      </c>
      <c r="AA263">
        <f>[1]!survey_responses[[#This Row],[Tôi thấy mức thuế tôi phải đóng theo phương án mới là công bằng (người thu nhập như tôi đóng mức này là hợp lý). - HUMAN-TRU2]]</f>
        <v>9</v>
      </c>
      <c r="AB263">
        <f t="shared" si="123"/>
        <v>0.88888888888888884</v>
      </c>
      <c r="AC263">
        <f>step3_validation[[#This Row],[AI_TRU3]]</f>
        <v>8</v>
      </c>
      <c r="AD263">
        <f t="shared" si="124"/>
        <v>0.77777777777777779</v>
      </c>
      <c r="AE263">
        <f>[1]!survey_responses[[#This Row],[Tôi tin tưởng số tiền thuế tôi đóng sẽ được Nhà nước sử dụng hiệu quả để cải thiện dịch vụ công (y tế, đường xá...). - HUMAN-TRU3]]</f>
        <v>9</v>
      </c>
      <c r="AF263">
        <f t="shared" si="125"/>
        <v>0.88888888888888884</v>
      </c>
      <c r="AG263">
        <f>step3_validation[[#This Row],[AI_TRU4]]</f>
        <v>7</v>
      </c>
      <c r="AH263">
        <f t="shared" si="126"/>
        <v>0.66666666666666663</v>
      </c>
      <c r="AI263">
        <f>[1]!survey_responses[[#This Row],[Tôi thấy Nhà nước đã giải thích rõ ràng, minh bạch về lý do và mục tiêu của việc sửa đổi thuế lần này. - HUMAN-TRU4]]</f>
        <v>8</v>
      </c>
      <c r="AJ263">
        <f t="shared" si="127"/>
        <v>0.77777777777777779</v>
      </c>
      <c r="AK263" s="32">
        <f t="shared" si="128"/>
        <v>0.72222222222222221</v>
      </c>
      <c r="AL263" s="32">
        <f t="shared" si="129"/>
        <v>0.83333333333333326</v>
      </c>
      <c r="AM263" s="7">
        <f t="shared" si="130"/>
        <v>0.72222222222222221</v>
      </c>
      <c r="AN263" s="7">
        <f t="shared" si="131"/>
        <v>0.85185185185185175</v>
      </c>
      <c r="AO263">
        <f>step3_validation[[#This Row],[AI_OUT1]]</f>
        <v>8</v>
      </c>
      <c r="AP263">
        <f t="shared" si="132"/>
        <v>0.77777777777777779</v>
      </c>
      <c r="AQ263">
        <f>[1]!survey_responses[[#This Row],[Sau khi xem xét các quyền lợi và nghĩa vụ, bạn có ủng hộ và tuân thủ chính sách mới hiện nay? - HUMAN-OUT1]]</f>
        <v>8</v>
      </c>
      <c r="AR263">
        <f t="shared" si="133"/>
        <v>0.77777777777777779</v>
      </c>
      <c r="AS263" s="32">
        <f t="shared" si="134"/>
        <v>0</v>
      </c>
    </row>
    <row r="264" spans="1:45" x14ac:dyDescent="0.45">
      <c r="A264">
        <f>step3_validation[[#This Row],[AI_ENF1]]</f>
        <v>7</v>
      </c>
      <c r="B264">
        <f t="shared" si="108"/>
        <v>0.66666666666666663</v>
      </c>
      <c r="C264">
        <f>[1]!survey_responses[[#This Row],[Tôi tin rằng với các quy định quản lý thuế hiện nay, hành vi gian lận hoặc trốn thuế sẽ dễ dàng bị phát hiện và xử lý nghiêm. - HUMAN-ENF1]]</f>
        <v>8</v>
      </c>
      <c r="D264">
        <f t="shared" si="109"/>
        <v>0.77777777777777779</v>
      </c>
      <c r="E264">
        <f>step3_validation[[#This Row],[AI_ENF2]]</f>
        <v>8</v>
      </c>
      <c r="F264">
        <f t="shared" si="110"/>
        <v>0.77777777777777779</v>
      </c>
      <c r="G264">
        <f>[1]!survey_responses[[#This Row],[Tôi tin rằng Nhà nước, cơ quan thuế có đủ khả năng và công nghệ để phát hiện, xử lý nghiêm các hành vi trốn thuế. - HUMAN-ENF2]]</f>
        <v>8</v>
      </c>
      <c r="H264">
        <f t="shared" si="111"/>
        <v>0.77777777777777779</v>
      </c>
      <c r="I264" s="32">
        <f t="shared" si="112"/>
        <v>0.72222222222222221</v>
      </c>
      <c r="J264" s="32">
        <f t="shared" si="113"/>
        <v>0.77777777777777779</v>
      </c>
      <c r="K264">
        <f>step3_validation[[#This Row],[AI_FAC1]]</f>
        <v>9</v>
      </c>
      <c r="L264">
        <f t="shared" si="114"/>
        <v>0.88888888888888884</v>
      </c>
      <c r="M264">
        <f>[1]!survey_responses[[#This Row],[Các thủ tục khai báo thuế VÀ/HOẶC quy trình làm việc với cơ quan thuế đơn giản, tiện lợi, nhanh chóng hơn so với trước đây. - HUMAN-FAC1]]</f>
        <v>5</v>
      </c>
      <c r="N264">
        <f t="shared" si="115"/>
        <v>0.44444444444444442</v>
      </c>
      <c r="O264">
        <f>step3_validation[[#This Row],[AI_FAC2]]</f>
        <v>6</v>
      </c>
      <c r="P264">
        <f t="shared" si="116"/>
        <v>0.55555555555555558</v>
      </c>
      <c r="Q264">
        <f>[1]!survey_responses[[#This Row],[So với trước đây, tôi thấy cách tính thuế và các bậc thuế trong phương án mới đơn giản, dễ hiểu và dễ thực hiện hơn. - HUMAN-FAC2]]</f>
        <v>7</v>
      </c>
      <c r="R264">
        <f t="shared" si="117"/>
        <v>0.66666666666666663</v>
      </c>
      <c r="S264" s="32">
        <f t="shared" si="118"/>
        <v>0.72222222222222221</v>
      </c>
      <c r="T264" s="32">
        <f t="shared" si="119"/>
        <v>0.55555555555555558</v>
      </c>
      <c r="U264">
        <f>step3_validation[[#This Row],[AI_TRU1]]</f>
        <v>7</v>
      </c>
      <c r="V264">
        <f t="shared" si="120"/>
        <v>0.66666666666666663</v>
      </c>
      <c r="W264">
        <f>[1]!survey_responses[[#This Row],[Tôi tin rằng Nhà nước, cơ quan thuế sẽ thực thi chính sách mới một cách khách quan, công tâm và đối xử bình đẳng với mọi người nộp thuế.  - HUMAN-TRU1]]</f>
        <v>7</v>
      </c>
      <c r="X264">
        <f t="shared" si="121"/>
        <v>0.66666666666666663</v>
      </c>
      <c r="Y264">
        <f>step3_validation[[#This Row],[AI_TRU2]]</f>
        <v>6</v>
      </c>
      <c r="Z264">
        <f t="shared" si="122"/>
        <v>0.55555555555555558</v>
      </c>
      <c r="AA264">
        <f>[1]!survey_responses[[#This Row],[Tôi thấy mức thuế tôi phải đóng theo phương án mới là công bằng (người thu nhập như tôi đóng mức này là hợp lý). - HUMAN-TRU2]]</f>
        <v>5</v>
      </c>
      <c r="AB264">
        <f t="shared" si="123"/>
        <v>0.44444444444444442</v>
      </c>
      <c r="AC264">
        <f>step3_validation[[#This Row],[AI_TRU3]]</f>
        <v>8</v>
      </c>
      <c r="AD264">
        <f t="shared" si="124"/>
        <v>0.77777777777777779</v>
      </c>
      <c r="AE264">
        <f>[1]!survey_responses[[#This Row],[Tôi tin tưởng số tiền thuế tôi đóng sẽ được Nhà nước sử dụng hiệu quả để cải thiện dịch vụ công (y tế, đường xá...). - HUMAN-TRU3]]</f>
        <v>5</v>
      </c>
      <c r="AF264">
        <f t="shared" si="125"/>
        <v>0.44444444444444442</v>
      </c>
      <c r="AG264">
        <f>step3_validation[[#This Row],[AI_TRU4]]</f>
        <v>7</v>
      </c>
      <c r="AH264">
        <f t="shared" si="126"/>
        <v>0.66666666666666663</v>
      </c>
      <c r="AI264">
        <f>[1]!survey_responses[[#This Row],[Tôi thấy Nhà nước đã giải thích rõ ràng, minh bạch về lý do và mục tiêu của việc sửa đổi thuế lần này. - HUMAN-TRU4]]</f>
        <v>6</v>
      </c>
      <c r="AJ264">
        <f t="shared" si="127"/>
        <v>0.55555555555555558</v>
      </c>
      <c r="AK264" s="32">
        <f t="shared" si="128"/>
        <v>0.66666666666666663</v>
      </c>
      <c r="AL264" s="32">
        <f t="shared" si="129"/>
        <v>0.52777777777777779</v>
      </c>
      <c r="AM264" s="7">
        <f t="shared" si="130"/>
        <v>0.70370370370370372</v>
      </c>
      <c r="AN264" s="7">
        <f t="shared" si="131"/>
        <v>0.62037037037037035</v>
      </c>
      <c r="AO264">
        <f>step3_validation[[#This Row],[AI_OUT1]]</f>
        <v>5</v>
      </c>
      <c r="AP264">
        <f t="shared" si="132"/>
        <v>0.44444444444444442</v>
      </c>
      <c r="AQ264">
        <f>[1]!survey_responses[[#This Row],[Sau khi xem xét các quyền lợi và nghĩa vụ, bạn có ủng hộ và tuân thủ chính sách mới hiện nay? - HUMAN-OUT1]]</f>
        <v>6</v>
      </c>
      <c r="AR264">
        <f t="shared" si="133"/>
        <v>0.55555555555555558</v>
      </c>
      <c r="AS264" s="32">
        <f t="shared" si="134"/>
        <v>1</v>
      </c>
    </row>
    <row r="265" spans="1:45" x14ac:dyDescent="0.45">
      <c r="A265">
        <f>step3_validation[[#This Row],[AI_ENF1]]</f>
        <v>7</v>
      </c>
      <c r="B265">
        <f t="shared" si="108"/>
        <v>0.66666666666666663</v>
      </c>
      <c r="C265">
        <f>[1]!survey_responses[[#This Row],[Tôi tin rằng với các quy định quản lý thuế hiện nay, hành vi gian lận hoặc trốn thuế sẽ dễ dàng bị phát hiện và xử lý nghiêm. - HUMAN-ENF1]]</f>
        <v>7</v>
      </c>
      <c r="D265">
        <f t="shared" si="109"/>
        <v>0.66666666666666663</v>
      </c>
      <c r="E265">
        <f>step3_validation[[#This Row],[AI_ENF2]]</f>
        <v>6</v>
      </c>
      <c r="F265">
        <f t="shared" si="110"/>
        <v>0.55555555555555558</v>
      </c>
      <c r="G265">
        <f>[1]!survey_responses[[#This Row],[Tôi tin rằng Nhà nước, cơ quan thuế có đủ khả năng và công nghệ để phát hiện, xử lý nghiêm các hành vi trốn thuế. - HUMAN-ENF2]]</f>
        <v>7</v>
      </c>
      <c r="H265">
        <f t="shared" si="111"/>
        <v>0.66666666666666663</v>
      </c>
      <c r="I265" s="32">
        <f t="shared" si="112"/>
        <v>0.61111111111111116</v>
      </c>
      <c r="J265" s="32">
        <f t="shared" si="113"/>
        <v>0.66666666666666663</v>
      </c>
      <c r="K265">
        <f>step3_validation[[#This Row],[AI_FAC1]]</f>
        <v>8</v>
      </c>
      <c r="L265">
        <f t="shared" si="114"/>
        <v>0.77777777777777779</v>
      </c>
      <c r="M265">
        <f>[1]!survey_responses[[#This Row],[Các thủ tục khai báo thuế VÀ/HOẶC quy trình làm việc với cơ quan thuế đơn giản, tiện lợi, nhanh chóng hơn so với trước đây. - HUMAN-FAC1]]</f>
        <v>7</v>
      </c>
      <c r="N265">
        <f t="shared" si="115"/>
        <v>0.66666666666666663</v>
      </c>
      <c r="O265">
        <f>step3_validation[[#This Row],[AI_FAC2]]</f>
        <v>9</v>
      </c>
      <c r="P265">
        <f t="shared" si="116"/>
        <v>0.88888888888888884</v>
      </c>
      <c r="Q265">
        <f>[1]!survey_responses[[#This Row],[So với trước đây, tôi thấy cách tính thuế và các bậc thuế trong phương án mới đơn giản, dễ hiểu và dễ thực hiện hơn. - HUMAN-FAC2]]</f>
        <v>8</v>
      </c>
      <c r="R265">
        <f t="shared" si="117"/>
        <v>0.77777777777777779</v>
      </c>
      <c r="S265" s="32">
        <f t="shared" si="118"/>
        <v>0.83333333333333326</v>
      </c>
      <c r="T265" s="32">
        <f t="shared" si="119"/>
        <v>0.72222222222222221</v>
      </c>
      <c r="U265">
        <f>step3_validation[[#This Row],[AI_TRU1]]</f>
        <v>5</v>
      </c>
      <c r="V265">
        <f t="shared" si="120"/>
        <v>0.44444444444444442</v>
      </c>
      <c r="W265">
        <f>[1]!survey_responses[[#This Row],[Tôi tin rằng Nhà nước, cơ quan thuế sẽ thực thi chính sách mới một cách khách quan, công tâm và đối xử bình đẳng với mọi người nộp thuế.  - HUMAN-TRU1]]</f>
        <v>7</v>
      </c>
      <c r="X265">
        <f t="shared" si="121"/>
        <v>0.66666666666666663</v>
      </c>
      <c r="Y265">
        <f>step3_validation[[#This Row],[AI_TRU2]]</f>
        <v>8</v>
      </c>
      <c r="Z265">
        <f t="shared" si="122"/>
        <v>0.77777777777777779</v>
      </c>
      <c r="AA265">
        <f>[1]!survey_responses[[#This Row],[Tôi thấy mức thuế tôi phải đóng theo phương án mới là công bằng (người thu nhập như tôi đóng mức này là hợp lý). - HUMAN-TRU2]]</f>
        <v>7</v>
      </c>
      <c r="AB265">
        <f t="shared" si="123"/>
        <v>0.66666666666666663</v>
      </c>
      <c r="AC265">
        <f>step3_validation[[#This Row],[AI_TRU3]]</f>
        <v>7</v>
      </c>
      <c r="AD265">
        <f t="shared" si="124"/>
        <v>0.66666666666666663</v>
      </c>
      <c r="AE265">
        <f>[1]!survey_responses[[#This Row],[Tôi tin tưởng số tiền thuế tôi đóng sẽ được Nhà nước sử dụng hiệu quả để cải thiện dịch vụ công (y tế, đường xá...). - HUMAN-TRU3]]</f>
        <v>7</v>
      </c>
      <c r="AF265">
        <f t="shared" si="125"/>
        <v>0.66666666666666663</v>
      </c>
      <c r="AG265">
        <f>step3_validation[[#This Row],[AI_TRU4]]</f>
        <v>6</v>
      </c>
      <c r="AH265">
        <f t="shared" si="126"/>
        <v>0.55555555555555558</v>
      </c>
      <c r="AI265">
        <f>[1]!survey_responses[[#This Row],[Tôi thấy Nhà nước đã giải thích rõ ràng, minh bạch về lý do và mục tiêu của việc sửa đổi thuế lần này. - HUMAN-TRU4]]</f>
        <v>7</v>
      </c>
      <c r="AJ265">
        <f t="shared" si="127"/>
        <v>0.66666666666666663</v>
      </c>
      <c r="AK265" s="32">
        <f t="shared" si="128"/>
        <v>0.61111111111111116</v>
      </c>
      <c r="AL265" s="32">
        <f t="shared" si="129"/>
        <v>0.66666666666666663</v>
      </c>
      <c r="AM265" s="7">
        <f t="shared" si="130"/>
        <v>0.68518518518518512</v>
      </c>
      <c r="AN265" s="7">
        <f t="shared" si="131"/>
        <v>0.68518518518518512</v>
      </c>
      <c r="AO265">
        <f>step3_validation[[#This Row],[AI_OUT1]]</f>
        <v>8</v>
      </c>
      <c r="AP265">
        <f t="shared" si="132"/>
        <v>0.77777777777777779</v>
      </c>
      <c r="AQ265">
        <f>[1]!survey_responses[[#This Row],[Sau khi xem xét các quyền lợi và nghĩa vụ, bạn có ủng hộ và tuân thủ chính sách mới hiện nay? - HUMAN-OUT1]]</f>
        <v>7</v>
      </c>
      <c r="AR265">
        <f t="shared" si="133"/>
        <v>0.66666666666666663</v>
      </c>
      <c r="AS265" s="32">
        <f t="shared" si="134"/>
        <v>1</v>
      </c>
    </row>
    <row r="266" spans="1:45" x14ac:dyDescent="0.45">
      <c r="A266">
        <f>step3_validation[[#This Row],[AI_ENF1]]</f>
        <v>5</v>
      </c>
      <c r="B266">
        <f t="shared" si="108"/>
        <v>0.44444444444444442</v>
      </c>
      <c r="C266">
        <f>[1]!survey_responses[[#This Row],[Tôi tin rằng với các quy định quản lý thuế hiện nay, hành vi gian lận hoặc trốn thuế sẽ dễ dàng bị phát hiện và xử lý nghiêm. - HUMAN-ENF1]]</f>
        <v>6</v>
      </c>
      <c r="D266">
        <f t="shared" si="109"/>
        <v>0.55555555555555558</v>
      </c>
      <c r="E266">
        <f>step3_validation[[#This Row],[AI_ENF2]]</f>
        <v>6</v>
      </c>
      <c r="F266">
        <f t="shared" si="110"/>
        <v>0.55555555555555558</v>
      </c>
      <c r="G266">
        <f>[1]!survey_responses[[#This Row],[Tôi tin rằng Nhà nước, cơ quan thuế có đủ khả năng và công nghệ để phát hiện, xử lý nghiêm các hành vi trốn thuế. - HUMAN-ENF2]]</f>
        <v>5</v>
      </c>
      <c r="H266">
        <f t="shared" si="111"/>
        <v>0.44444444444444442</v>
      </c>
      <c r="I266" s="32">
        <f t="shared" si="112"/>
        <v>0.5</v>
      </c>
      <c r="J266" s="32">
        <f t="shared" si="113"/>
        <v>0.5</v>
      </c>
      <c r="K266">
        <f>step3_validation[[#This Row],[AI_FAC1]]</f>
        <v>8</v>
      </c>
      <c r="L266">
        <f t="shared" si="114"/>
        <v>0.77777777777777779</v>
      </c>
      <c r="M266">
        <f>[1]!survey_responses[[#This Row],[Các thủ tục khai báo thuế VÀ/HOẶC quy trình làm việc với cơ quan thuế đơn giản, tiện lợi, nhanh chóng hơn so với trước đây. - HUMAN-FAC1]]</f>
        <v>5</v>
      </c>
      <c r="N266">
        <f t="shared" si="115"/>
        <v>0.44444444444444442</v>
      </c>
      <c r="O266">
        <f>step3_validation[[#This Row],[AI_FAC2]]</f>
        <v>9</v>
      </c>
      <c r="P266">
        <f t="shared" si="116"/>
        <v>0.88888888888888884</v>
      </c>
      <c r="Q266">
        <f>[1]!survey_responses[[#This Row],[So với trước đây, tôi thấy cách tính thuế và các bậc thuế trong phương án mới đơn giản, dễ hiểu và dễ thực hiện hơn. - HUMAN-FAC2]]</f>
        <v>7</v>
      </c>
      <c r="R266">
        <f t="shared" si="117"/>
        <v>0.66666666666666663</v>
      </c>
      <c r="S266" s="32">
        <f t="shared" si="118"/>
        <v>0.83333333333333326</v>
      </c>
      <c r="T266" s="32">
        <f t="shared" si="119"/>
        <v>0.55555555555555558</v>
      </c>
      <c r="U266">
        <f>step3_validation[[#This Row],[AI_TRU1]]</f>
        <v>7</v>
      </c>
      <c r="V266">
        <f t="shared" si="120"/>
        <v>0.66666666666666663</v>
      </c>
      <c r="W266">
        <f>[1]!survey_responses[[#This Row],[Tôi tin rằng Nhà nước, cơ quan thuế sẽ thực thi chính sách mới một cách khách quan, công tâm và đối xử bình đẳng với mọi người nộp thuế.  - HUMAN-TRU1]]</f>
        <v>6</v>
      </c>
      <c r="X266">
        <f t="shared" si="121"/>
        <v>0.55555555555555558</v>
      </c>
      <c r="Y266">
        <f>step3_validation[[#This Row],[AI_TRU2]]</f>
        <v>8</v>
      </c>
      <c r="Z266">
        <f t="shared" si="122"/>
        <v>0.77777777777777779</v>
      </c>
      <c r="AA266">
        <f>[1]!survey_responses[[#This Row],[Tôi thấy mức thuế tôi phải đóng theo phương án mới là công bằng (người thu nhập như tôi đóng mức này là hợp lý). - HUMAN-TRU2]]</f>
        <v>7</v>
      </c>
      <c r="AB266">
        <f t="shared" si="123"/>
        <v>0.66666666666666663</v>
      </c>
      <c r="AC266">
        <f>step3_validation[[#This Row],[AI_TRU3]]</f>
        <v>7</v>
      </c>
      <c r="AD266">
        <f t="shared" si="124"/>
        <v>0.66666666666666663</v>
      </c>
      <c r="AE266">
        <f>[1]!survey_responses[[#This Row],[Tôi tin tưởng số tiền thuế tôi đóng sẽ được Nhà nước sử dụng hiệu quả để cải thiện dịch vụ công (y tế, đường xá...). - HUMAN-TRU3]]</f>
        <v>5</v>
      </c>
      <c r="AF266">
        <f t="shared" si="125"/>
        <v>0.44444444444444442</v>
      </c>
      <c r="AG266">
        <f>step3_validation[[#This Row],[AI_TRU4]]</f>
        <v>6</v>
      </c>
      <c r="AH266">
        <f t="shared" si="126"/>
        <v>0.55555555555555558</v>
      </c>
      <c r="AI266">
        <f>[1]!survey_responses[[#This Row],[Tôi thấy Nhà nước đã giải thích rõ ràng, minh bạch về lý do và mục tiêu của việc sửa đổi thuế lần này. - HUMAN-TRU4]]</f>
        <v>6</v>
      </c>
      <c r="AJ266">
        <f t="shared" si="127"/>
        <v>0.55555555555555558</v>
      </c>
      <c r="AK266" s="32">
        <f t="shared" si="128"/>
        <v>0.66666666666666674</v>
      </c>
      <c r="AL266" s="32">
        <f t="shared" si="129"/>
        <v>0.55555555555555558</v>
      </c>
      <c r="AM266" s="7">
        <f t="shared" si="130"/>
        <v>0.66666666666666663</v>
      </c>
      <c r="AN266" s="7">
        <f t="shared" si="131"/>
        <v>0.53703703703703709</v>
      </c>
      <c r="AO266">
        <f>step3_validation[[#This Row],[AI_OUT1]]</f>
        <v>7</v>
      </c>
      <c r="AP266">
        <f t="shared" si="132"/>
        <v>0.66666666666666663</v>
      </c>
      <c r="AQ266">
        <f>[1]!survey_responses[[#This Row],[Sau khi xem xét các quyền lợi và nghĩa vụ, bạn có ủng hộ và tuân thủ chính sách mới hiện nay? - HUMAN-OUT1]]</f>
        <v>6</v>
      </c>
      <c r="AR266">
        <f t="shared" si="133"/>
        <v>0.55555555555555558</v>
      </c>
      <c r="AS266" s="32">
        <f t="shared" si="134"/>
        <v>1</v>
      </c>
    </row>
    <row r="267" spans="1:45" x14ac:dyDescent="0.45">
      <c r="A267">
        <f>step3_validation[[#This Row],[AI_ENF1]]</f>
        <v>8</v>
      </c>
      <c r="B267">
        <f t="shared" si="108"/>
        <v>0.77777777777777779</v>
      </c>
      <c r="C267">
        <f>[1]!survey_responses[[#This Row],[Tôi tin rằng với các quy định quản lý thuế hiện nay, hành vi gian lận hoặc trốn thuế sẽ dễ dàng bị phát hiện và xử lý nghiêm. - HUMAN-ENF1]]</f>
        <v>7</v>
      </c>
      <c r="D267">
        <f t="shared" si="109"/>
        <v>0.66666666666666663</v>
      </c>
      <c r="E267">
        <f>step3_validation[[#This Row],[AI_ENF2]]</f>
        <v>9</v>
      </c>
      <c r="F267">
        <f t="shared" si="110"/>
        <v>0.88888888888888884</v>
      </c>
      <c r="G267">
        <f>[1]!survey_responses[[#This Row],[Tôi tin rằng Nhà nước, cơ quan thuế có đủ khả năng và công nghệ để phát hiện, xử lý nghiêm các hành vi trốn thuế. - HUMAN-ENF2]]</f>
        <v>6</v>
      </c>
      <c r="H267">
        <f t="shared" si="111"/>
        <v>0.55555555555555558</v>
      </c>
      <c r="I267" s="32">
        <f t="shared" si="112"/>
        <v>0.83333333333333326</v>
      </c>
      <c r="J267" s="32">
        <f t="shared" si="113"/>
        <v>0.61111111111111116</v>
      </c>
      <c r="K267">
        <f>step3_validation[[#This Row],[AI_FAC1]]</f>
        <v>7</v>
      </c>
      <c r="L267">
        <f t="shared" si="114"/>
        <v>0.66666666666666663</v>
      </c>
      <c r="M267">
        <f>[1]!survey_responses[[#This Row],[Các thủ tục khai báo thuế VÀ/HOẶC quy trình làm việc với cơ quan thuế đơn giản, tiện lợi, nhanh chóng hơn so với trước đây. - HUMAN-FAC1]]</f>
        <v>6</v>
      </c>
      <c r="N267">
        <f t="shared" si="115"/>
        <v>0.55555555555555558</v>
      </c>
      <c r="O267">
        <f>step3_validation[[#This Row],[AI_FAC2]]</f>
        <v>8</v>
      </c>
      <c r="P267">
        <f t="shared" si="116"/>
        <v>0.77777777777777779</v>
      </c>
      <c r="Q267">
        <f>[1]!survey_responses[[#This Row],[So với trước đây, tôi thấy cách tính thuế và các bậc thuế trong phương án mới đơn giản, dễ hiểu và dễ thực hiện hơn. - HUMAN-FAC2]]</f>
        <v>6</v>
      </c>
      <c r="R267">
        <f t="shared" si="117"/>
        <v>0.55555555555555558</v>
      </c>
      <c r="S267" s="32">
        <f t="shared" si="118"/>
        <v>0.72222222222222221</v>
      </c>
      <c r="T267" s="32">
        <f t="shared" si="119"/>
        <v>0.55555555555555558</v>
      </c>
      <c r="U267">
        <f>step3_validation[[#This Row],[AI_TRU1]]</f>
        <v>7</v>
      </c>
      <c r="V267">
        <f t="shared" si="120"/>
        <v>0.66666666666666663</v>
      </c>
      <c r="W267">
        <f>[1]!survey_responses[[#This Row],[Tôi tin rằng Nhà nước, cơ quan thuế sẽ thực thi chính sách mới một cách khách quan, công tâm và đối xử bình đẳng với mọi người nộp thuế.  - HUMAN-TRU1]]</f>
        <v>7</v>
      </c>
      <c r="X267">
        <f t="shared" si="121"/>
        <v>0.66666666666666663</v>
      </c>
      <c r="Y267">
        <f>step3_validation[[#This Row],[AI_TRU2]]</f>
        <v>6</v>
      </c>
      <c r="Z267">
        <f t="shared" si="122"/>
        <v>0.55555555555555558</v>
      </c>
      <c r="AA267">
        <f>[1]!survey_responses[[#This Row],[Tôi thấy mức thuế tôi phải đóng theo phương án mới là công bằng (người thu nhập như tôi đóng mức này là hợp lý). - HUMAN-TRU2]]</f>
        <v>7</v>
      </c>
      <c r="AB267">
        <f t="shared" si="123"/>
        <v>0.66666666666666663</v>
      </c>
      <c r="AC267">
        <f>step3_validation[[#This Row],[AI_TRU3]]</f>
        <v>7</v>
      </c>
      <c r="AD267">
        <f t="shared" si="124"/>
        <v>0.66666666666666663</v>
      </c>
      <c r="AE267">
        <f>[1]!survey_responses[[#This Row],[Tôi tin tưởng số tiền thuế tôi đóng sẽ được Nhà nước sử dụng hiệu quả để cải thiện dịch vụ công (y tế, đường xá...). - HUMAN-TRU3]]</f>
        <v>7</v>
      </c>
      <c r="AF267">
        <f t="shared" si="125"/>
        <v>0.66666666666666663</v>
      </c>
      <c r="AG267">
        <f>step3_validation[[#This Row],[AI_TRU4]]</f>
        <v>6</v>
      </c>
      <c r="AH267">
        <f t="shared" si="126"/>
        <v>0.55555555555555558</v>
      </c>
      <c r="AI267">
        <f>[1]!survey_responses[[#This Row],[Tôi thấy Nhà nước đã giải thích rõ ràng, minh bạch về lý do và mục tiêu của việc sửa đổi thuế lần này. - HUMAN-TRU4]]</f>
        <v>7</v>
      </c>
      <c r="AJ267">
        <f t="shared" si="127"/>
        <v>0.66666666666666663</v>
      </c>
      <c r="AK267" s="32">
        <f t="shared" si="128"/>
        <v>0.61111111111111116</v>
      </c>
      <c r="AL267" s="32">
        <f t="shared" si="129"/>
        <v>0.66666666666666663</v>
      </c>
      <c r="AM267" s="7">
        <f t="shared" si="130"/>
        <v>0.72222222222222221</v>
      </c>
      <c r="AN267" s="7">
        <f t="shared" si="131"/>
        <v>0.61111111111111116</v>
      </c>
      <c r="AO267">
        <f>step3_validation[[#This Row],[AI_OUT1]]</f>
        <v>7</v>
      </c>
      <c r="AP267">
        <f t="shared" si="132"/>
        <v>0.66666666666666663</v>
      </c>
      <c r="AQ267">
        <f>[1]!survey_responses[[#This Row],[Sau khi xem xét các quyền lợi và nghĩa vụ, bạn có ủng hộ và tuân thủ chính sách mới hiện nay? - HUMAN-OUT1]]</f>
        <v>7</v>
      </c>
      <c r="AR267">
        <f t="shared" si="133"/>
        <v>0.66666666666666663</v>
      </c>
      <c r="AS267" s="32">
        <f t="shared" si="134"/>
        <v>0</v>
      </c>
    </row>
    <row r="268" spans="1:45" x14ac:dyDescent="0.45">
      <c r="A268">
        <f>step3_validation[[#This Row],[AI_ENF1]]</f>
        <v>7</v>
      </c>
      <c r="B268">
        <f t="shared" si="108"/>
        <v>0.66666666666666663</v>
      </c>
      <c r="C268">
        <f>[1]!survey_responses[[#This Row],[Tôi tin rằng với các quy định quản lý thuế hiện nay, hành vi gian lận hoặc trốn thuế sẽ dễ dàng bị phát hiện và xử lý nghiêm. - HUMAN-ENF1]]</f>
        <v>6</v>
      </c>
      <c r="D268">
        <f t="shared" si="109"/>
        <v>0.55555555555555558</v>
      </c>
      <c r="E268">
        <f>step3_validation[[#This Row],[AI_ENF2]]</f>
        <v>8</v>
      </c>
      <c r="F268">
        <f t="shared" si="110"/>
        <v>0.77777777777777779</v>
      </c>
      <c r="G268">
        <f>[1]!survey_responses[[#This Row],[Tôi tin rằng Nhà nước, cơ quan thuế có đủ khả năng và công nghệ để phát hiện, xử lý nghiêm các hành vi trốn thuế. - HUMAN-ENF2]]</f>
        <v>7</v>
      </c>
      <c r="H268">
        <f t="shared" si="111"/>
        <v>0.66666666666666663</v>
      </c>
      <c r="I268" s="32">
        <f t="shared" si="112"/>
        <v>0.72222222222222221</v>
      </c>
      <c r="J268" s="32">
        <f t="shared" si="113"/>
        <v>0.61111111111111116</v>
      </c>
      <c r="K268">
        <f>step3_validation[[#This Row],[AI_FAC1]]</f>
        <v>6</v>
      </c>
      <c r="L268">
        <f t="shared" si="114"/>
        <v>0.55555555555555558</v>
      </c>
      <c r="M268">
        <f>[1]!survey_responses[[#This Row],[Các thủ tục khai báo thuế VÀ/HOẶC quy trình làm việc với cơ quan thuế đơn giản, tiện lợi, nhanh chóng hơn so với trước đây. - HUMAN-FAC1]]</f>
        <v>7</v>
      </c>
      <c r="N268">
        <f t="shared" si="115"/>
        <v>0.66666666666666663</v>
      </c>
      <c r="O268">
        <f>step3_validation[[#This Row],[AI_FAC2]]</f>
        <v>9</v>
      </c>
      <c r="P268">
        <f t="shared" si="116"/>
        <v>0.88888888888888884</v>
      </c>
      <c r="Q268">
        <f>[1]!survey_responses[[#This Row],[So với trước đây, tôi thấy cách tính thuế và các bậc thuế trong phương án mới đơn giản, dễ hiểu và dễ thực hiện hơn. - HUMAN-FAC2]]</f>
        <v>6</v>
      </c>
      <c r="R268">
        <f t="shared" si="117"/>
        <v>0.55555555555555558</v>
      </c>
      <c r="S268" s="32">
        <f t="shared" si="118"/>
        <v>0.72222222222222221</v>
      </c>
      <c r="T268" s="32">
        <f t="shared" si="119"/>
        <v>0.61111111111111116</v>
      </c>
      <c r="U268">
        <f>step3_validation[[#This Row],[AI_TRU1]]</f>
        <v>7</v>
      </c>
      <c r="V268">
        <f t="shared" si="120"/>
        <v>0.66666666666666663</v>
      </c>
      <c r="W268">
        <f>[1]!survey_responses[[#This Row],[Tôi tin rằng Nhà nước, cơ quan thuế sẽ thực thi chính sách mới một cách khách quan, công tâm và đối xử bình đẳng với mọi người nộp thuế.  - HUMAN-TRU1]]</f>
        <v>6</v>
      </c>
      <c r="X268">
        <f t="shared" si="121"/>
        <v>0.55555555555555558</v>
      </c>
      <c r="Y268">
        <f>step3_validation[[#This Row],[AI_TRU2]]</f>
        <v>8</v>
      </c>
      <c r="Z268">
        <f t="shared" si="122"/>
        <v>0.77777777777777779</v>
      </c>
      <c r="AA268">
        <f>[1]!survey_responses[[#This Row],[Tôi thấy mức thuế tôi phải đóng theo phương án mới là công bằng (người thu nhập như tôi đóng mức này là hợp lý). - HUMAN-TRU2]]</f>
        <v>6</v>
      </c>
      <c r="AB268">
        <f t="shared" si="123"/>
        <v>0.55555555555555558</v>
      </c>
      <c r="AC268">
        <f>step3_validation[[#This Row],[AI_TRU3]]</f>
        <v>6</v>
      </c>
      <c r="AD268">
        <f t="shared" si="124"/>
        <v>0.55555555555555558</v>
      </c>
      <c r="AE268">
        <f>[1]!survey_responses[[#This Row],[Tôi tin tưởng số tiền thuế tôi đóng sẽ được Nhà nước sử dụng hiệu quả để cải thiện dịch vụ công (y tế, đường xá...). - HUMAN-TRU3]]</f>
        <v>6</v>
      </c>
      <c r="AF268">
        <f t="shared" si="125"/>
        <v>0.55555555555555558</v>
      </c>
      <c r="AG268">
        <f>step3_validation[[#This Row],[AI_TRU4]]</f>
        <v>7</v>
      </c>
      <c r="AH268">
        <f t="shared" si="126"/>
        <v>0.66666666666666663</v>
      </c>
      <c r="AI268">
        <f>[1]!survey_responses[[#This Row],[Tôi thấy Nhà nước đã giải thích rõ ràng, minh bạch về lý do và mục tiêu của việc sửa đổi thuế lần này. - HUMAN-TRU4]]</f>
        <v>7</v>
      </c>
      <c r="AJ268">
        <f t="shared" si="127"/>
        <v>0.66666666666666663</v>
      </c>
      <c r="AK268" s="32">
        <f t="shared" si="128"/>
        <v>0.66666666666666663</v>
      </c>
      <c r="AL268" s="32">
        <f t="shared" si="129"/>
        <v>0.58333333333333337</v>
      </c>
      <c r="AM268" s="7">
        <f t="shared" si="130"/>
        <v>0.70370370370370372</v>
      </c>
      <c r="AN268" s="7">
        <f t="shared" si="131"/>
        <v>0.60185185185185197</v>
      </c>
      <c r="AO268">
        <f>step3_validation[[#This Row],[AI_OUT1]]</f>
        <v>9</v>
      </c>
      <c r="AP268">
        <f t="shared" si="132"/>
        <v>0.88888888888888884</v>
      </c>
      <c r="AQ268">
        <f>[1]!survey_responses[[#This Row],[Sau khi xem xét các quyền lợi và nghĩa vụ, bạn có ủng hộ và tuân thủ chính sách mới hiện nay? - HUMAN-OUT1]]</f>
        <v>7</v>
      </c>
      <c r="AR268">
        <f t="shared" si="133"/>
        <v>0.66666666666666663</v>
      </c>
      <c r="AS268" s="32">
        <f t="shared" si="134"/>
        <v>2</v>
      </c>
    </row>
    <row r="269" spans="1:45" x14ac:dyDescent="0.45">
      <c r="A269">
        <f>step3_validation[[#This Row],[AI_ENF1]]</f>
        <v>8</v>
      </c>
      <c r="B269">
        <f t="shared" si="108"/>
        <v>0.77777777777777779</v>
      </c>
      <c r="C269">
        <f>[1]!survey_responses[[#This Row],[Tôi tin rằng với các quy định quản lý thuế hiện nay, hành vi gian lận hoặc trốn thuế sẽ dễ dàng bị phát hiện và xử lý nghiêm. - HUMAN-ENF1]]</f>
        <v>7</v>
      </c>
      <c r="D269">
        <f t="shared" si="109"/>
        <v>0.66666666666666663</v>
      </c>
      <c r="E269">
        <f>step3_validation[[#This Row],[AI_ENF2]]</f>
        <v>9</v>
      </c>
      <c r="F269">
        <f t="shared" si="110"/>
        <v>0.88888888888888884</v>
      </c>
      <c r="G269">
        <f>[1]!survey_responses[[#This Row],[Tôi tin rằng Nhà nước, cơ quan thuế có đủ khả năng và công nghệ để phát hiện, xử lý nghiêm các hành vi trốn thuế. - HUMAN-ENF2]]</f>
        <v>7</v>
      </c>
      <c r="H269">
        <f t="shared" si="111"/>
        <v>0.66666666666666663</v>
      </c>
      <c r="I269" s="32">
        <f t="shared" si="112"/>
        <v>0.83333333333333326</v>
      </c>
      <c r="J269" s="32">
        <f t="shared" si="113"/>
        <v>0.66666666666666663</v>
      </c>
      <c r="K269">
        <f>step3_validation[[#This Row],[AI_FAC1]]</f>
        <v>7</v>
      </c>
      <c r="L269">
        <f t="shared" si="114"/>
        <v>0.66666666666666663</v>
      </c>
      <c r="M269">
        <f>[1]!survey_responses[[#This Row],[Các thủ tục khai báo thuế VÀ/HOẶC quy trình làm việc với cơ quan thuế đơn giản, tiện lợi, nhanh chóng hơn so với trước đây. - HUMAN-FAC1]]</f>
        <v>2</v>
      </c>
      <c r="N269">
        <f t="shared" si="115"/>
        <v>0.1111111111111111</v>
      </c>
      <c r="O269">
        <f>step3_validation[[#This Row],[AI_FAC2]]</f>
        <v>8</v>
      </c>
      <c r="P269">
        <f t="shared" si="116"/>
        <v>0.77777777777777779</v>
      </c>
      <c r="Q269">
        <f>[1]!survey_responses[[#This Row],[So với trước đây, tôi thấy cách tính thuế và các bậc thuế trong phương án mới đơn giản, dễ hiểu và dễ thực hiện hơn. - HUMAN-FAC2]]</f>
        <v>7</v>
      </c>
      <c r="R269">
        <f t="shared" si="117"/>
        <v>0.66666666666666663</v>
      </c>
      <c r="S269" s="32">
        <f t="shared" si="118"/>
        <v>0.72222222222222221</v>
      </c>
      <c r="T269" s="32">
        <f t="shared" si="119"/>
        <v>0.38888888888888884</v>
      </c>
      <c r="U269">
        <f>step3_validation[[#This Row],[AI_TRU1]]</f>
        <v>7</v>
      </c>
      <c r="V269">
        <f t="shared" si="120"/>
        <v>0.66666666666666663</v>
      </c>
      <c r="W269">
        <f>[1]!survey_responses[[#This Row],[Tôi tin rằng Nhà nước, cơ quan thuế sẽ thực thi chính sách mới một cách khách quan, công tâm và đối xử bình đẳng với mọi người nộp thuế.  - HUMAN-TRU1]]</f>
        <v>7</v>
      </c>
      <c r="X269">
        <f t="shared" si="121"/>
        <v>0.66666666666666663</v>
      </c>
      <c r="Y269">
        <f>step3_validation[[#This Row],[AI_TRU2]]</f>
        <v>6</v>
      </c>
      <c r="Z269">
        <f t="shared" si="122"/>
        <v>0.55555555555555558</v>
      </c>
      <c r="AA269">
        <f>[1]!survey_responses[[#This Row],[Tôi thấy mức thuế tôi phải đóng theo phương án mới là công bằng (người thu nhập như tôi đóng mức này là hợp lý). - HUMAN-TRU2]]</f>
        <v>7</v>
      </c>
      <c r="AB269">
        <f t="shared" si="123"/>
        <v>0.66666666666666663</v>
      </c>
      <c r="AC269">
        <f>step3_validation[[#This Row],[AI_TRU3]]</f>
        <v>5</v>
      </c>
      <c r="AD269">
        <f t="shared" si="124"/>
        <v>0.44444444444444442</v>
      </c>
      <c r="AE269">
        <f>[1]!survey_responses[[#This Row],[Tôi tin tưởng số tiền thuế tôi đóng sẽ được Nhà nước sử dụng hiệu quả để cải thiện dịch vụ công (y tế, đường xá...). - HUMAN-TRU3]]</f>
        <v>7</v>
      </c>
      <c r="AF269">
        <f t="shared" si="125"/>
        <v>0.66666666666666663</v>
      </c>
      <c r="AG269">
        <f>step3_validation[[#This Row],[AI_TRU4]]</f>
        <v>4</v>
      </c>
      <c r="AH269">
        <f t="shared" si="126"/>
        <v>0.33333333333333331</v>
      </c>
      <c r="AI269">
        <f>[1]!survey_responses[[#This Row],[Tôi thấy Nhà nước đã giải thích rõ ràng, minh bạch về lý do và mục tiêu của việc sửa đổi thuế lần này. - HUMAN-TRU4]]</f>
        <v>7</v>
      </c>
      <c r="AJ269">
        <f t="shared" si="127"/>
        <v>0.66666666666666663</v>
      </c>
      <c r="AK269" s="32">
        <f t="shared" si="128"/>
        <v>0.5</v>
      </c>
      <c r="AL269" s="32">
        <f t="shared" si="129"/>
        <v>0.66666666666666663</v>
      </c>
      <c r="AM269" s="7">
        <f t="shared" si="130"/>
        <v>0.68518518518518512</v>
      </c>
      <c r="AN269" s="7">
        <f t="shared" si="131"/>
        <v>0.57407407407407396</v>
      </c>
      <c r="AO269">
        <f>step3_validation[[#This Row],[AI_OUT1]]</f>
        <v>7</v>
      </c>
      <c r="AP269">
        <f t="shared" si="132"/>
        <v>0.66666666666666663</v>
      </c>
      <c r="AQ269">
        <f>[1]!survey_responses[[#This Row],[Sau khi xem xét các quyền lợi và nghĩa vụ, bạn có ủng hộ và tuân thủ chính sách mới hiện nay? - HUMAN-OUT1]]</f>
        <v>7</v>
      </c>
      <c r="AR269">
        <f t="shared" si="133"/>
        <v>0.66666666666666663</v>
      </c>
      <c r="AS269" s="32">
        <f t="shared" si="134"/>
        <v>0</v>
      </c>
    </row>
    <row r="270" spans="1:45" x14ac:dyDescent="0.45">
      <c r="A270">
        <f>step3_validation[[#This Row],[AI_ENF1]]</f>
        <v>7</v>
      </c>
      <c r="B270">
        <f t="shared" si="108"/>
        <v>0.66666666666666663</v>
      </c>
      <c r="C270">
        <f>[1]!survey_responses[[#This Row],[Tôi tin rằng với các quy định quản lý thuế hiện nay, hành vi gian lận hoặc trốn thuế sẽ dễ dàng bị phát hiện và xử lý nghiêm. - HUMAN-ENF1]]</f>
        <v>4</v>
      </c>
      <c r="D270">
        <f t="shared" si="109"/>
        <v>0.33333333333333331</v>
      </c>
      <c r="E270">
        <f>step3_validation[[#This Row],[AI_ENF2]]</f>
        <v>6</v>
      </c>
      <c r="F270">
        <f t="shared" si="110"/>
        <v>0.55555555555555558</v>
      </c>
      <c r="G270">
        <f>[1]!survey_responses[[#This Row],[Tôi tin rằng Nhà nước, cơ quan thuế có đủ khả năng và công nghệ để phát hiện, xử lý nghiêm các hành vi trốn thuế. - HUMAN-ENF2]]</f>
        <v>5</v>
      </c>
      <c r="H270">
        <f t="shared" si="111"/>
        <v>0.44444444444444442</v>
      </c>
      <c r="I270" s="32">
        <f t="shared" si="112"/>
        <v>0.61111111111111116</v>
      </c>
      <c r="J270" s="32">
        <f t="shared" si="113"/>
        <v>0.38888888888888884</v>
      </c>
      <c r="K270">
        <f>step3_validation[[#This Row],[AI_FAC1]]</f>
        <v>8</v>
      </c>
      <c r="L270">
        <f t="shared" si="114"/>
        <v>0.77777777777777779</v>
      </c>
      <c r="M270">
        <f>[1]!survey_responses[[#This Row],[Các thủ tục khai báo thuế VÀ/HOẶC quy trình làm việc với cơ quan thuế đơn giản, tiện lợi, nhanh chóng hơn so với trước đây. - HUMAN-FAC1]]</f>
        <v>2</v>
      </c>
      <c r="N270">
        <f t="shared" si="115"/>
        <v>0.1111111111111111</v>
      </c>
      <c r="O270">
        <f>step3_validation[[#This Row],[AI_FAC2]]</f>
        <v>7</v>
      </c>
      <c r="P270">
        <f t="shared" si="116"/>
        <v>0.66666666666666663</v>
      </c>
      <c r="Q270">
        <f>[1]!survey_responses[[#This Row],[So với trước đây, tôi thấy cách tính thuế và các bậc thuế trong phương án mới đơn giản, dễ hiểu và dễ thực hiện hơn. - HUMAN-FAC2]]</f>
        <v>6</v>
      </c>
      <c r="R270">
        <f t="shared" si="117"/>
        <v>0.55555555555555558</v>
      </c>
      <c r="S270" s="32">
        <f t="shared" si="118"/>
        <v>0.72222222222222221</v>
      </c>
      <c r="T270" s="32">
        <f t="shared" si="119"/>
        <v>0.33333333333333337</v>
      </c>
      <c r="U270">
        <f>step3_validation[[#This Row],[AI_TRU1]]</f>
        <v>6</v>
      </c>
      <c r="V270">
        <f t="shared" si="120"/>
        <v>0.55555555555555558</v>
      </c>
      <c r="W270">
        <f>[1]!survey_responses[[#This Row],[Tôi tin rằng Nhà nước, cơ quan thuế sẽ thực thi chính sách mới một cách khách quan, công tâm và đối xử bình đẳng với mọi người nộp thuế.  - HUMAN-TRU1]]</f>
        <v>3</v>
      </c>
      <c r="X270">
        <f t="shared" si="121"/>
        <v>0.22222222222222221</v>
      </c>
      <c r="Y270">
        <f>step3_validation[[#This Row],[AI_TRU2]]</f>
        <v>5</v>
      </c>
      <c r="Z270">
        <f t="shared" si="122"/>
        <v>0.44444444444444442</v>
      </c>
      <c r="AA270">
        <f>[1]!survey_responses[[#This Row],[Tôi thấy mức thuế tôi phải đóng theo phương án mới là công bằng (người thu nhập như tôi đóng mức này là hợp lý). - HUMAN-TRU2]]</f>
        <v>3</v>
      </c>
      <c r="AB270">
        <f t="shared" si="123"/>
        <v>0.22222222222222221</v>
      </c>
      <c r="AC270">
        <f>step3_validation[[#This Row],[AI_TRU3]]</f>
        <v>4</v>
      </c>
      <c r="AD270">
        <f t="shared" si="124"/>
        <v>0.33333333333333331</v>
      </c>
      <c r="AE270">
        <f>[1]!survey_responses[[#This Row],[Tôi tin tưởng số tiền thuế tôi đóng sẽ được Nhà nước sử dụng hiệu quả để cải thiện dịch vụ công (y tế, đường xá...). - HUMAN-TRU3]]</f>
        <v>1</v>
      </c>
      <c r="AF270">
        <f t="shared" si="125"/>
        <v>0</v>
      </c>
      <c r="AG270">
        <f>step3_validation[[#This Row],[AI_TRU4]]</f>
        <v>5</v>
      </c>
      <c r="AH270">
        <f t="shared" si="126"/>
        <v>0.44444444444444442</v>
      </c>
      <c r="AI270">
        <f>[1]!survey_responses[[#This Row],[Tôi thấy Nhà nước đã giải thích rõ ràng, minh bạch về lý do và mục tiêu của việc sửa đổi thuế lần này. - HUMAN-TRU4]]</f>
        <v>3</v>
      </c>
      <c r="AJ270">
        <f t="shared" si="127"/>
        <v>0.22222222222222221</v>
      </c>
      <c r="AK270" s="32">
        <f t="shared" si="128"/>
        <v>0.44444444444444442</v>
      </c>
      <c r="AL270" s="32">
        <f t="shared" si="129"/>
        <v>0.16666666666666666</v>
      </c>
      <c r="AM270" s="7">
        <f t="shared" si="130"/>
        <v>0.59259259259259267</v>
      </c>
      <c r="AN270" s="7">
        <f t="shared" si="131"/>
        <v>0.29629629629629628</v>
      </c>
      <c r="AO270">
        <f>step3_validation[[#This Row],[AI_OUT1]]</f>
        <v>6</v>
      </c>
      <c r="AP270">
        <f t="shared" si="132"/>
        <v>0.55555555555555558</v>
      </c>
      <c r="AQ270">
        <f>[1]!survey_responses[[#This Row],[Sau khi xem xét các quyền lợi và nghĩa vụ, bạn có ủng hộ và tuân thủ chính sách mới hiện nay? - HUMAN-OUT1]]</f>
        <v>1</v>
      </c>
      <c r="AR270">
        <f t="shared" si="133"/>
        <v>0</v>
      </c>
      <c r="AS270" s="32">
        <f t="shared" si="134"/>
        <v>5</v>
      </c>
    </row>
    <row r="271" spans="1:45" x14ac:dyDescent="0.45">
      <c r="A271">
        <f>step3_validation[[#This Row],[AI_ENF1]]</f>
        <v>8</v>
      </c>
      <c r="B271">
        <f t="shared" si="108"/>
        <v>0.77777777777777779</v>
      </c>
      <c r="C271">
        <f>[1]!survey_responses[[#This Row],[Tôi tin rằng với các quy định quản lý thuế hiện nay, hành vi gian lận hoặc trốn thuế sẽ dễ dàng bị phát hiện và xử lý nghiêm. - HUMAN-ENF1]]</f>
        <v>8</v>
      </c>
      <c r="D271">
        <f t="shared" si="109"/>
        <v>0.77777777777777779</v>
      </c>
      <c r="E271">
        <f>step3_validation[[#This Row],[AI_ENF2]]</f>
        <v>7</v>
      </c>
      <c r="F271">
        <f t="shared" si="110"/>
        <v>0.66666666666666663</v>
      </c>
      <c r="G271">
        <f>[1]!survey_responses[[#This Row],[Tôi tin rằng Nhà nước, cơ quan thuế có đủ khả năng và công nghệ để phát hiện, xử lý nghiêm các hành vi trốn thuế. - HUMAN-ENF2]]</f>
        <v>8</v>
      </c>
      <c r="H271">
        <f t="shared" si="111"/>
        <v>0.77777777777777779</v>
      </c>
      <c r="I271" s="32">
        <f t="shared" si="112"/>
        <v>0.72222222222222221</v>
      </c>
      <c r="J271" s="32">
        <f t="shared" si="113"/>
        <v>0.77777777777777779</v>
      </c>
      <c r="K271">
        <f>step3_validation[[#This Row],[AI_FAC1]]</f>
        <v>9</v>
      </c>
      <c r="L271">
        <f t="shared" si="114"/>
        <v>0.88888888888888884</v>
      </c>
      <c r="M271">
        <f>[1]!survey_responses[[#This Row],[Các thủ tục khai báo thuế VÀ/HOẶC quy trình làm việc với cơ quan thuế đơn giản, tiện lợi, nhanh chóng hơn so với trước đây. - HUMAN-FAC1]]</f>
        <v>3</v>
      </c>
      <c r="N271">
        <f t="shared" si="115"/>
        <v>0.22222222222222221</v>
      </c>
      <c r="O271">
        <f>step3_validation[[#This Row],[AI_FAC2]]</f>
        <v>8</v>
      </c>
      <c r="P271">
        <f t="shared" si="116"/>
        <v>0.77777777777777779</v>
      </c>
      <c r="Q271">
        <f>[1]!survey_responses[[#This Row],[So với trước đây, tôi thấy cách tính thuế và các bậc thuế trong phương án mới đơn giản, dễ hiểu và dễ thực hiện hơn. - HUMAN-FAC2]]</f>
        <v>8</v>
      </c>
      <c r="R271">
        <f t="shared" si="117"/>
        <v>0.77777777777777779</v>
      </c>
      <c r="S271" s="32">
        <f t="shared" si="118"/>
        <v>0.83333333333333326</v>
      </c>
      <c r="T271" s="32">
        <f t="shared" si="119"/>
        <v>0.5</v>
      </c>
      <c r="U271">
        <f>step3_validation[[#This Row],[AI_TRU1]]</f>
        <v>7</v>
      </c>
      <c r="V271">
        <f t="shared" si="120"/>
        <v>0.66666666666666663</v>
      </c>
      <c r="W271">
        <f>[1]!survey_responses[[#This Row],[Tôi tin rằng Nhà nước, cơ quan thuế sẽ thực thi chính sách mới một cách khách quan, công tâm và đối xử bình đẳng với mọi người nộp thuế.  - HUMAN-TRU1]]</f>
        <v>3</v>
      </c>
      <c r="X271">
        <f t="shared" si="121"/>
        <v>0.22222222222222221</v>
      </c>
      <c r="Y271">
        <f>step3_validation[[#This Row],[AI_TRU2]]</f>
        <v>6</v>
      </c>
      <c r="Z271">
        <f t="shared" si="122"/>
        <v>0.55555555555555558</v>
      </c>
      <c r="AA271">
        <f>[1]!survey_responses[[#This Row],[Tôi thấy mức thuế tôi phải đóng theo phương án mới là công bằng (người thu nhập như tôi đóng mức này là hợp lý). - HUMAN-TRU2]]</f>
        <v>1</v>
      </c>
      <c r="AB271">
        <f t="shared" si="123"/>
        <v>0</v>
      </c>
      <c r="AC271">
        <f>step3_validation[[#This Row],[AI_TRU3]]</f>
        <v>5</v>
      </c>
      <c r="AD271">
        <f t="shared" si="124"/>
        <v>0.44444444444444442</v>
      </c>
      <c r="AE271">
        <f>[1]!survey_responses[[#This Row],[Tôi tin tưởng số tiền thuế tôi đóng sẽ được Nhà nước sử dụng hiệu quả để cải thiện dịch vụ công (y tế, đường xá...). - HUMAN-TRU3]]</f>
        <v>8</v>
      </c>
      <c r="AF271">
        <f t="shared" si="125"/>
        <v>0.77777777777777779</v>
      </c>
      <c r="AG271">
        <f>step3_validation[[#This Row],[AI_TRU4]]</f>
        <v>6</v>
      </c>
      <c r="AH271">
        <f t="shared" si="126"/>
        <v>0.55555555555555558</v>
      </c>
      <c r="AI271">
        <f>[1]!survey_responses[[#This Row],[Tôi thấy Nhà nước đã giải thích rõ ràng, minh bạch về lý do và mục tiêu của việc sửa đổi thuế lần này. - HUMAN-TRU4]]</f>
        <v>6</v>
      </c>
      <c r="AJ271">
        <f t="shared" si="127"/>
        <v>0.55555555555555558</v>
      </c>
      <c r="AK271" s="32">
        <f t="shared" si="128"/>
        <v>0.55555555555555558</v>
      </c>
      <c r="AL271" s="32">
        <f t="shared" si="129"/>
        <v>0.3888888888888889</v>
      </c>
      <c r="AM271" s="7">
        <f t="shared" si="130"/>
        <v>0.70370370370370361</v>
      </c>
      <c r="AN271" s="7">
        <f t="shared" si="131"/>
        <v>0.55555555555555547</v>
      </c>
      <c r="AO271">
        <f>step3_validation[[#This Row],[AI_OUT1]]</f>
        <v>7</v>
      </c>
      <c r="AP271">
        <f t="shared" si="132"/>
        <v>0.66666666666666663</v>
      </c>
      <c r="AQ271">
        <f>[1]!survey_responses[[#This Row],[Sau khi xem xét các quyền lợi và nghĩa vụ, bạn có ủng hộ và tuân thủ chính sách mới hiện nay? - HUMAN-OUT1]]</f>
        <v>7</v>
      </c>
      <c r="AR271">
        <f t="shared" si="133"/>
        <v>0.66666666666666663</v>
      </c>
      <c r="AS271" s="32">
        <f t="shared" si="134"/>
        <v>0</v>
      </c>
    </row>
    <row r="272" spans="1:45" x14ac:dyDescent="0.45">
      <c r="A272">
        <f>step3_validation[[#This Row],[AI_ENF1]]</f>
        <v>7</v>
      </c>
      <c r="B272">
        <f t="shared" si="108"/>
        <v>0.66666666666666663</v>
      </c>
      <c r="C272">
        <f>[1]!survey_responses[[#This Row],[Tôi tin rằng với các quy định quản lý thuế hiện nay, hành vi gian lận hoặc trốn thuế sẽ dễ dàng bị phát hiện và xử lý nghiêm. - HUMAN-ENF1]]</f>
        <v>7</v>
      </c>
      <c r="D272">
        <f t="shared" si="109"/>
        <v>0.66666666666666663</v>
      </c>
      <c r="E272">
        <f>step3_validation[[#This Row],[AI_ENF2]]</f>
        <v>8</v>
      </c>
      <c r="F272">
        <f t="shared" si="110"/>
        <v>0.77777777777777779</v>
      </c>
      <c r="G272">
        <f>[1]!survey_responses[[#This Row],[Tôi tin rằng Nhà nước, cơ quan thuế có đủ khả năng và công nghệ để phát hiện, xử lý nghiêm các hành vi trốn thuế. - HUMAN-ENF2]]</f>
        <v>7</v>
      </c>
      <c r="H272">
        <f t="shared" si="111"/>
        <v>0.66666666666666663</v>
      </c>
      <c r="I272" s="32">
        <f t="shared" si="112"/>
        <v>0.72222222222222221</v>
      </c>
      <c r="J272" s="32">
        <f t="shared" si="113"/>
        <v>0.66666666666666663</v>
      </c>
      <c r="K272">
        <f>step3_validation[[#This Row],[AI_FAC1]]</f>
        <v>9</v>
      </c>
      <c r="L272">
        <f t="shared" si="114"/>
        <v>0.88888888888888884</v>
      </c>
      <c r="M272">
        <f>[1]!survey_responses[[#This Row],[Các thủ tục khai báo thuế VÀ/HOẶC quy trình làm việc với cơ quan thuế đơn giản, tiện lợi, nhanh chóng hơn so với trước đây. - HUMAN-FAC1]]</f>
        <v>4</v>
      </c>
      <c r="N272">
        <f t="shared" si="115"/>
        <v>0.33333333333333331</v>
      </c>
      <c r="O272">
        <f>step3_validation[[#This Row],[AI_FAC2]]</f>
        <v>8</v>
      </c>
      <c r="P272">
        <f t="shared" si="116"/>
        <v>0.77777777777777779</v>
      </c>
      <c r="Q272">
        <f>[1]!survey_responses[[#This Row],[So với trước đây, tôi thấy cách tính thuế và các bậc thuế trong phương án mới đơn giản, dễ hiểu và dễ thực hiện hơn. - HUMAN-FAC2]]</f>
        <v>7</v>
      </c>
      <c r="R272">
        <f t="shared" si="117"/>
        <v>0.66666666666666663</v>
      </c>
      <c r="S272" s="32">
        <f t="shared" si="118"/>
        <v>0.83333333333333326</v>
      </c>
      <c r="T272" s="32">
        <f t="shared" si="119"/>
        <v>0.5</v>
      </c>
      <c r="U272">
        <f>step3_validation[[#This Row],[AI_TRU1]]</f>
        <v>7</v>
      </c>
      <c r="V272">
        <f t="shared" si="120"/>
        <v>0.66666666666666663</v>
      </c>
      <c r="W272">
        <f>[1]!survey_responses[[#This Row],[Tôi tin rằng Nhà nước, cơ quan thuế sẽ thực thi chính sách mới một cách khách quan, công tâm và đối xử bình đẳng với mọi người nộp thuế.  - HUMAN-TRU1]]</f>
        <v>7</v>
      </c>
      <c r="X272">
        <f t="shared" si="121"/>
        <v>0.66666666666666663</v>
      </c>
      <c r="Y272">
        <f>step3_validation[[#This Row],[AI_TRU2]]</f>
        <v>8</v>
      </c>
      <c r="Z272">
        <f t="shared" si="122"/>
        <v>0.77777777777777779</v>
      </c>
      <c r="AA272">
        <f>[1]!survey_responses[[#This Row],[Tôi thấy mức thuế tôi phải đóng theo phương án mới là công bằng (người thu nhập như tôi đóng mức này là hợp lý). - HUMAN-TRU2]]</f>
        <v>6</v>
      </c>
      <c r="AB272">
        <f t="shared" si="123"/>
        <v>0.55555555555555558</v>
      </c>
      <c r="AC272">
        <f>step3_validation[[#This Row],[AI_TRU3]]</f>
        <v>6</v>
      </c>
      <c r="AD272">
        <f t="shared" si="124"/>
        <v>0.55555555555555558</v>
      </c>
      <c r="AE272">
        <f>[1]!survey_responses[[#This Row],[Tôi tin tưởng số tiền thuế tôi đóng sẽ được Nhà nước sử dụng hiệu quả để cải thiện dịch vụ công (y tế, đường xá...). - HUMAN-TRU3]]</f>
        <v>5</v>
      </c>
      <c r="AF272">
        <f t="shared" si="125"/>
        <v>0.44444444444444442</v>
      </c>
      <c r="AG272">
        <f>step3_validation[[#This Row],[AI_TRU4]]</f>
        <v>7</v>
      </c>
      <c r="AH272">
        <f t="shared" si="126"/>
        <v>0.66666666666666663</v>
      </c>
      <c r="AI272">
        <f>[1]!survey_responses[[#This Row],[Tôi thấy Nhà nước đã giải thích rõ ràng, minh bạch về lý do và mục tiêu của việc sửa đổi thuế lần này. - HUMAN-TRU4]]</f>
        <v>7</v>
      </c>
      <c r="AJ272">
        <f t="shared" si="127"/>
        <v>0.66666666666666663</v>
      </c>
      <c r="AK272" s="32">
        <f t="shared" si="128"/>
        <v>0.66666666666666663</v>
      </c>
      <c r="AL272" s="32">
        <f t="shared" si="129"/>
        <v>0.58333333333333337</v>
      </c>
      <c r="AM272" s="7">
        <f t="shared" si="130"/>
        <v>0.74074074074074059</v>
      </c>
      <c r="AN272" s="7">
        <f t="shared" si="131"/>
        <v>0.58333333333333337</v>
      </c>
      <c r="AO272">
        <f>step3_validation[[#This Row],[AI_OUT1]]</f>
        <v>8</v>
      </c>
      <c r="AP272">
        <f t="shared" si="132"/>
        <v>0.77777777777777779</v>
      </c>
      <c r="AQ272">
        <f>[1]!survey_responses[[#This Row],[Sau khi xem xét các quyền lợi và nghĩa vụ, bạn có ủng hộ và tuân thủ chính sách mới hiện nay? - HUMAN-OUT1]]</f>
        <v>6</v>
      </c>
      <c r="AR272">
        <f t="shared" si="133"/>
        <v>0.55555555555555558</v>
      </c>
      <c r="AS272" s="32">
        <f t="shared" si="134"/>
        <v>2</v>
      </c>
    </row>
    <row r="273" spans="1:45" x14ac:dyDescent="0.45">
      <c r="A273">
        <f>step3_validation[[#This Row],[AI_ENF1]]</f>
        <v>6</v>
      </c>
      <c r="B273">
        <f t="shared" si="108"/>
        <v>0.55555555555555558</v>
      </c>
      <c r="C273">
        <f>[1]!survey_responses[[#This Row],[Tôi tin rằng với các quy định quản lý thuế hiện nay, hành vi gian lận hoặc trốn thuế sẽ dễ dàng bị phát hiện và xử lý nghiêm. - HUMAN-ENF1]]</f>
        <v>7</v>
      </c>
      <c r="D273">
        <f t="shared" si="109"/>
        <v>0.66666666666666663</v>
      </c>
      <c r="E273">
        <f>step3_validation[[#This Row],[AI_ENF2]]</f>
        <v>7</v>
      </c>
      <c r="F273">
        <f t="shared" si="110"/>
        <v>0.66666666666666663</v>
      </c>
      <c r="G273">
        <f>[1]!survey_responses[[#This Row],[Tôi tin rằng Nhà nước, cơ quan thuế có đủ khả năng và công nghệ để phát hiện, xử lý nghiêm các hành vi trốn thuế. - HUMAN-ENF2]]</f>
        <v>8</v>
      </c>
      <c r="H273">
        <f t="shared" si="111"/>
        <v>0.77777777777777779</v>
      </c>
      <c r="I273" s="32">
        <f t="shared" si="112"/>
        <v>0.61111111111111116</v>
      </c>
      <c r="J273" s="32">
        <f t="shared" si="113"/>
        <v>0.72222222222222221</v>
      </c>
      <c r="K273">
        <f>step3_validation[[#This Row],[AI_FAC1]]</f>
        <v>8</v>
      </c>
      <c r="L273">
        <f t="shared" si="114"/>
        <v>0.77777777777777779</v>
      </c>
      <c r="M273">
        <f>[1]!survey_responses[[#This Row],[Các thủ tục khai báo thuế VÀ/HOẶC quy trình làm việc với cơ quan thuế đơn giản, tiện lợi, nhanh chóng hơn so với trước đây. - HUMAN-FAC1]]</f>
        <v>2</v>
      </c>
      <c r="N273">
        <f t="shared" si="115"/>
        <v>0.1111111111111111</v>
      </c>
      <c r="O273">
        <f>step3_validation[[#This Row],[AI_FAC2]]</f>
        <v>7</v>
      </c>
      <c r="P273">
        <f t="shared" si="116"/>
        <v>0.66666666666666663</v>
      </c>
      <c r="Q273">
        <f>[1]!survey_responses[[#This Row],[So với trước đây, tôi thấy cách tính thuế và các bậc thuế trong phương án mới đơn giản, dễ hiểu và dễ thực hiện hơn. - HUMAN-FAC2]]</f>
        <v>6</v>
      </c>
      <c r="R273">
        <f t="shared" si="117"/>
        <v>0.55555555555555558</v>
      </c>
      <c r="S273" s="32">
        <f t="shared" si="118"/>
        <v>0.72222222222222221</v>
      </c>
      <c r="T273" s="32">
        <f t="shared" si="119"/>
        <v>0.33333333333333337</v>
      </c>
      <c r="U273">
        <f>step3_validation[[#This Row],[AI_TRU1]]</f>
        <v>8</v>
      </c>
      <c r="V273">
        <f t="shared" si="120"/>
        <v>0.77777777777777779</v>
      </c>
      <c r="W273">
        <f>[1]!survey_responses[[#This Row],[Tôi tin rằng Nhà nước, cơ quan thuế sẽ thực thi chính sách mới một cách khách quan, công tâm và đối xử bình đẳng với mọi người nộp thuế.  - HUMAN-TRU1]]</f>
        <v>6</v>
      </c>
      <c r="X273">
        <f t="shared" si="121"/>
        <v>0.55555555555555558</v>
      </c>
      <c r="Y273">
        <f>step3_validation[[#This Row],[AI_TRU2]]</f>
        <v>6</v>
      </c>
      <c r="Z273">
        <f t="shared" si="122"/>
        <v>0.55555555555555558</v>
      </c>
      <c r="AA273">
        <f>[1]!survey_responses[[#This Row],[Tôi thấy mức thuế tôi phải đóng theo phương án mới là công bằng (người thu nhập như tôi đóng mức này là hợp lý). - HUMAN-TRU2]]</f>
        <v>6</v>
      </c>
      <c r="AB273">
        <f t="shared" si="123"/>
        <v>0.55555555555555558</v>
      </c>
      <c r="AC273">
        <f>step3_validation[[#This Row],[AI_TRU3]]</f>
        <v>7</v>
      </c>
      <c r="AD273">
        <f t="shared" si="124"/>
        <v>0.66666666666666663</v>
      </c>
      <c r="AE273">
        <f>[1]!survey_responses[[#This Row],[Tôi tin tưởng số tiền thuế tôi đóng sẽ được Nhà nước sử dụng hiệu quả để cải thiện dịch vụ công (y tế, đường xá...). - HUMAN-TRU3]]</f>
        <v>5</v>
      </c>
      <c r="AF273">
        <f t="shared" si="125"/>
        <v>0.44444444444444442</v>
      </c>
      <c r="AG273">
        <f>step3_validation[[#This Row],[AI_TRU4]]</f>
        <v>5</v>
      </c>
      <c r="AH273">
        <f t="shared" si="126"/>
        <v>0.44444444444444442</v>
      </c>
      <c r="AI273">
        <f>[1]!survey_responses[[#This Row],[Tôi thấy Nhà nước đã giải thích rõ ràng, minh bạch về lý do và mục tiêu của việc sửa đổi thuế lần này. - HUMAN-TRU4]]</f>
        <v>5</v>
      </c>
      <c r="AJ273">
        <f t="shared" si="127"/>
        <v>0.44444444444444442</v>
      </c>
      <c r="AK273" s="32">
        <f t="shared" si="128"/>
        <v>0.61111111111111116</v>
      </c>
      <c r="AL273" s="32">
        <f t="shared" si="129"/>
        <v>0.5</v>
      </c>
      <c r="AM273" s="7">
        <f t="shared" si="130"/>
        <v>0.64814814814814825</v>
      </c>
      <c r="AN273" s="7">
        <f t="shared" si="131"/>
        <v>0.51851851851851849</v>
      </c>
      <c r="AO273">
        <f>step3_validation[[#This Row],[AI_OUT1]]</f>
        <v>6</v>
      </c>
      <c r="AP273">
        <f t="shared" si="132"/>
        <v>0.55555555555555558</v>
      </c>
      <c r="AQ273">
        <f>[1]!survey_responses[[#This Row],[Sau khi xem xét các quyền lợi và nghĩa vụ, bạn có ủng hộ và tuân thủ chính sách mới hiện nay? - HUMAN-OUT1]]</f>
        <v>6</v>
      </c>
      <c r="AR273">
        <f t="shared" si="133"/>
        <v>0.55555555555555558</v>
      </c>
      <c r="AS273" s="32">
        <f t="shared" si="134"/>
        <v>0</v>
      </c>
    </row>
    <row r="274" spans="1:45" x14ac:dyDescent="0.45">
      <c r="A274">
        <f>step3_validation[[#This Row],[AI_ENF1]]</f>
        <v>7</v>
      </c>
      <c r="B274">
        <f t="shared" si="108"/>
        <v>0.66666666666666663</v>
      </c>
      <c r="C274">
        <f>[1]!survey_responses[[#This Row],[Tôi tin rằng với các quy định quản lý thuế hiện nay, hành vi gian lận hoặc trốn thuế sẽ dễ dàng bị phát hiện và xử lý nghiêm. - HUMAN-ENF1]]</f>
        <v>3</v>
      </c>
      <c r="D274">
        <f t="shared" si="109"/>
        <v>0.22222222222222221</v>
      </c>
      <c r="E274">
        <f>step3_validation[[#This Row],[AI_ENF2]]</f>
        <v>6</v>
      </c>
      <c r="F274">
        <f t="shared" si="110"/>
        <v>0.55555555555555558</v>
      </c>
      <c r="G274">
        <f>[1]!survey_responses[[#This Row],[Tôi tin rằng Nhà nước, cơ quan thuế có đủ khả năng và công nghệ để phát hiện, xử lý nghiêm các hành vi trốn thuế. - HUMAN-ENF2]]</f>
        <v>3</v>
      </c>
      <c r="H274">
        <f t="shared" si="111"/>
        <v>0.22222222222222221</v>
      </c>
      <c r="I274" s="32">
        <f t="shared" si="112"/>
        <v>0.61111111111111116</v>
      </c>
      <c r="J274" s="32">
        <f t="shared" si="113"/>
        <v>0.22222222222222221</v>
      </c>
      <c r="K274">
        <f>step3_validation[[#This Row],[AI_FAC1]]</f>
        <v>8</v>
      </c>
      <c r="L274">
        <f t="shared" si="114"/>
        <v>0.77777777777777779</v>
      </c>
      <c r="M274">
        <f>[1]!survey_responses[[#This Row],[Các thủ tục khai báo thuế VÀ/HOẶC quy trình làm việc với cơ quan thuế đơn giản, tiện lợi, nhanh chóng hơn so với trước đây. - HUMAN-FAC1]]</f>
        <v>1</v>
      </c>
      <c r="N274">
        <f t="shared" si="115"/>
        <v>0</v>
      </c>
      <c r="O274">
        <f>step3_validation[[#This Row],[AI_FAC2]]</f>
        <v>9</v>
      </c>
      <c r="P274">
        <f t="shared" si="116"/>
        <v>0.88888888888888884</v>
      </c>
      <c r="Q274">
        <f>[1]!survey_responses[[#This Row],[So với trước đây, tôi thấy cách tính thuế và các bậc thuế trong phương án mới đơn giản, dễ hiểu và dễ thực hiện hơn. - HUMAN-FAC2]]</f>
        <v>6</v>
      </c>
      <c r="R274">
        <f t="shared" si="117"/>
        <v>0.55555555555555558</v>
      </c>
      <c r="S274" s="32">
        <f t="shared" si="118"/>
        <v>0.83333333333333326</v>
      </c>
      <c r="T274" s="32">
        <f t="shared" si="119"/>
        <v>0.27777777777777779</v>
      </c>
      <c r="U274">
        <f>step3_validation[[#This Row],[AI_TRU1]]</f>
        <v>8</v>
      </c>
      <c r="V274">
        <f t="shared" si="120"/>
        <v>0.77777777777777779</v>
      </c>
      <c r="W274">
        <f>[1]!survey_responses[[#This Row],[Tôi tin rằng Nhà nước, cơ quan thuế sẽ thực thi chính sách mới một cách khách quan, công tâm và đối xử bình đẳng với mọi người nộp thuế.  - HUMAN-TRU1]]</f>
        <v>1</v>
      </c>
      <c r="X274">
        <f t="shared" si="121"/>
        <v>0</v>
      </c>
      <c r="Y274">
        <f>step3_validation[[#This Row],[AI_TRU2]]</f>
        <v>7</v>
      </c>
      <c r="Z274">
        <f t="shared" si="122"/>
        <v>0.66666666666666663</v>
      </c>
      <c r="AA274">
        <f>[1]!survey_responses[[#This Row],[Tôi thấy mức thuế tôi phải đóng theo phương án mới là công bằng (người thu nhập như tôi đóng mức này là hợp lý). - HUMAN-TRU2]]</f>
        <v>1</v>
      </c>
      <c r="AB274">
        <f t="shared" si="123"/>
        <v>0</v>
      </c>
      <c r="AC274">
        <f>step3_validation[[#This Row],[AI_TRU3]]</f>
        <v>8</v>
      </c>
      <c r="AD274">
        <f t="shared" si="124"/>
        <v>0.77777777777777779</v>
      </c>
      <c r="AE274">
        <f>[1]!survey_responses[[#This Row],[Tôi tin tưởng số tiền thuế tôi đóng sẽ được Nhà nước sử dụng hiệu quả để cải thiện dịch vụ công (y tế, đường xá...). - HUMAN-TRU3]]</f>
        <v>1</v>
      </c>
      <c r="AF274">
        <f t="shared" si="125"/>
        <v>0</v>
      </c>
      <c r="AG274">
        <f>step3_validation[[#This Row],[AI_TRU4]]</f>
        <v>5</v>
      </c>
      <c r="AH274">
        <f t="shared" si="126"/>
        <v>0.44444444444444442</v>
      </c>
      <c r="AI274">
        <f>[1]!survey_responses[[#This Row],[Tôi thấy Nhà nước đã giải thích rõ ràng, minh bạch về lý do và mục tiêu của việc sửa đổi thuế lần này. - HUMAN-TRU4]]</f>
        <v>1</v>
      </c>
      <c r="AJ274">
        <f t="shared" si="127"/>
        <v>0</v>
      </c>
      <c r="AK274" s="32">
        <f t="shared" si="128"/>
        <v>0.66666666666666674</v>
      </c>
      <c r="AL274" s="32">
        <f t="shared" si="129"/>
        <v>0</v>
      </c>
      <c r="AM274" s="7">
        <f t="shared" si="130"/>
        <v>0.70370370370370372</v>
      </c>
      <c r="AN274" s="7">
        <f t="shared" si="131"/>
        <v>0.16666666666666666</v>
      </c>
      <c r="AO274">
        <f>step3_validation[[#This Row],[AI_OUT1]]</f>
        <v>7</v>
      </c>
      <c r="AP274">
        <f t="shared" si="132"/>
        <v>0.66666666666666663</v>
      </c>
      <c r="AQ274">
        <f>[1]!survey_responses[[#This Row],[Sau khi xem xét các quyền lợi và nghĩa vụ, bạn có ủng hộ và tuân thủ chính sách mới hiện nay? - HUMAN-OUT1]]</f>
        <v>1</v>
      </c>
      <c r="AR274">
        <f t="shared" si="133"/>
        <v>0</v>
      </c>
      <c r="AS274" s="32">
        <f t="shared" si="134"/>
        <v>6</v>
      </c>
    </row>
    <row r="275" spans="1:45" x14ac:dyDescent="0.45">
      <c r="A275">
        <f>step3_validation[[#This Row],[AI_ENF1]]</f>
        <v>7</v>
      </c>
      <c r="B275">
        <f t="shared" si="108"/>
        <v>0.66666666666666663</v>
      </c>
      <c r="C275">
        <f>[1]!survey_responses[[#This Row],[Tôi tin rằng với các quy định quản lý thuế hiện nay, hành vi gian lận hoặc trốn thuế sẽ dễ dàng bị phát hiện và xử lý nghiêm. - HUMAN-ENF1]]</f>
        <v>6</v>
      </c>
      <c r="D275">
        <f t="shared" si="109"/>
        <v>0.55555555555555558</v>
      </c>
      <c r="E275">
        <f>step3_validation[[#This Row],[AI_ENF2]]</f>
        <v>6</v>
      </c>
      <c r="F275">
        <f t="shared" si="110"/>
        <v>0.55555555555555558</v>
      </c>
      <c r="G275">
        <f>[1]!survey_responses[[#This Row],[Tôi tin rằng Nhà nước, cơ quan thuế có đủ khả năng và công nghệ để phát hiện, xử lý nghiêm các hành vi trốn thuế. - HUMAN-ENF2]]</f>
        <v>6</v>
      </c>
      <c r="H275">
        <f t="shared" si="111"/>
        <v>0.55555555555555558</v>
      </c>
      <c r="I275" s="32">
        <f t="shared" si="112"/>
        <v>0.61111111111111116</v>
      </c>
      <c r="J275" s="32">
        <f t="shared" si="113"/>
        <v>0.55555555555555558</v>
      </c>
      <c r="K275">
        <f>step3_validation[[#This Row],[AI_FAC1]]</f>
        <v>8</v>
      </c>
      <c r="L275">
        <f t="shared" si="114"/>
        <v>0.77777777777777779</v>
      </c>
      <c r="M275">
        <f>[1]!survey_responses[[#This Row],[Các thủ tục khai báo thuế VÀ/HOẶC quy trình làm việc với cơ quan thuế đơn giản, tiện lợi, nhanh chóng hơn so với trước đây. - HUMAN-FAC1]]</f>
        <v>5</v>
      </c>
      <c r="N275">
        <f t="shared" si="115"/>
        <v>0.44444444444444442</v>
      </c>
      <c r="O275">
        <f>step3_validation[[#This Row],[AI_FAC2]]</f>
        <v>9</v>
      </c>
      <c r="P275">
        <f t="shared" si="116"/>
        <v>0.88888888888888884</v>
      </c>
      <c r="Q275">
        <f>[1]!survey_responses[[#This Row],[So với trước đây, tôi thấy cách tính thuế và các bậc thuế trong phương án mới đơn giản, dễ hiểu và dễ thực hiện hơn. - HUMAN-FAC2]]</f>
        <v>6</v>
      </c>
      <c r="R275">
        <f t="shared" si="117"/>
        <v>0.55555555555555558</v>
      </c>
      <c r="S275" s="32">
        <f t="shared" si="118"/>
        <v>0.83333333333333326</v>
      </c>
      <c r="T275" s="32">
        <f t="shared" si="119"/>
        <v>0.5</v>
      </c>
      <c r="U275">
        <f>step3_validation[[#This Row],[AI_TRU1]]</f>
        <v>6</v>
      </c>
      <c r="V275">
        <f t="shared" si="120"/>
        <v>0.55555555555555558</v>
      </c>
      <c r="W275">
        <f>[1]!survey_responses[[#This Row],[Tôi tin rằng Nhà nước, cơ quan thuế sẽ thực thi chính sách mới một cách khách quan, công tâm và đối xử bình đẳng với mọi người nộp thuế.  - HUMAN-TRU1]]</f>
        <v>6</v>
      </c>
      <c r="X275">
        <f t="shared" si="121"/>
        <v>0.55555555555555558</v>
      </c>
      <c r="Y275">
        <f>step3_validation[[#This Row],[AI_TRU2]]</f>
        <v>7</v>
      </c>
      <c r="Z275">
        <f t="shared" si="122"/>
        <v>0.66666666666666663</v>
      </c>
      <c r="AA275">
        <f>[1]!survey_responses[[#This Row],[Tôi thấy mức thuế tôi phải đóng theo phương án mới là công bằng (người thu nhập như tôi đóng mức này là hợp lý). - HUMAN-TRU2]]</f>
        <v>6</v>
      </c>
      <c r="AB275">
        <f t="shared" si="123"/>
        <v>0.55555555555555558</v>
      </c>
      <c r="AC275">
        <f>step3_validation[[#This Row],[AI_TRU3]]</f>
        <v>6</v>
      </c>
      <c r="AD275">
        <f t="shared" si="124"/>
        <v>0.55555555555555558</v>
      </c>
      <c r="AE275">
        <f>[1]!survey_responses[[#This Row],[Tôi tin tưởng số tiền thuế tôi đóng sẽ được Nhà nước sử dụng hiệu quả để cải thiện dịch vụ công (y tế, đường xá...). - HUMAN-TRU3]]</f>
        <v>6</v>
      </c>
      <c r="AF275">
        <f t="shared" si="125"/>
        <v>0.55555555555555558</v>
      </c>
      <c r="AG275">
        <f>step3_validation[[#This Row],[AI_TRU4]]</f>
        <v>5</v>
      </c>
      <c r="AH275">
        <f t="shared" si="126"/>
        <v>0.44444444444444442</v>
      </c>
      <c r="AI275">
        <f>[1]!survey_responses[[#This Row],[Tôi thấy Nhà nước đã giải thích rõ ràng, minh bạch về lý do và mục tiêu của việc sửa đổi thuế lần này. - HUMAN-TRU4]]</f>
        <v>6</v>
      </c>
      <c r="AJ275">
        <f t="shared" si="127"/>
        <v>0.55555555555555558</v>
      </c>
      <c r="AK275" s="32">
        <f t="shared" si="128"/>
        <v>0.55555555555555558</v>
      </c>
      <c r="AL275" s="32">
        <f t="shared" si="129"/>
        <v>0.55555555555555558</v>
      </c>
      <c r="AM275" s="7">
        <f t="shared" si="130"/>
        <v>0.66666666666666663</v>
      </c>
      <c r="AN275" s="7">
        <f t="shared" si="131"/>
        <v>0.53703703703703709</v>
      </c>
      <c r="AO275">
        <f>step3_validation[[#This Row],[AI_OUT1]]</f>
        <v>6</v>
      </c>
      <c r="AP275">
        <f t="shared" si="132"/>
        <v>0.55555555555555558</v>
      </c>
      <c r="AQ275">
        <f>[1]!survey_responses[[#This Row],[Sau khi xem xét các quyền lợi và nghĩa vụ, bạn có ủng hộ và tuân thủ chính sách mới hiện nay? - HUMAN-OUT1]]</f>
        <v>6</v>
      </c>
      <c r="AR275">
        <f t="shared" si="133"/>
        <v>0.55555555555555558</v>
      </c>
      <c r="AS275" s="32">
        <f t="shared" si="134"/>
        <v>0</v>
      </c>
    </row>
    <row r="276" spans="1:45" x14ac:dyDescent="0.45">
      <c r="A276">
        <f>step3_validation[[#This Row],[AI_ENF1]]</f>
        <v>7</v>
      </c>
      <c r="B276">
        <f t="shared" si="108"/>
        <v>0.66666666666666663</v>
      </c>
      <c r="C276">
        <f>[1]!survey_responses[[#This Row],[Tôi tin rằng với các quy định quản lý thuế hiện nay, hành vi gian lận hoặc trốn thuế sẽ dễ dàng bị phát hiện và xử lý nghiêm. - HUMAN-ENF1]]</f>
        <v>8</v>
      </c>
      <c r="D276">
        <f t="shared" si="109"/>
        <v>0.77777777777777779</v>
      </c>
      <c r="E276">
        <f>step3_validation[[#This Row],[AI_ENF2]]</f>
        <v>8</v>
      </c>
      <c r="F276">
        <f t="shared" si="110"/>
        <v>0.77777777777777779</v>
      </c>
      <c r="G276">
        <f>[1]!survey_responses[[#This Row],[Tôi tin rằng Nhà nước, cơ quan thuế có đủ khả năng và công nghệ để phát hiện, xử lý nghiêm các hành vi trốn thuế. - HUMAN-ENF2]]</f>
        <v>9</v>
      </c>
      <c r="H276">
        <f t="shared" si="111"/>
        <v>0.88888888888888884</v>
      </c>
      <c r="I276" s="32">
        <f t="shared" si="112"/>
        <v>0.72222222222222221</v>
      </c>
      <c r="J276" s="32">
        <f t="shared" si="113"/>
        <v>0.83333333333333326</v>
      </c>
      <c r="K276">
        <f>step3_validation[[#This Row],[AI_FAC1]]</f>
        <v>9</v>
      </c>
      <c r="L276">
        <f t="shared" si="114"/>
        <v>0.88888888888888884</v>
      </c>
      <c r="M276">
        <f>[1]!survey_responses[[#This Row],[Các thủ tục khai báo thuế VÀ/HOẶC quy trình làm việc với cơ quan thuế đơn giản, tiện lợi, nhanh chóng hơn so với trước đây. - HUMAN-FAC1]]</f>
        <v>5</v>
      </c>
      <c r="N276">
        <f t="shared" si="115"/>
        <v>0.44444444444444442</v>
      </c>
      <c r="O276">
        <f>step3_validation[[#This Row],[AI_FAC2]]</f>
        <v>8</v>
      </c>
      <c r="P276">
        <f t="shared" si="116"/>
        <v>0.77777777777777779</v>
      </c>
      <c r="Q276">
        <f>[1]!survey_responses[[#This Row],[So với trước đây, tôi thấy cách tính thuế và các bậc thuế trong phương án mới đơn giản, dễ hiểu và dễ thực hiện hơn. - HUMAN-FAC2]]</f>
        <v>7</v>
      </c>
      <c r="R276">
        <f t="shared" si="117"/>
        <v>0.66666666666666663</v>
      </c>
      <c r="S276" s="32">
        <f t="shared" si="118"/>
        <v>0.83333333333333326</v>
      </c>
      <c r="T276" s="32">
        <f t="shared" si="119"/>
        <v>0.55555555555555558</v>
      </c>
      <c r="U276">
        <f>step3_validation[[#This Row],[AI_TRU1]]</f>
        <v>7</v>
      </c>
      <c r="V276">
        <f t="shared" si="120"/>
        <v>0.66666666666666663</v>
      </c>
      <c r="W276">
        <f>[1]!survey_responses[[#This Row],[Tôi tin rằng Nhà nước, cơ quan thuế sẽ thực thi chính sách mới một cách khách quan, công tâm và đối xử bình đẳng với mọi người nộp thuế.  - HUMAN-TRU1]]</f>
        <v>6</v>
      </c>
      <c r="X276">
        <f t="shared" si="121"/>
        <v>0.55555555555555558</v>
      </c>
      <c r="Y276">
        <f>step3_validation[[#This Row],[AI_TRU2]]</f>
        <v>6</v>
      </c>
      <c r="Z276">
        <f t="shared" si="122"/>
        <v>0.55555555555555558</v>
      </c>
      <c r="AA276">
        <f>[1]!survey_responses[[#This Row],[Tôi thấy mức thuế tôi phải đóng theo phương án mới là công bằng (người thu nhập như tôi đóng mức này là hợp lý). - HUMAN-TRU2]]</f>
        <v>7</v>
      </c>
      <c r="AB276">
        <f t="shared" si="123"/>
        <v>0.66666666666666663</v>
      </c>
      <c r="AC276">
        <f>step3_validation[[#This Row],[AI_TRU3]]</f>
        <v>7</v>
      </c>
      <c r="AD276">
        <f t="shared" si="124"/>
        <v>0.66666666666666663</v>
      </c>
      <c r="AE276">
        <f>[1]!survey_responses[[#This Row],[Tôi tin tưởng số tiền thuế tôi đóng sẽ được Nhà nước sử dụng hiệu quả để cải thiện dịch vụ công (y tế, đường xá...). - HUMAN-TRU3]]</f>
        <v>7</v>
      </c>
      <c r="AF276">
        <f t="shared" si="125"/>
        <v>0.66666666666666663</v>
      </c>
      <c r="AG276">
        <f>step3_validation[[#This Row],[AI_TRU4]]</f>
        <v>6</v>
      </c>
      <c r="AH276">
        <f t="shared" si="126"/>
        <v>0.55555555555555558</v>
      </c>
      <c r="AI276">
        <f>[1]!survey_responses[[#This Row],[Tôi thấy Nhà nước đã giải thích rõ ràng, minh bạch về lý do và mục tiêu của việc sửa đổi thuế lần này. - HUMAN-TRU4]]</f>
        <v>7</v>
      </c>
      <c r="AJ276">
        <f t="shared" si="127"/>
        <v>0.66666666666666663</v>
      </c>
      <c r="AK276" s="32">
        <f t="shared" si="128"/>
        <v>0.61111111111111116</v>
      </c>
      <c r="AL276" s="32">
        <f t="shared" si="129"/>
        <v>0.63888888888888884</v>
      </c>
      <c r="AM276" s="7">
        <f t="shared" si="130"/>
        <v>0.72222222222222221</v>
      </c>
      <c r="AN276" s="7">
        <f t="shared" si="131"/>
        <v>0.67592592592592593</v>
      </c>
      <c r="AO276">
        <f>step3_validation[[#This Row],[AI_OUT1]]</f>
        <v>7</v>
      </c>
      <c r="AP276">
        <f t="shared" si="132"/>
        <v>0.66666666666666663</v>
      </c>
      <c r="AQ276">
        <f>[1]!survey_responses[[#This Row],[Sau khi xem xét các quyền lợi và nghĩa vụ, bạn có ủng hộ và tuân thủ chính sách mới hiện nay? - HUMAN-OUT1]]</f>
        <v>7</v>
      </c>
      <c r="AR276">
        <f t="shared" si="133"/>
        <v>0.66666666666666663</v>
      </c>
      <c r="AS276" s="32">
        <f t="shared" si="134"/>
        <v>0</v>
      </c>
    </row>
    <row r="277" spans="1:45" x14ac:dyDescent="0.45">
      <c r="A277">
        <f>step3_validation[[#This Row],[AI_ENF1]]</f>
        <v>7</v>
      </c>
      <c r="B277">
        <f t="shared" si="108"/>
        <v>0.66666666666666663</v>
      </c>
      <c r="C277">
        <f>[1]!survey_responses[[#This Row],[Tôi tin rằng với các quy định quản lý thuế hiện nay, hành vi gian lận hoặc trốn thuế sẽ dễ dàng bị phát hiện và xử lý nghiêm. - HUMAN-ENF1]]</f>
        <v>6</v>
      </c>
      <c r="D277">
        <f t="shared" si="109"/>
        <v>0.55555555555555558</v>
      </c>
      <c r="E277">
        <f>step3_validation[[#This Row],[AI_ENF2]]</f>
        <v>8</v>
      </c>
      <c r="F277">
        <f t="shared" si="110"/>
        <v>0.77777777777777779</v>
      </c>
      <c r="G277">
        <f>[1]!survey_responses[[#This Row],[Tôi tin rằng Nhà nước, cơ quan thuế có đủ khả năng và công nghệ để phát hiện, xử lý nghiêm các hành vi trốn thuế. - HUMAN-ENF2]]</f>
        <v>6</v>
      </c>
      <c r="H277">
        <f t="shared" si="111"/>
        <v>0.55555555555555558</v>
      </c>
      <c r="I277" s="32">
        <f t="shared" si="112"/>
        <v>0.72222222222222221</v>
      </c>
      <c r="J277" s="32">
        <f t="shared" si="113"/>
        <v>0.55555555555555558</v>
      </c>
      <c r="K277">
        <f>step3_validation[[#This Row],[AI_FAC1]]</f>
        <v>6</v>
      </c>
      <c r="L277">
        <f t="shared" si="114"/>
        <v>0.55555555555555558</v>
      </c>
      <c r="M277">
        <f>[1]!survey_responses[[#This Row],[Các thủ tục khai báo thuế VÀ/HOẶC quy trình làm việc với cơ quan thuế đơn giản, tiện lợi, nhanh chóng hơn so với trước đây. - HUMAN-FAC1]]</f>
        <v>3</v>
      </c>
      <c r="N277">
        <f t="shared" si="115"/>
        <v>0.22222222222222221</v>
      </c>
      <c r="O277">
        <f>step3_validation[[#This Row],[AI_FAC2]]</f>
        <v>8</v>
      </c>
      <c r="P277">
        <f t="shared" si="116"/>
        <v>0.77777777777777779</v>
      </c>
      <c r="Q277">
        <f>[1]!survey_responses[[#This Row],[So với trước đây, tôi thấy cách tính thuế và các bậc thuế trong phương án mới đơn giản, dễ hiểu và dễ thực hiện hơn. - HUMAN-FAC2]]</f>
        <v>7</v>
      </c>
      <c r="R277">
        <f t="shared" si="117"/>
        <v>0.66666666666666663</v>
      </c>
      <c r="S277" s="32">
        <f t="shared" si="118"/>
        <v>0.66666666666666674</v>
      </c>
      <c r="T277" s="32">
        <f t="shared" si="119"/>
        <v>0.44444444444444442</v>
      </c>
      <c r="U277">
        <f>step3_validation[[#This Row],[AI_TRU1]]</f>
        <v>7</v>
      </c>
      <c r="V277">
        <f t="shared" si="120"/>
        <v>0.66666666666666663</v>
      </c>
      <c r="W277">
        <f>[1]!survey_responses[[#This Row],[Tôi tin rằng Nhà nước, cơ quan thuế sẽ thực thi chính sách mới một cách khách quan, công tâm và đối xử bình đẳng với mọi người nộp thuế.  - HUMAN-TRU1]]</f>
        <v>7</v>
      </c>
      <c r="X277">
        <f t="shared" si="121"/>
        <v>0.66666666666666663</v>
      </c>
      <c r="Y277">
        <f>step3_validation[[#This Row],[AI_TRU2]]</f>
        <v>8</v>
      </c>
      <c r="Z277">
        <f t="shared" si="122"/>
        <v>0.77777777777777779</v>
      </c>
      <c r="AA277">
        <f>[1]!survey_responses[[#This Row],[Tôi thấy mức thuế tôi phải đóng theo phương án mới là công bằng (người thu nhập như tôi đóng mức này là hợp lý). - HUMAN-TRU2]]</f>
        <v>7</v>
      </c>
      <c r="AB277">
        <f t="shared" si="123"/>
        <v>0.66666666666666663</v>
      </c>
      <c r="AC277">
        <f>step3_validation[[#This Row],[AI_TRU3]]</f>
        <v>7</v>
      </c>
      <c r="AD277">
        <f t="shared" si="124"/>
        <v>0.66666666666666663</v>
      </c>
      <c r="AE277">
        <f>[1]!survey_responses[[#This Row],[Tôi tin tưởng số tiền thuế tôi đóng sẽ được Nhà nước sử dụng hiệu quả để cải thiện dịch vụ công (y tế, đường xá...). - HUMAN-TRU3]]</f>
        <v>5</v>
      </c>
      <c r="AF277">
        <f t="shared" si="125"/>
        <v>0.44444444444444442</v>
      </c>
      <c r="AG277">
        <f>step3_validation[[#This Row],[AI_TRU4]]</f>
        <v>6</v>
      </c>
      <c r="AH277">
        <f t="shared" si="126"/>
        <v>0.55555555555555558</v>
      </c>
      <c r="AI277">
        <f>[1]!survey_responses[[#This Row],[Tôi thấy Nhà nước đã giải thích rõ ràng, minh bạch về lý do và mục tiêu của việc sửa đổi thuế lần này. - HUMAN-TRU4]]</f>
        <v>7</v>
      </c>
      <c r="AJ277">
        <f t="shared" si="127"/>
        <v>0.66666666666666663</v>
      </c>
      <c r="AK277" s="32">
        <f t="shared" si="128"/>
        <v>0.66666666666666674</v>
      </c>
      <c r="AL277" s="32">
        <f t="shared" si="129"/>
        <v>0.61111111111111105</v>
      </c>
      <c r="AM277" s="7">
        <f t="shared" si="130"/>
        <v>0.68518518518518512</v>
      </c>
      <c r="AN277" s="7">
        <f t="shared" si="131"/>
        <v>0.53703703703703709</v>
      </c>
      <c r="AO277">
        <f>step3_validation[[#This Row],[AI_OUT1]]</f>
        <v>8</v>
      </c>
      <c r="AP277">
        <f t="shared" si="132"/>
        <v>0.77777777777777779</v>
      </c>
      <c r="AQ277">
        <f>[1]!survey_responses[[#This Row],[Sau khi xem xét các quyền lợi và nghĩa vụ, bạn có ủng hộ và tuân thủ chính sách mới hiện nay? - HUMAN-OUT1]]</f>
        <v>7</v>
      </c>
      <c r="AR277">
        <f t="shared" si="133"/>
        <v>0.66666666666666663</v>
      </c>
      <c r="AS277" s="32">
        <f t="shared" si="134"/>
        <v>1</v>
      </c>
    </row>
    <row r="278" spans="1:45" x14ac:dyDescent="0.45">
      <c r="A278">
        <f>step3_validation[[#This Row],[AI_ENF1]]</f>
        <v>7</v>
      </c>
      <c r="B278">
        <f t="shared" si="108"/>
        <v>0.66666666666666663</v>
      </c>
      <c r="C278">
        <f>[1]!survey_responses[[#This Row],[Tôi tin rằng với các quy định quản lý thuế hiện nay, hành vi gian lận hoặc trốn thuế sẽ dễ dàng bị phát hiện và xử lý nghiêm. - HUMAN-ENF1]]</f>
        <v>8</v>
      </c>
      <c r="D278">
        <f t="shared" si="109"/>
        <v>0.77777777777777779</v>
      </c>
      <c r="E278">
        <f>step3_validation[[#This Row],[AI_ENF2]]</f>
        <v>8</v>
      </c>
      <c r="F278">
        <f t="shared" si="110"/>
        <v>0.77777777777777779</v>
      </c>
      <c r="G278">
        <f>[1]!survey_responses[[#This Row],[Tôi tin rằng Nhà nước, cơ quan thuế có đủ khả năng và công nghệ để phát hiện, xử lý nghiêm các hành vi trốn thuế. - HUMAN-ENF2]]</f>
        <v>8</v>
      </c>
      <c r="H278">
        <f t="shared" si="111"/>
        <v>0.77777777777777779</v>
      </c>
      <c r="I278" s="32">
        <f t="shared" si="112"/>
        <v>0.72222222222222221</v>
      </c>
      <c r="J278" s="32">
        <f t="shared" si="113"/>
        <v>0.77777777777777779</v>
      </c>
      <c r="K278">
        <f>step3_validation[[#This Row],[AI_FAC1]]</f>
        <v>6</v>
      </c>
      <c r="L278">
        <f t="shared" si="114"/>
        <v>0.55555555555555558</v>
      </c>
      <c r="M278">
        <f>[1]!survey_responses[[#This Row],[Các thủ tục khai báo thuế VÀ/HOẶC quy trình làm việc với cơ quan thuế đơn giản, tiện lợi, nhanh chóng hơn so với trước đây. - HUMAN-FAC1]]</f>
        <v>6</v>
      </c>
      <c r="N278">
        <f t="shared" si="115"/>
        <v>0.55555555555555558</v>
      </c>
      <c r="O278">
        <f>step3_validation[[#This Row],[AI_FAC2]]</f>
        <v>7</v>
      </c>
      <c r="P278">
        <f t="shared" si="116"/>
        <v>0.66666666666666663</v>
      </c>
      <c r="Q278">
        <f>[1]!survey_responses[[#This Row],[So với trước đây, tôi thấy cách tính thuế và các bậc thuế trong phương án mới đơn giản, dễ hiểu và dễ thực hiện hơn. - HUMAN-FAC2]]</f>
        <v>7</v>
      </c>
      <c r="R278">
        <f t="shared" si="117"/>
        <v>0.66666666666666663</v>
      </c>
      <c r="S278" s="32">
        <f t="shared" si="118"/>
        <v>0.61111111111111116</v>
      </c>
      <c r="T278" s="32">
        <f t="shared" si="119"/>
        <v>0.61111111111111116</v>
      </c>
      <c r="U278">
        <f>step3_validation[[#This Row],[AI_TRU1]]</f>
        <v>8</v>
      </c>
      <c r="V278">
        <f t="shared" si="120"/>
        <v>0.77777777777777779</v>
      </c>
      <c r="W278">
        <f>[1]!survey_responses[[#This Row],[Tôi tin rằng Nhà nước, cơ quan thuế sẽ thực thi chính sách mới một cách khách quan, công tâm và đối xử bình đẳng với mọi người nộp thuế.  - HUMAN-TRU1]]</f>
        <v>7</v>
      </c>
      <c r="X278">
        <f t="shared" si="121"/>
        <v>0.66666666666666663</v>
      </c>
      <c r="Y278">
        <f>step3_validation[[#This Row],[AI_TRU2]]</f>
        <v>7</v>
      </c>
      <c r="Z278">
        <f t="shared" si="122"/>
        <v>0.66666666666666663</v>
      </c>
      <c r="AA278">
        <f>[1]!survey_responses[[#This Row],[Tôi thấy mức thuế tôi phải đóng theo phương án mới là công bằng (người thu nhập như tôi đóng mức này là hợp lý). - HUMAN-TRU2]]</f>
        <v>4</v>
      </c>
      <c r="AB278">
        <f t="shared" si="123"/>
        <v>0.33333333333333331</v>
      </c>
      <c r="AC278">
        <f>step3_validation[[#This Row],[AI_TRU3]]</f>
        <v>8</v>
      </c>
      <c r="AD278">
        <f t="shared" si="124"/>
        <v>0.77777777777777779</v>
      </c>
      <c r="AE278">
        <f>[1]!survey_responses[[#This Row],[Tôi tin tưởng số tiền thuế tôi đóng sẽ được Nhà nước sử dụng hiệu quả để cải thiện dịch vụ công (y tế, đường xá...). - HUMAN-TRU3]]</f>
        <v>5</v>
      </c>
      <c r="AF278">
        <f t="shared" si="125"/>
        <v>0.44444444444444442</v>
      </c>
      <c r="AG278">
        <f>step3_validation[[#This Row],[AI_TRU4]]</f>
        <v>6</v>
      </c>
      <c r="AH278">
        <f t="shared" si="126"/>
        <v>0.55555555555555558</v>
      </c>
      <c r="AI278">
        <f>[1]!survey_responses[[#This Row],[Tôi thấy Nhà nước đã giải thích rõ ràng, minh bạch về lý do và mục tiêu của việc sửa đổi thuế lần này. - HUMAN-TRU4]]</f>
        <v>5</v>
      </c>
      <c r="AJ278">
        <f t="shared" si="127"/>
        <v>0.44444444444444442</v>
      </c>
      <c r="AK278" s="32">
        <f t="shared" si="128"/>
        <v>0.69444444444444442</v>
      </c>
      <c r="AL278" s="32">
        <f t="shared" si="129"/>
        <v>0.47222222222222221</v>
      </c>
      <c r="AM278" s="7">
        <f t="shared" si="130"/>
        <v>0.67592592592592593</v>
      </c>
      <c r="AN278" s="7">
        <f t="shared" si="131"/>
        <v>0.62037037037037035</v>
      </c>
      <c r="AO278">
        <f>step3_validation[[#This Row],[AI_OUT1]]</f>
        <v>8</v>
      </c>
      <c r="AP278">
        <f t="shared" si="132"/>
        <v>0.77777777777777779</v>
      </c>
      <c r="AQ278">
        <f>[1]!survey_responses[[#This Row],[Sau khi xem xét các quyền lợi và nghĩa vụ, bạn có ủng hộ và tuân thủ chính sách mới hiện nay? - HUMAN-OUT1]]</f>
        <v>5</v>
      </c>
      <c r="AR278">
        <f t="shared" si="133"/>
        <v>0.44444444444444442</v>
      </c>
      <c r="AS278" s="32">
        <f t="shared" si="134"/>
        <v>3</v>
      </c>
    </row>
    <row r="279" spans="1:45" x14ac:dyDescent="0.45">
      <c r="A279">
        <f>step3_validation[[#This Row],[AI_ENF1]]</f>
        <v>7</v>
      </c>
      <c r="B279">
        <f t="shared" si="108"/>
        <v>0.66666666666666663</v>
      </c>
      <c r="C279">
        <f>[1]!survey_responses[[#This Row],[Tôi tin rằng với các quy định quản lý thuế hiện nay, hành vi gian lận hoặc trốn thuế sẽ dễ dàng bị phát hiện và xử lý nghiêm. - HUMAN-ENF1]]</f>
        <v>6</v>
      </c>
      <c r="D279">
        <f t="shared" si="109"/>
        <v>0.55555555555555558</v>
      </c>
      <c r="E279">
        <f>step3_validation[[#This Row],[AI_ENF2]]</f>
        <v>8</v>
      </c>
      <c r="F279">
        <f t="shared" si="110"/>
        <v>0.77777777777777779</v>
      </c>
      <c r="G279">
        <f>[1]!survey_responses[[#This Row],[Tôi tin rằng Nhà nước, cơ quan thuế có đủ khả năng và công nghệ để phát hiện, xử lý nghiêm các hành vi trốn thuế. - HUMAN-ENF2]]</f>
        <v>7</v>
      </c>
      <c r="H279">
        <f t="shared" si="111"/>
        <v>0.66666666666666663</v>
      </c>
      <c r="I279" s="32">
        <f t="shared" si="112"/>
        <v>0.72222222222222221</v>
      </c>
      <c r="J279" s="32">
        <f t="shared" si="113"/>
        <v>0.61111111111111116</v>
      </c>
      <c r="K279">
        <f>step3_validation[[#This Row],[AI_FAC1]]</f>
        <v>9</v>
      </c>
      <c r="L279">
        <f t="shared" si="114"/>
        <v>0.88888888888888884</v>
      </c>
      <c r="M279">
        <f>[1]!survey_responses[[#This Row],[Các thủ tục khai báo thuế VÀ/HOẶC quy trình làm việc với cơ quan thuế đơn giản, tiện lợi, nhanh chóng hơn so với trước đây. - HUMAN-FAC1]]</f>
        <v>5</v>
      </c>
      <c r="N279">
        <f t="shared" si="115"/>
        <v>0.44444444444444442</v>
      </c>
      <c r="O279">
        <f>step3_validation[[#This Row],[AI_FAC2]]</f>
        <v>8</v>
      </c>
      <c r="P279">
        <f t="shared" si="116"/>
        <v>0.77777777777777779</v>
      </c>
      <c r="Q279">
        <f>[1]!survey_responses[[#This Row],[So với trước đây, tôi thấy cách tính thuế và các bậc thuế trong phương án mới đơn giản, dễ hiểu và dễ thực hiện hơn. - HUMAN-FAC2]]</f>
        <v>7</v>
      </c>
      <c r="R279">
        <f t="shared" si="117"/>
        <v>0.66666666666666663</v>
      </c>
      <c r="S279" s="32">
        <f t="shared" si="118"/>
        <v>0.83333333333333326</v>
      </c>
      <c r="T279" s="32">
        <f t="shared" si="119"/>
        <v>0.55555555555555558</v>
      </c>
      <c r="U279">
        <f>step3_validation[[#This Row],[AI_TRU1]]</f>
        <v>6</v>
      </c>
      <c r="V279">
        <f t="shared" si="120"/>
        <v>0.55555555555555558</v>
      </c>
      <c r="W279">
        <f>[1]!survey_responses[[#This Row],[Tôi tin rằng Nhà nước, cơ quan thuế sẽ thực thi chính sách mới một cách khách quan, công tâm và đối xử bình đẳng với mọi người nộp thuế.  - HUMAN-TRU1]]</f>
        <v>6</v>
      </c>
      <c r="X279">
        <f t="shared" si="121"/>
        <v>0.55555555555555558</v>
      </c>
      <c r="Y279">
        <f>step3_validation[[#This Row],[AI_TRU2]]</f>
        <v>9</v>
      </c>
      <c r="Z279">
        <f t="shared" si="122"/>
        <v>0.88888888888888884</v>
      </c>
      <c r="AA279">
        <f>[1]!survey_responses[[#This Row],[Tôi thấy mức thuế tôi phải đóng theo phương án mới là công bằng (người thu nhập như tôi đóng mức này là hợp lý). - HUMAN-TRU2]]</f>
        <v>6</v>
      </c>
      <c r="AB279">
        <f t="shared" si="123"/>
        <v>0.55555555555555558</v>
      </c>
      <c r="AC279">
        <f>step3_validation[[#This Row],[AI_TRU3]]</f>
        <v>7</v>
      </c>
      <c r="AD279">
        <f t="shared" si="124"/>
        <v>0.66666666666666663</v>
      </c>
      <c r="AE279">
        <f>[1]!survey_responses[[#This Row],[Tôi tin tưởng số tiền thuế tôi đóng sẽ được Nhà nước sử dụng hiệu quả để cải thiện dịch vụ công (y tế, đường xá...). - HUMAN-TRU3]]</f>
        <v>6</v>
      </c>
      <c r="AF279">
        <f t="shared" si="125"/>
        <v>0.55555555555555558</v>
      </c>
      <c r="AG279">
        <f>step3_validation[[#This Row],[AI_TRU4]]</f>
        <v>8</v>
      </c>
      <c r="AH279">
        <f t="shared" si="126"/>
        <v>0.77777777777777779</v>
      </c>
      <c r="AI279">
        <f>[1]!survey_responses[[#This Row],[Tôi thấy Nhà nước đã giải thích rõ ràng, minh bạch về lý do và mục tiêu của việc sửa đổi thuế lần này. - HUMAN-TRU4]]</f>
        <v>6</v>
      </c>
      <c r="AJ279">
        <f t="shared" si="127"/>
        <v>0.55555555555555558</v>
      </c>
      <c r="AK279" s="32">
        <f t="shared" si="128"/>
        <v>0.72222222222222221</v>
      </c>
      <c r="AL279" s="32">
        <f t="shared" si="129"/>
        <v>0.55555555555555558</v>
      </c>
      <c r="AM279" s="7">
        <f t="shared" si="130"/>
        <v>0.75925925925925919</v>
      </c>
      <c r="AN279" s="7">
        <f t="shared" si="131"/>
        <v>0.57407407407407407</v>
      </c>
      <c r="AO279">
        <f>step3_validation[[#This Row],[AI_OUT1]]</f>
        <v>9</v>
      </c>
      <c r="AP279">
        <f t="shared" si="132"/>
        <v>0.88888888888888884</v>
      </c>
      <c r="AQ279">
        <f>[1]!survey_responses[[#This Row],[Sau khi xem xét các quyền lợi và nghĩa vụ, bạn có ủng hộ và tuân thủ chính sách mới hiện nay? - HUMAN-OUT1]]</f>
        <v>6</v>
      </c>
      <c r="AR279">
        <f t="shared" si="133"/>
        <v>0.55555555555555558</v>
      </c>
      <c r="AS279" s="32">
        <f t="shared" si="134"/>
        <v>3</v>
      </c>
    </row>
    <row r="280" spans="1:45" x14ac:dyDescent="0.45">
      <c r="A280">
        <f>step3_validation[[#This Row],[AI_ENF1]]</f>
        <v>8</v>
      </c>
      <c r="B280">
        <f t="shared" si="108"/>
        <v>0.77777777777777779</v>
      </c>
      <c r="C280">
        <f>[1]!survey_responses[[#This Row],[Tôi tin rằng với các quy định quản lý thuế hiện nay, hành vi gian lận hoặc trốn thuế sẽ dễ dàng bị phát hiện và xử lý nghiêm. - HUMAN-ENF1]]</f>
        <v>6</v>
      </c>
      <c r="D280">
        <f t="shared" si="109"/>
        <v>0.55555555555555558</v>
      </c>
      <c r="E280">
        <f>step3_validation[[#This Row],[AI_ENF2]]</f>
        <v>7</v>
      </c>
      <c r="F280">
        <f t="shared" si="110"/>
        <v>0.66666666666666663</v>
      </c>
      <c r="G280">
        <f>[1]!survey_responses[[#This Row],[Tôi tin rằng Nhà nước, cơ quan thuế có đủ khả năng và công nghệ để phát hiện, xử lý nghiêm các hành vi trốn thuế. - HUMAN-ENF2]]</f>
        <v>7</v>
      </c>
      <c r="H280">
        <f t="shared" si="111"/>
        <v>0.66666666666666663</v>
      </c>
      <c r="I280" s="32">
        <f t="shared" si="112"/>
        <v>0.72222222222222221</v>
      </c>
      <c r="J280" s="32">
        <f t="shared" si="113"/>
        <v>0.61111111111111116</v>
      </c>
      <c r="K280">
        <f>step3_validation[[#This Row],[AI_FAC1]]</f>
        <v>8</v>
      </c>
      <c r="L280">
        <f t="shared" si="114"/>
        <v>0.77777777777777779</v>
      </c>
      <c r="M280">
        <f>[1]!survey_responses[[#This Row],[Các thủ tục khai báo thuế VÀ/HOẶC quy trình làm việc với cơ quan thuế đơn giản, tiện lợi, nhanh chóng hơn so với trước đây. - HUMAN-FAC1]]</f>
        <v>5</v>
      </c>
      <c r="N280">
        <f t="shared" si="115"/>
        <v>0.44444444444444442</v>
      </c>
      <c r="O280">
        <f>step3_validation[[#This Row],[AI_FAC2]]</f>
        <v>9</v>
      </c>
      <c r="P280">
        <f t="shared" si="116"/>
        <v>0.88888888888888884</v>
      </c>
      <c r="Q280">
        <f>[1]!survey_responses[[#This Row],[So với trước đây, tôi thấy cách tính thuế và các bậc thuế trong phương án mới đơn giản, dễ hiểu và dễ thực hiện hơn. - HUMAN-FAC2]]</f>
        <v>8</v>
      </c>
      <c r="R280">
        <f t="shared" si="117"/>
        <v>0.77777777777777779</v>
      </c>
      <c r="S280" s="32">
        <f t="shared" si="118"/>
        <v>0.83333333333333326</v>
      </c>
      <c r="T280" s="32">
        <f t="shared" si="119"/>
        <v>0.61111111111111116</v>
      </c>
      <c r="U280">
        <f>step3_validation[[#This Row],[AI_TRU1]]</f>
        <v>7</v>
      </c>
      <c r="V280">
        <f t="shared" si="120"/>
        <v>0.66666666666666663</v>
      </c>
      <c r="W280">
        <f>[1]!survey_responses[[#This Row],[Tôi tin rằng Nhà nước, cơ quan thuế sẽ thực thi chính sách mới một cách khách quan, công tâm và đối xử bình đẳng với mọi người nộp thuế.  - HUMAN-TRU1]]</f>
        <v>6</v>
      </c>
      <c r="X280">
        <f t="shared" si="121"/>
        <v>0.55555555555555558</v>
      </c>
      <c r="Y280">
        <f>step3_validation[[#This Row],[AI_TRU2]]</f>
        <v>6</v>
      </c>
      <c r="Z280">
        <f t="shared" si="122"/>
        <v>0.55555555555555558</v>
      </c>
      <c r="AA280">
        <f>[1]!survey_responses[[#This Row],[Tôi thấy mức thuế tôi phải đóng theo phương án mới là công bằng (người thu nhập như tôi đóng mức này là hợp lý). - HUMAN-TRU2]]</f>
        <v>3</v>
      </c>
      <c r="AB280">
        <f t="shared" si="123"/>
        <v>0.22222222222222221</v>
      </c>
      <c r="AC280">
        <f>step3_validation[[#This Row],[AI_TRU3]]</f>
        <v>7</v>
      </c>
      <c r="AD280">
        <f t="shared" si="124"/>
        <v>0.66666666666666663</v>
      </c>
      <c r="AE280">
        <f>[1]!survey_responses[[#This Row],[Tôi tin tưởng số tiền thuế tôi đóng sẽ được Nhà nước sử dụng hiệu quả để cải thiện dịch vụ công (y tế, đường xá...). - HUMAN-TRU3]]</f>
        <v>6</v>
      </c>
      <c r="AF280">
        <f t="shared" si="125"/>
        <v>0.55555555555555558</v>
      </c>
      <c r="AG280">
        <f>step3_validation[[#This Row],[AI_TRU4]]</f>
        <v>6</v>
      </c>
      <c r="AH280">
        <f t="shared" si="126"/>
        <v>0.55555555555555558</v>
      </c>
      <c r="AI280">
        <f>[1]!survey_responses[[#This Row],[Tôi thấy Nhà nước đã giải thích rõ ràng, minh bạch về lý do và mục tiêu của việc sửa đổi thuế lần này. - HUMAN-TRU4]]</f>
        <v>8</v>
      </c>
      <c r="AJ280">
        <f t="shared" si="127"/>
        <v>0.77777777777777779</v>
      </c>
      <c r="AK280" s="32">
        <f t="shared" si="128"/>
        <v>0.61111111111111116</v>
      </c>
      <c r="AL280" s="32">
        <f t="shared" si="129"/>
        <v>0.52777777777777779</v>
      </c>
      <c r="AM280" s="7">
        <f t="shared" si="130"/>
        <v>0.72222222222222221</v>
      </c>
      <c r="AN280" s="7">
        <f t="shared" si="131"/>
        <v>0.58333333333333337</v>
      </c>
      <c r="AO280">
        <f>step3_validation[[#This Row],[AI_OUT1]]</f>
        <v>5</v>
      </c>
      <c r="AP280">
        <f t="shared" si="132"/>
        <v>0.44444444444444442</v>
      </c>
      <c r="AQ280">
        <f>[1]!survey_responses[[#This Row],[Sau khi xem xét các quyền lợi và nghĩa vụ, bạn có ủng hộ và tuân thủ chính sách mới hiện nay? - HUMAN-OUT1]]</f>
        <v>6</v>
      </c>
      <c r="AR280">
        <f t="shared" si="133"/>
        <v>0.55555555555555558</v>
      </c>
      <c r="AS280" s="32">
        <f t="shared" si="134"/>
        <v>1</v>
      </c>
    </row>
    <row r="281" spans="1:45" x14ac:dyDescent="0.45">
      <c r="A281">
        <f>step3_validation[[#This Row],[AI_ENF1]]</f>
        <v>7</v>
      </c>
      <c r="B281">
        <f t="shared" si="108"/>
        <v>0.66666666666666663</v>
      </c>
      <c r="C281">
        <f>[1]!survey_responses[[#This Row],[Tôi tin rằng với các quy định quản lý thuế hiện nay, hành vi gian lận hoặc trốn thuế sẽ dễ dàng bị phát hiện và xử lý nghiêm. - HUMAN-ENF1]]</f>
        <v>4</v>
      </c>
      <c r="D281">
        <f t="shared" si="109"/>
        <v>0.33333333333333331</v>
      </c>
      <c r="E281">
        <f>step3_validation[[#This Row],[AI_ENF2]]</f>
        <v>8</v>
      </c>
      <c r="F281">
        <f t="shared" si="110"/>
        <v>0.77777777777777779</v>
      </c>
      <c r="G281">
        <f>[1]!survey_responses[[#This Row],[Tôi tin rằng Nhà nước, cơ quan thuế có đủ khả năng và công nghệ để phát hiện, xử lý nghiêm các hành vi trốn thuế. - HUMAN-ENF2]]</f>
        <v>4</v>
      </c>
      <c r="H281">
        <f t="shared" si="111"/>
        <v>0.33333333333333331</v>
      </c>
      <c r="I281" s="32">
        <f t="shared" si="112"/>
        <v>0.72222222222222221</v>
      </c>
      <c r="J281" s="32">
        <f t="shared" si="113"/>
        <v>0.33333333333333331</v>
      </c>
      <c r="K281">
        <f>step3_validation[[#This Row],[AI_FAC1]]</f>
        <v>9</v>
      </c>
      <c r="L281">
        <f t="shared" si="114"/>
        <v>0.88888888888888884</v>
      </c>
      <c r="M281">
        <f>[1]!survey_responses[[#This Row],[Các thủ tục khai báo thuế VÀ/HOẶC quy trình làm việc với cơ quan thuế đơn giản, tiện lợi, nhanh chóng hơn so với trước đây. - HUMAN-FAC1]]</f>
        <v>1</v>
      </c>
      <c r="N281">
        <f t="shared" si="115"/>
        <v>0</v>
      </c>
      <c r="O281">
        <f>step3_validation[[#This Row],[AI_FAC2]]</f>
        <v>8</v>
      </c>
      <c r="P281">
        <f t="shared" si="116"/>
        <v>0.77777777777777779</v>
      </c>
      <c r="Q281">
        <f>[1]!survey_responses[[#This Row],[So với trước đây, tôi thấy cách tính thuế và các bậc thuế trong phương án mới đơn giản, dễ hiểu và dễ thực hiện hơn. - HUMAN-FAC2]]</f>
        <v>6</v>
      </c>
      <c r="R281">
        <f t="shared" si="117"/>
        <v>0.55555555555555558</v>
      </c>
      <c r="S281" s="32">
        <f t="shared" si="118"/>
        <v>0.83333333333333326</v>
      </c>
      <c r="T281" s="32">
        <f t="shared" si="119"/>
        <v>0.27777777777777779</v>
      </c>
      <c r="U281">
        <f>step3_validation[[#This Row],[AI_TRU1]]</f>
        <v>7</v>
      </c>
      <c r="V281">
        <f t="shared" si="120"/>
        <v>0.66666666666666663</v>
      </c>
      <c r="W281">
        <f>[1]!survey_responses[[#This Row],[Tôi tin rằng Nhà nước, cơ quan thuế sẽ thực thi chính sách mới một cách khách quan, công tâm và đối xử bình đẳng với mọi người nộp thuế.  - HUMAN-TRU1]]</f>
        <v>3</v>
      </c>
      <c r="X281">
        <f t="shared" si="121"/>
        <v>0.22222222222222221</v>
      </c>
      <c r="Y281">
        <f>step3_validation[[#This Row],[AI_TRU2]]</f>
        <v>8</v>
      </c>
      <c r="Z281">
        <f t="shared" si="122"/>
        <v>0.77777777777777779</v>
      </c>
      <c r="AA281">
        <f>[1]!survey_responses[[#This Row],[Tôi thấy mức thuế tôi phải đóng theo phương án mới là công bằng (người thu nhập như tôi đóng mức này là hợp lý). - HUMAN-TRU2]]</f>
        <v>2</v>
      </c>
      <c r="AB281">
        <f t="shared" si="123"/>
        <v>0.1111111111111111</v>
      </c>
      <c r="AC281">
        <f>step3_validation[[#This Row],[AI_TRU3]]</f>
        <v>7</v>
      </c>
      <c r="AD281">
        <f t="shared" si="124"/>
        <v>0.66666666666666663</v>
      </c>
      <c r="AE281">
        <f>[1]!survey_responses[[#This Row],[Tôi tin tưởng số tiền thuế tôi đóng sẽ được Nhà nước sử dụng hiệu quả để cải thiện dịch vụ công (y tế, đường xá...). - HUMAN-TRU3]]</f>
        <v>1</v>
      </c>
      <c r="AF281">
        <f t="shared" si="125"/>
        <v>0</v>
      </c>
      <c r="AG281">
        <f>step3_validation[[#This Row],[AI_TRU4]]</f>
        <v>6</v>
      </c>
      <c r="AH281">
        <f t="shared" si="126"/>
        <v>0.55555555555555558</v>
      </c>
      <c r="AI281">
        <f>[1]!survey_responses[[#This Row],[Tôi thấy Nhà nước đã giải thích rõ ràng, minh bạch về lý do và mục tiêu của việc sửa đổi thuế lần này. - HUMAN-TRU4]]</f>
        <v>5</v>
      </c>
      <c r="AJ281">
        <f t="shared" si="127"/>
        <v>0.44444444444444442</v>
      </c>
      <c r="AK281" s="32">
        <f t="shared" si="128"/>
        <v>0.66666666666666674</v>
      </c>
      <c r="AL281" s="32">
        <f t="shared" si="129"/>
        <v>0.19444444444444442</v>
      </c>
      <c r="AM281" s="7">
        <f t="shared" si="130"/>
        <v>0.74074074074074081</v>
      </c>
      <c r="AN281" s="7">
        <f t="shared" si="131"/>
        <v>0.26851851851851855</v>
      </c>
      <c r="AO281">
        <f>step3_validation[[#This Row],[AI_OUT1]]</f>
        <v>7</v>
      </c>
      <c r="AP281">
        <f t="shared" si="132"/>
        <v>0.66666666666666663</v>
      </c>
      <c r="AQ281">
        <f>[1]!survey_responses[[#This Row],[Sau khi xem xét các quyền lợi và nghĩa vụ, bạn có ủng hộ và tuân thủ chính sách mới hiện nay? - HUMAN-OUT1]]</f>
        <v>4</v>
      </c>
      <c r="AR281">
        <f t="shared" si="133"/>
        <v>0.33333333333333331</v>
      </c>
      <c r="AS281" s="32">
        <f t="shared" si="134"/>
        <v>3</v>
      </c>
    </row>
    <row r="282" spans="1:45" x14ac:dyDescent="0.45">
      <c r="A282">
        <f>step3_validation[[#This Row],[AI_ENF1]]</f>
        <v>6</v>
      </c>
      <c r="B282">
        <f t="shared" si="108"/>
        <v>0.55555555555555558</v>
      </c>
      <c r="C282">
        <f>[1]!survey_responses[[#This Row],[Tôi tin rằng với các quy định quản lý thuế hiện nay, hành vi gian lận hoặc trốn thuế sẽ dễ dàng bị phát hiện và xử lý nghiêm. - HUMAN-ENF1]]</f>
        <v>6</v>
      </c>
      <c r="D282">
        <f t="shared" si="109"/>
        <v>0.55555555555555558</v>
      </c>
      <c r="E282">
        <f>step3_validation[[#This Row],[AI_ENF2]]</f>
        <v>5</v>
      </c>
      <c r="F282">
        <f t="shared" si="110"/>
        <v>0.44444444444444442</v>
      </c>
      <c r="G282">
        <f>[1]!survey_responses[[#This Row],[Tôi tin rằng Nhà nước, cơ quan thuế có đủ khả năng và công nghệ để phát hiện, xử lý nghiêm các hành vi trốn thuế. - HUMAN-ENF2]]</f>
        <v>7</v>
      </c>
      <c r="H282">
        <f t="shared" si="111"/>
        <v>0.66666666666666663</v>
      </c>
      <c r="I282" s="32">
        <f t="shared" si="112"/>
        <v>0.5</v>
      </c>
      <c r="J282" s="32">
        <f t="shared" si="113"/>
        <v>0.61111111111111116</v>
      </c>
      <c r="K282">
        <f>step3_validation[[#This Row],[AI_FAC1]]</f>
        <v>7</v>
      </c>
      <c r="L282">
        <f t="shared" si="114"/>
        <v>0.66666666666666663</v>
      </c>
      <c r="M282">
        <f>[1]!survey_responses[[#This Row],[Các thủ tục khai báo thuế VÀ/HOẶC quy trình làm việc với cơ quan thuế đơn giản, tiện lợi, nhanh chóng hơn so với trước đây. - HUMAN-FAC1]]</f>
        <v>4</v>
      </c>
      <c r="N282">
        <f t="shared" si="115"/>
        <v>0.33333333333333331</v>
      </c>
      <c r="O282">
        <f>step3_validation[[#This Row],[AI_FAC2]]</f>
        <v>6</v>
      </c>
      <c r="P282">
        <f t="shared" si="116"/>
        <v>0.55555555555555558</v>
      </c>
      <c r="Q282">
        <f>[1]!survey_responses[[#This Row],[So với trước đây, tôi thấy cách tính thuế và các bậc thuế trong phương án mới đơn giản, dễ hiểu và dễ thực hiện hơn. - HUMAN-FAC2]]</f>
        <v>8</v>
      </c>
      <c r="R282">
        <f t="shared" si="117"/>
        <v>0.77777777777777779</v>
      </c>
      <c r="S282" s="32">
        <f t="shared" si="118"/>
        <v>0.61111111111111116</v>
      </c>
      <c r="T282" s="32">
        <f t="shared" si="119"/>
        <v>0.55555555555555558</v>
      </c>
      <c r="U282">
        <f>step3_validation[[#This Row],[AI_TRU1]]</f>
        <v>7</v>
      </c>
      <c r="V282">
        <f t="shared" si="120"/>
        <v>0.66666666666666663</v>
      </c>
      <c r="W282">
        <f>[1]!survey_responses[[#This Row],[Tôi tin rằng Nhà nước, cơ quan thuế sẽ thực thi chính sách mới một cách khách quan, công tâm và đối xử bình đẳng với mọi người nộp thuế.  - HUMAN-TRU1]]</f>
        <v>6</v>
      </c>
      <c r="X282">
        <f t="shared" si="121"/>
        <v>0.55555555555555558</v>
      </c>
      <c r="Y282">
        <f>step3_validation[[#This Row],[AI_TRU2]]</f>
        <v>5</v>
      </c>
      <c r="Z282">
        <f t="shared" si="122"/>
        <v>0.44444444444444442</v>
      </c>
      <c r="AA282">
        <f>[1]!survey_responses[[#This Row],[Tôi thấy mức thuế tôi phải đóng theo phương án mới là công bằng (người thu nhập như tôi đóng mức này là hợp lý). - HUMAN-TRU2]]</f>
        <v>6</v>
      </c>
      <c r="AB282">
        <f t="shared" si="123"/>
        <v>0.55555555555555558</v>
      </c>
      <c r="AC282">
        <f>step3_validation[[#This Row],[AI_TRU3]]</f>
        <v>6</v>
      </c>
      <c r="AD282">
        <f t="shared" si="124"/>
        <v>0.55555555555555558</v>
      </c>
      <c r="AE282">
        <f>[1]!survey_responses[[#This Row],[Tôi tin tưởng số tiền thuế tôi đóng sẽ được Nhà nước sử dụng hiệu quả để cải thiện dịch vụ công (y tế, đường xá...). - HUMAN-TRU3]]</f>
        <v>5</v>
      </c>
      <c r="AF282">
        <f t="shared" si="125"/>
        <v>0.44444444444444442</v>
      </c>
      <c r="AG282">
        <f>step3_validation[[#This Row],[AI_TRU4]]</f>
        <v>3</v>
      </c>
      <c r="AH282">
        <f t="shared" si="126"/>
        <v>0.22222222222222221</v>
      </c>
      <c r="AI282">
        <f>[1]!survey_responses[[#This Row],[Tôi thấy Nhà nước đã giải thích rõ ràng, minh bạch về lý do và mục tiêu của việc sửa đổi thuế lần này. - HUMAN-TRU4]]</f>
        <v>7</v>
      </c>
      <c r="AJ282">
        <f t="shared" si="127"/>
        <v>0.66666666666666663</v>
      </c>
      <c r="AK282" s="32">
        <f t="shared" si="128"/>
        <v>0.47222222222222221</v>
      </c>
      <c r="AL282" s="32">
        <f t="shared" si="129"/>
        <v>0.55555555555555558</v>
      </c>
      <c r="AM282" s="7">
        <f t="shared" si="130"/>
        <v>0.52777777777777779</v>
      </c>
      <c r="AN282" s="7">
        <f t="shared" si="131"/>
        <v>0.57407407407407407</v>
      </c>
      <c r="AO282">
        <f>step3_validation[[#This Row],[AI_OUT1]]</f>
        <v>4</v>
      </c>
      <c r="AP282">
        <f t="shared" si="132"/>
        <v>0.33333333333333331</v>
      </c>
      <c r="AQ282">
        <f>[1]!survey_responses[[#This Row],[Sau khi xem xét các quyền lợi và nghĩa vụ, bạn có ủng hộ và tuân thủ chính sách mới hiện nay? - HUMAN-OUT1]]</f>
        <v>6</v>
      </c>
      <c r="AR282">
        <f t="shared" si="133"/>
        <v>0.55555555555555558</v>
      </c>
      <c r="AS282" s="32">
        <f t="shared" si="134"/>
        <v>2</v>
      </c>
    </row>
    <row r="283" spans="1:45" x14ac:dyDescent="0.45">
      <c r="A283">
        <f>step3_validation[[#This Row],[AI_ENF1]]</f>
        <v>8</v>
      </c>
      <c r="B283">
        <f t="shared" si="108"/>
        <v>0.77777777777777779</v>
      </c>
      <c r="C283">
        <f>[1]!survey_responses[[#This Row],[Tôi tin rằng với các quy định quản lý thuế hiện nay, hành vi gian lận hoặc trốn thuế sẽ dễ dàng bị phát hiện và xử lý nghiêm. - HUMAN-ENF1]]</f>
        <v>8</v>
      </c>
      <c r="D283">
        <f t="shared" si="109"/>
        <v>0.77777777777777779</v>
      </c>
      <c r="E283">
        <f>step3_validation[[#This Row],[AI_ENF2]]</f>
        <v>7</v>
      </c>
      <c r="F283">
        <f t="shared" si="110"/>
        <v>0.66666666666666663</v>
      </c>
      <c r="G283">
        <f>[1]!survey_responses[[#This Row],[Tôi tin rằng Nhà nước, cơ quan thuế có đủ khả năng và công nghệ để phát hiện, xử lý nghiêm các hành vi trốn thuế. - HUMAN-ENF2]]</f>
        <v>8</v>
      </c>
      <c r="H283">
        <f t="shared" si="111"/>
        <v>0.77777777777777779</v>
      </c>
      <c r="I283" s="32">
        <f t="shared" si="112"/>
        <v>0.72222222222222221</v>
      </c>
      <c r="J283" s="32">
        <f t="shared" si="113"/>
        <v>0.77777777777777779</v>
      </c>
      <c r="K283">
        <f>step3_validation[[#This Row],[AI_FAC1]]</f>
        <v>9</v>
      </c>
      <c r="L283">
        <f t="shared" si="114"/>
        <v>0.88888888888888884</v>
      </c>
      <c r="M283">
        <f>[1]!survey_responses[[#This Row],[Các thủ tục khai báo thuế VÀ/HOẶC quy trình làm việc với cơ quan thuế đơn giản, tiện lợi, nhanh chóng hơn so với trước đây. - HUMAN-FAC1]]</f>
        <v>9</v>
      </c>
      <c r="N283">
        <f t="shared" si="115"/>
        <v>0.88888888888888884</v>
      </c>
      <c r="O283">
        <f>step3_validation[[#This Row],[AI_FAC2]]</f>
        <v>8</v>
      </c>
      <c r="P283">
        <f t="shared" si="116"/>
        <v>0.77777777777777779</v>
      </c>
      <c r="Q283">
        <f>[1]!survey_responses[[#This Row],[So với trước đây, tôi thấy cách tính thuế và các bậc thuế trong phương án mới đơn giản, dễ hiểu và dễ thực hiện hơn. - HUMAN-FAC2]]</f>
        <v>9</v>
      </c>
      <c r="R283">
        <f t="shared" si="117"/>
        <v>0.88888888888888884</v>
      </c>
      <c r="S283" s="32">
        <f t="shared" si="118"/>
        <v>0.83333333333333326</v>
      </c>
      <c r="T283" s="32">
        <f t="shared" si="119"/>
        <v>0.88888888888888884</v>
      </c>
      <c r="U283">
        <f>step3_validation[[#This Row],[AI_TRU1]]</f>
        <v>7</v>
      </c>
      <c r="V283">
        <f t="shared" si="120"/>
        <v>0.66666666666666663</v>
      </c>
      <c r="W283">
        <f>[1]!survey_responses[[#This Row],[Tôi tin rằng Nhà nước, cơ quan thuế sẽ thực thi chính sách mới một cách khách quan, công tâm và đối xử bình đẳng với mọi người nộp thuế.  - HUMAN-TRU1]]</f>
        <v>7</v>
      </c>
      <c r="X283">
        <f t="shared" si="121"/>
        <v>0.66666666666666663</v>
      </c>
      <c r="Y283">
        <f>step3_validation[[#This Row],[AI_TRU2]]</f>
        <v>6</v>
      </c>
      <c r="Z283">
        <f t="shared" si="122"/>
        <v>0.55555555555555558</v>
      </c>
      <c r="AA283">
        <f>[1]!survey_responses[[#This Row],[Tôi thấy mức thuế tôi phải đóng theo phương án mới là công bằng (người thu nhập như tôi đóng mức này là hợp lý). - HUMAN-TRU2]]</f>
        <v>8</v>
      </c>
      <c r="AB283">
        <f t="shared" si="123"/>
        <v>0.77777777777777779</v>
      </c>
      <c r="AC283">
        <f>step3_validation[[#This Row],[AI_TRU3]]</f>
        <v>7</v>
      </c>
      <c r="AD283">
        <f t="shared" si="124"/>
        <v>0.66666666666666663</v>
      </c>
      <c r="AE283">
        <f>[1]!survey_responses[[#This Row],[Tôi tin tưởng số tiền thuế tôi đóng sẽ được Nhà nước sử dụng hiệu quả để cải thiện dịch vụ công (y tế, đường xá...). - HUMAN-TRU3]]</f>
        <v>8</v>
      </c>
      <c r="AF283">
        <f t="shared" si="125"/>
        <v>0.77777777777777779</v>
      </c>
      <c r="AG283">
        <f>step3_validation[[#This Row],[AI_TRU4]]</f>
        <v>6</v>
      </c>
      <c r="AH283">
        <f t="shared" si="126"/>
        <v>0.55555555555555558</v>
      </c>
      <c r="AI283">
        <f>[1]!survey_responses[[#This Row],[Tôi thấy Nhà nước đã giải thích rõ ràng, minh bạch về lý do và mục tiêu của việc sửa đổi thuế lần này. - HUMAN-TRU4]]</f>
        <v>8</v>
      </c>
      <c r="AJ283">
        <f t="shared" si="127"/>
        <v>0.77777777777777779</v>
      </c>
      <c r="AK283" s="32">
        <f t="shared" si="128"/>
        <v>0.61111111111111116</v>
      </c>
      <c r="AL283" s="32">
        <f t="shared" si="129"/>
        <v>0.75</v>
      </c>
      <c r="AM283" s="7">
        <f t="shared" si="130"/>
        <v>0.72222222222222221</v>
      </c>
      <c r="AN283" s="7">
        <f t="shared" si="131"/>
        <v>0.80555555555555547</v>
      </c>
      <c r="AO283">
        <f>step3_validation[[#This Row],[AI_OUT1]]</f>
        <v>7</v>
      </c>
      <c r="AP283">
        <f t="shared" si="132"/>
        <v>0.66666666666666663</v>
      </c>
      <c r="AQ283">
        <f>[1]!survey_responses[[#This Row],[Sau khi xem xét các quyền lợi và nghĩa vụ, bạn có ủng hộ và tuân thủ chính sách mới hiện nay? - HUMAN-OUT1]]</f>
        <v>7</v>
      </c>
      <c r="AR283">
        <f t="shared" si="133"/>
        <v>0.66666666666666663</v>
      </c>
      <c r="AS283" s="32">
        <f t="shared" si="134"/>
        <v>0</v>
      </c>
    </row>
    <row r="284" spans="1:45" x14ac:dyDescent="0.45">
      <c r="A284">
        <f>step3_validation[[#This Row],[AI_ENF1]]</f>
        <v>7</v>
      </c>
      <c r="B284">
        <f t="shared" si="108"/>
        <v>0.66666666666666663</v>
      </c>
      <c r="C284">
        <f>[1]!survey_responses[[#This Row],[Tôi tin rằng với các quy định quản lý thuế hiện nay, hành vi gian lận hoặc trốn thuế sẽ dễ dàng bị phát hiện và xử lý nghiêm. - HUMAN-ENF1]]</f>
        <v>5</v>
      </c>
      <c r="D284">
        <f t="shared" si="109"/>
        <v>0.44444444444444442</v>
      </c>
      <c r="E284">
        <f>step3_validation[[#This Row],[AI_ENF2]]</f>
        <v>6</v>
      </c>
      <c r="F284">
        <f t="shared" si="110"/>
        <v>0.55555555555555558</v>
      </c>
      <c r="G284">
        <f>[1]!survey_responses[[#This Row],[Tôi tin rằng Nhà nước, cơ quan thuế có đủ khả năng và công nghệ để phát hiện, xử lý nghiêm các hành vi trốn thuế. - HUMAN-ENF2]]</f>
        <v>5</v>
      </c>
      <c r="H284">
        <f t="shared" si="111"/>
        <v>0.44444444444444442</v>
      </c>
      <c r="I284" s="32">
        <f t="shared" si="112"/>
        <v>0.61111111111111116</v>
      </c>
      <c r="J284" s="32">
        <f t="shared" si="113"/>
        <v>0.44444444444444442</v>
      </c>
      <c r="K284">
        <f>step3_validation[[#This Row],[AI_FAC1]]</f>
        <v>8</v>
      </c>
      <c r="L284">
        <f t="shared" si="114"/>
        <v>0.77777777777777779</v>
      </c>
      <c r="M284">
        <f>[1]!survey_responses[[#This Row],[Các thủ tục khai báo thuế VÀ/HOẶC quy trình làm việc với cơ quan thuế đơn giản, tiện lợi, nhanh chóng hơn so với trước đây. - HUMAN-FAC1]]</f>
        <v>2</v>
      </c>
      <c r="N284">
        <f t="shared" si="115"/>
        <v>0.1111111111111111</v>
      </c>
      <c r="O284">
        <f>step3_validation[[#This Row],[AI_FAC2]]</f>
        <v>7</v>
      </c>
      <c r="P284">
        <f t="shared" si="116"/>
        <v>0.66666666666666663</v>
      </c>
      <c r="Q284">
        <f>[1]!survey_responses[[#This Row],[So với trước đây, tôi thấy cách tính thuế và các bậc thuế trong phương án mới đơn giản, dễ hiểu và dễ thực hiện hơn. - HUMAN-FAC2]]</f>
        <v>6</v>
      </c>
      <c r="R284">
        <f t="shared" si="117"/>
        <v>0.55555555555555558</v>
      </c>
      <c r="S284" s="32">
        <f t="shared" si="118"/>
        <v>0.72222222222222221</v>
      </c>
      <c r="T284" s="32">
        <f t="shared" si="119"/>
        <v>0.33333333333333337</v>
      </c>
      <c r="U284">
        <f>step3_validation[[#This Row],[AI_TRU1]]</f>
        <v>8</v>
      </c>
      <c r="V284">
        <f t="shared" si="120"/>
        <v>0.77777777777777779</v>
      </c>
      <c r="W284">
        <f>[1]!survey_responses[[#This Row],[Tôi tin rằng Nhà nước, cơ quan thuế sẽ thực thi chính sách mới một cách khách quan, công tâm và đối xử bình đẳng với mọi người nộp thuế.  - HUMAN-TRU1]]</f>
        <v>5</v>
      </c>
      <c r="X284">
        <f t="shared" si="121"/>
        <v>0.44444444444444442</v>
      </c>
      <c r="Y284">
        <f>step3_validation[[#This Row],[AI_TRU2]]</f>
        <v>7</v>
      </c>
      <c r="Z284">
        <f t="shared" si="122"/>
        <v>0.66666666666666663</v>
      </c>
      <c r="AA284">
        <f>[1]!survey_responses[[#This Row],[Tôi thấy mức thuế tôi phải đóng theo phương án mới là công bằng (người thu nhập như tôi đóng mức này là hợp lý). - HUMAN-TRU2]]</f>
        <v>4</v>
      </c>
      <c r="AB284">
        <f t="shared" si="123"/>
        <v>0.33333333333333331</v>
      </c>
      <c r="AC284">
        <f>step3_validation[[#This Row],[AI_TRU3]]</f>
        <v>6</v>
      </c>
      <c r="AD284">
        <f t="shared" si="124"/>
        <v>0.55555555555555558</v>
      </c>
      <c r="AE284">
        <f>[1]!survey_responses[[#This Row],[Tôi tin tưởng số tiền thuế tôi đóng sẽ được Nhà nước sử dụng hiệu quả để cải thiện dịch vụ công (y tế, đường xá...). - HUMAN-TRU3]]</f>
        <v>5</v>
      </c>
      <c r="AF284">
        <f t="shared" si="125"/>
        <v>0.44444444444444442</v>
      </c>
      <c r="AG284">
        <f>step3_validation[[#This Row],[AI_TRU4]]</f>
        <v>5</v>
      </c>
      <c r="AH284">
        <f t="shared" si="126"/>
        <v>0.44444444444444442</v>
      </c>
      <c r="AI284">
        <f>[1]!survey_responses[[#This Row],[Tôi thấy Nhà nước đã giải thích rõ ràng, minh bạch về lý do và mục tiêu của việc sửa đổi thuế lần này. - HUMAN-TRU4]]</f>
        <v>5</v>
      </c>
      <c r="AJ284">
        <f t="shared" si="127"/>
        <v>0.44444444444444442</v>
      </c>
      <c r="AK284" s="32">
        <f t="shared" si="128"/>
        <v>0.61111111111111116</v>
      </c>
      <c r="AL284" s="32">
        <f t="shared" si="129"/>
        <v>0.41666666666666663</v>
      </c>
      <c r="AM284" s="7">
        <f t="shared" si="130"/>
        <v>0.64814814814814825</v>
      </c>
      <c r="AN284" s="7">
        <f t="shared" si="131"/>
        <v>0.39814814814814814</v>
      </c>
      <c r="AO284">
        <f>step3_validation[[#This Row],[AI_OUT1]]</f>
        <v>7</v>
      </c>
      <c r="AP284">
        <f t="shared" si="132"/>
        <v>0.66666666666666663</v>
      </c>
      <c r="AQ284">
        <f>[1]!survey_responses[[#This Row],[Sau khi xem xét các quyền lợi và nghĩa vụ, bạn có ủng hộ và tuân thủ chính sách mới hiện nay? - HUMAN-OUT1]]</f>
        <v>4</v>
      </c>
      <c r="AR284">
        <f t="shared" si="133"/>
        <v>0.33333333333333331</v>
      </c>
      <c r="AS284" s="32">
        <f t="shared" si="134"/>
        <v>3</v>
      </c>
    </row>
    <row r="285" spans="1:45" x14ac:dyDescent="0.45">
      <c r="A285">
        <f>step3_validation[[#This Row],[AI_ENF1]]</f>
        <v>7</v>
      </c>
      <c r="B285">
        <f t="shared" si="108"/>
        <v>0.66666666666666663</v>
      </c>
      <c r="C285">
        <f>[1]!survey_responses[[#This Row],[Tôi tin rằng với các quy định quản lý thuế hiện nay, hành vi gian lận hoặc trốn thuế sẽ dễ dàng bị phát hiện và xử lý nghiêm. - HUMAN-ENF1]]</f>
        <v>7</v>
      </c>
      <c r="D285">
        <f t="shared" si="109"/>
        <v>0.66666666666666663</v>
      </c>
      <c r="E285">
        <f>step3_validation[[#This Row],[AI_ENF2]]</f>
        <v>8</v>
      </c>
      <c r="F285">
        <f t="shared" si="110"/>
        <v>0.77777777777777779</v>
      </c>
      <c r="G285">
        <f>[1]!survey_responses[[#This Row],[Tôi tin rằng Nhà nước, cơ quan thuế có đủ khả năng và công nghệ để phát hiện, xử lý nghiêm các hành vi trốn thuế. - HUMAN-ENF2]]</f>
        <v>7</v>
      </c>
      <c r="H285">
        <f t="shared" si="111"/>
        <v>0.66666666666666663</v>
      </c>
      <c r="I285" s="32">
        <f t="shared" si="112"/>
        <v>0.72222222222222221</v>
      </c>
      <c r="J285" s="32">
        <f t="shared" si="113"/>
        <v>0.66666666666666663</v>
      </c>
      <c r="K285">
        <f>step3_validation[[#This Row],[AI_FAC1]]</f>
        <v>9</v>
      </c>
      <c r="L285">
        <f t="shared" si="114"/>
        <v>0.88888888888888884</v>
      </c>
      <c r="M285">
        <f>[1]!survey_responses[[#This Row],[Các thủ tục khai báo thuế VÀ/HOẶC quy trình làm việc với cơ quan thuế đơn giản, tiện lợi, nhanh chóng hơn so với trước đây. - HUMAN-FAC1]]</f>
        <v>5</v>
      </c>
      <c r="N285">
        <f t="shared" si="115"/>
        <v>0.44444444444444442</v>
      </c>
      <c r="O285">
        <f>step3_validation[[#This Row],[AI_FAC2]]</f>
        <v>8</v>
      </c>
      <c r="P285">
        <f t="shared" si="116"/>
        <v>0.77777777777777779</v>
      </c>
      <c r="Q285">
        <f>[1]!survey_responses[[#This Row],[So với trước đây, tôi thấy cách tính thuế và các bậc thuế trong phương án mới đơn giản, dễ hiểu và dễ thực hiện hơn. - HUMAN-FAC2]]</f>
        <v>7</v>
      </c>
      <c r="R285">
        <f t="shared" si="117"/>
        <v>0.66666666666666663</v>
      </c>
      <c r="S285" s="32">
        <f t="shared" si="118"/>
        <v>0.83333333333333326</v>
      </c>
      <c r="T285" s="32">
        <f t="shared" si="119"/>
        <v>0.55555555555555558</v>
      </c>
      <c r="U285">
        <f>step3_validation[[#This Row],[AI_TRU1]]</f>
        <v>7</v>
      </c>
      <c r="V285">
        <f t="shared" si="120"/>
        <v>0.66666666666666663</v>
      </c>
      <c r="W285">
        <f>[1]!survey_responses[[#This Row],[Tôi tin rằng Nhà nước, cơ quan thuế sẽ thực thi chính sách mới một cách khách quan, công tâm và đối xử bình đẳng với mọi người nộp thuế.  - HUMAN-TRU1]]</f>
        <v>5</v>
      </c>
      <c r="X285">
        <f t="shared" si="121"/>
        <v>0.44444444444444442</v>
      </c>
      <c r="Y285">
        <f>step3_validation[[#This Row],[AI_TRU2]]</f>
        <v>6</v>
      </c>
      <c r="Z285">
        <f t="shared" si="122"/>
        <v>0.55555555555555558</v>
      </c>
      <c r="AA285">
        <f>[1]!survey_responses[[#This Row],[Tôi thấy mức thuế tôi phải đóng theo phương án mới là công bằng (người thu nhập như tôi đóng mức này là hợp lý). - HUMAN-TRU2]]</f>
        <v>6</v>
      </c>
      <c r="AB285">
        <f t="shared" si="123"/>
        <v>0.55555555555555558</v>
      </c>
      <c r="AC285">
        <f>step3_validation[[#This Row],[AI_TRU3]]</f>
        <v>5</v>
      </c>
      <c r="AD285">
        <f t="shared" si="124"/>
        <v>0.44444444444444442</v>
      </c>
      <c r="AE285">
        <f>[1]!survey_responses[[#This Row],[Tôi tin tưởng số tiền thuế tôi đóng sẽ được Nhà nước sử dụng hiệu quả để cải thiện dịch vụ công (y tế, đường xá...). - HUMAN-TRU3]]</f>
        <v>5</v>
      </c>
      <c r="AF285">
        <f t="shared" si="125"/>
        <v>0.44444444444444442</v>
      </c>
      <c r="AG285">
        <f>step3_validation[[#This Row],[AI_TRU4]]</f>
        <v>4</v>
      </c>
      <c r="AH285">
        <f t="shared" si="126"/>
        <v>0.33333333333333331</v>
      </c>
      <c r="AI285">
        <f>[1]!survey_responses[[#This Row],[Tôi thấy Nhà nước đã giải thích rõ ràng, minh bạch về lý do và mục tiêu của việc sửa đổi thuế lần này. - HUMAN-TRU4]]</f>
        <v>7</v>
      </c>
      <c r="AJ285">
        <f t="shared" si="127"/>
        <v>0.66666666666666663</v>
      </c>
      <c r="AK285" s="32">
        <f t="shared" si="128"/>
        <v>0.5</v>
      </c>
      <c r="AL285" s="32">
        <f t="shared" si="129"/>
        <v>0.52777777777777779</v>
      </c>
      <c r="AM285" s="7">
        <f t="shared" si="130"/>
        <v>0.68518518518518512</v>
      </c>
      <c r="AN285" s="7">
        <f t="shared" si="131"/>
        <v>0.58333333333333337</v>
      </c>
      <c r="AO285">
        <f>step3_validation[[#This Row],[AI_OUT1]]</f>
        <v>5</v>
      </c>
      <c r="AP285">
        <f t="shared" si="132"/>
        <v>0.44444444444444442</v>
      </c>
      <c r="AQ285">
        <f>[1]!survey_responses[[#This Row],[Sau khi xem xét các quyền lợi và nghĩa vụ, bạn có ủng hộ và tuân thủ chính sách mới hiện nay? - HUMAN-OUT1]]</f>
        <v>6</v>
      </c>
      <c r="AR285">
        <f t="shared" si="133"/>
        <v>0.55555555555555558</v>
      </c>
      <c r="AS285" s="32">
        <f t="shared" si="134"/>
        <v>1</v>
      </c>
    </row>
    <row r="286" spans="1:45" x14ac:dyDescent="0.45">
      <c r="A286">
        <f>step3_validation[[#This Row],[AI_ENF1]]</f>
        <v>7</v>
      </c>
      <c r="B286">
        <f t="shared" si="108"/>
        <v>0.66666666666666663</v>
      </c>
      <c r="C286">
        <f>[1]!survey_responses[[#This Row],[Tôi tin rằng với các quy định quản lý thuế hiện nay, hành vi gian lận hoặc trốn thuế sẽ dễ dàng bị phát hiện và xử lý nghiêm. - HUMAN-ENF1]]</f>
        <v>7</v>
      </c>
      <c r="D286">
        <f t="shared" si="109"/>
        <v>0.66666666666666663</v>
      </c>
      <c r="E286">
        <f>step3_validation[[#This Row],[AI_ENF2]]</f>
        <v>6</v>
      </c>
      <c r="F286">
        <f t="shared" si="110"/>
        <v>0.55555555555555558</v>
      </c>
      <c r="G286">
        <f>[1]!survey_responses[[#This Row],[Tôi tin rằng Nhà nước, cơ quan thuế có đủ khả năng và công nghệ để phát hiện, xử lý nghiêm các hành vi trốn thuế. - HUMAN-ENF2]]</f>
        <v>7</v>
      </c>
      <c r="H286">
        <f t="shared" si="111"/>
        <v>0.66666666666666663</v>
      </c>
      <c r="I286" s="32">
        <f t="shared" si="112"/>
        <v>0.61111111111111116</v>
      </c>
      <c r="J286" s="32">
        <f t="shared" si="113"/>
        <v>0.66666666666666663</v>
      </c>
      <c r="K286">
        <f>step3_validation[[#This Row],[AI_FAC1]]</f>
        <v>8</v>
      </c>
      <c r="L286">
        <f t="shared" si="114"/>
        <v>0.77777777777777779</v>
      </c>
      <c r="M286">
        <f>[1]!survey_responses[[#This Row],[Các thủ tục khai báo thuế VÀ/HOẶC quy trình làm việc với cơ quan thuế đơn giản, tiện lợi, nhanh chóng hơn so với trước đây. - HUMAN-FAC1]]</f>
        <v>5</v>
      </c>
      <c r="N286">
        <f t="shared" si="115"/>
        <v>0.44444444444444442</v>
      </c>
      <c r="O286">
        <f>step3_validation[[#This Row],[AI_FAC2]]</f>
        <v>9</v>
      </c>
      <c r="P286">
        <f t="shared" si="116"/>
        <v>0.88888888888888884</v>
      </c>
      <c r="Q286">
        <f>[1]!survey_responses[[#This Row],[So với trước đây, tôi thấy cách tính thuế và các bậc thuế trong phương án mới đơn giản, dễ hiểu và dễ thực hiện hơn. - HUMAN-FAC2]]</f>
        <v>8</v>
      </c>
      <c r="R286">
        <f t="shared" si="117"/>
        <v>0.77777777777777779</v>
      </c>
      <c r="S286" s="32">
        <f t="shared" si="118"/>
        <v>0.83333333333333326</v>
      </c>
      <c r="T286" s="32">
        <f t="shared" si="119"/>
        <v>0.61111111111111116</v>
      </c>
      <c r="U286">
        <f>step3_validation[[#This Row],[AI_TRU1]]</f>
        <v>6</v>
      </c>
      <c r="V286">
        <f t="shared" si="120"/>
        <v>0.55555555555555558</v>
      </c>
      <c r="W286">
        <f>[1]!survey_responses[[#This Row],[Tôi tin rằng Nhà nước, cơ quan thuế sẽ thực thi chính sách mới một cách khách quan, công tâm và đối xử bình đẳng với mọi người nộp thuế.  - HUMAN-TRU1]]</f>
        <v>6</v>
      </c>
      <c r="X286">
        <f t="shared" si="121"/>
        <v>0.55555555555555558</v>
      </c>
      <c r="Y286">
        <f>step3_validation[[#This Row],[AI_TRU2]]</f>
        <v>8</v>
      </c>
      <c r="Z286">
        <f t="shared" si="122"/>
        <v>0.77777777777777779</v>
      </c>
      <c r="AA286">
        <f>[1]!survey_responses[[#This Row],[Tôi thấy mức thuế tôi phải đóng theo phương án mới là công bằng (người thu nhập như tôi đóng mức này là hợp lý). - HUMAN-TRU2]]</f>
        <v>6</v>
      </c>
      <c r="AB286">
        <f t="shared" si="123"/>
        <v>0.55555555555555558</v>
      </c>
      <c r="AC286">
        <f>step3_validation[[#This Row],[AI_TRU3]]</f>
        <v>7</v>
      </c>
      <c r="AD286">
        <f t="shared" si="124"/>
        <v>0.66666666666666663</v>
      </c>
      <c r="AE286">
        <f>[1]!survey_responses[[#This Row],[Tôi tin tưởng số tiền thuế tôi đóng sẽ được Nhà nước sử dụng hiệu quả để cải thiện dịch vụ công (y tế, đường xá...). - HUMAN-TRU3]]</f>
        <v>6</v>
      </c>
      <c r="AF286">
        <f t="shared" si="125"/>
        <v>0.55555555555555558</v>
      </c>
      <c r="AG286">
        <f>step3_validation[[#This Row],[AI_TRU4]]</f>
        <v>5</v>
      </c>
      <c r="AH286">
        <f t="shared" si="126"/>
        <v>0.44444444444444442</v>
      </c>
      <c r="AI286">
        <f>[1]!survey_responses[[#This Row],[Tôi thấy Nhà nước đã giải thích rõ ràng, minh bạch về lý do và mục tiêu của việc sửa đổi thuế lần này. - HUMAN-TRU4]]</f>
        <v>7</v>
      </c>
      <c r="AJ286">
        <f t="shared" si="127"/>
        <v>0.66666666666666663</v>
      </c>
      <c r="AK286" s="32">
        <f t="shared" si="128"/>
        <v>0.61111111111111116</v>
      </c>
      <c r="AL286" s="32">
        <f t="shared" si="129"/>
        <v>0.58333333333333337</v>
      </c>
      <c r="AM286" s="7">
        <f t="shared" si="130"/>
        <v>0.68518518518518512</v>
      </c>
      <c r="AN286" s="7">
        <f t="shared" si="131"/>
        <v>0.62037037037037035</v>
      </c>
      <c r="AO286">
        <f>step3_validation[[#This Row],[AI_OUT1]]</f>
        <v>7</v>
      </c>
      <c r="AP286">
        <f t="shared" si="132"/>
        <v>0.66666666666666663</v>
      </c>
      <c r="AQ286">
        <f>[1]!survey_responses[[#This Row],[Sau khi xem xét các quyền lợi và nghĩa vụ, bạn có ủng hộ và tuân thủ chính sách mới hiện nay? - HUMAN-OUT1]]</f>
        <v>7</v>
      </c>
      <c r="AR286">
        <f t="shared" si="133"/>
        <v>0.66666666666666663</v>
      </c>
      <c r="AS286" s="32">
        <f t="shared" si="134"/>
        <v>0</v>
      </c>
    </row>
    <row r="287" spans="1:45" x14ac:dyDescent="0.45">
      <c r="A287">
        <f>step3_validation[[#This Row],[AI_ENF1]]</f>
        <v>8</v>
      </c>
      <c r="B287">
        <f t="shared" si="108"/>
        <v>0.77777777777777779</v>
      </c>
      <c r="C287">
        <f>[1]!survey_responses[[#This Row],[Tôi tin rằng với các quy định quản lý thuế hiện nay, hành vi gian lận hoặc trốn thuế sẽ dễ dàng bị phát hiện và xử lý nghiêm. - HUMAN-ENF1]]</f>
        <v>4</v>
      </c>
      <c r="D287">
        <f t="shared" si="109"/>
        <v>0.33333333333333331</v>
      </c>
      <c r="E287">
        <f>step3_validation[[#This Row],[AI_ENF2]]</f>
        <v>7</v>
      </c>
      <c r="F287">
        <f t="shared" si="110"/>
        <v>0.66666666666666663</v>
      </c>
      <c r="G287">
        <f>[1]!survey_responses[[#This Row],[Tôi tin rằng Nhà nước, cơ quan thuế có đủ khả năng và công nghệ để phát hiện, xử lý nghiêm các hành vi trốn thuế. - HUMAN-ENF2]]</f>
        <v>4</v>
      </c>
      <c r="H287">
        <f t="shared" si="111"/>
        <v>0.33333333333333331</v>
      </c>
      <c r="I287" s="32">
        <f t="shared" si="112"/>
        <v>0.72222222222222221</v>
      </c>
      <c r="J287" s="32">
        <f t="shared" si="113"/>
        <v>0.33333333333333331</v>
      </c>
      <c r="K287">
        <f>step3_validation[[#This Row],[AI_FAC1]]</f>
        <v>9</v>
      </c>
      <c r="L287">
        <f t="shared" si="114"/>
        <v>0.88888888888888884</v>
      </c>
      <c r="M287">
        <f>[1]!survey_responses[[#This Row],[Các thủ tục khai báo thuế VÀ/HOẶC quy trình làm việc với cơ quan thuế đơn giản, tiện lợi, nhanh chóng hơn so với trước đây. - HUMAN-FAC1]]</f>
        <v>2</v>
      </c>
      <c r="N287">
        <f t="shared" si="115"/>
        <v>0.1111111111111111</v>
      </c>
      <c r="O287">
        <f>step3_validation[[#This Row],[AI_FAC2]]</f>
        <v>8</v>
      </c>
      <c r="P287">
        <f t="shared" si="116"/>
        <v>0.77777777777777779</v>
      </c>
      <c r="Q287">
        <f>[1]!survey_responses[[#This Row],[So với trước đây, tôi thấy cách tính thuế và các bậc thuế trong phương án mới đơn giản, dễ hiểu và dễ thực hiện hơn. - HUMAN-FAC2]]</f>
        <v>8</v>
      </c>
      <c r="R287">
        <f t="shared" si="117"/>
        <v>0.77777777777777779</v>
      </c>
      <c r="S287" s="32">
        <f t="shared" si="118"/>
        <v>0.83333333333333326</v>
      </c>
      <c r="T287" s="32">
        <f t="shared" si="119"/>
        <v>0.44444444444444442</v>
      </c>
      <c r="U287">
        <f>step3_validation[[#This Row],[AI_TRU1]]</f>
        <v>7</v>
      </c>
      <c r="V287">
        <f t="shared" si="120"/>
        <v>0.66666666666666663</v>
      </c>
      <c r="W287">
        <f>[1]!survey_responses[[#This Row],[Tôi tin rằng Nhà nước, cơ quan thuế sẽ thực thi chính sách mới một cách khách quan, công tâm và đối xử bình đẳng với mọi người nộp thuế.  - HUMAN-TRU1]]</f>
        <v>5</v>
      </c>
      <c r="X287">
        <f t="shared" si="121"/>
        <v>0.44444444444444442</v>
      </c>
      <c r="Y287">
        <f>step3_validation[[#This Row],[AI_TRU2]]</f>
        <v>8</v>
      </c>
      <c r="Z287">
        <f t="shared" si="122"/>
        <v>0.77777777777777779</v>
      </c>
      <c r="AA287">
        <f>[1]!survey_responses[[#This Row],[Tôi thấy mức thuế tôi phải đóng theo phương án mới là công bằng (người thu nhập như tôi đóng mức này là hợp lý). - HUMAN-TRU2]]</f>
        <v>5</v>
      </c>
      <c r="AB287">
        <f t="shared" si="123"/>
        <v>0.44444444444444442</v>
      </c>
      <c r="AC287">
        <f>step3_validation[[#This Row],[AI_TRU3]]</f>
        <v>7</v>
      </c>
      <c r="AD287">
        <f t="shared" si="124"/>
        <v>0.66666666666666663</v>
      </c>
      <c r="AE287">
        <f>[1]!survey_responses[[#This Row],[Tôi tin tưởng số tiền thuế tôi đóng sẽ được Nhà nước sử dụng hiệu quả để cải thiện dịch vụ công (y tế, đường xá...). - HUMAN-TRU3]]</f>
        <v>4</v>
      </c>
      <c r="AF287">
        <f t="shared" si="125"/>
        <v>0.33333333333333331</v>
      </c>
      <c r="AG287">
        <f>step3_validation[[#This Row],[AI_TRU4]]</f>
        <v>6</v>
      </c>
      <c r="AH287">
        <f t="shared" si="126"/>
        <v>0.55555555555555558</v>
      </c>
      <c r="AI287">
        <f>[1]!survey_responses[[#This Row],[Tôi thấy Nhà nước đã giải thích rõ ràng, minh bạch về lý do và mục tiêu của việc sửa đổi thuế lần này. - HUMAN-TRU4]]</f>
        <v>6</v>
      </c>
      <c r="AJ287">
        <f t="shared" si="127"/>
        <v>0.55555555555555558</v>
      </c>
      <c r="AK287" s="32">
        <f t="shared" si="128"/>
        <v>0.66666666666666674</v>
      </c>
      <c r="AL287" s="32">
        <f t="shared" si="129"/>
        <v>0.44444444444444442</v>
      </c>
      <c r="AM287" s="7">
        <f t="shared" si="130"/>
        <v>0.74074074074074081</v>
      </c>
      <c r="AN287" s="7">
        <f t="shared" si="131"/>
        <v>0.40740740740740738</v>
      </c>
      <c r="AO287">
        <f>step3_validation[[#This Row],[AI_OUT1]]</f>
        <v>7</v>
      </c>
      <c r="AP287">
        <f t="shared" si="132"/>
        <v>0.66666666666666663</v>
      </c>
      <c r="AQ287">
        <f>[1]!survey_responses[[#This Row],[Sau khi xem xét các quyền lợi và nghĩa vụ, bạn có ủng hộ và tuân thủ chính sách mới hiện nay? - HUMAN-OUT1]]</f>
        <v>5</v>
      </c>
      <c r="AR287">
        <f t="shared" si="133"/>
        <v>0.44444444444444442</v>
      </c>
      <c r="AS287" s="32">
        <f t="shared" si="134"/>
        <v>2</v>
      </c>
    </row>
    <row r="288" spans="1:45" x14ac:dyDescent="0.45">
      <c r="A288">
        <f>step3_validation[[#This Row],[AI_ENF1]]</f>
        <v>8</v>
      </c>
      <c r="B288">
        <f t="shared" si="108"/>
        <v>0.77777777777777779</v>
      </c>
      <c r="C288">
        <f>[1]!survey_responses[[#This Row],[Tôi tin rằng với các quy định quản lý thuế hiện nay, hành vi gian lận hoặc trốn thuế sẽ dễ dàng bị phát hiện và xử lý nghiêm. - HUMAN-ENF1]]</f>
        <v>10</v>
      </c>
      <c r="D288">
        <f t="shared" si="109"/>
        <v>1</v>
      </c>
      <c r="E288">
        <f>step3_validation[[#This Row],[AI_ENF2]]</f>
        <v>7</v>
      </c>
      <c r="F288">
        <f t="shared" si="110"/>
        <v>0.66666666666666663</v>
      </c>
      <c r="G288">
        <f>[1]!survey_responses[[#This Row],[Tôi tin rằng Nhà nước, cơ quan thuế có đủ khả năng và công nghệ để phát hiện, xử lý nghiêm các hành vi trốn thuế. - HUMAN-ENF2]]</f>
        <v>10</v>
      </c>
      <c r="H288">
        <f t="shared" si="111"/>
        <v>1</v>
      </c>
      <c r="I288" s="32">
        <f t="shared" si="112"/>
        <v>0.72222222222222221</v>
      </c>
      <c r="J288" s="32">
        <f t="shared" si="113"/>
        <v>1</v>
      </c>
      <c r="K288">
        <f>step3_validation[[#This Row],[AI_FAC1]]</f>
        <v>8</v>
      </c>
      <c r="L288">
        <f t="shared" si="114"/>
        <v>0.77777777777777779</v>
      </c>
      <c r="M288">
        <f>[1]!survey_responses[[#This Row],[Các thủ tục khai báo thuế VÀ/HOẶC quy trình làm việc với cơ quan thuế đơn giản, tiện lợi, nhanh chóng hơn so với trước đây. - HUMAN-FAC1]]</f>
        <v>7</v>
      </c>
      <c r="N288">
        <f t="shared" si="115"/>
        <v>0.66666666666666663</v>
      </c>
      <c r="O288">
        <f>step3_validation[[#This Row],[AI_FAC2]]</f>
        <v>9</v>
      </c>
      <c r="P288">
        <f t="shared" si="116"/>
        <v>0.88888888888888884</v>
      </c>
      <c r="Q288">
        <f>[1]!survey_responses[[#This Row],[So với trước đây, tôi thấy cách tính thuế và các bậc thuế trong phương án mới đơn giản, dễ hiểu và dễ thực hiện hơn. - HUMAN-FAC2]]</f>
        <v>7</v>
      </c>
      <c r="R288">
        <f t="shared" si="117"/>
        <v>0.66666666666666663</v>
      </c>
      <c r="S288" s="32">
        <f t="shared" si="118"/>
        <v>0.83333333333333326</v>
      </c>
      <c r="T288" s="32">
        <f t="shared" si="119"/>
        <v>0.66666666666666663</v>
      </c>
      <c r="U288">
        <f>step3_validation[[#This Row],[AI_TRU1]]</f>
        <v>7</v>
      </c>
      <c r="V288">
        <f t="shared" si="120"/>
        <v>0.66666666666666663</v>
      </c>
      <c r="W288">
        <f>[1]!survey_responses[[#This Row],[Tôi tin rằng Nhà nước, cơ quan thuế sẽ thực thi chính sách mới một cách khách quan, công tâm và đối xử bình đẳng với mọi người nộp thuế.  - HUMAN-TRU1]]</f>
        <v>8</v>
      </c>
      <c r="X288">
        <f t="shared" si="121"/>
        <v>0.77777777777777779</v>
      </c>
      <c r="Y288">
        <f>step3_validation[[#This Row],[AI_TRU2]]</f>
        <v>6</v>
      </c>
      <c r="Z288">
        <f t="shared" si="122"/>
        <v>0.55555555555555558</v>
      </c>
      <c r="AA288">
        <f>[1]!survey_responses[[#This Row],[Tôi thấy mức thuế tôi phải đóng theo phương án mới là công bằng (người thu nhập như tôi đóng mức này là hợp lý). - HUMAN-TRU2]]</f>
        <v>7</v>
      </c>
      <c r="AB288">
        <f t="shared" si="123"/>
        <v>0.66666666666666663</v>
      </c>
      <c r="AC288">
        <f>step3_validation[[#This Row],[AI_TRU3]]</f>
        <v>7</v>
      </c>
      <c r="AD288">
        <f t="shared" si="124"/>
        <v>0.66666666666666663</v>
      </c>
      <c r="AE288">
        <f>[1]!survey_responses[[#This Row],[Tôi tin tưởng số tiền thuế tôi đóng sẽ được Nhà nước sử dụng hiệu quả để cải thiện dịch vụ công (y tế, đường xá...). - HUMAN-TRU3]]</f>
        <v>8</v>
      </c>
      <c r="AF288">
        <f t="shared" si="125"/>
        <v>0.77777777777777779</v>
      </c>
      <c r="AG288">
        <f>step3_validation[[#This Row],[AI_TRU4]]</f>
        <v>6</v>
      </c>
      <c r="AH288">
        <f t="shared" si="126"/>
        <v>0.55555555555555558</v>
      </c>
      <c r="AI288">
        <f>[1]!survey_responses[[#This Row],[Tôi thấy Nhà nước đã giải thích rõ ràng, minh bạch về lý do và mục tiêu của việc sửa đổi thuế lần này. - HUMAN-TRU4]]</f>
        <v>8</v>
      </c>
      <c r="AJ288">
        <f t="shared" si="127"/>
        <v>0.77777777777777779</v>
      </c>
      <c r="AK288" s="32">
        <f t="shared" si="128"/>
        <v>0.61111111111111116</v>
      </c>
      <c r="AL288" s="32">
        <f t="shared" si="129"/>
        <v>0.75</v>
      </c>
      <c r="AM288" s="7">
        <f t="shared" si="130"/>
        <v>0.72222222222222221</v>
      </c>
      <c r="AN288" s="7">
        <f t="shared" si="131"/>
        <v>0.80555555555555547</v>
      </c>
      <c r="AO288">
        <f>step3_validation[[#This Row],[AI_OUT1]]</f>
        <v>7</v>
      </c>
      <c r="AP288">
        <f t="shared" si="132"/>
        <v>0.66666666666666663</v>
      </c>
      <c r="AQ288">
        <f>[1]!survey_responses[[#This Row],[Sau khi xem xét các quyền lợi và nghĩa vụ, bạn có ủng hộ và tuân thủ chính sách mới hiện nay? - HUMAN-OUT1]]</f>
        <v>8</v>
      </c>
      <c r="AR288">
        <f t="shared" si="133"/>
        <v>0.77777777777777779</v>
      </c>
      <c r="AS288" s="32">
        <f t="shared" si="134"/>
        <v>1</v>
      </c>
    </row>
    <row r="289" spans="1:45" x14ac:dyDescent="0.45">
      <c r="A289">
        <f>step3_validation[[#This Row],[AI_ENF1]]</f>
        <v>6</v>
      </c>
      <c r="B289">
        <f t="shared" si="108"/>
        <v>0.55555555555555558</v>
      </c>
      <c r="C289">
        <f>[1]!survey_responses[[#This Row],[Tôi tin rằng với các quy định quản lý thuế hiện nay, hành vi gian lận hoặc trốn thuế sẽ dễ dàng bị phát hiện và xử lý nghiêm. - HUMAN-ENF1]]</f>
        <v>8</v>
      </c>
      <c r="D289">
        <f t="shared" si="109"/>
        <v>0.77777777777777779</v>
      </c>
      <c r="E289">
        <f>step3_validation[[#This Row],[AI_ENF2]]</f>
        <v>7</v>
      </c>
      <c r="F289">
        <f t="shared" si="110"/>
        <v>0.66666666666666663</v>
      </c>
      <c r="G289">
        <f>[1]!survey_responses[[#This Row],[Tôi tin rằng Nhà nước, cơ quan thuế có đủ khả năng và công nghệ để phát hiện, xử lý nghiêm các hành vi trốn thuế. - HUMAN-ENF2]]</f>
        <v>8</v>
      </c>
      <c r="H289">
        <f t="shared" si="111"/>
        <v>0.77777777777777779</v>
      </c>
      <c r="I289" s="32">
        <f t="shared" si="112"/>
        <v>0.61111111111111116</v>
      </c>
      <c r="J289" s="32">
        <f t="shared" si="113"/>
        <v>0.77777777777777779</v>
      </c>
      <c r="K289">
        <f>step3_validation[[#This Row],[AI_FAC1]]</f>
        <v>8</v>
      </c>
      <c r="L289">
        <f t="shared" si="114"/>
        <v>0.77777777777777779</v>
      </c>
      <c r="M289">
        <f>[1]!survey_responses[[#This Row],[Các thủ tục khai báo thuế VÀ/HOẶC quy trình làm việc với cơ quan thuế đơn giản, tiện lợi, nhanh chóng hơn so với trước đây. - HUMAN-FAC1]]</f>
        <v>5</v>
      </c>
      <c r="N289">
        <f t="shared" si="115"/>
        <v>0.44444444444444442</v>
      </c>
      <c r="O289">
        <f>step3_validation[[#This Row],[AI_FAC2]]</f>
        <v>9</v>
      </c>
      <c r="P289">
        <f t="shared" si="116"/>
        <v>0.88888888888888884</v>
      </c>
      <c r="Q289">
        <f>[1]!survey_responses[[#This Row],[So với trước đây, tôi thấy cách tính thuế và các bậc thuế trong phương án mới đơn giản, dễ hiểu và dễ thực hiện hơn. - HUMAN-FAC2]]</f>
        <v>9</v>
      </c>
      <c r="R289">
        <f t="shared" si="117"/>
        <v>0.88888888888888884</v>
      </c>
      <c r="S289" s="32">
        <f t="shared" si="118"/>
        <v>0.83333333333333326</v>
      </c>
      <c r="T289" s="32">
        <f t="shared" si="119"/>
        <v>0.66666666666666663</v>
      </c>
      <c r="U289">
        <f>step3_validation[[#This Row],[AI_TRU1]]</f>
        <v>7</v>
      </c>
      <c r="V289">
        <f t="shared" si="120"/>
        <v>0.66666666666666663</v>
      </c>
      <c r="W289">
        <f>[1]!survey_responses[[#This Row],[Tôi tin rằng Nhà nước, cơ quan thuế sẽ thực thi chính sách mới một cách khách quan, công tâm và đối xử bình đẳng với mọi người nộp thuế.  - HUMAN-TRU1]]</f>
        <v>10</v>
      </c>
      <c r="X289">
        <f t="shared" si="121"/>
        <v>1</v>
      </c>
      <c r="Y289">
        <f>step3_validation[[#This Row],[AI_TRU2]]</f>
        <v>8</v>
      </c>
      <c r="Z289">
        <f t="shared" si="122"/>
        <v>0.77777777777777779</v>
      </c>
      <c r="AA289">
        <f>[1]!survey_responses[[#This Row],[Tôi thấy mức thuế tôi phải đóng theo phương án mới là công bằng (người thu nhập như tôi đóng mức này là hợp lý). - HUMAN-TRU2]]</f>
        <v>10</v>
      </c>
      <c r="AB289">
        <f t="shared" si="123"/>
        <v>1</v>
      </c>
      <c r="AC289">
        <f>step3_validation[[#This Row],[AI_TRU3]]</f>
        <v>7</v>
      </c>
      <c r="AD289">
        <f t="shared" si="124"/>
        <v>0.66666666666666663</v>
      </c>
      <c r="AE289">
        <f>[1]!survey_responses[[#This Row],[Tôi tin tưởng số tiền thuế tôi đóng sẽ được Nhà nước sử dụng hiệu quả để cải thiện dịch vụ công (y tế, đường xá...). - HUMAN-TRU3]]</f>
        <v>9</v>
      </c>
      <c r="AF289">
        <f t="shared" si="125"/>
        <v>0.88888888888888884</v>
      </c>
      <c r="AG289">
        <f>step3_validation[[#This Row],[AI_TRU4]]</f>
        <v>5</v>
      </c>
      <c r="AH289">
        <f t="shared" si="126"/>
        <v>0.44444444444444442</v>
      </c>
      <c r="AI289">
        <f>[1]!survey_responses[[#This Row],[Tôi thấy Nhà nước đã giải thích rõ ràng, minh bạch về lý do và mục tiêu của việc sửa đổi thuế lần này. - HUMAN-TRU4]]</f>
        <v>9</v>
      </c>
      <c r="AJ289">
        <f t="shared" si="127"/>
        <v>0.88888888888888884</v>
      </c>
      <c r="AK289" s="32">
        <f t="shared" si="128"/>
        <v>0.63888888888888884</v>
      </c>
      <c r="AL289" s="32">
        <f t="shared" si="129"/>
        <v>0.94444444444444442</v>
      </c>
      <c r="AM289" s="7">
        <f t="shared" si="130"/>
        <v>0.69444444444444431</v>
      </c>
      <c r="AN289" s="7">
        <f t="shared" si="131"/>
        <v>0.79629629629629628</v>
      </c>
      <c r="AO289">
        <f>step3_validation[[#This Row],[AI_OUT1]]</f>
        <v>8</v>
      </c>
      <c r="AP289">
        <f t="shared" si="132"/>
        <v>0.77777777777777779</v>
      </c>
      <c r="AQ289">
        <f>[1]!survey_responses[[#This Row],[Sau khi xem xét các quyền lợi và nghĩa vụ, bạn có ủng hộ và tuân thủ chính sách mới hiện nay? - HUMAN-OUT1]]</f>
        <v>10</v>
      </c>
      <c r="AR289">
        <f t="shared" si="133"/>
        <v>1</v>
      </c>
      <c r="AS289" s="32">
        <f t="shared" si="134"/>
        <v>2</v>
      </c>
    </row>
    <row r="290" spans="1:45" x14ac:dyDescent="0.45">
      <c r="A290">
        <f>step3_validation[[#This Row],[AI_ENF1]]</f>
        <v>7</v>
      </c>
      <c r="B290">
        <f t="shared" si="108"/>
        <v>0.66666666666666663</v>
      </c>
      <c r="C290">
        <f>[1]!survey_responses[[#This Row],[Tôi tin rằng với các quy định quản lý thuế hiện nay, hành vi gian lận hoặc trốn thuế sẽ dễ dàng bị phát hiện và xử lý nghiêm. - HUMAN-ENF1]]</f>
        <v>7</v>
      </c>
      <c r="D290">
        <f t="shared" si="109"/>
        <v>0.66666666666666663</v>
      </c>
      <c r="E290">
        <f>step3_validation[[#This Row],[AI_ENF2]]</f>
        <v>6</v>
      </c>
      <c r="F290">
        <f t="shared" si="110"/>
        <v>0.55555555555555558</v>
      </c>
      <c r="G290">
        <f>[1]!survey_responses[[#This Row],[Tôi tin rằng Nhà nước, cơ quan thuế có đủ khả năng và công nghệ để phát hiện, xử lý nghiêm các hành vi trốn thuế. - HUMAN-ENF2]]</f>
        <v>7</v>
      </c>
      <c r="H290">
        <f t="shared" si="111"/>
        <v>0.66666666666666663</v>
      </c>
      <c r="I290" s="32">
        <f t="shared" si="112"/>
        <v>0.61111111111111116</v>
      </c>
      <c r="J290" s="32">
        <f t="shared" si="113"/>
        <v>0.66666666666666663</v>
      </c>
      <c r="K290">
        <f>step3_validation[[#This Row],[AI_FAC1]]</f>
        <v>8</v>
      </c>
      <c r="L290">
        <f t="shared" si="114"/>
        <v>0.77777777777777779</v>
      </c>
      <c r="M290">
        <f>[1]!survey_responses[[#This Row],[Các thủ tục khai báo thuế VÀ/HOẶC quy trình làm việc với cơ quan thuế đơn giản, tiện lợi, nhanh chóng hơn so với trước đây. - HUMAN-FAC1]]</f>
        <v>5</v>
      </c>
      <c r="N290">
        <f t="shared" si="115"/>
        <v>0.44444444444444442</v>
      </c>
      <c r="O290">
        <f>step3_validation[[#This Row],[AI_FAC2]]</f>
        <v>9</v>
      </c>
      <c r="P290">
        <f t="shared" si="116"/>
        <v>0.88888888888888884</v>
      </c>
      <c r="Q290">
        <f>[1]!survey_responses[[#This Row],[So với trước đây, tôi thấy cách tính thuế và các bậc thuế trong phương án mới đơn giản, dễ hiểu và dễ thực hiện hơn. - HUMAN-FAC2]]</f>
        <v>6</v>
      </c>
      <c r="R290">
        <f t="shared" si="117"/>
        <v>0.55555555555555558</v>
      </c>
      <c r="S290" s="32">
        <f t="shared" si="118"/>
        <v>0.83333333333333326</v>
      </c>
      <c r="T290" s="32">
        <f t="shared" si="119"/>
        <v>0.5</v>
      </c>
      <c r="U290">
        <f>step3_validation[[#This Row],[AI_TRU1]]</f>
        <v>6</v>
      </c>
      <c r="V290">
        <f t="shared" si="120"/>
        <v>0.55555555555555558</v>
      </c>
      <c r="W290">
        <f>[1]!survey_responses[[#This Row],[Tôi tin rằng Nhà nước, cơ quan thuế sẽ thực thi chính sách mới một cách khách quan, công tâm và đối xử bình đẳng với mọi người nộp thuế.  - HUMAN-TRU1]]</f>
        <v>5</v>
      </c>
      <c r="X290">
        <f t="shared" si="121"/>
        <v>0.44444444444444442</v>
      </c>
      <c r="Y290">
        <f>step3_validation[[#This Row],[AI_TRU2]]</f>
        <v>7</v>
      </c>
      <c r="Z290">
        <f t="shared" si="122"/>
        <v>0.66666666666666663</v>
      </c>
      <c r="AA290">
        <f>[1]!survey_responses[[#This Row],[Tôi thấy mức thuế tôi phải đóng theo phương án mới là công bằng (người thu nhập như tôi đóng mức này là hợp lý). - HUMAN-TRU2]]</f>
        <v>5</v>
      </c>
      <c r="AB290">
        <f t="shared" si="123"/>
        <v>0.44444444444444442</v>
      </c>
      <c r="AC290">
        <f>step3_validation[[#This Row],[AI_TRU3]]</f>
        <v>7</v>
      </c>
      <c r="AD290">
        <f t="shared" si="124"/>
        <v>0.66666666666666663</v>
      </c>
      <c r="AE290">
        <f>[1]!survey_responses[[#This Row],[Tôi tin tưởng số tiền thuế tôi đóng sẽ được Nhà nước sử dụng hiệu quả để cải thiện dịch vụ công (y tế, đường xá...). - HUMAN-TRU3]]</f>
        <v>5</v>
      </c>
      <c r="AF290">
        <f t="shared" si="125"/>
        <v>0.44444444444444442</v>
      </c>
      <c r="AG290">
        <f>step3_validation[[#This Row],[AI_TRU4]]</f>
        <v>5</v>
      </c>
      <c r="AH290">
        <f t="shared" si="126"/>
        <v>0.44444444444444442</v>
      </c>
      <c r="AI290">
        <f>[1]!survey_responses[[#This Row],[Tôi thấy Nhà nước đã giải thích rõ ràng, minh bạch về lý do và mục tiêu của việc sửa đổi thuế lần này. - HUMAN-TRU4]]</f>
        <v>5</v>
      </c>
      <c r="AJ290">
        <f t="shared" si="127"/>
        <v>0.44444444444444442</v>
      </c>
      <c r="AK290" s="32">
        <f t="shared" si="128"/>
        <v>0.58333333333333326</v>
      </c>
      <c r="AL290" s="32">
        <f t="shared" si="129"/>
        <v>0.44444444444444442</v>
      </c>
      <c r="AM290" s="7">
        <f t="shared" si="130"/>
        <v>0.67592592592592593</v>
      </c>
      <c r="AN290" s="7">
        <f t="shared" si="131"/>
        <v>0.53703703703703698</v>
      </c>
      <c r="AO290">
        <f>step3_validation[[#This Row],[AI_OUT1]]</f>
        <v>6</v>
      </c>
      <c r="AP290">
        <f t="shared" si="132"/>
        <v>0.55555555555555558</v>
      </c>
      <c r="AQ290">
        <f>[1]!survey_responses[[#This Row],[Sau khi xem xét các quyền lợi và nghĩa vụ, bạn có ủng hộ và tuân thủ chính sách mới hiện nay? - HUMAN-OUT1]]</f>
        <v>6</v>
      </c>
      <c r="AR290">
        <f t="shared" si="133"/>
        <v>0.55555555555555558</v>
      </c>
      <c r="AS290" s="32">
        <f t="shared" si="134"/>
        <v>0</v>
      </c>
    </row>
    <row r="291" spans="1:45" x14ac:dyDescent="0.45">
      <c r="A291">
        <f>step3_validation[[#This Row],[AI_ENF1]]</f>
        <v>7</v>
      </c>
      <c r="B291">
        <f t="shared" si="108"/>
        <v>0.66666666666666663</v>
      </c>
      <c r="C291">
        <f>[1]!survey_responses[[#This Row],[Tôi tin rằng với các quy định quản lý thuế hiện nay, hành vi gian lận hoặc trốn thuế sẽ dễ dàng bị phát hiện và xử lý nghiêm. - HUMAN-ENF1]]</f>
        <v>8</v>
      </c>
      <c r="D291">
        <f t="shared" si="109"/>
        <v>0.77777777777777779</v>
      </c>
      <c r="E291">
        <f>step3_validation[[#This Row],[AI_ENF2]]</f>
        <v>6</v>
      </c>
      <c r="F291">
        <f t="shared" si="110"/>
        <v>0.55555555555555558</v>
      </c>
      <c r="G291">
        <f>[1]!survey_responses[[#This Row],[Tôi tin rằng Nhà nước, cơ quan thuế có đủ khả năng và công nghệ để phát hiện, xử lý nghiêm các hành vi trốn thuế. - HUMAN-ENF2]]</f>
        <v>8</v>
      </c>
      <c r="H291">
        <f t="shared" si="111"/>
        <v>0.77777777777777779</v>
      </c>
      <c r="I291" s="32">
        <f t="shared" si="112"/>
        <v>0.61111111111111116</v>
      </c>
      <c r="J291" s="32">
        <f t="shared" si="113"/>
        <v>0.77777777777777779</v>
      </c>
      <c r="K291">
        <f>step3_validation[[#This Row],[AI_FAC1]]</f>
        <v>8</v>
      </c>
      <c r="L291">
        <f t="shared" si="114"/>
        <v>0.77777777777777779</v>
      </c>
      <c r="M291">
        <f>[1]!survey_responses[[#This Row],[Các thủ tục khai báo thuế VÀ/HOẶC quy trình làm việc với cơ quan thuế đơn giản, tiện lợi, nhanh chóng hơn so với trước đây. - HUMAN-FAC1]]</f>
        <v>8</v>
      </c>
      <c r="N291">
        <f t="shared" si="115"/>
        <v>0.77777777777777779</v>
      </c>
      <c r="O291">
        <f>step3_validation[[#This Row],[AI_FAC2]]</f>
        <v>7</v>
      </c>
      <c r="P291">
        <f t="shared" si="116"/>
        <v>0.66666666666666663</v>
      </c>
      <c r="Q291">
        <f>[1]!survey_responses[[#This Row],[So với trước đây, tôi thấy cách tính thuế và các bậc thuế trong phương án mới đơn giản, dễ hiểu và dễ thực hiện hơn. - HUMAN-FAC2]]</f>
        <v>8</v>
      </c>
      <c r="R291">
        <f t="shared" si="117"/>
        <v>0.77777777777777779</v>
      </c>
      <c r="S291" s="32">
        <f t="shared" si="118"/>
        <v>0.72222222222222221</v>
      </c>
      <c r="T291" s="32">
        <f t="shared" si="119"/>
        <v>0.77777777777777779</v>
      </c>
      <c r="U291">
        <f>step3_validation[[#This Row],[AI_TRU1]]</f>
        <v>8</v>
      </c>
      <c r="V291">
        <f t="shared" si="120"/>
        <v>0.77777777777777779</v>
      </c>
      <c r="W291">
        <f>[1]!survey_responses[[#This Row],[Tôi tin rằng Nhà nước, cơ quan thuế sẽ thực thi chính sách mới một cách khách quan, công tâm và đối xử bình đẳng với mọi người nộp thuế.  - HUMAN-TRU1]]</f>
        <v>8</v>
      </c>
      <c r="X291">
        <f t="shared" si="121"/>
        <v>0.77777777777777779</v>
      </c>
      <c r="Y291">
        <f>step3_validation[[#This Row],[AI_TRU2]]</f>
        <v>6</v>
      </c>
      <c r="Z291">
        <f t="shared" si="122"/>
        <v>0.55555555555555558</v>
      </c>
      <c r="AA291">
        <f>[1]!survey_responses[[#This Row],[Tôi thấy mức thuế tôi phải đóng theo phương án mới là công bằng (người thu nhập như tôi đóng mức này là hợp lý). - HUMAN-TRU2]]</f>
        <v>8</v>
      </c>
      <c r="AB291">
        <f t="shared" si="123"/>
        <v>0.77777777777777779</v>
      </c>
      <c r="AC291">
        <f>step3_validation[[#This Row],[AI_TRU3]]</f>
        <v>7</v>
      </c>
      <c r="AD291">
        <f t="shared" si="124"/>
        <v>0.66666666666666663</v>
      </c>
      <c r="AE291">
        <f>[1]!survey_responses[[#This Row],[Tôi tin tưởng số tiền thuế tôi đóng sẽ được Nhà nước sử dụng hiệu quả để cải thiện dịch vụ công (y tế, đường xá...). - HUMAN-TRU3]]</f>
        <v>8</v>
      </c>
      <c r="AF291">
        <f t="shared" si="125"/>
        <v>0.77777777777777779</v>
      </c>
      <c r="AG291">
        <f>step3_validation[[#This Row],[AI_TRU4]]</f>
        <v>6</v>
      </c>
      <c r="AH291">
        <f t="shared" si="126"/>
        <v>0.55555555555555558</v>
      </c>
      <c r="AI291">
        <f>[1]!survey_responses[[#This Row],[Tôi thấy Nhà nước đã giải thích rõ ràng, minh bạch về lý do và mục tiêu của việc sửa đổi thuế lần này. - HUMAN-TRU4]]</f>
        <v>8</v>
      </c>
      <c r="AJ291">
        <f t="shared" si="127"/>
        <v>0.77777777777777779</v>
      </c>
      <c r="AK291" s="32">
        <f t="shared" si="128"/>
        <v>0.63888888888888884</v>
      </c>
      <c r="AL291" s="32">
        <f t="shared" si="129"/>
        <v>0.77777777777777779</v>
      </c>
      <c r="AM291" s="7">
        <f t="shared" si="130"/>
        <v>0.65740740740740744</v>
      </c>
      <c r="AN291" s="7">
        <f t="shared" si="131"/>
        <v>0.77777777777777779</v>
      </c>
      <c r="AO291">
        <f>step3_validation[[#This Row],[AI_OUT1]]</f>
        <v>7</v>
      </c>
      <c r="AP291">
        <f t="shared" si="132"/>
        <v>0.66666666666666663</v>
      </c>
      <c r="AQ291">
        <f>[1]!survey_responses[[#This Row],[Sau khi xem xét các quyền lợi và nghĩa vụ, bạn có ủng hộ và tuân thủ chính sách mới hiện nay? - HUMAN-OUT1]]</f>
        <v>8</v>
      </c>
      <c r="AR291">
        <f t="shared" si="133"/>
        <v>0.77777777777777779</v>
      </c>
      <c r="AS291" s="32">
        <f t="shared" si="134"/>
        <v>1</v>
      </c>
    </row>
    <row r="292" spans="1:45" x14ac:dyDescent="0.45">
      <c r="A292">
        <f>step3_validation[[#This Row],[AI_ENF1]]</f>
        <v>7</v>
      </c>
      <c r="B292">
        <f t="shared" si="108"/>
        <v>0.66666666666666663</v>
      </c>
      <c r="C292">
        <f>[1]!survey_responses[[#This Row],[Tôi tin rằng với các quy định quản lý thuế hiện nay, hành vi gian lận hoặc trốn thuế sẽ dễ dàng bị phát hiện và xử lý nghiêm. - HUMAN-ENF1]]</f>
        <v>9</v>
      </c>
      <c r="D292">
        <f t="shared" si="109"/>
        <v>0.88888888888888884</v>
      </c>
      <c r="E292">
        <f>step3_validation[[#This Row],[AI_ENF2]]</f>
        <v>8</v>
      </c>
      <c r="F292">
        <f t="shared" si="110"/>
        <v>0.77777777777777779</v>
      </c>
      <c r="G292">
        <f>[1]!survey_responses[[#This Row],[Tôi tin rằng Nhà nước, cơ quan thuế có đủ khả năng và công nghệ để phát hiện, xử lý nghiêm các hành vi trốn thuế. - HUMAN-ENF2]]</f>
        <v>9</v>
      </c>
      <c r="H292">
        <f t="shared" si="111"/>
        <v>0.88888888888888884</v>
      </c>
      <c r="I292" s="32">
        <f t="shared" si="112"/>
        <v>0.72222222222222221</v>
      </c>
      <c r="J292" s="32">
        <f t="shared" si="113"/>
        <v>0.88888888888888884</v>
      </c>
      <c r="K292">
        <f>step3_validation[[#This Row],[AI_FAC1]]</f>
        <v>9</v>
      </c>
      <c r="L292">
        <f t="shared" si="114"/>
        <v>0.88888888888888884</v>
      </c>
      <c r="M292">
        <f>[1]!survey_responses[[#This Row],[Các thủ tục khai báo thuế VÀ/HOẶC quy trình làm việc với cơ quan thuế đơn giản, tiện lợi, nhanh chóng hơn so với trước đây. - HUMAN-FAC1]]</f>
        <v>3</v>
      </c>
      <c r="N292">
        <f t="shared" si="115"/>
        <v>0.22222222222222221</v>
      </c>
      <c r="O292">
        <f>step3_validation[[#This Row],[AI_FAC2]]</f>
        <v>8</v>
      </c>
      <c r="P292">
        <f t="shared" si="116"/>
        <v>0.77777777777777779</v>
      </c>
      <c r="Q292">
        <f>[1]!survey_responses[[#This Row],[So với trước đây, tôi thấy cách tính thuế và các bậc thuế trong phương án mới đơn giản, dễ hiểu và dễ thực hiện hơn. - HUMAN-FAC2]]</f>
        <v>10</v>
      </c>
      <c r="R292">
        <f t="shared" si="117"/>
        <v>1</v>
      </c>
      <c r="S292" s="32">
        <f t="shared" si="118"/>
        <v>0.83333333333333326</v>
      </c>
      <c r="T292" s="32">
        <f t="shared" si="119"/>
        <v>0.61111111111111116</v>
      </c>
      <c r="U292">
        <f>step3_validation[[#This Row],[AI_TRU1]]</f>
        <v>9</v>
      </c>
      <c r="V292">
        <f t="shared" si="120"/>
        <v>0.88888888888888884</v>
      </c>
      <c r="W292">
        <f>[1]!survey_responses[[#This Row],[Tôi tin rằng Nhà nước, cơ quan thuế sẽ thực thi chính sách mới một cách khách quan, công tâm và đối xử bình đẳng với mọi người nộp thuế.  - HUMAN-TRU1]]</f>
        <v>8</v>
      </c>
      <c r="X292">
        <f t="shared" si="121"/>
        <v>0.77777777777777779</v>
      </c>
      <c r="Y292">
        <f>step3_validation[[#This Row],[AI_TRU2]]</f>
        <v>6</v>
      </c>
      <c r="Z292">
        <f t="shared" si="122"/>
        <v>0.55555555555555558</v>
      </c>
      <c r="AA292">
        <f>[1]!survey_responses[[#This Row],[Tôi thấy mức thuế tôi phải đóng theo phương án mới là công bằng (người thu nhập như tôi đóng mức này là hợp lý). - HUMAN-TRU2]]</f>
        <v>8</v>
      </c>
      <c r="AB292">
        <f t="shared" si="123"/>
        <v>0.77777777777777779</v>
      </c>
      <c r="AC292">
        <f>step3_validation[[#This Row],[AI_TRU3]]</f>
        <v>8</v>
      </c>
      <c r="AD292">
        <f t="shared" si="124"/>
        <v>0.77777777777777779</v>
      </c>
      <c r="AE292">
        <f>[1]!survey_responses[[#This Row],[Tôi tin tưởng số tiền thuế tôi đóng sẽ được Nhà nước sử dụng hiệu quả để cải thiện dịch vụ công (y tế, đường xá...). - HUMAN-TRU3]]</f>
        <v>6</v>
      </c>
      <c r="AF292">
        <f t="shared" si="125"/>
        <v>0.55555555555555558</v>
      </c>
      <c r="AG292">
        <f>step3_validation[[#This Row],[AI_TRU4]]</f>
        <v>7</v>
      </c>
      <c r="AH292">
        <f t="shared" si="126"/>
        <v>0.66666666666666663</v>
      </c>
      <c r="AI292">
        <f>[1]!survey_responses[[#This Row],[Tôi thấy Nhà nước đã giải thích rõ ràng, minh bạch về lý do và mục tiêu của việc sửa đổi thuế lần này. - HUMAN-TRU4]]</f>
        <v>8</v>
      </c>
      <c r="AJ292">
        <f t="shared" si="127"/>
        <v>0.77777777777777779</v>
      </c>
      <c r="AK292" s="32">
        <f t="shared" si="128"/>
        <v>0.72222222222222221</v>
      </c>
      <c r="AL292" s="32">
        <f t="shared" si="129"/>
        <v>0.72222222222222221</v>
      </c>
      <c r="AM292" s="7">
        <f t="shared" si="130"/>
        <v>0.75925925925925919</v>
      </c>
      <c r="AN292" s="7">
        <f t="shared" si="131"/>
        <v>0.74074074074074081</v>
      </c>
      <c r="AO292">
        <f>step3_validation[[#This Row],[AI_OUT1]]</f>
        <v>8</v>
      </c>
      <c r="AP292">
        <f t="shared" si="132"/>
        <v>0.77777777777777779</v>
      </c>
      <c r="AQ292">
        <f>[1]!survey_responses[[#This Row],[Sau khi xem xét các quyền lợi và nghĩa vụ, bạn có ủng hộ và tuân thủ chính sách mới hiện nay? - HUMAN-OUT1]]</f>
        <v>8</v>
      </c>
      <c r="AR292">
        <f t="shared" si="133"/>
        <v>0.77777777777777779</v>
      </c>
      <c r="AS292" s="32">
        <f t="shared" si="134"/>
        <v>0</v>
      </c>
    </row>
    <row r="293" spans="1:45" x14ac:dyDescent="0.45">
      <c r="A293">
        <f>step3_validation[[#This Row],[AI_ENF1]]</f>
        <v>8</v>
      </c>
      <c r="B293">
        <f t="shared" si="108"/>
        <v>0.77777777777777779</v>
      </c>
      <c r="C293">
        <f>[1]!survey_responses[[#This Row],[Tôi tin rằng với các quy định quản lý thuế hiện nay, hành vi gian lận hoặc trốn thuế sẽ dễ dàng bị phát hiện và xử lý nghiêm. - HUMAN-ENF1]]</f>
        <v>6</v>
      </c>
      <c r="D293">
        <f t="shared" si="109"/>
        <v>0.55555555555555558</v>
      </c>
      <c r="E293">
        <f>step3_validation[[#This Row],[AI_ENF2]]</f>
        <v>9</v>
      </c>
      <c r="F293">
        <f t="shared" si="110"/>
        <v>0.88888888888888884</v>
      </c>
      <c r="G293">
        <f>[1]!survey_responses[[#This Row],[Tôi tin rằng Nhà nước, cơ quan thuế có đủ khả năng và công nghệ để phát hiện, xử lý nghiêm các hành vi trốn thuế. - HUMAN-ENF2]]</f>
        <v>6</v>
      </c>
      <c r="H293">
        <f t="shared" si="111"/>
        <v>0.55555555555555558</v>
      </c>
      <c r="I293" s="32">
        <f t="shared" si="112"/>
        <v>0.83333333333333326</v>
      </c>
      <c r="J293" s="32">
        <f t="shared" si="113"/>
        <v>0.55555555555555558</v>
      </c>
      <c r="K293">
        <f>step3_validation[[#This Row],[AI_FAC1]]</f>
        <v>7</v>
      </c>
      <c r="L293">
        <f t="shared" si="114"/>
        <v>0.66666666666666663</v>
      </c>
      <c r="M293">
        <f>[1]!survey_responses[[#This Row],[Các thủ tục khai báo thuế VÀ/HOẶC quy trình làm việc với cơ quan thuế đơn giản, tiện lợi, nhanh chóng hơn so với trước đây. - HUMAN-FAC1]]</f>
        <v>1</v>
      </c>
      <c r="N293">
        <f t="shared" si="115"/>
        <v>0</v>
      </c>
      <c r="O293">
        <f>step3_validation[[#This Row],[AI_FAC2]]</f>
        <v>8</v>
      </c>
      <c r="P293">
        <f t="shared" si="116"/>
        <v>0.77777777777777779</v>
      </c>
      <c r="Q293">
        <f>[1]!survey_responses[[#This Row],[So với trước đây, tôi thấy cách tính thuế và các bậc thuế trong phương án mới đơn giản, dễ hiểu và dễ thực hiện hơn. - HUMAN-FAC2]]</f>
        <v>6</v>
      </c>
      <c r="R293">
        <f t="shared" si="117"/>
        <v>0.55555555555555558</v>
      </c>
      <c r="S293" s="32">
        <f t="shared" si="118"/>
        <v>0.72222222222222221</v>
      </c>
      <c r="T293" s="32">
        <f t="shared" si="119"/>
        <v>0.27777777777777779</v>
      </c>
      <c r="U293">
        <f>step3_validation[[#This Row],[AI_TRU1]]</f>
        <v>7</v>
      </c>
      <c r="V293">
        <f t="shared" si="120"/>
        <v>0.66666666666666663</v>
      </c>
      <c r="W293">
        <f>[1]!survey_responses[[#This Row],[Tôi tin rằng Nhà nước, cơ quan thuế sẽ thực thi chính sách mới một cách khách quan, công tâm và đối xử bình đẳng với mọi người nộp thuế.  - HUMAN-TRU1]]</f>
        <v>5</v>
      </c>
      <c r="X293">
        <f t="shared" si="121"/>
        <v>0.44444444444444442</v>
      </c>
      <c r="Y293">
        <f>step3_validation[[#This Row],[AI_TRU2]]</f>
        <v>6</v>
      </c>
      <c r="Z293">
        <f t="shared" si="122"/>
        <v>0.55555555555555558</v>
      </c>
      <c r="AA293">
        <f>[1]!survey_responses[[#This Row],[Tôi thấy mức thuế tôi phải đóng theo phương án mới là công bằng (người thu nhập như tôi đóng mức này là hợp lý). - HUMAN-TRU2]]</f>
        <v>6</v>
      </c>
      <c r="AB293">
        <f t="shared" si="123"/>
        <v>0.55555555555555558</v>
      </c>
      <c r="AC293">
        <f>step3_validation[[#This Row],[AI_TRU3]]</f>
        <v>5</v>
      </c>
      <c r="AD293">
        <f t="shared" si="124"/>
        <v>0.44444444444444442</v>
      </c>
      <c r="AE293">
        <f>[1]!survey_responses[[#This Row],[Tôi tin tưởng số tiền thuế tôi đóng sẽ được Nhà nước sử dụng hiệu quả để cải thiện dịch vụ công (y tế, đường xá...). - HUMAN-TRU3]]</f>
        <v>5</v>
      </c>
      <c r="AF293">
        <f t="shared" si="125"/>
        <v>0.44444444444444442</v>
      </c>
      <c r="AG293">
        <f>step3_validation[[#This Row],[AI_TRU4]]</f>
        <v>6</v>
      </c>
      <c r="AH293">
        <f t="shared" si="126"/>
        <v>0.55555555555555558</v>
      </c>
      <c r="AI293">
        <f>[1]!survey_responses[[#This Row],[Tôi thấy Nhà nước đã giải thích rõ ràng, minh bạch về lý do và mục tiêu của việc sửa đổi thuế lần này. - HUMAN-TRU4]]</f>
        <v>6</v>
      </c>
      <c r="AJ293">
        <f t="shared" si="127"/>
        <v>0.55555555555555558</v>
      </c>
      <c r="AK293" s="32">
        <f t="shared" si="128"/>
        <v>0.55555555555555558</v>
      </c>
      <c r="AL293" s="32">
        <f t="shared" si="129"/>
        <v>0.5</v>
      </c>
      <c r="AM293" s="7">
        <f t="shared" si="130"/>
        <v>0.70370370370370361</v>
      </c>
      <c r="AN293" s="7">
        <f t="shared" si="131"/>
        <v>0.44444444444444448</v>
      </c>
      <c r="AO293">
        <f>step3_validation[[#This Row],[AI_OUT1]]</f>
        <v>5</v>
      </c>
      <c r="AP293">
        <f t="shared" si="132"/>
        <v>0.44444444444444442</v>
      </c>
      <c r="AQ293">
        <f>[1]!survey_responses[[#This Row],[Sau khi xem xét các quyền lợi và nghĩa vụ, bạn có ủng hộ và tuân thủ chính sách mới hiện nay? - HUMAN-OUT1]]</f>
        <v>6</v>
      </c>
      <c r="AR293">
        <f t="shared" si="133"/>
        <v>0.55555555555555558</v>
      </c>
      <c r="AS293" s="32">
        <f t="shared" si="134"/>
        <v>1</v>
      </c>
    </row>
    <row r="294" spans="1:45" x14ac:dyDescent="0.45">
      <c r="A294">
        <f>step3_validation[[#This Row],[AI_ENF1]]</f>
        <v>6</v>
      </c>
      <c r="B294">
        <f t="shared" si="108"/>
        <v>0.55555555555555558</v>
      </c>
      <c r="C294">
        <f>[1]!survey_responses[[#This Row],[Tôi tin rằng với các quy định quản lý thuế hiện nay, hành vi gian lận hoặc trốn thuế sẽ dễ dàng bị phát hiện và xử lý nghiêm. - HUMAN-ENF1]]</f>
        <v>8</v>
      </c>
      <c r="D294">
        <f t="shared" si="109"/>
        <v>0.77777777777777779</v>
      </c>
      <c r="E294">
        <f>step3_validation[[#This Row],[AI_ENF2]]</f>
        <v>7</v>
      </c>
      <c r="F294">
        <f t="shared" si="110"/>
        <v>0.66666666666666663</v>
      </c>
      <c r="G294">
        <f>[1]!survey_responses[[#This Row],[Tôi tin rằng Nhà nước, cơ quan thuế có đủ khả năng và công nghệ để phát hiện, xử lý nghiêm các hành vi trốn thuế. - HUMAN-ENF2]]</f>
        <v>8</v>
      </c>
      <c r="H294">
        <f t="shared" si="111"/>
        <v>0.77777777777777779</v>
      </c>
      <c r="I294" s="32">
        <f t="shared" si="112"/>
        <v>0.61111111111111116</v>
      </c>
      <c r="J294" s="32">
        <f t="shared" si="113"/>
        <v>0.77777777777777779</v>
      </c>
      <c r="K294">
        <f>step3_validation[[#This Row],[AI_FAC1]]</f>
        <v>6</v>
      </c>
      <c r="L294">
        <f t="shared" si="114"/>
        <v>0.55555555555555558</v>
      </c>
      <c r="M294">
        <f>[1]!survey_responses[[#This Row],[Các thủ tục khai báo thuế VÀ/HOẶC quy trình làm việc với cơ quan thuế đơn giản, tiện lợi, nhanh chóng hơn so với trước đây. - HUMAN-FAC1]]</f>
        <v>5</v>
      </c>
      <c r="N294">
        <f t="shared" si="115"/>
        <v>0.44444444444444442</v>
      </c>
      <c r="O294">
        <f>step3_validation[[#This Row],[AI_FAC2]]</f>
        <v>8</v>
      </c>
      <c r="P294">
        <f t="shared" si="116"/>
        <v>0.77777777777777779</v>
      </c>
      <c r="Q294">
        <f>[1]!survey_responses[[#This Row],[So với trước đây, tôi thấy cách tính thuế và các bậc thuế trong phương án mới đơn giản, dễ hiểu và dễ thực hiện hơn. - HUMAN-FAC2]]</f>
        <v>8</v>
      </c>
      <c r="R294">
        <f t="shared" si="117"/>
        <v>0.77777777777777779</v>
      </c>
      <c r="S294" s="32">
        <f t="shared" si="118"/>
        <v>0.66666666666666674</v>
      </c>
      <c r="T294" s="32">
        <f t="shared" si="119"/>
        <v>0.61111111111111116</v>
      </c>
      <c r="U294">
        <f>step3_validation[[#This Row],[AI_TRU1]]</f>
        <v>5</v>
      </c>
      <c r="V294">
        <f t="shared" si="120"/>
        <v>0.44444444444444442</v>
      </c>
      <c r="W294">
        <f>[1]!survey_responses[[#This Row],[Tôi tin rằng Nhà nước, cơ quan thuế sẽ thực thi chính sách mới một cách khách quan, công tâm và đối xử bình đẳng với mọi người nộp thuế.  - HUMAN-TRU1]]</f>
        <v>5</v>
      </c>
      <c r="X294">
        <f t="shared" si="121"/>
        <v>0.44444444444444442</v>
      </c>
      <c r="Y294">
        <f>step3_validation[[#This Row],[AI_TRU2]]</f>
        <v>4</v>
      </c>
      <c r="Z294">
        <f t="shared" si="122"/>
        <v>0.33333333333333331</v>
      </c>
      <c r="AA294">
        <f>[1]!survey_responses[[#This Row],[Tôi thấy mức thuế tôi phải đóng theo phương án mới là công bằng (người thu nhập như tôi đóng mức này là hợp lý). - HUMAN-TRU2]]</f>
        <v>6</v>
      </c>
      <c r="AB294">
        <f t="shared" si="123"/>
        <v>0.55555555555555558</v>
      </c>
      <c r="AC294">
        <f>step3_validation[[#This Row],[AI_TRU3]]</f>
        <v>5</v>
      </c>
      <c r="AD294">
        <f t="shared" si="124"/>
        <v>0.44444444444444442</v>
      </c>
      <c r="AE294">
        <f>[1]!survey_responses[[#This Row],[Tôi tin tưởng số tiền thuế tôi đóng sẽ được Nhà nước sử dụng hiệu quả để cải thiện dịch vụ công (y tế, đường xá...). - HUMAN-TRU3]]</f>
        <v>5</v>
      </c>
      <c r="AF294">
        <f t="shared" si="125"/>
        <v>0.44444444444444442</v>
      </c>
      <c r="AG294">
        <f>step3_validation[[#This Row],[AI_TRU4]]</f>
        <v>5</v>
      </c>
      <c r="AH294">
        <f t="shared" si="126"/>
        <v>0.44444444444444442</v>
      </c>
      <c r="AI294">
        <f>[1]!survey_responses[[#This Row],[Tôi thấy Nhà nước đã giải thích rõ ràng, minh bạch về lý do và mục tiêu của việc sửa đổi thuế lần này. - HUMAN-TRU4]]</f>
        <v>6</v>
      </c>
      <c r="AJ294">
        <f t="shared" si="127"/>
        <v>0.55555555555555558</v>
      </c>
      <c r="AK294" s="32">
        <f t="shared" si="128"/>
        <v>0.41666666666666663</v>
      </c>
      <c r="AL294" s="32">
        <f t="shared" si="129"/>
        <v>0.5</v>
      </c>
      <c r="AM294" s="7">
        <f t="shared" si="130"/>
        <v>0.56481481481481488</v>
      </c>
      <c r="AN294" s="7">
        <f t="shared" si="131"/>
        <v>0.62962962962962965</v>
      </c>
      <c r="AO294">
        <f>step3_validation[[#This Row],[AI_OUT1]]</f>
        <v>6</v>
      </c>
      <c r="AP294">
        <f t="shared" si="132"/>
        <v>0.55555555555555558</v>
      </c>
      <c r="AQ294">
        <f>[1]!survey_responses[[#This Row],[Sau khi xem xét các quyền lợi và nghĩa vụ, bạn có ủng hộ và tuân thủ chính sách mới hiện nay? - HUMAN-OUT1]]</f>
        <v>6</v>
      </c>
      <c r="AR294">
        <f t="shared" si="133"/>
        <v>0.55555555555555558</v>
      </c>
      <c r="AS294" s="32">
        <f t="shared" si="134"/>
        <v>0</v>
      </c>
    </row>
    <row r="295" spans="1:45" x14ac:dyDescent="0.45">
      <c r="A295">
        <f>step3_validation[[#This Row],[AI_ENF1]]</f>
        <v>7</v>
      </c>
      <c r="B295">
        <f t="shared" si="108"/>
        <v>0.66666666666666663</v>
      </c>
      <c r="C295">
        <f>[1]!survey_responses[[#This Row],[Tôi tin rằng với các quy định quản lý thuế hiện nay, hành vi gian lận hoặc trốn thuế sẽ dễ dàng bị phát hiện và xử lý nghiêm. - HUMAN-ENF1]]</f>
        <v>6</v>
      </c>
      <c r="D295">
        <f t="shared" si="109"/>
        <v>0.55555555555555558</v>
      </c>
      <c r="E295">
        <f>step3_validation[[#This Row],[AI_ENF2]]</f>
        <v>6</v>
      </c>
      <c r="F295">
        <f t="shared" si="110"/>
        <v>0.55555555555555558</v>
      </c>
      <c r="G295">
        <f>[1]!survey_responses[[#This Row],[Tôi tin rằng Nhà nước, cơ quan thuế có đủ khả năng và công nghệ để phát hiện, xử lý nghiêm các hành vi trốn thuế. - HUMAN-ENF2]]</f>
        <v>6</v>
      </c>
      <c r="H295">
        <f t="shared" si="111"/>
        <v>0.55555555555555558</v>
      </c>
      <c r="I295" s="32">
        <f t="shared" si="112"/>
        <v>0.61111111111111116</v>
      </c>
      <c r="J295" s="32">
        <f t="shared" si="113"/>
        <v>0.55555555555555558</v>
      </c>
      <c r="K295">
        <f>step3_validation[[#This Row],[AI_FAC1]]</f>
        <v>5</v>
      </c>
      <c r="L295">
        <f t="shared" si="114"/>
        <v>0.44444444444444442</v>
      </c>
      <c r="M295">
        <f>[1]!survey_responses[[#This Row],[Các thủ tục khai báo thuế VÀ/HOẶC quy trình làm việc với cơ quan thuế đơn giản, tiện lợi, nhanh chóng hơn so với trước đây. - HUMAN-FAC1]]</f>
        <v>3</v>
      </c>
      <c r="N295">
        <f t="shared" si="115"/>
        <v>0.22222222222222221</v>
      </c>
      <c r="O295">
        <f>step3_validation[[#This Row],[AI_FAC2]]</f>
        <v>4</v>
      </c>
      <c r="P295">
        <f t="shared" si="116"/>
        <v>0.33333333333333331</v>
      </c>
      <c r="Q295">
        <f>[1]!survey_responses[[#This Row],[So với trước đây, tôi thấy cách tính thuế và các bậc thuế trong phương án mới đơn giản, dễ hiểu và dễ thực hiện hơn. - HUMAN-FAC2]]</f>
        <v>7</v>
      </c>
      <c r="R295">
        <f t="shared" si="117"/>
        <v>0.66666666666666663</v>
      </c>
      <c r="S295" s="32">
        <f t="shared" si="118"/>
        <v>0.38888888888888884</v>
      </c>
      <c r="T295" s="32">
        <f t="shared" si="119"/>
        <v>0.44444444444444442</v>
      </c>
      <c r="U295">
        <f>step3_validation[[#This Row],[AI_TRU1]]</f>
        <v>6</v>
      </c>
      <c r="V295">
        <f t="shared" si="120"/>
        <v>0.55555555555555558</v>
      </c>
      <c r="W295">
        <f>[1]!survey_responses[[#This Row],[Tôi tin rằng Nhà nước, cơ quan thuế sẽ thực thi chính sách mới một cách khách quan, công tâm và đối xử bình đẳng với mọi người nộp thuế.  - HUMAN-TRU1]]</f>
        <v>5</v>
      </c>
      <c r="X295">
        <f t="shared" si="121"/>
        <v>0.44444444444444442</v>
      </c>
      <c r="Y295">
        <f>step3_validation[[#This Row],[AI_TRU2]]</f>
        <v>5</v>
      </c>
      <c r="Z295">
        <f t="shared" si="122"/>
        <v>0.44444444444444442</v>
      </c>
      <c r="AA295">
        <f>[1]!survey_responses[[#This Row],[Tôi thấy mức thuế tôi phải đóng theo phương án mới là công bằng (người thu nhập như tôi đóng mức này là hợp lý). - HUMAN-TRU2]]</f>
        <v>6</v>
      </c>
      <c r="AB295">
        <f t="shared" si="123"/>
        <v>0.55555555555555558</v>
      </c>
      <c r="AC295">
        <f>step3_validation[[#This Row],[AI_TRU3]]</f>
        <v>4</v>
      </c>
      <c r="AD295">
        <f t="shared" si="124"/>
        <v>0.33333333333333331</v>
      </c>
      <c r="AE295">
        <f>[1]!survey_responses[[#This Row],[Tôi tin tưởng số tiền thuế tôi đóng sẽ được Nhà nước sử dụng hiệu quả để cải thiện dịch vụ công (y tế, đường xá...). - HUMAN-TRU3]]</f>
        <v>5</v>
      </c>
      <c r="AF295">
        <f t="shared" si="125"/>
        <v>0.44444444444444442</v>
      </c>
      <c r="AG295">
        <f>step3_validation[[#This Row],[AI_TRU4]]</f>
        <v>5</v>
      </c>
      <c r="AH295">
        <f t="shared" si="126"/>
        <v>0.44444444444444442</v>
      </c>
      <c r="AI295">
        <f>[1]!survey_responses[[#This Row],[Tôi thấy Nhà nước đã giải thích rõ ràng, minh bạch về lý do và mục tiêu của việc sửa đổi thuế lần này. - HUMAN-TRU4]]</f>
        <v>5</v>
      </c>
      <c r="AJ295">
        <f t="shared" si="127"/>
        <v>0.44444444444444442</v>
      </c>
      <c r="AK295" s="32">
        <f t="shared" si="128"/>
        <v>0.44444444444444442</v>
      </c>
      <c r="AL295" s="32">
        <f t="shared" si="129"/>
        <v>0.47222222222222221</v>
      </c>
      <c r="AM295" s="7">
        <f t="shared" si="130"/>
        <v>0.48148148148148145</v>
      </c>
      <c r="AN295" s="7">
        <f t="shared" si="131"/>
        <v>0.49074074074074076</v>
      </c>
      <c r="AO295">
        <f>step3_validation[[#This Row],[AI_OUT1]]</f>
        <v>6</v>
      </c>
      <c r="AP295">
        <f t="shared" si="132"/>
        <v>0.55555555555555558</v>
      </c>
      <c r="AQ295">
        <f>[1]!survey_responses[[#This Row],[Sau khi xem xét các quyền lợi và nghĩa vụ, bạn có ủng hộ và tuân thủ chính sách mới hiện nay? - HUMAN-OUT1]]</f>
        <v>6</v>
      </c>
      <c r="AR295">
        <f t="shared" si="133"/>
        <v>0.55555555555555558</v>
      </c>
      <c r="AS295" s="32">
        <f t="shared" si="134"/>
        <v>0</v>
      </c>
    </row>
    <row r="296" spans="1:45" x14ac:dyDescent="0.45">
      <c r="A296">
        <f>step3_validation[[#This Row],[AI_ENF1]]</f>
        <v>8</v>
      </c>
      <c r="B296">
        <f t="shared" si="108"/>
        <v>0.77777777777777779</v>
      </c>
      <c r="C296">
        <f>[1]!survey_responses[[#This Row],[Tôi tin rằng với các quy định quản lý thuế hiện nay, hành vi gian lận hoặc trốn thuế sẽ dễ dàng bị phát hiện và xử lý nghiêm. - HUMAN-ENF1]]</f>
        <v>8</v>
      </c>
      <c r="D296">
        <f t="shared" si="109"/>
        <v>0.77777777777777779</v>
      </c>
      <c r="E296">
        <f>step3_validation[[#This Row],[AI_ENF2]]</f>
        <v>9</v>
      </c>
      <c r="F296">
        <f t="shared" si="110"/>
        <v>0.88888888888888884</v>
      </c>
      <c r="G296">
        <f>[1]!survey_responses[[#This Row],[Tôi tin rằng Nhà nước, cơ quan thuế có đủ khả năng và công nghệ để phát hiện, xử lý nghiêm các hành vi trốn thuế. - HUMAN-ENF2]]</f>
        <v>9</v>
      </c>
      <c r="H296">
        <f t="shared" si="111"/>
        <v>0.88888888888888884</v>
      </c>
      <c r="I296" s="32">
        <f t="shared" si="112"/>
        <v>0.83333333333333326</v>
      </c>
      <c r="J296" s="32">
        <f t="shared" si="113"/>
        <v>0.83333333333333326</v>
      </c>
      <c r="K296">
        <f>step3_validation[[#This Row],[AI_FAC1]]</f>
        <v>8</v>
      </c>
      <c r="L296">
        <f t="shared" si="114"/>
        <v>0.77777777777777779</v>
      </c>
      <c r="M296">
        <f>[1]!survey_responses[[#This Row],[Các thủ tục khai báo thuế VÀ/HOẶC quy trình làm việc với cơ quan thuế đơn giản, tiện lợi, nhanh chóng hơn so với trước đây. - HUMAN-FAC1]]</f>
        <v>9</v>
      </c>
      <c r="N296">
        <f t="shared" si="115"/>
        <v>0.88888888888888884</v>
      </c>
      <c r="O296">
        <f>step3_validation[[#This Row],[AI_FAC2]]</f>
        <v>7</v>
      </c>
      <c r="P296">
        <f t="shared" si="116"/>
        <v>0.66666666666666663</v>
      </c>
      <c r="Q296">
        <f>[1]!survey_responses[[#This Row],[So với trước đây, tôi thấy cách tính thuế và các bậc thuế trong phương án mới đơn giản, dễ hiểu và dễ thực hiện hơn. - HUMAN-FAC2]]</f>
        <v>10</v>
      </c>
      <c r="R296">
        <f t="shared" si="117"/>
        <v>1</v>
      </c>
      <c r="S296" s="32">
        <f t="shared" si="118"/>
        <v>0.72222222222222221</v>
      </c>
      <c r="T296" s="32">
        <f t="shared" si="119"/>
        <v>0.94444444444444442</v>
      </c>
      <c r="U296">
        <f>step3_validation[[#This Row],[AI_TRU1]]</f>
        <v>6</v>
      </c>
      <c r="V296">
        <f t="shared" si="120"/>
        <v>0.55555555555555558</v>
      </c>
      <c r="W296">
        <f>[1]!survey_responses[[#This Row],[Tôi tin rằng Nhà nước, cơ quan thuế sẽ thực thi chính sách mới một cách khách quan, công tâm và đối xử bình đẳng với mọi người nộp thuế.  - HUMAN-TRU1]]</f>
        <v>8</v>
      </c>
      <c r="X296">
        <f t="shared" si="121"/>
        <v>0.77777777777777779</v>
      </c>
      <c r="Y296">
        <f>step3_validation[[#This Row],[AI_TRU2]]</f>
        <v>5</v>
      </c>
      <c r="Z296">
        <f t="shared" si="122"/>
        <v>0.44444444444444442</v>
      </c>
      <c r="AA296">
        <f>[1]!survey_responses[[#This Row],[Tôi thấy mức thuế tôi phải đóng theo phương án mới là công bằng (người thu nhập như tôi đóng mức này là hợp lý). - HUMAN-TRU2]]</f>
        <v>8</v>
      </c>
      <c r="AB296">
        <f t="shared" si="123"/>
        <v>0.77777777777777779</v>
      </c>
      <c r="AC296">
        <f>step3_validation[[#This Row],[AI_TRU3]]</f>
        <v>4</v>
      </c>
      <c r="AD296">
        <f t="shared" si="124"/>
        <v>0.33333333333333331</v>
      </c>
      <c r="AE296">
        <f>[1]!survey_responses[[#This Row],[Tôi tin tưởng số tiền thuế tôi đóng sẽ được Nhà nước sử dụng hiệu quả để cải thiện dịch vụ công (y tế, đường xá...). - HUMAN-TRU3]]</f>
        <v>9</v>
      </c>
      <c r="AF296">
        <f t="shared" si="125"/>
        <v>0.88888888888888884</v>
      </c>
      <c r="AG296">
        <f>step3_validation[[#This Row],[AI_TRU4]]</f>
        <v>3</v>
      </c>
      <c r="AH296">
        <f t="shared" si="126"/>
        <v>0.22222222222222221</v>
      </c>
      <c r="AI296">
        <f>[1]!survey_responses[[#This Row],[Tôi thấy Nhà nước đã giải thích rõ ràng, minh bạch về lý do và mục tiêu của việc sửa đổi thuế lần này. - HUMAN-TRU4]]</f>
        <v>10</v>
      </c>
      <c r="AJ296">
        <f t="shared" si="127"/>
        <v>1</v>
      </c>
      <c r="AK296" s="32">
        <f t="shared" si="128"/>
        <v>0.38888888888888884</v>
      </c>
      <c r="AL296" s="32">
        <f t="shared" si="129"/>
        <v>0.86111111111111116</v>
      </c>
      <c r="AM296" s="7">
        <f t="shared" si="130"/>
        <v>0.64814814814814803</v>
      </c>
      <c r="AN296" s="7">
        <f t="shared" si="131"/>
        <v>0.87962962962962965</v>
      </c>
      <c r="AO296">
        <f>step3_validation[[#This Row],[AI_OUT1]]</f>
        <v>6</v>
      </c>
      <c r="AP296">
        <f t="shared" si="132"/>
        <v>0.55555555555555558</v>
      </c>
      <c r="AQ296">
        <f>[1]!survey_responses[[#This Row],[Sau khi xem xét các quyền lợi và nghĩa vụ, bạn có ủng hộ và tuân thủ chính sách mới hiện nay? - HUMAN-OUT1]]</f>
        <v>10</v>
      </c>
      <c r="AR296">
        <f t="shared" si="133"/>
        <v>1</v>
      </c>
      <c r="AS296" s="32">
        <f t="shared" si="134"/>
        <v>4</v>
      </c>
    </row>
    <row r="297" spans="1:45" x14ac:dyDescent="0.45">
      <c r="A297">
        <f>step3_validation[[#This Row],[AI_ENF1]]</f>
        <v>6</v>
      </c>
      <c r="B297">
        <f t="shared" si="108"/>
        <v>0.55555555555555558</v>
      </c>
      <c r="C297">
        <f>[1]!survey_responses[[#This Row],[Tôi tin rằng với các quy định quản lý thuế hiện nay, hành vi gian lận hoặc trốn thuế sẽ dễ dàng bị phát hiện và xử lý nghiêm. - HUMAN-ENF1]]</f>
        <v>7</v>
      </c>
      <c r="D297">
        <f t="shared" si="109"/>
        <v>0.66666666666666663</v>
      </c>
      <c r="E297">
        <f>step3_validation[[#This Row],[AI_ENF2]]</f>
        <v>7</v>
      </c>
      <c r="F297">
        <f t="shared" si="110"/>
        <v>0.66666666666666663</v>
      </c>
      <c r="G297">
        <f>[1]!survey_responses[[#This Row],[Tôi tin rằng Nhà nước, cơ quan thuế có đủ khả năng và công nghệ để phát hiện, xử lý nghiêm các hành vi trốn thuế. - HUMAN-ENF2]]</f>
        <v>7</v>
      </c>
      <c r="H297">
        <f t="shared" si="111"/>
        <v>0.66666666666666663</v>
      </c>
      <c r="I297" s="32">
        <f t="shared" si="112"/>
        <v>0.61111111111111116</v>
      </c>
      <c r="J297" s="32">
        <f t="shared" si="113"/>
        <v>0.66666666666666663</v>
      </c>
      <c r="K297">
        <f>step3_validation[[#This Row],[AI_FAC1]]</f>
        <v>8</v>
      </c>
      <c r="L297">
        <f t="shared" si="114"/>
        <v>0.77777777777777779</v>
      </c>
      <c r="M297">
        <f>[1]!survey_responses[[#This Row],[Các thủ tục khai báo thuế VÀ/HOẶC quy trình làm việc với cơ quan thuế đơn giản, tiện lợi, nhanh chóng hơn so với trước đây. - HUMAN-FAC1]]</f>
        <v>6</v>
      </c>
      <c r="N297">
        <f t="shared" si="115"/>
        <v>0.55555555555555558</v>
      </c>
      <c r="O297">
        <f>step3_validation[[#This Row],[AI_FAC2]]</f>
        <v>9</v>
      </c>
      <c r="P297">
        <f t="shared" si="116"/>
        <v>0.88888888888888884</v>
      </c>
      <c r="Q297">
        <f>[1]!survey_responses[[#This Row],[So với trước đây, tôi thấy cách tính thuế và các bậc thuế trong phương án mới đơn giản, dễ hiểu và dễ thực hiện hơn. - HUMAN-FAC2]]</f>
        <v>7</v>
      </c>
      <c r="R297">
        <f t="shared" si="117"/>
        <v>0.66666666666666663</v>
      </c>
      <c r="S297" s="32">
        <f t="shared" si="118"/>
        <v>0.83333333333333326</v>
      </c>
      <c r="T297" s="32">
        <f t="shared" si="119"/>
        <v>0.61111111111111116</v>
      </c>
      <c r="U297">
        <f>step3_validation[[#This Row],[AI_TRU1]]</f>
        <v>7</v>
      </c>
      <c r="V297">
        <f t="shared" si="120"/>
        <v>0.66666666666666663</v>
      </c>
      <c r="W297">
        <f>[1]!survey_responses[[#This Row],[Tôi tin rằng Nhà nước, cơ quan thuế sẽ thực thi chính sách mới một cách khách quan, công tâm và đối xử bình đẳng với mọi người nộp thuế.  - HUMAN-TRU1]]</f>
        <v>7</v>
      </c>
      <c r="X297">
        <f t="shared" si="121"/>
        <v>0.66666666666666663</v>
      </c>
      <c r="Y297">
        <f>step3_validation[[#This Row],[AI_TRU2]]</f>
        <v>8</v>
      </c>
      <c r="Z297">
        <f t="shared" si="122"/>
        <v>0.77777777777777779</v>
      </c>
      <c r="AA297">
        <f>[1]!survey_responses[[#This Row],[Tôi thấy mức thuế tôi phải đóng theo phương án mới là công bằng (người thu nhập như tôi đóng mức này là hợp lý). - HUMAN-TRU2]]</f>
        <v>1</v>
      </c>
      <c r="AB297">
        <f t="shared" si="123"/>
        <v>0</v>
      </c>
      <c r="AC297">
        <f>step3_validation[[#This Row],[AI_TRU3]]</f>
        <v>7</v>
      </c>
      <c r="AD297">
        <f t="shared" si="124"/>
        <v>0.66666666666666663</v>
      </c>
      <c r="AE297">
        <f>[1]!survey_responses[[#This Row],[Tôi tin tưởng số tiền thuế tôi đóng sẽ được Nhà nước sử dụng hiệu quả để cải thiện dịch vụ công (y tế, đường xá...). - HUMAN-TRU3]]</f>
        <v>5</v>
      </c>
      <c r="AF297">
        <f t="shared" si="125"/>
        <v>0.44444444444444442</v>
      </c>
      <c r="AG297">
        <f>step3_validation[[#This Row],[AI_TRU4]]</f>
        <v>5</v>
      </c>
      <c r="AH297">
        <f t="shared" si="126"/>
        <v>0.44444444444444442</v>
      </c>
      <c r="AI297">
        <f>[1]!survey_responses[[#This Row],[Tôi thấy Nhà nước đã giải thích rõ ràng, minh bạch về lý do và mục tiêu của việc sửa đổi thuế lần này. - HUMAN-TRU4]]</f>
        <v>7</v>
      </c>
      <c r="AJ297">
        <f t="shared" si="127"/>
        <v>0.66666666666666663</v>
      </c>
      <c r="AK297" s="32">
        <f t="shared" si="128"/>
        <v>0.63888888888888884</v>
      </c>
      <c r="AL297" s="32">
        <f t="shared" si="129"/>
        <v>0.44444444444444442</v>
      </c>
      <c r="AM297" s="7">
        <f t="shared" si="130"/>
        <v>0.69444444444444431</v>
      </c>
      <c r="AN297" s="7">
        <f t="shared" si="131"/>
        <v>0.57407407407407407</v>
      </c>
      <c r="AO297">
        <f>step3_validation[[#This Row],[AI_OUT1]]</f>
        <v>7</v>
      </c>
      <c r="AP297">
        <f t="shared" si="132"/>
        <v>0.66666666666666663</v>
      </c>
      <c r="AQ297">
        <f>[1]!survey_responses[[#This Row],[Sau khi xem xét các quyền lợi và nghĩa vụ, bạn có ủng hộ và tuân thủ chính sách mới hiện nay? - HUMAN-OUT1]]</f>
        <v>7</v>
      </c>
      <c r="AR297">
        <f t="shared" si="133"/>
        <v>0.66666666666666663</v>
      </c>
      <c r="AS297" s="32">
        <f t="shared" si="134"/>
        <v>0</v>
      </c>
    </row>
    <row r="298" spans="1:45" x14ac:dyDescent="0.45">
      <c r="A298">
        <f>step3_validation[[#This Row],[AI_ENF1]]</f>
        <v>6</v>
      </c>
      <c r="B298">
        <f t="shared" si="108"/>
        <v>0.55555555555555558</v>
      </c>
      <c r="C298">
        <f>[1]!survey_responses[[#This Row],[Tôi tin rằng với các quy định quản lý thuế hiện nay, hành vi gian lận hoặc trốn thuế sẽ dễ dàng bị phát hiện và xử lý nghiêm. - HUMAN-ENF1]]</f>
        <v>5</v>
      </c>
      <c r="D298">
        <f t="shared" si="109"/>
        <v>0.44444444444444442</v>
      </c>
      <c r="E298">
        <f>step3_validation[[#This Row],[AI_ENF2]]</f>
        <v>7</v>
      </c>
      <c r="F298">
        <f t="shared" si="110"/>
        <v>0.66666666666666663</v>
      </c>
      <c r="G298">
        <f>[1]!survey_responses[[#This Row],[Tôi tin rằng Nhà nước, cơ quan thuế có đủ khả năng và công nghệ để phát hiện, xử lý nghiêm các hành vi trốn thuế. - HUMAN-ENF2]]</f>
        <v>10</v>
      </c>
      <c r="H298">
        <f t="shared" si="111"/>
        <v>1</v>
      </c>
      <c r="I298" s="32">
        <f t="shared" si="112"/>
        <v>0.61111111111111116</v>
      </c>
      <c r="J298" s="32">
        <f t="shared" si="113"/>
        <v>0.72222222222222221</v>
      </c>
      <c r="K298">
        <f>step3_validation[[#This Row],[AI_FAC1]]</f>
        <v>6</v>
      </c>
      <c r="L298">
        <f t="shared" si="114"/>
        <v>0.55555555555555558</v>
      </c>
      <c r="M298">
        <f>[1]!survey_responses[[#This Row],[Các thủ tục khai báo thuế VÀ/HOẶC quy trình làm việc với cơ quan thuế đơn giản, tiện lợi, nhanh chóng hơn so với trước đây. - HUMAN-FAC1]]</f>
        <v>5</v>
      </c>
      <c r="N298">
        <f t="shared" si="115"/>
        <v>0.44444444444444442</v>
      </c>
      <c r="O298">
        <f>step3_validation[[#This Row],[AI_FAC2]]</f>
        <v>8</v>
      </c>
      <c r="P298">
        <f t="shared" si="116"/>
        <v>0.77777777777777779</v>
      </c>
      <c r="Q298">
        <f>[1]!survey_responses[[#This Row],[So với trước đây, tôi thấy cách tính thuế và các bậc thuế trong phương án mới đơn giản, dễ hiểu và dễ thực hiện hơn. - HUMAN-FAC2]]</f>
        <v>5</v>
      </c>
      <c r="R298">
        <f t="shared" si="117"/>
        <v>0.44444444444444442</v>
      </c>
      <c r="S298" s="32">
        <f t="shared" si="118"/>
        <v>0.66666666666666674</v>
      </c>
      <c r="T298" s="32">
        <f t="shared" si="119"/>
        <v>0.44444444444444442</v>
      </c>
      <c r="U298">
        <f>step3_validation[[#This Row],[AI_TRU1]]</f>
        <v>5</v>
      </c>
      <c r="V298">
        <f t="shared" si="120"/>
        <v>0.44444444444444442</v>
      </c>
      <c r="W298">
        <f>[1]!survey_responses[[#This Row],[Tôi tin rằng Nhà nước, cơ quan thuế sẽ thực thi chính sách mới một cách khách quan, công tâm và đối xử bình đẳng với mọi người nộp thuế.  - HUMAN-TRU1]]</f>
        <v>2</v>
      </c>
      <c r="X298">
        <f t="shared" si="121"/>
        <v>0.1111111111111111</v>
      </c>
      <c r="Y298">
        <f>step3_validation[[#This Row],[AI_TRU2]]</f>
        <v>6</v>
      </c>
      <c r="Z298">
        <f t="shared" si="122"/>
        <v>0.55555555555555558</v>
      </c>
      <c r="AA298">
        <f>[1]!survey_responses[[#This Row],[Tôi thấy mức thuế tôi phải đóng theo phương án mới là công bằng (người thu nhập như tôi đóng mức này là hợp lý). - HUMAN-TRU2]]</f>
        <v>3</v>
      </c>
      <c r="AB298">
        <f t="shared" si="123"/>
        <v>0.22222222222222221</v>
      </c>
      <c r="AC298">
        <f>step3_validation[[#This Row],[AI_TRU3]]</f>
        <v>5</v>
      </c>
      <c r="AD298">
        <f t="shared" si="124"/>
        <v>0.44444444444444442</v>
      </c>
      <c r="AE298">
        <f>[1]!survey_responses[[#This Row],[Tôi tin tưởng số tiền thuế tôi đóng sẽ được Nhà nước sử dụng hiệu quả để cải thiện dịch vụ công (y tế, đường xá...). - HUMAN-TRU3]]</f>
        <v>2</v>
      </c>
      <c r="AF298">
        <f t="shared" si="125"/>
        <v>0.1111111111111111</v>
      </c>
      <c r="AG298">
        <f>step3_validation[[#This Row],[AI_TRU4]]</f>
        <v>4</v>
      </c>
      <c r="AH298">
        <f t="shared" si="126"/>
        <v>0.33333333333333331</v>
      </c>
      <c r="AI298">
        <f>[1]!survey_responses[[#This Row],[Tôi thấy Nhà nước đã giải thích rõ ràng, minh bạch về lý do và mục tiêu của việc sửa đổi thuế lần này. - HUMAN-TRU4]]</f>
        <v>5</v>
      </c>
      <c r="AJ298">
        <f t="shared" si="127"/>
        <v>0.44444444444444442</v>
      </c>
      <c r="AK298" s="32">
        <f t="shared" si="128"/>
        <v>0.44444444444444442</v>
      </c>
      <c r="AL298" s="32">
        <f t="shared" si="129"/>
        <v>0.22222222222222221</v>
      </c>
      <c r="AM298" s="7">
        <f t="shared" si="130"/>
        <v>0.57407407407407407</v>
      </c>
      <c r="AN298" s="7">
        <f t="shared" si="131"/>
        <v>0.46296296296296297</v>
      </c>
      <c r="AO298">
        <f>step3_validation[[#This Row],[AI_OUT1]]</f>
        <v>6</v>
      </c>
      <c r="AP298">
        <f t="shared" si="132"/>
        <v>0.55555555555555558</v>
      </c>
      <c r="AQ298">
        <f>[1]!survey_responses[[#This Row],[Sau khi xem xét các quyền lợi và nghĩa vụ, bạn có ủng hộ và tuân thủ chính sách mới hiện nay? - HUMAN-OUT1]]</f>
        <v>5</v>
      </c>
      <c r="AR298">
        <f t="shared" si="133"/>
        <v>0.44444444444444442</v>
      </c>
      <c r="AS298" s="32">
        <f t="shared" si="134"/>
        <v>1</v>
      </c>
    </row>
    <row r="299" spans="1:45" x14ac:dyDescent="0.45">
      <c r="A299">
        <f>step3_validation[[#This Row],[AI_ENF1]]</f>
        <v>7</v>
      </c>
      <c r="B299">
        <f t="shared" si="108"/>
        <v>0.66666666666666663</v>
      </c>
      <c r="C299">
        <f>[1]!survey_responses[[#This Row],[Tôi tin rằng với các quy định quản lý thuế hiện nay, hành vi gian lận hoặc trốn thuế sẽ dễ dàng bị phát hiện và xử lý nghiêm. - HUMAN-ENF1]]</f>
        <v>5</v>
      </c>
      <c r="D299">
        <f t="shared" si="109"/>
        <v>0.44444444444444442</v>
      </c>
      <c r="E299">
        <f>step3_validation[[#This Row],[AI_ENF2]]</f>
        <v>8</v>
      </c>
      <c r="F299">
        <f t="shared" si="110"/>
        <v>0.77777777777777779</v>
      </c>
      <c r="G299">
        <f>[1]!survey_responses[[#This Row],[Tôi tin rằng Nhà nước, cơ quan thuế có đủ khả năng và công nghệ để phát hiện, xử lý nghiêm các hành vi trốn thuế. - HUMAN-ENF2]]</f>
        <v>5</v>
      </c>
      <c r="H299">
        <f t="shared" si="111"/>
        <v>0.44444444444444442</v>
      </c>
      <c r="I299" s="32">
        <f t="shared" si="112"/>
        <v>0.72222222222222221</v>
      </c>
      <c r="J299" s="32">
        <f t="shared" si="113"/>
        <v>0.44444444444444442</v>
      </c>
      <c r="K299">
        <f>step3_validation[[#This Row],[AI_FAC1]]</f>
        <v>6</v>
      </c>
      <c r="L299">
        <f t="shared" si="114"/>
        <v>0.55555555555555558</v>
      </c>
      <c r="M299">
        <f>[1]!survey_responses[[#This Row],[Các thủ tục khai báo thuế VÀ/HOẶC quy trình làm việc với cơ quan thuế đơn giản, tiện lợi, nhanh chóng hơn so với trước đây. - HUMAN-FAC1]]</f>
        <v>5</v>
      </c>
      <c r="N299">
        <f t="shared" si="115"/>
        <v>0.44444444444444442</v>
      </c>
      <c r="O299">
        <f>step3_validation[[#This Row],[AI_FAC2]]</f>
        <v>7</v>
      </c>
      <c r="P299">
        <f t="shared" si="116"/>
        <v>0.66666666666666663</v>
      </c>
      <c r="Q299">
        <f>[1]!survey_responses[[#This Row],[So với trước đây, tôi thấy cách tính thuế và các bậc thuế trong phương án mới đơn giản, dễ hiểu và dễ thực hiện hơn. - HUMAN-FAC2]]</f>
        <v>10</v>
      </c>
      <c r="R299">
        <f t="shared" si="117"/>
        <v>1</v>
      </c>
      <c r="S299" s="32">
        <f t="shared" si="118"/>
        <v>0.61111111111111116</v>
      </c>
      <c r="T299" s="32">
        <f t="shared" si="119"/>
        <v>0.72222222222222221</v>
      </c>
      <c r="U299">
        <f>step3_validation[[#This Row],[AI_TRU1]]</f>
        <v>8</v>
      </c>
      <c r="V299">
        <f t="shared" si="120"/>
        <v>0.77777777777777779</v>
      </c>
      <c r="W299">
        <f>[1]!survey_responses[[#This Row],[Tôi tin rằng Nhà nước, cơ quan thuế sẽ thực thi chính sách mới một cách khách quan, công tâm và đối xử bình đẳng với mọi người nộp thuế.  - HUMAN-TRU1]]</f>
        <v>10</v>
      </c>
      <c r="X299">
        <f t="shared" si="121"/>
        <v>1</v>
      </c>
      <c r="Y299">
        <f>step3_validation[[#This Row],[AI_TRU2]]</f>
        <v>7</v>
      </c>
      <c r="Z299">
        <f t="shared" si="122"/>
        <v>0.66666666666666663</v>
      </c>
      <c r="AA299">
        <f>[1]!survey_responses[[#This Row],[Tôi thấy mức thuế tôi phải đóng theo phương án mới là công bằng (người thu nhập như tôi đóng mức này là hợp lý). - HUMAN-TRU2]]</f>
        <v>5</v>
      </c>
      <c r="AB299">
        <f t="shared" si="123"/>
        <v>0.44444444444444442</v>
      </c>
      <c r="AC299">
        <f>step3_validation[[#This Row],[AI_TRU3]]</f>
        <v>6</v>
      </c>
      <c r="AD299">
        <f t="shared" si="124"/>
        <v>0.55555555555555558</v>
      </c>
      <c r="AE299">
        <f>[1]!survey_responses[[#This Row],[Tôi tin tưởng số tiền thuế tôi đóng sẽ được Nhà nước sử dụng hiệu quả để cải thiện dịch vụ công (y tế, đường xá...). - HUMAN-TRU3]]</f>
        <v>5</v>
      </c>
      <c r="AF299">
        <f t="shared" si="125"/>
        <v>0.44444444444444442</v>
      </c>
      <c r="AG299">
        <f>step3_validation[[#This Row],[AI_TRU4]]</f>
        <v>7</v>
      </c>
      <c r="AH299">
        <f t="shared" si="126"/>
        <v>0.66666666666666663</v>
      </c>
      <c r="AI299">
        <f>[1]!survey_responses[[#This Row],[Tôi thấy Nhà nước đã giải thích rõ ràng, minh bạch về lý do và mục tiêu của việc sửa đổi thuế lần này. - HUMAN-TRU4]]</f>
        <v>5</v>
      </c>
      <c r="AJ299">
        <f t="shared" si="127"/>
        <v>0.44444444444444442</v>
      </c>
      <c r="AK299" s="32">
        <f t="shared" si="128"/>
        <v>0.66666666666666663</v>
      </c>
      <c r="AL299" s="32">
        <f t="shared" si="129"/>
        <v>0.58333333333333326</v>
      </c>
      <c r="AM299" s="7">
        <f t="shared" si="130"/>
        <v>0.66666666666666663</v>
      </c>
      <c r="AN299" s="7">
        <f t="shared" si="131"/>
        <v>0.58333333333333326</v>
      </c>
      <c r="AO299">
        <f>step3_validation[[#This Row],[AI_OUT1]]</f>
        <v>8</v>
      </c>
      <c r="AP299">
        <f t="shared" si="132"/>
        <v>0.77777777777777779</v>
      </c>
      <c r="AQ299">
        <f>[1]!survey_responses[[#This Row],[Sau khi xem xét các quyền lợi và nghĩa vụ, bạn có ủng hộ và tuân thủ chính sách mới hiện nay? - HUMAN-OUT1]]</f>
        <v>5</v>
      </c>
      <c r="AR299">
        <f t="shared" si="133"/>
        <v>0.44444444444444442</v>
      </c>
      <c r="AS299" s="32">
        <f t="shared" si="134"/>
        <v>3</v>
      </c>
    </row>
    <row r="300" spans="1:45" x14ac:dyDescent="0.45">
      <c r="A300">
        <f>step3_validation[[#This Row],[AI_ENF1]]</f>
        <v>6</v>
      </c>
      <c r="B300">
        <f t="shared" si="108"/>
        <v>0.55555555555555558</v>
      </c>
      <c r="C300">
        <f>[1]!survey_responses[[#This Row],[Tôi tin rằng với các quy định quản lý thuế hiện nay, hành vi gian lận hoặc trốn thuế sẽ dễ dàng bị phát hiện và xử lý nghiêm. - HUMAN-ENF1]]</f>
        <v>10</v>
      </c>
      <c r="D300">
        <f t="shared" si="109"/>
        <v>1</v>
      </c>
      <c r="E300">
        <f>step3_validation[[#This Row],[AI_ENF2]]</f>
        <v>7</v>
      </c>
      <c r="F300">
        <f t="shared" si="110"/>
        <v>0.66666666666666663</v>
      </c>
      <c r="G300">
        <f>[1]!survey_responses[[#This Row],[Tôi tin rằng Nhà nước, cơ quan thuế có đủ khả năng và công nghệ để phát hiện, xử lý nghiêm các hành vi trốn thuế. - HUMAN-ENF2]]</f>
        <v>10</v>
      </c>
      <c r="H300">
        <f t="shared" si="111"/>
        <v>1</v>
      </c>
      <c r="I300" s="32">
        <f t="shared" si="112"/>
        <v>0.61111111111111116</v>
      </c>
      <c r="J300" s="32">
        <f t="shared" si="113"/>
        <v>1</v>
      </c>
      <c r="K300">
        <f>step3_validation[[#This Row],[AI_FAC1]]</f>
        <v>8</v>
      </c>
      <c r="L300">
        <f t="shared" si="114"/>
        <v>0.77777777777777779</v>
      </c>
      <c r="M300">
        <f>[1]!survey_responses[[#This Row],[Các thủ tục khai báo thuế VÀ/HOẶC quy trình làm việc với cơ quan thuế đơn giản, tiện lợi, nhanh chóng hơn so với trước đây. - HUMAN-FAC1]]</f>
        <v>10</v>
      </c>
      <c r="N300">
        <f t="shared" si="115"/>
        <v>1</v>
      </c>
      <c r="O300">
        <f>step3_validation[[#This Row],[AI_FAC2]]</f>
        <v>9</v>
      </c>
      <c r="P300">
        <f t="shared" si="116"/>
        <v>0.88888888888888884</v>
      </c>
      <c r="Q300">
        <f>[1]!survey_responses[[#This Row],[So với trước đây, tôi thấy cách tính thuế và các bậc thuế trong phương án mới đơn giản, dễ hiểu và dễ thực hiện hơn. - HUMAN-FAC2]]</f>
        <v>10</v>
      </c>
      <c r="R300">
        <f t="shared" si="117"/>
        <v>1</v>
      </c>
      <c r="S300" s="32">
        <f t="shared" si="118"/>
        <v>0.83333333333333326</v>
      </c>
      <c r="T300" s="32">
        <f t="shared" si="119"/>
        <v>1</v>
      </c>
      <c r="U300">
        <f>step3_validation[[#This Row],[AI_TRU1]]</f>
        <v>8</v>
      </c>
      <c r="V300">
        <f t="shared" si="120"/>
        <v>0.77777777777777779</v>
      </c>
      <c r="W300">
        <f>[1]!survey_responses[[#This Row],[Tôi tin rằng Nhà nước, cơ quan thuế sẽ thực thi chính sách mới một cách khách quan, công tâm và đối xử bình đẳng với mọi người nộp thuế.  - HUMAN-TRU1]]</f>
        <v>10</v>
      </c>
      <c r="X300">
        <f t="shared" si="121"/>
        <v>1</v>
      </c>
      <c r="Y300">
        <f>step3_validation[[#This Row],[AI_TRU2]]</f>
        <v>7</v>
      </c>
      <c r="Z300">
        <f t="shared" si="122"/>
        <v>0.66666666666666663</v>
      </c>
      <c r="AA300">
        <f>[1]!survey_responses[[#This Row],[Tôi thấy mức thuế tôi phải đóng theo phương án mới là công bằng (người thu nhập như tôi đóng mức này là hợp lý). - HUMAN-TRU2]]</f>
        <v>10</v>
      </c>
      <c r="AB300">
        <f t="shared" si="123"/>
        <v>1</v>
      </c>
      <c r="AC300">
        <f>step3_validation[[#This Row],[AI_TRU3]]</f>
        <v>8</v>
      </c>
      <c r="AD300">
        <f t="shared" si="124"/>
        <v>0.77777777777777779</v>
      </c>
      <c r="AE300">
        <f>[1]!survey_responses[[#This Row],[Tôi tin tưởng số tiền thuế tôi đóng sẽ được Nhà nước sử dụng hiệu quả để cải thiện dịch vụ công (y tế, đường xá...). - HUMAN-TRU3]]</f>
        <v>10</v>
      </c>
      <c r="AF300">
        <f t="shared" si="125"/>
        <v>1</v>
      </c>
      <c r="AG300">
        <f>step3_validation[[#This Row],[AI_TRU4]]</f>
        <v>6</v>
      </c>
      <c r="AH300">
        <f t="shared" si="126"/>
        <v>0.55555555555555558</v>
      </c>
      <c r="AI300">
        <f>[1]!survey_responses[[#This Row],[Tôi thấy Nhà nước đã giải thích rõ ràng, minh bạch về lý do và mục tiêu của việc sửa đổi thuế lần này. - HUMAN-TRU4]]</f>
        <v>10</v>
      </c>
      <c r="AJ300">
        <f t="shared" si="127"/>
        <v>1</v>
      </c>
      <c r="AK300" s="32">
        <f t="shared" si="128"/>
        <v>0.69444444444444442</v>
      </c>
      <c r="AL300" s="32">
        <f t="shared" si="129"/>
        <v>1</v>
      </c>
      <c r="AM300" s="7">
        <f t="shared" si="130"/>
        <v>0.71296296296296291</v>
      </c>
      <c r="AN300" s="7">
        <f t="shared" si="131"/>
        <v>1</v>
      </c>
      <c r="AO300">
        <f>step3_validation[[#This Row],[AI_OUT1]]</f>
        <v>7</v>
      </c>
      <c r="AP300">
        <f t="shared" si="132"/>
        <v>0.66666666666666663</v>
      </c>
      <c r="AQ300">
        <f>[1]!survey_responses[[#This Row],[Sau khi xem xét các quyền lợi và nghĩa vụ, bạn có ủng hộ và tuân thủ chính sách mới hiện nay? - HUMAN-OUT1]]</f>
        <v>10</v>
      </c>
      <c r="AR300">
        <f t="shared" si="133"/>
        <v>1</v>
      </c>
      <c r="AS300" s="32">
        <f t="shared" si="134"/>
        <v>3</v>
      </c>
    </row>
    <row r="301" spans="1:45" x14ac:dyDescent="0.45">
      <c r="A301">
        <f>step3_validation[[#This Row],[AI_ENF1]]</f>
        <v>7</v>
      </c>
      <c r="B301">
        <f t="shared" si="108"/>
        <v>0.66666666666666663</v>
      </c>
      <c r="C301">
        <f>[1]!survey_responses[[#This Row],[Tôi tin rằng với các quy định quản lý thuế hiện nay, hành vi gian lận hoặc trốn thuế sẽ dễ dàng bị phát hiện và xử lý nghiêm. - HUMAN-ENF1]]</f>
        <v>9</v>
      </c>
      <c r="D301">
        <f t="shared" si="109"/>
        <v>0.88888888888888884</v>
      </c>
      <c r="E301">
        <f>step3_validation[[#This Row],[AI_ENF2]]</f>
        <v>8</v>
      </c>
      <c r="F301">
        <f t="shared" si="110"/>
        <v>0.77777777777777779</v>
      </c>
      <c r="G301">
        <f>[1]!survey_responses[[#This Row],[Tôi tin rằng Nhà nước, cơ quan thuế có đủ khả năng và công nghệ để phát hiện, xử lý nghiêm các hành vi trốn thuế. - HUMAN-ENF2]]</f>
        <v>9</v>
      </c>
      <c r="H301">
        <f t="shared" si="111"/>
        <v>0.88888888888888884</v>
      </c>
      <c r="I301" s="32">
        <f t="shared" si="112"/>
        <v>0.72222222222222221</v>
      </c>
      <c r="J301" s="32">
        <f t="shared" si="113"/>
        <v>0.88888888888888884</v>
      </c>
      <c r="K301">
        <f>step3_validation[[#This Row],[AI_FAC1]]</f>
        <v>8</v>
      </c>
      <c r="L301">
        <f t="shared" si="114"/>
        <v>0.77777777777777779</v>
      </c>
      <c r="M301">
        <f>[1]!survey_responses[[#This Row],[Các thủ tục khai báo thuế VÀ/HOẶC quy trình làm việc với cơ quan thuế đơn giản, tiện lợi, nhanh chóng hơn so với trước đây. - HUMAN-FAC1]]</f>
        <v>8</v>
      </c>
      <c r="N301">
        <f t="shared" si="115"/>
        <v>0.77777777777777779</v>
      </c>
      <c r="O301">
        <f>step3_validation[[#This Row],[AI_FAC2]]</f>
        <v>9</v>
      </c>
      <c r="P301">
        <f t="shared" si="116"/>
        <v>0.88888888888888884</v>
      </c>
      <c r="Q301">
        <f>[1]!survey_responses[[#This Row],[So với trước đây, tôi thấy cách tính thuế và các bậc thuế trong phương án mới đơn giản, dễ hiểu và dễ thực hiện hơn. - HUMAN-FAC2]]</f>
        <v>10</v>
      </c>
      <c r="R301">
        <f t="shared" si="117"/>
        <v>1</v>
      </c>
      <c r="S301" s="32">
        <f t="shared" si="118"/>
        <v>0.83333333333333326</v>
      </c>
      <c r="T301" s="32">
        <f t="shared" si="119"/>
        <v>0.88888888888888884</v>
      </c>
      <c r="U301">
        <f>step3_validation[[#This Row],[AI_TRU1]]</f>
        <v>7</v>
      </c>
      <c r="V301">
        <f t="shared" si="120"/>
        <v>0.66666666666666663</v>
      </c>
      <c r="W301">
        <f>[1]!survey_responses[[#This Row],[Tôi tin rằng Nhà nước, cơ quan thuế sẽ thực thi chính sách mới một cách khách quan, công tâm và đối xử bình đẳng với mọi người nộp thuế.  - HUMAN-TRU1]]</f>
        <v>8</v>
      </c>
      <c r="X301">
        <f t="shared" si="121"/>
        <v>0.77777777777777779</v>
      </c>
      <c r="Y301">
        <f>step3_validation[[#This Row],[AI_TRU2]]</f>
        <v>6</v>
      </c>
      <c r="Z301">
        <f t="shared" si="122"/>
        <v>0.55555555555555558</v>
      </c>
      <c r="AA301">
        <f>[1]!survey_responses[[#This Row],[Tôi thấy mức thuế tôi phải đóng theo phương án mới là công bằng (người thu nhập như tôi đóng mức này là hợp lý). - HUMAN-TRU2]]</f>
        <v>8</v>
      </c>
      <c r="AB301">
        <f t="shared" si="123"/>
        <v>0.77777777777777779</v>
      </c>
      <c r="AC301">
        <f>step3_validation[[#This Row],[AI_TRU3]]</f>
        <v>6</v>
      </c>
      <c r="AD301">
        <f t="shared" si="124"/>
        <v>0.55555555555555558</v>
      </c>
      <c r="AE301">
        <f>[1]!survey_responses[[#This Row],[Tôi tin tưởng số tiền thuế tôi đóng sẽ được Nhà nước sử dụng hiệu quả để cải thiện dịch vụ công (y tế, đường xá...). - HUMAN-TRU3]]</f>
        <v>10</v>
      </c>
      <c r="AF301">
        <f t="shared" si="125"/>
        <v>1</v>
      </c>
      <c r="AG301">
        <f>step3_validation[[#This Row],[AI_TRU4]]</f>
        <v>5</v>
      </c>
      <c r="AH301">
        <f t="shared" si="126"/>
        <v>0.44444444444444442</v>
      </c>
      <c r="AI301">
        <f>[1]!survey_responses[[#This Row],[Tôi thấy Nhà nước đã giải thích rõ ràng, minh bạch về lý do và mục tiêu của việc sửa đổi thuế lần này. - HUMAN-TRU4]]</f>
        <v>9</v>
      </c>
      <c r="AJ301">
        <f t="shared" si="127"/>
        <v>0.88888888888888884</v>
      </c>
      <c r="AK301" s="32">
        <f t="shared" si="128"/>
        <v>0.55555555555555558</v>
      </c>
      <c r="AL301" s="32">
        <f t="shared" si="129"/>
        <v>0.86111111111111105</v>
      </c>
      <c r="AM301" s="7">
        <f t="shared" si="130"/>
        <v>0.70370370370370361</v>
      </c>
      <c r="AN301" s="7">
        <f t="shared" si="131"/>
        <v>0.87962962962962965</v>
      </c>
      <c r="AO301">
        <f>step3_validation[[#This Row],[AI_OUT1]]</f>
        <v>6</v>
      </c>
      <c r="AP301">
        <f t="shared" si="132"/>
        <v>0.55555555555555558</v>
      </c>
      <c r="AQ301">
        <f>[1]!survey_responses[[#This Row],[Sau khi xem xét các quyền lợi và nghĩa vụ, bạn có ủng hộ và tuân thủ chính sách mới hiện nay? - HUMAN-OUT1]]</f>
        <v>9</v>
      </c>
      <c r="AR301">
        <f t="shared" si="133"/>
        <v>0.88888888888888884</v>
      </c>
      <c r="AS301" s="32">
        <f t="shared" si="134"/>
        <v>3</v>
      </c>
    </row>
    <row r="302" spans="1:45" x14ac:dyDescent="0.45">
      <c r="A302">
        <f>step3_validation[[#This Row],[AI_ENF1]]</f>
        <v>4</v>
      </c>
      <c r="B302">
        <f t="shared" si="108"/>
        <v>0.33333333333333331</v>
      </c>
      <c r="C302">
        <f>[1]!survey_responses[[#This Row],[Tôi tin rằng với các quy định quản lý thuế hiện nay, hành vi gian lận hoặc trốn thuế sẽ dễ dàng bị phát hiện và xử lý nghiêm. - HUMAN-ENF1]]</f>
        <v>8</v>
      </c>
      <c r="D302">
        <f t="shared" si="109"/>
        <v>0.77777777777777779</v>
      </c>
      <c r="E302">
        <f>step3_validation[[#This Row],[AI_ENF2]]</f>
        <v>5</v>
      </c>
      <c r="F302">
        <f t="shared" si="110"/>
        <v>0.44444444444444442</v>
      </c>
      <c r="G302">
        <f>[1]!survey_responses[[#This Row],[Tôi tin rằng Nhà nước, cơ quan thuế có đủ khả năng và công nghệ để phát hiện, xử lý nghiêm các hành vi trốn thuế. - HUMAN-ENF2]]</f>
        <v>7</v>
      </c>
      <c r="H302">
        <f t="shared" si="111"/>
        <v>0.66666666666666663</v>
      </c>
      <c r="I302" s="32">
        <f t="shared" si="112"/>
        <v>0.38888888888888884</v>
      </c>
      <c r="J302" s="32">
        <f t="shared" si="113"/>
        <v>0.72222222222222221</v>
      </c>
      <c r="K302">
        <f>step3_validation[[#This Row],[AI_FAC1]]</f>
        <v>7</v>
      </c>
      <c r="L302">
        <f t="shared" si="114"/>
        <v>0.66666666666666663</v>
      </c>
      <c r="M302">
        <f>[1]!survey_responses[[#This Row],[Các thủ tục khai báo thuế VÀ/HOẶC quy trình làm việc với cơ quan thuế đơn giản, tiện lợi, nhanh chóng hơn so với trước đây. - HUMAN-FAC1]]</f>
        <v>9</v>
      </c>
      <c r="N302">
        <f t="shared" si="115"/>
        <v>0.88888888888888884</v>
      </c>
      <c r="O302">
        <f>step3_validation[[#This Row],[AI_FAC2]]</f>
        <v>6</v>
      </c>
      <c r="P302">
        <f t="shared" si="116"/>
        <v>0.55555555555555558</v>
      </c>
      <c r="Q302">
        <f>[1]!survey_responses[[#This Row],[So với trước đây, tôi thấy cách tính thuế và các bậc thuế trong phương án mới đơn giản, dễ hiểu và dễ thực hiện hơn. - HUMAN-FAC2]]</f>
        <v>5</v>
      </c>
      <c r="R302">
        <f t="shared" si="117"/>
        <v>0.44444444444444442</v>
      </c>
      <c r="S302" s="32">
        <f t="shared" si="118"/>
        <v>0.61111111111111116</v>
      </c>
      <c r="T302" s="32">
        <f t="shared" si="119"/>
        <v>0.66666666666666663</v>
      </c>
      <c r="U302">
        <f>step3_validation[[#This Row],[AI_TRU1]]</f>
        <v>5</v>
      </c>
      <c r="V302">
        <f t="shared" si="120"/>
        <v>0.44444444444444442</v>
      </c>
      <c r="W302">
        <f>[1]!survey_responses[[#This Row],[Tôi tin rằng Nhà nước, cơ quan thuế sẽ thực thi chính sách mới một cách khách quan, công tâm và đối xử bình đẳng với mọi người nộp thuế.  - HUMAN-TRU1]]</f>
        <v>7</v>
      </c>
      <c r="X302">
        <f t="shared" si="121"/>
        <v>0.66666666666666663</v>
      </c>
      <c r="Y302">
        <f>step3_validation[[#This Row],[AI_TRU2]]</f>
        <v>6</v>
      </c>
      <c r="Z302">
        <f t="shared" si="122"/>
        <v>0.55555555555555558</v>
      </c>
      <c r="AA302">
        <f>[1]!survey_responses[[#This Row],[Tôi thấy mức thuế tôi phải đóng theo phương án mới là công bằng (người thu nhập như tôi đóng mức này là hợp lý). - HUMAN-TRU2]]</f>
        <v>7</v>
      </c>
      <c r="AB302">
        <f t="shared" si="123"/>
        <v>0.66666666666666663</v>
      </c>
      <c r="AC302">
        <f>step3_validation[[#This Row],[AI_TRU3]]</f>
        <v>5</v>
      </c>
      <c r="AD302">
        <f t="shared" si="124"/>
        <v>0.44444444444444442</v>
      </c>
      <c r="AE302">
        <f>[1]!survey_responses[[#This Row],[Tôi tin tưởng số tiền thuế tôi đóng sẽ được Nhà nước sử dụng hiệu quả để cải thiện dịch vụ công (y tế, đường xá...). - HUMAN-TRU3]]</f>
        <v>7</v>
      </c>
      <c r="AF302">
        <f t="shared" si="125"/>
        <v>0.66666666666666663</v>
      </c>
      <c r="AG302">
        <f>step3_validation[[#This Row],[AI_TRU4]]</f>
        <v>6</v>
      </c>
      <c r="AH302">
        <f t="shared" si="126"/>
        <v>0.55555555555555558</v>
      </c>
      <c r="AI302">
        <f>[1]!survey_responses[[#This Row],[Tôi thấy Nhà nước đã giải thích rõ ràng, minh bạch về lý do và mục tiêu của việc sửa đổi thuế lần này. - HUMAN-TRU4]]</f>
        <v>6</v>
      </c>
      <c r="AJ302">
        <f t="shared" si="127"/>
        <v>0.55555555555555558</v>
      </c>
      <c r="AK302" s="32">
        <f t="shared" si="128"/>
        <v>0.5</v>
      </c>
      <c r="AL302" s="32">
        <f t="shared" si="129"/>
        <v>0.63888888888888884</v>
      </c>
      <c r="AM302" s="7">
        <f t="shared" si="130"/>
        <v>0.5</v>
      </c>
      <c r="AN302" s="7">
        <f t="shared" si="131"/>
        <v>0.67592592592592593</v>
      </c>
      <c r="AO302">
        <f>step3_validation[[#This Row],[AI_OUT1]]</f>
        <v>7</v>
      </c>
      <c r="AP302">
        <f t="shared" si="132"/>
        <v>0.66666666666666663</v>
      </c>
      <c r="AQ302">
        <f>[1]!survey_responses[[#This Row],[Sau khi xem xét các quyền lợi và nghĩa vụ, bạn có ủng hộ và tuân thủ chính sách mới hiện nay? - HUMAN-OUT1]]</f>
        <v>7</v>
      </c>
      <c r="AR302">
        <f t="shared" si="133"/>
        <v>0.66666666666666663</v>
      </c>
      <c r="AS302" s="32">
        <f t="shared" si="134"/>
        <v>0</v>
      </c>
    </row>
    <row r="303" spans="1:45" x14ac:dyDescent="0.45">
      <c r="A303">
        <f>step3_validation[[#This Row],[AI_ENF1]]</f>
        <v>8</v>
      </c>
      <c r="B303">
        <f t="shared" si="108"/>
        <v>0.77777777777777779</v>
      </c>
      <c r="C303">
        <f>[1]!survey_responses[[#This Row],[Tôi tin rằng với các quy định quản lý thuế hiện nay, hành vi gian lận hoặc trốn thuế sẽ dễ dàng bị phát hiện và xử lý nghiêm. - HUMAN-ENF1]]</f>
        <v>7</v>
      </c>
      <c r="D303">
        <f t="shared" si="109"/>
        <v>0.66666666666666663</v>
      </c>
      <c r="E303">
        <f>step3_validation[[#This Row],[AI_ENF2]]</f>
        <v>7</v>
      </c>
      <c r="F303">
        <f t="shared" si="110"/>
        <v>0.66666666666666663</v>
      </c>
      <c r="G303">
        <f>[1]!survey_responses[[#This Row],[Tôi tin rằng Nhà nước, cơ quan thuế có đủ khả năng và công nghệ để phát hiện, xử lý nghiêm các hành vi trốn thuế. - HUMAN-ENF2]]</f>
        <v>7</v>
      </c>
      <c r="H303">
        <f t="shared" si="111"/>
        <v>0.66666666666666663</v>
      </c>
      <c r="I303" s="32">
        <f t="shared" si="112"/>
        <v>0.72222222222222221</v>
      </c>
      <c r="J303" s="32">
        <f t="shared" si="113"/>
        <v>0.66666666666666663</v>
      </c>
      <c r="K303">
        <f>step3_validation[[#This Row],[AI_FAC1]]</f>
        <v>9</v>
      </c>
      <c r="L303">
        <f t="shared" si="114"/>
        <v>0.88888888888888884</v>
      </c>
      <c r="M303">
        <f>[1]!survey_responses[[#This Row],[Các thủ tục khai báo thuế VÀ/HOẶC quy trình làm việc với cơ quan thuế đơn giản, tiện lợi, nhanh chóng hơn so với trước đây. - HUMAN-FAC1]]</f>
        <v>4</v>
      </c>
      <c r="N303">
        <f t="shared" si="115"/>
        <v>0.33333333333333331</v>
      </c>
      <c r="O303">
        <f>step3_validation[[#This Row],[AI_FAC2]]</f>
        <v>8</v>
      </c>
      <c r="P303">
        <f t="shared" si="116"/>
        <v>0.77777777777777779</v>
      </c>
      <c r="Q303">
        <f>[1]!survey_responses[[#This Row],[So với trước đây, tôi thấy cách tính thuế và các bậc thuế trong phương án mới đơn giản, dễ hiểu và dễ thực hiện hơn. - HUMAN-FAC2]]</f>
        <v>8</v>
      </c>
      <c r="R303">
        <f t="shared" si="117"/>
        <v>0.77777777777777779</v>
      </c>
      <c r="S303" s="32">
        <f t="shared" si="118"/>
        <v>0.83333333333333326</v>
      </c>
      <c r="T303" s="32">
        <f t="shared" si="119"/>
        <v>0.55555555555555558</v>
      </c>
      <c r="U303">
        <f>step3_validation[[#This Row],[AI_TRU1]]</f>
        <v>7</v>
      </c>
      <c r="V303">
        <f t="shared" si="120"/>
        <v>0.66666666666666663</v>
      </c>
      <c r="W303">
        <f>[1]!survey_responses[[#This Row],[Tôi tin rằng Nhà nước, cơ quan thuế sẽ thực thi chính sách mới một cách khách quan, công tâm và đối xử bình đẳng với mọi người nộp thuế.  - HUMAN-TRU1]]</f>
        <v>7</v>
      </c>
      <c r="X303">
        <f t="shared" si="121"/>
        <v>0.66666666666666663</v>
      </c>
      <c r="Y303">
        <f>step3_validation[[#This Row],[AI_TRU2]]</f>
        <v>6</v>
      </c>
      <c r="Z303">
        <f t="shared" si="122"/>
        <v>0.55555555555555558</v>
      </c>
      <c r="AA303">
        <f>[1]!survey_responses[[#This Row],[Tôi thấy mức thuế tôi phải đóng theo phương án mới là công bằng (người thu nhập như tôi đóng mức này là hợp lý). - HUMAN-TRU2]]</f>
        <v>7</v>
      </c>
      <c r="AB303">
        <f t="shared" si="123"/>
        <v>0.66666666666666663</v>
      </c>
      <c r="AC303">
        <f>step3_validation[[#This Row],[AI_TRU3]]</f>
        <v>5</v>
      </c>
      <c r="AD303">
        <f t="shared" si="124"/>
        <v>0.44444444444444442</v>
      </c>
      <c r="AE303">
        <f>[1]!survey_responses[[#This Row],[Tôi tin tưởng số tiền thuế tôi đóng sẽ được Nhà nước sử dụng hiệu quả để cải thiện dịch vụ công (y tế, đường xá...). - HUMAN-TRU3]]</f>
        <v>5</v>
      </c>
      <c r="AF303">
        <f t="shared" si="125"/>
        <v>0.44444444444444442</v>
      </c>
      <c r="AG303">
        <f>step3_validation[[#This Row],[AI_TRU4]]</f>
        <v>4</v>
      </c>
      <c r="AH303">
        <f t="shared" si="126"/>
        <v>0.33333333333333331</v>
      </c>
      <c r="AI303">
        <f>[1]!survey_responses[[#This Row],[Tôi thấy Nhà nước đã giải thích rõ ràng, minh bạch về lý do và mục tiêu của việc sửa đổi thuế lần này. - HUMAN-TRU4]]</f>
        <v>5</v>
      </c>
      <c r="AJ303">
        <f t="shared" si="127"/>
        <v>0.44444444444444442</v>
      </c>
      <c r="AK303" s="32">
        <f t="shared" si="128"/>
        <v>0.5</v>
      </c>
      <c r="AL303" s="32">
        <f t="shared" si="129"/>
        <v>0.55555555555555558</v>
      </c>
      <c r="AM303" s="7">
        <f t="shared" si="130"/>
        <v>0.68518518518518512</v>
      </c>
      <c r="AN303" s="7">
        <f t="shared" si="131"/>
        <v>0.59259259259259267</v>
      </c>
      <c r="AO303">
        <f>step3_validation[[#This Row],[AI_OUT1]]</f>
        <v>7</v>
      </c>
      <c r="AP303">
        <f t="shared" si="132"/>
        <v>0.66666666666666663</v>
      </c>
      <c r="AQ303">
        <f>[1]!survey_responses[[#This Row],[Sau khi xem xét các quyền lợi và nghĩa vụ, bạn có ủng hộ và tuân thủ chính sách mới hiện nay? - HUMAN-OUT1]]</f>
        <v>7</v>
      </c>
      <c r="AR303">
        <f t="shared" si="133"/>
        <v>0.66666666666666663</v>
      </c>
      <c r="AS303" s="32">
        <f t="shared" si="134"/>
        <v>0</v>
      </c>
    </row>
    <row r="304" spans="1:45" x14ac:dyDescent="0.45">
      <c r="A304">
        <f>step3_validation[[#This Row],[AI_ENF1]]</f>
        <v>9</v>
      </c>
      <c r="B304">
        <f t="shared" si="108"/>
        <v>0.88888888888888884</v>
      </c>
      <c r="C304">
        <f>[1]!survey_responses[[#This Row],[Tôi tin rằng với các quy định quản lý thuế hiện nay, hành vi gian lận hoặc trốn thuế sẽ dễ dàng bị phát hiện và xử lý nghiêm. - HUMAN-ENF1]]</f>
        <v>6</v>
      </c>
      <c r="D304">
        <f t="shared" si="109"/>
        <v>0.55555555555555558</v>
      </c>
      <c r="E304">
        <f>step3_validation[[#This Row],[AI_ENF2]]</f>
        <v>8</v>
      </c>
      <c r="F304">
        <f t="shared" si="110"/>
        <v>0.77777777777777779</v>
      </c>
      <c r="G304">
        <f>[1]!survey_responses[[#This Row],[Tôi tin rằng Nhà nước, cơ quan thuế có đủ khả năng và công nghệ để phát hiện, xử lý nghiêm các hành vi trốn thuế. - HUMAN-ENF2]]</f>
        <v>10</v>
      </c>
      <c r="H304">
        <f t="shared" si="111"/>
        <v>1</v>
      </c>
      <c r="I304" s="32">
        <f t="shared" si="112"/>
        <v>0.83333333333333326</v>
      </c>
      <c r="J304" s="32">
        <f t="shared" si="113"/>
        <v>0.77777777777777779</v>
      </c>
      <c r="K304">
        <f>step3_validation[[#This Row],[AI_FAC1]]</f>
        <v>8</v>
      </c>
      <c r="L304">
        <f t="shared" si="114"/>
        <v>0.77777777777777779</v>
      </c>
      <c r="M304">
        <f>[1]!survey_responses[[#This Row],[Các thủ tục khai báo thuế VÀ/HOẶC quy trình làm việc với cơ quan thuế đơn giản, tiện lợi, nhanh chóng hơn so với trước đây. - HUMAN-FAC1]]</f>
        <v>5</v>
      </c>
      <c r="N304">
        <f t="shared" si="115"/>
        <v>0.44444444444444442</v>
      </c>
      <c r="O304">
        <f>step3_validation[[#This Row],[AI_FAC2]]</f>
        <v>9</v>
      </c>
      <c r="P304">
        <f t="shared" si="116"/>
        <v>0.88888888888888884</v>
      </c>
      <c r="Q304">
        <f>[1]!survey_responses[[#This Row],[So với trước đây, tôi thấy cách tính thuế và các bậc thuế trong phương án mới đơn giản, dễ hiểu và dễ thực hiện hơn. - HUMAN-FAC2]]</f>
        <v>4</v>
      </c>
      <c r="R304">
        <f t="shared" si="117"/>
        <v>0.33333333333333331</v>
      </c>
      <c r="S304" s="32">
        <f t="shared" si="118"/>
        <v>0.83333333333333326</v>
      </c>
      <c r="T304" s="32">
        <f t="shared" si="119"/>
        <v>0.38888888888888884</v>
      </c>
      <c r="U304">
        <f>step3_validation[[#This Row],[AI_TRU1]]</f>
        <v>7</v>
      </c>
      <c r="V304">
        <f t="shared" si="120"/>
        <v>0.66666666666666663</v>
      </c>
      <c r="W304">
        <f>[1]!survey_responses[[#This Row],[Tôi tin rằng Nhà nước, cơ quan thuế sẽ thực thi chính sách mới một cách khách quan, công tâm và đối xử bình đẳng với mọi người nộp thuế.  - HUMAN-TRU1]]</f>
        <v>3</v>
      </c>
      <c r="X304">
        <f t="shared" si="121"/>
        <v>0.22222222222222221</v>
      </c>
      <c r="Y304">
        <f>step3_validation[[#This Row],[AI_TRU2]]</f>
        <v>5</v>
      </c>
      <c r="Z304">
        <f t="shared" si="122"/>
        <v>0.44444444444444442</v>
      </c>
      <c r="AA304">
        <f>[1]!survey_responses[[#This Row],[Tôi thấy mức thuế tôi phải đóng theo phương án mới là công bằng (người thu nhập như tôi đóng mức này là hợp lý). - HUMAN-TRU2]]</f>
        <v>7</v>
      </c>
      <c r="AB304">
        <f t="shared" si="123"/>
        <v>0.66666666666666663</v>
      </c>
      <c r="AC304">
        <f>step3_validation[[#This Row],[AI_TRU3]]</f>
        <v>6</v>
      </c>
      <c r="AD304">
        <f t="shared" si="124"/>
        <v>0.55555555555555558</v>
      </c>
      <c r="AE304">
        <f>[1]!survey_responses[[#This Row],[Tôi tin tưởng số tiền thuế tôi đóng sẽ được Nhà nước sử dụng hiệu quả để cải thiện dịch vụ công (y tế, đường xá...). - HUMAN-TRU3]]</f>
        <v>4</v>
      </c>
      <c r="AF304">
        <f t="shared" si="125"/>
        <v>0.33333333333333331</v>
      </c>
      <c r="AG304">
        <f>step3_validation[[#This Row],[AI_TRU4]]</f>
        <v>4</v>
      </c>
      <c r="AH304">
        <f t="shared" si="126"/>
        <v>0.33333333333333331</v>
      </c>
      <c r="AI304">
        <f>[1]!survey_responses[[#This Row],[Tôi thấy Nhà nước đã giải thích rõ ràng, minh bạch về lý do và mục tiêu của việc sửa đổi thuế lần này. - HUMAN-TRU4]]</f>
        <v>4</v>
      </c>
      <c r="AJ304">
        <f t="shared" si="127"/>
        <v>0.33333333333333331</v>
      </c>
      <c r="AK304" s="32">
        <f t="shared" si="128"/>
        <v>0.5</v>
      </c>
      <c r="AL304" s="32">
        <f t="shared" si="129"/>
        <v>0.38888888888888884</v>
      </c>
      <c r="AM304" s="7">
        <f t="shared" si="130"/>
        <v>0.72222222222222221</v>
      </c>
      <c r="AN304" s="7">
        <f t="shared" si="131"/>
        <v>0.51851851851851849</v>
      </c>
      <c r="AO304">
        <f>step3_validation[[#This Row],[AI_OUT1]]</f>
        <v>7</v>
      </c>
      <c r="AP304">
        <f t="shared" si="132"/>
        <v>0.66666666666666663</v>
      </c>
      <c r="AQ304">
        <f>[1]!survey_responses[[#This Row],[Sau khi xem xét các quyền lợi và nghĩa vụ, bạn có ủng hộ và tuân thủ chính sách mới hiện nay? - HUMAN-OUT1]]</f>
        <v>5</v>
      </c>
      <c r="AR304">
        <f t="shared" si="133"/>
        <v>0.44444444444444442</v>
      </c>
      <c r="AS304" s="32">
        <f t="shared" si="134"/>
        <v>2</v>
      </c>
    </row>
    <row r="305" spans="1:45" x14ac:dyDescent="0.45">
      <c r="A305">
        <f>step3_validation[[#This Row],[AI_ENF1]]</f>
        <v>7</v>
      </c>
      <c r="B305">
        <f t="shared" si="108"/>
        <v>0.66666666666666663</v>
      </c>
      <c r="C305">
        <f>[1]!survey_responses[[#This Row],[Tôi tin rằng với các quy định quản lý thuế hiện nay, hành vi gian lận hoặc trốn thuế sẽ dễ dàng bị phát hiện và xử lý nghiêm. - HUMAN-ENF1]]</f>
        <v>10</v>
      </c>
      <c r="D305">
        <f t="shared" si="109"/>
        <v>1</v>
      </c>
      <c r="E305">
        <f>step3_validation[[#This Row],[AI_ENF2]]</f>
        <v>8</v>
      </c>
      <c r="F305">
        <f t="shared" si="110"/>
        <v>0.77777777777777779</v>
      </c>
      <c r="G305">
        <f>[1]!survey_responses[[#This Row],[Tôi tin rằng Nhà nước, cơ quan thuế có đủ khả năng và công nghệ để phát hiện, xử lý nghiêm các hành vi trốn thuế. - HUMAN-ENF2]]</f>
        <v>10</v>
      </c>
      <c r="H305">
        <f t="shared" si="111"/>
        <v>1</v>
      </c>
      <c r="I305" s="32">
        <f t="shared" si="112"/>
        <v>0.72222222222222221</v>
      </c>
      <c r="J305" s="32">
        <f t="shared" si="113"/>
        <v>1</v>
      </c>
      <c r="K305">
        <f>step3_validation[[#This Row],[AI_FAC1]]</f>
        <v>6</v>
      </c>
      <c r="L305">
        <f t="shared" si="114"/>
        <v>0.55555555555555558</v>
      </c>
      <c r="M305">
        <f>[1]!survey_responses[[#This Row],[Các thủ tục khai báo thuế VÀ/HOẶC quy trình làm việc với cơ quan thuế đơn giản, tiện lợi, nhanh chóng hơn so với trước đây. - HUMAN-FAC1]]</f>
        <v>10</v>
      </c>
      <c r="N305">
        <f t="shared" si="115"/>
        <v>1</v>
      </c>
      <c r="O305">
        <f>step3_validation[[#This Row],[AI_FAC2]]</f>
        <v>7</v>
      </c>
      <c r="P305">
        <f t="shared" si="116"/>
        <v>0.66666666666666663</v>
      </c>
      <c r="Q305">
        <f>[1]!survey_responses[[#This Row],[So với trước đây, tôi thấy cách tính thuế và các bậc thuế trong phương án mới đơn giản, dễ hiểu và dễ thực hiện hơn. - HUMAN-FAC2]]</f>
        <v>10</v>
      </c>
      <c r="R305">
        <f t="shared" si="117"/>
        <v>1</v>
      </c>
      <c r="S305" s="32">
        <f t="shared" si="118"/>
        <v>0.61111111111111116</v>
      </c>
      <c r="T305" s="32">
        <f t="shared" si="119"/>
        <v>1</v>
      </c>
      <c r="U305">
        <f>step3_validation[[#This Row],[AI_TRU1]]</f>
        <v>8</v>
      </c>
      <c r="V305">
        <f t="shared" si="120"/>
        <v>0.77777777777777779</v>
      </c>
      <c r="W305">
        <f>[1]!survey_responses[[#This Row],[Tôi tin rằng Nhà nước, cơ quan thuế sẽ thực thi chính sách mới một cách khách quan, công tâm và đối xử bình đẳng với mọi người nộp thuế.  - HUMAN-TRU1]]</f>
        <v>10</v>
      </c>
      <c r="X305">
        <f t="shared" si="121"/>
        <v>1</v>
      </c>
      <c r="Y305">
        <f>step3_validation[[#This Row],[AI_TRU2]]</f>
        <v>7</v>
      </c>
      <c r="Z305">
        <f t="shared" si="122"/>
        <v>0.66666666666666663</v>
      </c>
      <c r="AA305">
        <f>[1]!survey_responses[[#This Row],[Tôi thấy mức thuế tôi phải đóng theo phương án mới là công bằng (người thu nhập như tôi đóng mức này là hợp lý). - HUMAN-TRU2]]</f>
        <v>10</v>
      </c>
      <c r="AB305">
        <f t="shared" si="123"/>
        <v>1</v>
      </c>
      <c r="AC305">
        <f>step3_validation[[#This Row],[AI_TRU3]]</f>
        <v>8</v>
      </c>
      <c r="AD305">
        <f t="shared" si="124"/>
        <v>0.77777777777777779</v>
      </c>
      <c r="AE305">
        <f>[1]!survey_responses[[#This Row],[Tôi tin tưởng số tiền thuế tôi đóng sẽ được Nhà nước sử dụng hiệu quả để cải thiện dịch vụ công (y tế, đường xá...). - HUMAN-TRU3]]</f>
        <v>10</v>
      </c>
      <c r="AF305">
        <f t="shared" si="125"/>
        <v>1</v>
      </c>
      <c r="AG305">
        <f>step3_validation[[#This Row],[AI_TRU4]]</f>
        <v>7</v>
      </c>
      <c r="AH305">
        <f t="shared" si="126"/>
        <v>0.66666666666666663</v>
      </c>
      <c r="AI305">
        <f>[1]!survey_responses[[#This Row],[Tôi thấy Nhà nước đã giải thích rõ ràng, minh bạch về lý do và mục tiêu của việc sửa đổi thuế lần này. - HUMAN-TRU4]]</f>
        <v>10</v>
      </c>
      <c r="AJ305">
        <f t="shared" si="127"/>
        <v>1</v>
      </c>
      <c r="AK305" s="32">
        <f t="shared" si="128"/>
        <v>0.72222222222222221</v>
      </c>
      <c r="AL305" s="32">
        <f t="shared" si="129"/>
        <v>1</v>
      </c>
      <c r="AM305" s="7">
        <f t="shared" si="130"/>
        <v>0.68518518518518523</v>
      </c>
      <c r="AN305" s="7">
        <f t="shared" si="131"/>
        <v>1</v>
      </c>
      <c r="AO305">
        <f>step3_validation[[#This Row],[AI_OUT1]]</f>
        <v>6</v>
      </c>
      <c r="AP305">
        <f t="shared" si="132"/>
        <v>0.55555555555555558</v>
      </c>
      <c r="AQ305">
        <f>[1]!survey_responses[[#This Row],[Sau khi xem xét các quyền lợi và nghĩa vụ, bạn có ủng hộ và tuân thủ chính sách mới hiện nay? - HUMAN-OUT1]]</f>
        <v>10</v>
      </c>
      <c r="AR305">
        <f t="shared" si="133"/>
        <v>1</v>
      </c>
      <c r="AS305" s="32">
        <f t="shared" si="134"/>
        <v>4</v>
      </c>
    </row>
    <row r="306" spans="1:45" x14ac:dyDescent="0.45">
      <c r="A306">
        <f>step3_validation[[#This Row],[AI_ENF1]]</f>
        <v>8</v>
      </c>
      <c r="B306">
        <f t="shared" si="108"/>
        <v>0.77777777777777779</v>
      </c>
      <c r="C306">
        <f>[1]!survey_responses[[#This Row],[Tôi tin rằng với các quy định quản lý thuế hiện nay, hành vi gian lận hoặc trốn thuế sẽ dễ dàng bị phát hiện và xử lý nghiêm. - HUMAN-ENF1]]</f>
        <v>7</v>
      </c>
      <c r="D306">
        <f t="shared" si="109"/>
        <v>0.66666666666666663</v>
      </c>
      <c r="E306">
        <f>step3_validation[[#This Row],[AI_ENF2]]</f>
        <v>7</v>
      </c>
      <c r="F306">
        <f t="shared" si="110"/>
        <v>0.66666666666666663</v>
      </c>
      <c r="G306">
        <f>[1]!survey_responses[[#This Row],[Tôi tin rằng Nhà nước, cơ quan thuế có đủ khả năng và công nghệ để phát hiện, xử lý nghiêm các hành vi trốn thuế. - HUMAN-ENF2]]</f>
        <v>9</v>
      </c>
      <c r="H306">
        <f t="shared" si="111"/>
        <v>0.88888888888888884</v>
      </c>
      <c r="I306" s="32">
        <f t="shared" si="112"/>
        <v>0.72222222222222221</v>
      </c>
      <c r="J306" s="32">
        <f t="shared" si="113"/>
        <v>0.77777777777777768</v>
      </c>
      <c r="K306">
        <f>step3_validation[[#This Row],[AI_FAC1]]</f>
        <v>9</v>
      </c>
      <c r="L306">
        <f t="shared" si="114"/>
        <v>0.88888888888888884</v>
      </c>
      <c r="M306">
        <f>[1]!survey_responses[[#This Row],[Các thủ tục khai báo thuế VÀ/HOẶC quy trình làm việc với cơ quan thuế đơn giản, tiện lợi, nhanh chóng hơn so với trước đây. - HUMAN-FAC1]]</f>
        <v>8</v>
      </c>
      <c r="N306">
        <f t="shared" si="115"/>
        <v>0.77777777777777779</v>
      </c>
      <c r="O306">
        <f>step3_validation[[#This Row],[AI_FAC2]]</f>
        <v>8</v>
      </c>
      <c r="P306">
        <f t="shared" si="116"/>
        <v>0.77777777777777779</v>
      </c>
      <c r="Q306">
        <f>[1]!survey_responses[[#This Row],[So với trước đây, tôi thấy cách tính thuế và các bậc thuế trong phương án mới đơn giản, dễ hiểu và dễ thực hiện hơn. - HUMAN-FAC2]]</f>
        <v>6</v>
      </c>
      <c r="R306">
        <f t="shared" si="117"/>
        <v>0.55555555555555558</v>
      </c>
      <c r="S306" s="32">
        <f t="shared" si="118"/>
        <v>0.83333333333333326</v>
      </c>
      <c r="T306" s="32">
        <f t="shared" si="119"/>
        <v>0.66666666666666674</v>
      </c>
      <c r="U306">
        <f>step3_validation[[#This Row],[AI_TRU1]]</f>
        <v>9</v>
      </c>
      <c r="V306">
        <f t="shared" si="120"/>
        <v>0.88888888888888884</v>
      </c>
      <c r="W306">
        <f>[1]!survey_responses[[#This Row],[Tôi tin rằng Nhà nước, cơ quan thuế sẽ thực thi chính sách mới một cách khách quan, công tâm và đối xử bình đẳng với mọi người nộp thuế.  - HUMAN-TRU1]]</f>
        <v>5</v>
      </c>
      <c r="X306">
        <f t="shared" si="121"/>
        <v>0.44444444444444442</v>
      </c>
      <c r="Y306">
        <f>step3_validation[[#This Row],[AI_TRU2]]</f>
        <v>8</v>
      </c>
      <c r="Z306">
        <f t="shared" si="122"/>
        <v>0.77777777777777779</v>
      </c>
      <c r="AA306">
        <f>[1]!survey_responses[[#This Row],[Tôi thấy mức thuế tôi phải đóng theo phương án mới là công bằng (người thu nhập như tôi đóng mức này là hợp lý). - HUMAN-TRU2]]</f>
        <v>3</v>
      </c>
      <c r="AB306">
        <f t="shared" si="123"/>
        <v>0.22222222222222221</v>
      </c>
      <c r="AC306">
        <f>step3_validation[[#This Row],[AI_TRU3]]</f>
        <v>9</v>
      </c>
      <c r="AD306">
        <f t="shared" si="124"/>
        <v>0.88888888888888884</v>
      </c>
      <c r="AE306">
        <f>[1]!survey_responses[[#This Row],[Tôi tin tưởng số tiền thuế tôi đóng sẽ được Nhà nước sử dụng hiệu quả để cải thiện dịch vụ công (y tế, đường xá...). - HUMAN-TRU3]]</f>
        <v>9</v>
      </c>
      <c r="AF306">
        <f t="shared" si="125"/>
        <v>0.88888888888888884</v>
      </c>
      <c r="AG306">
        <f>step3_validation[[#This Row],[AI_TRU4]]</f>
        <v>8</v>
      </c>
      <c r="AH306">
        <f t="shared" si="126"/>
        <v>0.77777777777777779</v>
      </c>
      <c r="AI306">
        <f>[1]!survey_responses[[#This Row],[Tôi thấy Nhà nước đã giải thích rõ ràng, minh bạch về lý do và mục tiêu của việc sửa đổi thuế lần này. - HUMAN-TRU4]]</f>
        <v>3</v>
      </c>
      <c r="AJ306">
        <f t="shared" si="127"/>
        <v>0.22222222222222221</v>
      </c>
      <c r="AK306" s="32">
        <f t="shared" si="128"/>
        <v>0.83333333333333326</v>
      </c>
      <c r="AL306" s="32">
        <f t="shared" si="129"/>
        <v>0.44444444444444442</v>
      </c>
      <c r="AM306" s="7">
        <f t="shared" si="130"/>
        <v>0.79629629629629617</v>
      </c>
      <c r="AN306" s="7">
        <f t="shared" si="131"/>
        <v>0.62962962962962965</v>
      </c>
      <c r="AO306">
        <f>step3_validation[[#This Row],[AI_OUT1]]</f>
        <v>9</v>
      </c>
      <c r="AP306">
        <f t="shared" si="132"/>
        <v>0.88888888888888884</v>
      </c>
      <c r="AQ306">
        <f>[1]!survey_responses[[#This Row],[Sau khi xem xét các quyền lợi và nghĩa vụ, bạn có ủng hộ và tuân thủ chính sách mới hiện nay? - HUMAN-OUT1]]</f>
        <v>4</v>
      </c>
      <c r="AR306">
        <f t="shared" si="133"/>
        <v>0.33333333333333331</v>
      </c>
      <c r="AS306" s="32">
        <f t="shared" si="134"/>
        <v>5</v>
      </c>
    </row>
    <row r="307" spans="1:45" x14ac:dyDescent="0.45">
      <c r="A307">
        <f>step3_validation[[#This Row],[AI_ENF1]]</f>
        <v>7</v>
      </c>
      <c r="B307">
        <f t="shared" si="108"/>
        <v>0.66666666666666663</v>
      </c>
      <c r="C307">
        <f>[1]!survey_responses[[#This Row],[Tôi tin rằng với các quy định quản lý thuế hiện nay, hành vi gian lận hoặc trốn thuế sẽ dễ dàng bị phát hiện và xử lý nghiêm. - HUMAN-ENF1]]</f>
        <v>3</v>
      </c>
      <c r="D307">
        <f t="shared" si="109"/>
        <v>0.22222222222222221</v>
      </c>
      <c r="E307">
        <f>step3_validation[[#This Row],[AI_ENF2]]</f>
        <v>8</v>
      </c>
      <c r="F307">
        <f t="shared" si="110"/>
        <v>0.77777777777777779</v>
      </c>
      <c r="G307">
        <f>[1]!survey_responses[[#This Row],[Tôi tin rằng Nhà nước, cơ quan thuế có đủ khả năng và công nghệ để phát hiện, xử lý nghiêm các hành vi trốn thuế. - HUMAN-ENF2]]</f>
        <v>8</v>
      </c>
      <c r="H307">
        <f t="shared" si="111"/>
        <v>0.77777777777777779</v>
      </c>
      <c r="I307" s="32">
        <f t="shared" si="112"/>
        <v>0.72222222222222221</v>
      </c>
      <c r="J307" s="32">
        <f t="shared" si="113"/>
        <v>0.5</v>
      </c>
      <c r="K307">
        <f>step3_validation[[#This Row],[AI_FAC1]]</f>
        <v>7</v>
      </c>
      <c r="L307">
        <f t="shared" si="114"/>
        <v>0.66666666666666663</v>
      </c>
      <c r="M307">
        <f>[1]!survey_responses[[#This Row],[Các thủ tục khai báo thuế VÀ/HOẶC quy trình làm việc với cơ quan thuế đơn giản, tiện lợi, nhanh chóng hơn so với trước đây. - HUMAN-FAC1]]</f>
        <v>8</v>
      </c>
      <c r="N307">
        <f t="shared" si="115"/>
        <v>0.77777777777777779</v>
      </c>
      <c r="O307">
        <f>step3_validation[[#This Row],[AI_FAC2]]</f>
        <v>8</v>
      </c>
      <c r="P307">
        <f t="shared" si="116"/>
        <v>0.77777777777777779</v>
      </c>
      <c r="Q307">
        <f>[1]!survey_responses[[#This Row],[So với trước đây, tôi thấy cách tính thuế và các bậc thuế trong phương án mới đơn giản, dễ hiểu và dễ thực hiện hơn. - HUMAN-FAC2]]</f>
        <v>4</v>
      </c>
      <c r="R307">
        <f t="shared" si="117"/>
        <v>0.33333333333333331</v>
      </c>
      <c r="S307" s="32">
        <f t="shared" si="118"/>
        <v>0.72222222222222221</v>
      </c>
      <c r="T307" s="32">
        <f t="shared" si="119"/>
        <v>0.55555555555555558</v>
      </c>
      <c r="U307">
        <f>step3_validation[[#This Row],[AI_TRU1]]</f>
        <v>7</v>
      </c>
      <c r="V307">
        <f t="shared" si="120"/>
        <v>0.66666666666666663</v>
      </c>
      <c r="W307">
        <f>[1]!survey_responses[[#This Row],[Tôi tin rằng Nhà nước, cơ quan thuế sẽ thực thi chính sách mới một cách khách quan, công tâm và đối xử bình đẳng với mọi người nộp thuế.  - HUMAN-TRU1]]</f>
        <v>4</v>
      </c>
      <c r="X307">
        <f t="shared" si="121"/>
        <v>0.33333333333333331</v>
      </c>
      <c r="Y307">
        <f>step3_validation[[#This Row],[AI_TRU2]]</f>
        <v>8</v>
      </c>
      <c r="Z307">
        <f t="shared" si="122"/>
        <v>0.77777777777777779</v>
      </c>
      <c r="AA307">
        <f>[1]!survey_responses[[#This Row],[Tôi thấy mức thuế tôi phải đóng theo phương án mới là công bằng (người thu nhập như tôi đóng mức này là hợp lý). - HUMAN-TRU2]]</f>
        <v>3</v>
      </c>
      <c r="AB307">
        <f t="shared" si="123"/>
        <v>0.22222222222222221</v>
      </c>
      <c r="AC307">
        <f>step3_validation[[#This Row],[AI_TRU3]]</f>
        <v>7</v>
      </c>
      <c r="AD307">
        <f t="shared" si="124"/>
        <v>0.66666666666666663</v>
      </c>
      <c r="AE307">
        <f>[1]!survey_responses[[#This Row],[Tôi tin tưởng số tiền thuế tôi đóng sẽ được Nhà nước sử dụng hiệu quả để cải thiện dịch vụ công (y tế, đường xá...). - HUMAN-TRU3]]</f>
        <v>7</v>
      </c>
      <c r="AF307">
        <f t="shared" si="125"/>
        <v>0.66666666666666663</v>
      </c>
      <c r="AG307">
        <f>step3_validation[[#This Row],[AI_TRU4]]</f>
        <v>8</v>
      </c>
      <c r="AH307">
        <f t="shared" si="126"/>
        <v>0.77777777777777779</v>
      </c>
      <c r="AI307">
        <f>[1]!survey_responses[[#This Row],[Tôi thấy Nhà nước đã giải thích rõ ràng, minh bạch về lý do và mục tiêu của việc sửa đổi thuế lần này. - HUMAN-TRU4]]</f>
        <v>5</v>
      </c>
      <c r="AJ307">
        <f t="shared" si="127"/>
        <v>0.44444444444444442</v>
      </c>
      <c r="AK307" s="32">
        <f t="shared" si="128"/>
        <v>0.72222222222222221</v>
      </c>
      <c r="AL307" s="32">
        <f t="shared" si="129"/>
        <v>0.41666666666666669</v>
      </c>
      <c r="AM307" s="7">
        <f t="shared" si="130"/>
        <v>0.72222222222222221</v>
      </c>
      <c r="AN307" s="7">
        <f t="shared" si="131"/>
        <v>0.49074074074074076</v>
      </c>
      <c r="AO307">
        <f>step3_validation[[#This Row],[AI_OUT1]]</f>
        <v>7</v>
      </c>
      <c r="AP307">
        <f t="shared" si="132"/>
        <v>0.66666666666666663</v>
      </c>
      <c r="AQ307">
        <f>[1]!survey_responses[[#This Row],[Sau khi xem xét các quyền lợi và nghĩa vụ, bạn có ủng hộ và tuân thủ chính sách mới hiện nay? - HUMAN-OUT1]]</f>
        <v>5</v>
      </c>
      <c r="AR307">
        <f t="shared" si="133"/>
        <v>0.44444444444444442</v>
      </c>
      <c r="AS307" s="32">
        <f t="shared" si="134"/>
        <v>2</v>
      </c>
    </row>
    <row r="308" spans="1:45" x14ac:dyDescent="0.45">
      <c r="A308">
        <f>step3_validation[[#This Row],[AI_ENF1]]</f>
        <v>7</v>
      </c>
      <c r="B308">
        <f t="shared" si="108"/>
        <v>0.66666666666666663</v>
      </c>
      <c r="C308">
        <f>[1]!survey_responses[[#This Row],[Tôi tin rằng với các quy định quản lý thuế hiện nay, hành vi gian lận hoặc trốn thuế sẽ dễ dàng bị phát hiện và xử lý nghiêm. - HUMAN-ENF1]]</f>
        <v>2</v>
      </c>
      <c r="D308">
        <f t="shared" si="109"/>
        <v>0.1111111111111111</v>
      </c>
      <c r="E308">
        <f>step3_validation[[#This Row],[AI_ENF2]]</f>
        <v>7</v>
      </c>
      <c r="F308">
        <f t="shared" si="110"/>
        <v>0.66666666666666663</v>
      </c>
      <c r="G308">
        <f>[1]!survey_responses[[#This Row],[Tôi tin rằng Nhà nước, cơ quan thuế có đủ khả năng và công nghệ để phát hiện, xử lý nghiêm các hành vi trốn thuế. - HUMAN-ENF2]]</f>
        <v>2</v>
      </c>
      <c r="H308">
        <f t="shared" si="111"/>
        <v>0.1111111111111111</v>
      </c>
      <c r="I308" s="32">
        <f t="shared" si="112"/>
        <v>0.66666666666666663</v>
      </c>
      <c r="J308" s="32">
        <f t="shared" si="113"/>
        <v>0.1111111111111111</v>
      </c>
      <c r="K308">
        <f>step3_validation[[#This Row],[AI_FAC1]]</f>
        <v>8</v>
      </c>
      <c r="L308">
        <f t="shared" si="114"/>
        <v>0.77777777777777779</v>
      </c>
      <c r="M308">
        <f>[1]!survey_responses[[#This Row],[Các thủ tục khai báo thuế VÀ/HOẶC quy trình làm việc với cơ quan thuế đơn giản, tiện lợi, nhanh chóng hơn so với trước đây. - HUMAN-FAC1]]</f>
        <v>2</v>
      </c>
      <c r="N308">
        <f t="shared" si="115"/>
        <v>0.1111111111111111</v>
      </c>
      <c r="O308">
        <f>step3_validation[[#This Row],[AI_FAC2]]</f>
        <v>9</v>
      </c>
      <c r="P308">
        <f t="shared" si="116"/>
        <v>0.88888888888888884</v>
      </c>
      <c r="Q308">
        <f>[1]!survey_responses[[#This Row],[So với trước đây, tôi thấy cách tính thuế và các bậc thuế trong phương án mới đơn giản, dễ hiểu và dễ thực hiện hơn. - HUMAN-FAC2]]</f>
        <v>1</v>
      </c>
      <c r="R308">
        <f t="shared" si="117"/>
        <v>0</v>
      </c>
      <c r="S308" s="32">
        <f t="shared" si="118"/>
        <v>0.83333333333333326</v>
      </c>
      <c r="T308" s="32">
        <f t="shared" si="119"/>
        <v>5.5555555555555552E-2</v>
      </c>
      <c r="U308">
        <f>step3_validation[[#This Row],[AI_TRU1]]</f>
        <v>7</v>
      </c>
      <c r="V308">
        <f t="shared" si="120"/>
        <v>0.66666666666666663</v>
      </c>
      <c r="W308">
        <f>[1]!survey_responses[[#This Row],[Tôi tin rằng Nhà nước, cơ quan thuế sẽ thực thi chính sách mới một cách khách quan, công tâm và đối xử bình đẳng với mọi người nộp thuế.  - HUMAN-TRU1]]</f>
        <v>2</v>
      </c>
      <c r="X308">
        <f t="shared" si="121"/>
        <v>0.1111111111111111</v>
      </c>
      <c r="Y308">
        <f>step3_validation[[#This Row],[AI_TRU2]]</f>
        <v>7</v>
      </c>
      <c r="Z308">
        <f t="shared" si="122"/>
        <v>0.66666666666666663</v>
      </c>
      <c r="AA308">
        <f>[1]!survey_responses[[#This Row],[Tôi thấy mức thuế tôi phải đóng theo phương án mới là công bằng (người thu nhập như tôi đóng mức này là hợp lý). - HUMAN-TRU2]]</f>
        <v>2</v>
      </c>
      <c r="AB308">
        <f t="shared" si="123"/>
        <v>0.1111111111111111</v>
      </c>
      <c r="AC308">
        <f>step3_validation[[#This Row],[AI_TRU3]]</f>
        <v>8</v>
      </c>
      <c r="AD308">
        <f t="shared" si="124"/>
        <v>0.77777777777777779</v>
      </c>
      <c r="AE308">
        <f>[1]!survey_responses[[#This Row],[Tôi tin tưởng số tiền thuế tôi đóng sẽ được Nhà nước sử dụng hiệu quả để cải thiện dịch vụ công (y tế, đường xá...). - HUMAN-TRU3]]</f>
        <v>2</v>
      </c>
      <c r="AF308">
        <f t="shared" si="125"/>
        <v>0.1111111111111111</v>
      </c>
      <c r="AG308">
        <f>step3_validation[[#This Row],[AI_TRU4]]</f>
        <v>7</v>
      </c>
      <c r="AH308">
        <f t="shared" si="126"/>
        <v>0.66666666666666663</v>
      </c>
      <c r="AI308">
        <f>[1]!survey_responses[[#This Row],[Tôi thấy Nhà nước đã giải thích rõ ràng, minh bạch về lý do và mục tiêu của việc sửa đổi thuế lần này. - HUMAN-TRU4]]</f>
        <v>2</v>
      </c>
      <c r="AJ308">
        <f t="shared" si="127"/>
        <v>0.1111111111111111</v>
      </c>
      <c r="AK308" s="32">
        <f t="shared" si="128"/>
        <v>0.69444444444444442</v>
      </c>
      <c r="AL308" s="32">
        <f t="shared" si="129"/>
        <v>0.1111111111111111</v>
      </c>
      <c r="AM308" s="7">
        <f t="shared" si="130"/>
        <v>0.73148148148148151</v>
      </c>
      <c r="AN308" s="7">
        <f t="shared" si="131"/>
        <v>9.2592592592592601E-2</v>
      </c>
      <c r="AO308">
        <f>step3_validation[[#This Row],[AI_OUT1]]</f>
        <v>8</v>
      </c>
      <c r="AP308">
        <f t="shared" si="132"/>
        <v>0.77777777777777779</v>
      </c>
      <c r="AQ308">
        <f>[1]!survey_responses[[#This Row],[Sau khi xem xét các quyền lợi và nghĩa vụ, bạn có ủng hộ và tuân thủ chính sách mới hiện nay? - HUMAN-OUT1]]</f>
        <v>2</v>
      </c>
      <c r="AR308">
        <f t="shared" si="133"/>
        <v>0.1111111111111111</v>
      </c>
      <c r="AS308" s="32">
        <f t="shared" si="134"/>
        <v>6</v>
      </c>
    </row>
    <row r="309" spans="1:45" x14ac:dyDescent="0.45">
      <c r="A309">
        <f>step3_validation[[#This Row],[AI_ENF1]]</f>
        <v>7</v>
      </c>
      <c r="B309">
        <f t="shared" si="108"/>
        <v>0.66666666666666663</v>
      </c>
      <c r="C309">
        <f>[1]!survey_responses[[#This Row],[Tôi tin rằng với các quy định quản lý thuế hiện nay, hành vi gian lận hoặc trốn thuế sẽ dễ dàng bị phát hiện và xử lý nghiêm. - HUMAN-ENF1]]</f>
        <v>10</v>
      </c>
      <c r="D309">
        <f t="shared" si="109"/>
        <v>1</v>
      </c>
      <c r="E309">
        <f>step3_validation[[#This Row],[AI_ENF2]]</f>
        <v>6</v>
      </c>
      <c r="F309">
        <f t="shared" si="110"/>
        <v>0.55555555555555558</v>
      </c>
      <c r="G309">
        <f>[1]!survey_responses[[#This Row],[Tôi tin rằng Nhà nước, cơ quan thuế có đủ khả năng và công nghệ để phát hiện, xử lý nghiêm các hành vi trốn thuế. - HUMAN-ENF2]]</f>
        <v>8</v>
      </c>
      <c r="H309">
        <f t="shared" si="111"/>
        <v>0.77777777777777779</v>
      </c>
      <c r="I309" s="32">
        <f t="shared" si="112"/>
        <v>0.61111111111111116</v>
      </c>
      <c r="J309" s="32">
        <f t="shared" si="113"/>
        <v>0.88888888888888884</v>
      </c>
      <c r="K309">
        <f>step3_validation[[#This Row],[AI_FAC1]]</f>
        <v>4</v>
      </c>
      <c r="L309">
        <f t="shared" si="114"/>
        <v>0.33333333333333331</v>
      </c>
      <c r="M309">
        <f>[1]!survey_responses[[#This Row],[Các thủ tục khai báo thuế VÀ/HOẶC quy trình làm việc với cơ quan thuế đơn giản, tiện lợi, nhanh chóng hơn so với trước đây. - HUMAN-FAC1]]</f>
        <v>8</v>
      </c>
      <c r="N309">
        <f t="shared" si="115"/>
        <v>0.77777777777777779</v>
      </c>
      <c r="O309">
        <f>step3_validation[[#This Row],[AI_FAC2]]</f>
        <v>8</v>
      </c>
      <c r="P309">
        <f t="shared" si="116"/>
        <v>0.77777777777777779</v>
      </c>
      <c r="Q309">
        <f>[1]!survey_responses[[#This Row],[So với trước đây, tôi thấy cách tính thuế và các bậc thuế trong phương án mới đơn giản, dễ hiểu và dễ thực hiện hơn. - HUMAN-FAC2]]</f>
        <v>8</v>
      </c>
      <c r="R309">
        <f t="shared" si="117"/>
        <v>0.77777777777777779</v>
      </c>
      <c r="S309" s="32">
        <f t="shared" si="118"/>
        <v>0.55555555555555558</v>
      </c>
      <c r="T309" s="32">
        <f t="shared" si="119"/>
        <v>0.77777777777777779</v>
      </c>
      <c r="U309">
        <f>step3_validation[[#This Row],[AI_TRU1]]</f>
        <v>6</v>
      </c>
      <c r="V309">
        <f t="shared" si="120"/>
        <v>0.55555555555555558</v>
      </c>
      <c r="W309">
        <f>[1]!survey_responses[[#This Row],[Tôi tin rằng Nhà nước, cơ quan thuế sẽ thực thi chính sách mới một cách khách quan, công tâm và đối xử bình đẳng với mọi người nộp thuế.  - HUMAN-TRU1]]</f>
        <v>10</v>
      </c>
      <c r="X309">
        <f t="shared" si="121"/>
        <v>1</v>
      </c>
      <c r="Y309">
        <f>step3_validation[[#This Row],[AI_TRU2]]</f>
        <v>7</v>
      </c>
      <c r="Z309">
        <f t="shared" si="122"/>
        <v>0.66666666666666663</v>
      </c>
      <c r="AA309">
        <f>[1]!survey_responses[[#This Row],[Tôi thấy mức thuế tôi phải đóng theo phương án mới là công bằng (người thu nhập như tôi đóng mức này là hợp lý). - HUMAN-TRU2]]</f>
        <v>10</v>
      </c>
      <c r="AB309">
        <f t="shared" si="123"/>
        <v>1</v>
      </c>
      <c r="AC309">
        <f>step3_validation[[#This Row],[AI_TRU3]]</f>
        <v>5</v>
      </c>
      <c r="AD309">
        <f t="shared" si="124"/>
        <v>0.44444444444444442</v>
      </c>
      <c r="AE309">
        <f>[1]!survey_responses[[#This Row],[Tôi tin tưởng số tiền thuế tôi đóng sẽ được Nhà nước sử dụng hiệu quả để cải thiện dịch vụ công (y tế, đường xá...). - HUMAN-TRU3]]</f>
        <v>6</v>
      </c>
      <c r="AF309">
        <f t="shared" si="125"/>
        <v>0.55555555555555558</v>
      </c>
      <c r="AG309">
        <f>step3_validation[[#This Row],[AI_TRU4]]</f>
        <v>8</v>
      </c>
      <c r="AH309">
        <f t="shared" si="126"/>
        <v>0.77777777777777779</v>
      </c>
      <c r="AI309">
        <f>[1]!survey_responses[[#This Row],[Tôi thấy Nhà nước đã giải thích rõ ràng, minh bạch về lý do và mục tiêu của việc sửa đổi thuế lần này. - HUMAN-TRU4]]</f>
        <v>8</v>
      </c>
      <c r="AJ309">
        <f t="shared" si="127"/>
        <v>0.77777777777777779</v>
      </c>
      <c r="AK309" s="32">
        <f t="shared" si="128"/>
        <v>0.61111111111111116</v>
      </c>
      <c r="AL309" s="32">
        <f t="shared" si="129"/>
        <v>0.83333333333333326</v>
      </c>
      <c r="AM309" s="7">
        <f t="shared" si="130"/>
        <v>0.59259259259259267</v>
      </c>
      <c r="AN309" s="7">
        <f t="shared" si="131"/>
        <v>0.83333333333333337</v>
      </c>
      <c r="AO309">
        <f>step3_validation[[#This Row],[AI_OUT1]]</f>
        <v>9</v>
      </c>
      <c r="AP309">
        <f t="shared" si="132"/>
        <v>0.88888888888888884</v>
      </c>
      <c r="AQ309">
        <f>[1]!survey_responses[[#This Row],[Sau khi xem xét các quyền lợi và nghĩa vụ, bạn có ủng hộ và tuân thủ chính sách mới hiện nay? - HUMAN-OUT1]]</f>
        <v>8</v>
      </c>
      <c r="AR309">
        <f t="shared" si="133"/>
        <v>0.77777777777777779</v>
      </c>
      <c r="AS309" s="32">
        <f t="shared" si="134"/>
        <v>1</v>
      </c>
    </row>
    <row r="310" spans="1:45" x14ac:dyDescent="0.45">
      <c r="A310">
        <f>step3_validation[[#This Row],[AI_ENF1]]</f>
        <v>8</v>
      </c>
      <c r="B310">
        <f t="shared" si="108"/>
        <v>0.77777777777777779</v>
      </c>
      <c r="C310">
        <f>[1]!survey_responses[[#This Row],[Tôi tin rằng với các quy định quản lý thuế hiện nay, hành vi gian lận hoặc trốn thuế sẽ dễ dàng bị phát hiện và xử lý nghiêm. - HUMAN-ENF1]]</f>
        <v>10</v>
      </c>
      <c r="D310">
        <f t="shared" si="109"/>
        <v>1</v>
      </c>
      <c r="E310">
        <f>step3_validation[[#This Row],[AI_ENF2]]</f>
        <v>9</v>
      </c>
      <c r="F310">
        <f t="shared" si="110"/>
        <v>0.88888888888888884</v>
      </c>
      <c r="G310">
        <f>[1]!survey_responses[[#This Row],[Tôi tin rằng Nhà nước, cơ quan thuế có đủ khả năng và công nghệ để phát hiện, xử lý nghiêm các hành vi trốn thuế. - HUMAN-ENF2]]</f>
        <v>10</v>
      </c>
      <c r="H310">
        <f t="shared" si="111"/>
        <v>1</v>
      </c>
      <c r="I310" s="32">
        <f t="shared" si="112"/>
        <v>0.83333333333333326</v>
      </c>
      <c r="J310" s="32">
        <f t="shared" si="113"/>
        <v>1</v>
      </c>
      <c r="K310">
        <f>step3_validation[[#This Row],[AI_FAC1]]</f>
        <v>7</v>
      </c>
      <c r="L310">
        <f t="shared" si="114"/>
        <v>0.66666666666666663</v>
      </c>
      <c r="M310">
        <f>[1]!survey_responses[[#This Row],[Các thủ tục khai báo thuế VÀ/HOẶC quy trình làm việc với cơ quan thuế đơn giản, tiện lợi, nhanh chóng hơn so với trước đây. - HUMAN-FAC1]]</f>
        <v>10</v>
      </c>
      <c r="N310">
        <f t="shared" si="115"/>
        <v>1</v>
      </c>
      <c r="O310">
        <f>step3_validation[[#This Row],[AI_FAC2]]</f>
        <v>6</v>
      </c>
      <c r="P310">
        <f t="shared" si="116"/>
        <v>0.55555555555555558</v>
      </c>
      <c r="Q310">
        <f>[1]!survey_responses[[#This Row],[So với trước đây, tôi thấy cách tính thuế và các bậc thuế trong phương án mới đơn giản, dễ hiểu và dễ thực hiện hơn. - HUMAN-FAC2]]</f>
        <v>10</v>
      </c>
      <c r="R310">
        <f t="shared" si="117"/>
        <v>1</v>
      </c>
      <c r="S310" s="32">
        <f t="shared" si="118"/>
        <v>0.61111111111111116</v>
      </c>
      <c r="T310" s="32">
        <f t="shared" si="119"/>
        <v>1</v>
      </c>
      <c r="U310">
        <f>step3_validation[[#This Row],[AI_TRU1]]</f>
        <v>8</v>
      </c>
      <c r="V310">
        <f t="shared" si="120"/>
        <v>0.77777777777777779</v>
      </c>
      <c r="W310">
        <f>[1]!survey_responses[[#This Row],[Tôi tin rằng Nhà nước, cơ quan thuế sẽ thực thi chính sách mới một cách khách quan, công tâm và đối xử bình đẳng với mọi người nộp thuế.  - HUMAN-TRU1]]</f>
        <v>10</v>
      </c>
      <c r="X310">
        <f t="shared" si="121"/>
        <v>1</v>
      </c>
      <c r="Y310">
        <f>step3_validation[[#This Row],[AI_TRU2]]</f>
        <v>7</v>
      </c>
      <c r="Z310">
        <f t="shared" si="122"/>
        <v>0.66666666666666663</v>
      </c>
      <c r="AA310">
        <f>[1]!survey_responses[[#This Row],[Tôi thấy mức thuế tôi phải đóng theo phương án mới là công bằng (người thu nhập như tôi đóng mức này là hợp lý). - HUMAN-TRU2]]</f>
        <v>9</v>
      </c>
      <c r="AB310">
        <f t="shared" si="123"/>
        <v>0.88888888888888884</v>
      </c>
      <c r="AC310">
        <f>step3_validation[[#This Row],[AI_TRU3]]</f>
        <v>6</v>
      </c>
      <c r="AD310">
        <f t="shared" si="124"/>
        <v>0.55555555555555558</v>
      </c>
      <c r="AE310">
        <f>[1]!survey_responses[[#This Row],[Tôi tin tưởng số tiền thuế tôi đóng sẽ được Nhà nước sử dụng hiệu quả để cải thiện dịch vụ công (y tế, đường xá...). - HUMAN-TRU3]]</f>
        <v>9</v>
      </c>
      <c r="AF310">
        <f t="shared" si="125"/>
        <v>0.88888888888888884</v>
      </c>
      <c r="AG310">
        <f>step3_validation[[#This Row],[AI_TRU4]]</f>
        <v>5</v>
      </c>
      <c r="AH310">
        <f t="shared" si="126"/>
        <v>0.44444444444444442</v>
      </c>
      <c r="AI310">
        <f>[1]!survey_responses[[#This Row],[Tôi thấy Nhà nước đã giải thích rõ ràng, minh bạch về lý do và mục tiêu của việc sửa đổi thuế lần này. - HUMAN-TRU4]]</f>
        <v>10</v>
      </c>
      <c r="AJ310">
        <f t="shared" si="127"/>
        <v>1</v>
      </c>
      <c r="AK310" s="32">
        <f t="shared" si="128"/>
        <v>0.61111111111111116</v>
      </c>
      <c r="AL310" s="32">
        <f t="shared" si="129"/>
        <v>0.94444444444444442</v>
      </c>
      <c r="AM310" s="7">
        <f t="shared" si="130"/>
        <v>0.68518518518518512</v>
      </c>
      <c r="AN310" s="7">
        <f t="shared" si="131"/>
        <v>0.98148148148148151</v>
      </c>
      <c r="AO310">
        <f>step3_validation[[#This Row],[AI_OUT1]]</f>
        <v>7</v>
      </c>
      <c r="AP310">
        <f t="shared" si="132"/>
        <v>0.66666666666666663</v>
      </c>
      <c r="AQ310">
        <f>[1]!survey_responses[[#This Row],[Sau khi xem xét các quyền lợi và nghĩa vụ, bạn có ủng hộ và tuân thủ chính sách mới hiện nay? - HUMAN-OUT1]]</f>
        <v>10</v>
      </c>
      <c r="AR310">
        <f t="shared" si="133"/>
        <v>1</v>
      </c>
      <c r="AS310" s="32">
        <f t="shared" si="134"/>
        <v>3</v>
      </c>
    </row>
    <row r="311" spans="1:45" x14ac:dyDescent="0.45">
      <c r="A311">
        <f>step3_validation[[#This Row],[AI_ENF1]]</f>
        <v>8</v>
      </c>
      <c r="B311">
        <f t="shared" si="108"/>
        <v>0.77777777777777779</v>
      </c>
      <c r="C311">
        <f>[1]!survey_responses[[#This Row],[Tôi tin rằng với các quy định quản lý thuế hiện nay, hành vi gian lận hoặc trốn thuế sẽ dễ dàng bị phát hiện và xử lý nghiêm. - HUMAN-ENF1]]</f>
        <v>7</v>
      </c>
      <c r="D311">
        <f t="shared" si="109"/>
        <v>0.66666666666666663</v>
      </c>
      <c r="E311">
        <f>step3_validation[[#This Row],[AI_ENF2]]</f>
        <v>7</v>
      </c>
      <c r="F311">
        <f t="shared" si="110"/>
        <v>0.66666666666666663</v>
      </c>
      <c r="G311">
        <f>[1]!survey_responses[[#This Row],[Tôi tin rằng Nhà nước, cơ quan thuế có đủ khả năng và công nghệ để phát hiện, xử lý nghiêm các hành vi trốn thuế. - HUMAN-ENF2]]</f>
        <v>7</v>
      </c>
      <c r="H311">
        <f t="shared" si="111"/>
        <v>0.66666666666666663</v>
      </c>
      <c r="I311" s="32">
        <f t="shared" si="112"/>
        <v>0.72222222222222221</v>
      </c>
      <c r="J311" s="32">
        <f t="shared" si="113"/>
        <v>0.66666666666666663</v>
      </c>
      <c r="K311">
        <f>step3_validation[[#This Row],[AI_FAC1]]</f>
        <v>9</v>
      </c>
      <c r="L311">
        <f t="shared" si="114"/>
        <v>0.88888888888888884</v>
      </c>
      <c r="M311">
        <f>[1]!survey_responses[[#This Row],[Các thủ tục khai báo thuế VÀ/HOẶC quy trình làm việc với cơ quan thuế đơn giản, tiện lợi, nhanh chóng hơn so với trước đây. - HUMAN-FAC1]]</f>
        <v>5</v>
      </c>
      <c r="N311">
        <f t="shared" si="115"/>
        <v>0.44444444444444442</v>
      </c>
      <c r="O311">
        <f>step3_validation[[#This Row],[AI_FAC2]]</f>
        <v>7</v>
      </c>
      <c r="P311">
        <f t="shared" si="116"/>
        <v>0.66666666666666663</v>
      </c>
      <c r="Q311">
        <f>[1]!survey_responses[[#This Row],[So với trước đây, tôi thấy cách tính thuế và các bậc thuế trong phương án mới đơn giản, dễ hiểu và dễ thực hiện hơn. - HUMAN-FAC2]]</f>
        <v>8</v>
      </c>
      <c r="R311">
        <f t="shared" si="117"/>
        <v>0.77777777777777779</v>
      </c>
      <c r="S311" s="32">
        <f t="shared" si="118"/>
        <v>0.77777777777777768</v>
      </c>
      <c r="T311" s="32">
        <f t="shared" si="119"/>
        <v>0.61111111111111116</v>
      </c>
      <c r="U311">
        <f>step3_validation[[#This Row],[AI_TRU1]]</f>
        <v>8</v>
      </c>
      <c r="V311">
        <f t="shared" si="120"/>
        <v>0.77777777777777779</v>
      </c>
      <c r="W311">
        <f>[1]!survey_responses[[#This Row],[Tôi tin rằng Nhà nước, cơ quan thuế sẽ thực thi chính sách mới một cách khách quan, công tâm và đối xử bình đẳng với mọi người nộp thuế.  - HUMAN-TRU1]]</f>
        <v>8</v>
      </c>
      <c r="X311">
        <f t="shared" si="121"/>
        <v>0.77777777777777779</v>
      </c>
      <c r="Y311">
        <f>step3_validation[[#This Row],[AI_TRU2]]</f>
        <v>7</v>
      </c>
      <c r="Z311">
        <f t="shared" si="122"/>
        <v>0.66666666666666663</v>
      </c>
      <c r="AA311">
        <f>[1]!survey_responses[[#This Row],[Tôi thấy mức thuế tôi phải đóng theo phương án mới là công bằng (người thu nhập như tôi đóng mức này là hợp lý). - HUMAN-TRU2]]</f>
        <v>9</v>
      </c>
      <c r="AB311">
        <f t="shared" si="123"/>
        <v>0.88888888888888884</v>
      </c>
      <c r="AC311">
        <f>step3_validation[[#This Row],[AI_TRU3]]</f>
        <v>8</v>
      </c>
      <c r="AD311">
        <f t="shared" si="124"/>
        <v>0.77777777777777779</v>
      </c>
      <c r="AE311">
        <f>[1]!survey_responses[[#This Row],[Tôi tin tưởng số tiền thuế tôi đóng sẽ được Nhà nước sử dụng hiệu quả để cải thiện dịch vụ công (y tế, đường xá...). - HUMAN-TRU3]]</f>
        <v>9</v>
      </c>
      <c r="AF311">
        <f t="shared" si="125"/>
        <v>0.88888888888888884</v>
      </c>
      <c r="AG311">
        <f>step3_validation[[#This Row],[AI_TRU4]]</f>
        <v>6</v>
      </c>
      <c r="AH311">
        <f t="shared" si="126"/>
        <v>0.55555555555555558</v>
      </c>
      <c r="AI311">
        <f>[1]!survey_responses[[#This Row],[Tôi thấy Nhà nước đã giải thích rõ ràng, minh bạch về lý do và mục tiêu của việc sửa đổi thuế lần này. - HUMAN-TRU4]]</f>
        <v>9</v>
      </c>
      <c r="AJ311">
        <f t="shared" si="127"/>
        <v>0.88888888888888884</v>
      </c>
      <c r="AK311" s="32">
        <f t="shared" si="128"/>
        <v>0.69444444444444442</v>
      </c>
      <c r="AL311" s="32">
        <f t="shared" si="129"/>
        <v>0.86111111111111105</v>
      </c>
      <c r="AM311" s="7">
        <f t="shared" si="130"/>
        <v>0.73148148148148151</v>
      </c>
      <c r="AN311" s="7">
        <f t="shared" si="131"/>
        <v>0.71296296296296291</v>
      </c>
      <c r="AO311">
        <f>step3_validation[[#This Row],[AI_OUT1]]</f>
        <v>7</v>
      </c>
      <c r="AP311">
        <f t="shared" si="132"/>
        <v>0.66666666666666663</v>
      </c>
      <c r="AQ311">
        <f>[1]!survey_responses[[#This Row],[Sau khi xem xét các quyền lợi và nghĩa vụ, bạn có ủng hộ và tuân thủ chính sách mới hiện nay? - HUMAN-OUT1]]</f>
        <v>10</v>
      </c>
      <c r="AR311">
        <f t="shared" si="133"/>
        <v>1</v>
      </c>
      <c r="AS311" s="32">
        <f t="shared" si="134"/>
        <v>3</v>
      </c>
    </row>
    <row r="312" spans="1:45" x14ac:dyDescent="0.45">
      <c r="A312">
        <f>step3_validation[[#This Row],[AI_ENF1]]</f>
        <v>7</v>
      </c>
      <c r="B312">
        <f t="shared" si="108"/>
        <v>0.66666666666666663</v>
      </c>
      <c r="C312">
        <f>[1]!survey_responses[[#This Row],[Tôi tin rằng với các quy định quản lý thuế hiện nay, hành vi gian lận hoặc trốn thuế sẽ dễ dàng bị phát hiện và xử lý nghiêm. - HUMAN-ENF1]]</f>
        <v>6</v>
      </c>
      <c r="D312">
        <f t="shared" si="109"/>
        <v>0.55555555555555558</v>
      </c>
      <c r="E312">
        <f>step3_validation[[#This Row],[AI_ENF2]]</f>
        <v>8</v>
      </c>
      <c r="F312">
        <f t="shared" si="110"/>
        <v>0.77777777777777779</v>
      </c>
      <c r="G312">
        <f>[1]!survey_responses[[#This Row],[Tôi tin rằng Nhà nước, cơ quan thuế có đủ khả năng và công nghệ để phát hiện, xử lý nghiêm các hành vi trốn thuế. - HUMAN-ENF2]]</f>
        <v>5</v>
      </c>
      <c r="H312">
        <f t="shared" si="111"/>
        <v>0.44444444444444442</v>
      </c>
      <c r="I312" s="32">
        <f t="shared" si="112"/>
        <v>0.72222222222222221</v>
      </c>
      <c r="J312" s="32">
        <f t="shared" si="113"/>
        <v>0.5</v>
      </c>
      <c r="K312">
        <f>step3_validation[[#This Row],[AI_FAC1]]</f>
        <v>6</v>
      </c>
      <c r="L312">
        <f t="shared" si="114"/>
        <v>0.55555555555555558</v>
      </c>
      <c r="M312">
        <f>[1]!survey_responses[[#This Row],[Các thủ tục khai báo thuế VÀ/HOẶC quy trình làm việc với cơ quan thuế đơn giản, tiện lợi, nhanh chóng hơn so với trước đây. - HUMAN-FAC1]]</f>
        <v>4</v>
      </c>
      <c r="N312">
        <f t="shared" si="115"/>
        <v>0.33333333333333331</v>
      </c>
      <c r="O312">
        <f>step3_validation[[#This Row],[AI_FAC2]]</f>
        <v>9</v>
      </c>
      <c r="P312">
        <f t="shared" si="116"/>
        <v>0.88888888888888884</v>
      </c>
      <c r="Q312">
        <f>[1]!survey_responses[[#This Row],[So với trước đây, tôi thấy cách tính thuế và các bậc thuế trong phương án mới đơn giản, dễ hiểu và dễ thực hiện hơn. - HUMAN-FAC2]]</f>
        <v>7</v>
      </c>
      <c r="R312">
        <f t="shared" si="117"/>
        <v>0.66666666666666663</v>
      </c>
      <c r="S312" s="32">
        <f t="shared" si="118"/>
        <v>0.72222222222222221</v>
      </c>
      <c r="T312" s="32">
        <f t="shared" si="119"/>
        <v>0.5</v>
      </c>
      <c r="U312">
        <f>step3_validation[[#This Row],[AI_TRU1]]</f>
        <v>7</v>
      </c>
      <c r="V312">
        <f t="shared" si="120"/>
        <v>0.66666666666666663</v>
      </c>
      <c r="W312">
        <f>[1]!survey_responses[[#This Row],[Tôi tin rằng Nhà nước, cơ quan thuế sẽ thực thi chính sách mới một cách khách quan, công tâm và đối xử bình đẳng với mọi người nộp thuế.  - HUMAN-TRU1]]</f>
        <v>5</v>
      </c>
      <c r="X312">
        <f t="shared" si="121"/>
        <v>0.44444444444444442</v>
      </c>
      <c r="Y312">
        <f>step3_validation[[#This Row],[AI_TRU2]]</f>
        <v>8</v>
      </c>
      <c r="Z312">
        <f t="shared" si="122"/>
        <v>0.77777777777777779</v>
      </c>
      <c r="AA312">
        <f>[1]!survey_responses[[#This Row],[Tôi thấy mức thuế tôi phải đóng theo phương án mới là công bằng (người thu nhập như tôi đóng mức này là hợp lý). - HUMAN-TRU2]]</f>
        <v>6</v>
      </c>
      <c r="AB312">
        <f t="shared" si="123"/>
        <v>0.55555555555555558</v>
      </c>
      <c r="AC312">
        <f>step3_validation[[#This Row],[AI_TRU3]]</f>
        <v>6</v>
      </c>
      <c r="AD312">
        <f t="shared" si="124"/>
        <v>0.55555555555555558</v>
      </c>
      <c r="AE312">
        <f>[1]!survey_responses[[#This Row],[Tôi tin tưởng số tiền thuế tôi đóng sẽ được Nhà nước sử dụng hiệu quả để cải thiện dịch vụ công (y tế, đường xá...). - HUMAN-TRU3]]</f>
        <v>6</v>
      </c>
      <c r="AF312">
        <f t="shared" si="125"/>
        <v>0.55555555555555558</v>
      </c>
      <c r="AG312">
        <f>step3_validation[[#This Row],[AI_TRU4]]</f>
        <v>5</v>
      </c>
      <c r="AH312">
        <f t="shared" si="126"/>
        <v>0.44444444444444442</v>
      </c>
      <c r="AI312">
        <f>[1]!survey_responses[[#This Row],[Tôi thấy Nhà nước đã giải thích rõ ràng, minh bạch về lý do và mục tiêu của việc sửa đổi thuế lần này. - HUMAN-TRU4]]</f>
        <v>7</v>
      </c>
      <c r="AJ312">
        <f t="shared" si="127"/>
        <v>0.66666666666666663</v>
      </c>
      <c r="AK312" s="32">
        <f t="shared" si="128"/>
        <v>0.61111111111111116</v>
      </c>
      <c r="AL312" s="32">
        <f t="shared" si="129"/>
        <v>0.55555555555555558</v>
      </c>
      <c r="AM312" s="7">
        <f t="shared" si="130"/>
        <v>0.68518518518518512</v>
      </c>
      <c r="AN312" s="7">
        <f t="shared" si="131"/>
        <v>0.51851851851851849</v>
      </c>
      <c r="AO312">
        <f>step3_validation[[#This Row],[AI_OUT1]]</f>
        <v>7</v>
      </c>
      <c r="AP312">
        <f t="shared" si="132"/>
        <v>0.66666666666666663</v>
      </c>
      <c r="AQ312">
        <f>[1]!survey_responses[[#This Row],[Sau khi xem xét các quyền lợi và nghĩa vụ, bạn có ủng hộ và tuân thủ chính sách mới hiện nay? - HUMAN-OUT1]]</f>
        <v>7</v>
      </c>
      <c r="AR312">
        <f t="shared" si="133"/>
        <v>0.66666666666666663</v>
      </c>
      <c r="AS312" s="32">
        <f t="shared" si="134"/>
        <v>0</v>
      </c>
    </row>
    <row r="313" spans="1:45" x14ac:dyDescent="0.45">
      <c r="A313">
        <f>step3_validation[[#This Row],[AI_ENF1]]</f>
        <v>6</v>
      </c>
      <c r="B313">
        <f t="shared" si="108"/>
        <v>0.55555555555555558</v>
      </c>
      <c r="C313">
        <f>[1]!survey_responses[[#This Row],[Tôi tin rằng với các quy định quản lý thuế hiện nay, hành vi gian lận hoặc trốn thuế sẽ dễ dàng bị phát hiện và xử lý nghiêm. - HUMAN-ENF1]]</f>
        <v>8</v>
      </c>
      <c r="D313">
        <f t="shared" si="109"/>
        <v>0.77777777777777779</v>
      </c>
      <c r="E313">
        <f>step3_validation[[#This Row],[AI_ENF2]]</f>
        <v>8</v>
      </c>
      <c r="F313">
        <f t="shared" si="110"/>
        <v>0.77777777777777779</v>
      </c>
      <c r="G313">
        <f>[1]!survey_responses[[#This Row],[Tôi tin rằng Nhà nước, cơ quan thuế có đủ khả năng và công nghệ để phát hiện, xử lý nghiêm các hành vi trốn thuế. - HUMAN-ENF2]]</f>
        <v>9</v>
      </c>
      <c r="H313">
        <f t="shared" si="111"/>
        <v>0.88888888888888884</v>
      </c>
      <c r="I313" s="32">
        <f t="shared" si="112"/>
        <v>0.66666666666666674</v>
      </c>
      <c r="J313" s="32">
        <f t="shared" si="113"/>
        <v>0.83333333333333326</v>
      </c>
      <c r="K313">
        <f>step3_validation[[#This Row],[AI_FAC1]]</f>
        <v>7</v>
      </c>
      <c r="L313">
        <f t="shared" si="114"/>
        <v>0.66666666666666663</v>
      </c>
      <c r="M313">
        <f>[1]!survey_responses[[#This Row],[Các thủ tục khai báo thuế VÀ/HOẶC quy trình làm việc với cơ quan thuế đơn giản, tiện lợi, nhanh chóng hơn so với trước đây. - HUMAN-FAC1]]</f>
        <v>10</v>
      </c>
      <c r="N313">
        <f t="shared" si="115"/>
        <v>1</v>
      </c>
      <c r="O313">
        <f>step3_validation[[#This Row],[AI_FAC2]]</f>
        <v>8</v>
      </c>
      <c r="P313">
        <f t="shared" si="116"/>
        <v>0.77777777777777779</v>
      </c>
      <c r="Q313">
        <f>[1]!survey_responses[[#This Row],[So với trước đây, tôi thấy cách tính thuế và các bậc thuế trong phương án mới đơn giản, dễ hiểu và dễ thực hiện hơn. - HUMAN-FAC2]]</f>
        <v>10</v>
      </c>
      <c r="R313">
        <f t="shared" si="117"/>
        <v>1</v>
      </c>
      <c r="S313" s="32">
        <f t="shared" si="118"/>
        <v>0.72222222222222221</v>
      </c>
      <c r="T313" s="32">
        <f t="shared" si="119"/>
        <v>1</v>
      </c>
      <c r="U313">
        <f>step3_validation[[#This Row],[AI_TRU1]]</f>
        <v>7</v>
      </c>
      <c r="V313">
        <f t="shared" si="120"/>
        <v>0.66666666666666663</v>
      </c>
      <c r="W313">
        <f>[1]!survey_responses[[#This Row],[Tôi tin rằng Nhà nước, cơ quan thuế sẽ thực thi chính sách mới một cách khách quan, công tâm và đối xử bình đẳng với mọi người nộp thuế.  - HUMAN-TRU1]]</f>
        <v>8</v>
      </c>
      <c r="X313">
        <f t="shared" si="121"/>
        <v>0.77777777777777779</v>
      </c>
      <c r="Y313">
        <f>step3_validation[[#This Row],[AI_TRU2]]</f>
        <v>8</v>
      </c>
      <c r="Z313">
        <f t="shared" si="122"/>
        <v>0.77777777777777779</v>
      </c>
      <c r="AA313">
        <f>[1]!survey_responses[[#This Row],[Tôi thấy mức thuế tôi phải đóng theo phương án mới là công bằng (người thu nhập như tôi đóng mức này là hợp lý). - HUMAN-TRU2]]</f>
        <v>9</v>
      </c>
      <c r="AB313">
        <f t="shared" si="123"/>
        <v>0.88888888888888884</v>
      </c>
      <c r="AC313">
        <f>step3_validation[[#This Row],[AI_TRU3]]</f>
        <v>7</v>
      </c>
      <c r="AD313">
        <f t="shared" si="124"/>
        <v>0.66666666666666663</v>
      </c>
      <c r="AE313">
        <f>[1]!survey_responses[[#This Row],[Tôi tin tưởng số tiền thuế tôi đóng sẽ được Nhà nước sử dụng hiệu quả để cải thiện dịch vụ công (y tế, đường xá...). - HUMAN-TRU3]]</f>
        <v>8</v>
      </c>
      <c r="AF313">
        <f t="shared" si="125"/>
        <v>0.77777777777777779</v>
      </c>
      <c r="AG313">
        <f>step3_validation[[#This Row],[AI_TRU4]]</f>
        <v>8</v>
      </c>
      <c r="AH313">
        <f t="shared" si="126"/>
        <v>0.77777777777777779</v>
      </c>
      <c r="AI313">
        <f>[1]!survey_responses[[#This Row],[Tôi thấy Nhà nước đã giải thích rõ ràng, minh bạch về lý do và mục tiêu của việc sửa đổi thuế lần này. - HUMAN-TRU4]]</f>
        <v>8</v>
      </c>
      <c r="AJ313">
        <f t="shared" si="127"/>
        <v>0.77777777777777779</v>
      </c>
      <c r="AK313" s="32">
        <f t="shared" si="128"/>
        <v>0.72222222222222221</v>
      </c>
      <c r="AL313" s="32">
        <f t="shared" si="129"/>
        <v>0.80555555555555547</v>
      </c>
      <c r="AM313" s="7">
        <f t="shared" si="130"/>
        <v>0.70370370370370372</v>
      </c>
      <c r="AN313" s="7">
        <f t="shared" si="131"/>
        <v>0.87962962962962965</v>
      </c>
      <c r="AO313">
        <f>step3_validation[[#This Row],[AI_OUT1]]</f>
        <v>6</v>
      </c>
      <c r="AP313">
        <f t="shared" si="132"/>
        <v>0.55555555555555558</v>
      </c>
      <c r="AQ313">
        <f>[1]!survey_responses[[#This Row],[Sau khi xem xét các quyền lợi và nghĩa vụ, bạn có ủng hộ và tuân thủ chính sách mới hiện nay? - HUMAN-OUT1]]</f>
        <v>10</v>
      </c>
      <c r="AR313">
        <f t="shared" si="133"/>
        <v>1</v>
      </c>
      <c r="AS313" s="32">
        <f t="shared" si="134"/>
        <v>4</v>
      </c>
    </row>
    <row r="314" spans="1:45" x14ac:dyDescent="0.45">
      <c r="A314">
        <f>step3_validation[[#This Row],[AI_ENF1]]</f>
        <v>7</v>
      </c>
      <c r="B314">
        <f t="shared" si="108"/>
        <v>0.66666666666666663</v>
      </c>
      <c r="C314">
        <f>[1]!survey_responses[[#This Row],[Tôi tin rằng với các quy định quản lý thuế hiện nay, hành vi gian lận hoặc trốn thuế sẽ dễ dàng bị phát hiện và xử lý nghiêm. - HUMAN-ENF1]]</f>
        <v>6</v>
      </c>
      <c r="D314">
        <f t="shared" si="109"/>
        <v>0.55555555555555558</v>
      </c>
      <c r="E314">
        <f>step3_validation[[#This Row],[AI_ENF2]]</f>
        <v>6</v>
      </c>
      <c r="F314">
        <f t="shared" si="110"/>
        <v>0.55555555555555558</v>
      </c>
      <c r="G314">
        <f>[1]!survey_responses[[#This Row],[Tôi tin rằng Nhà nước, cơ quan thuế có đủ khả năng và công nghệ để phát hiện, xử lý nghiêm các hành vi trốn thuế. - HUMAN-ENF2]]</f>
        <v>6</v>
      </c>
      <c r="H314">
        <f t="shared" si="111"/>
        <v>0.55555555555555558</v>
      </c>
      <c r="I314" s="32">
        <f t="shared" si="112"/>
        <v>0.61111111111111116</v>
      </c>
      <c r="J314" s="32">
        <f t="shared" si="113"/>
        <v>0.55555555555555558</v>
      </c>
      <c r="K314">
        <f>step3_validation[[#This Row],[AI_FAC1]]</f>
        <v>5</v>
      </c>
      <c r="L314">
        <f t="shared" si="114"/>
        <v>0.44444444444444442</v>
      </c>
      <c r="M314">
        <f>[1]!survey_responses[[#This Row],[Các thủ tục khai báo thuế VÀ/HOẶC quy trình làm việc với cơ quan thuế đơn giản, tiện lợi, nhanh chóng hơn so với trước đây. - HUMAN-FAC1]]</f>
        <v>7</v>
      </c>
      <c r="N314">
        <f t="shared" si="115"/>
        <v>0.66666666666666663</v>
      </c>
      <c r="O314">
        <f>step3_validation[[#This Row],[AI_FAC2]]</f>
        <v>8</v>
      </c>
      <c r="P314">
        <f t="shared" si="116"/>
        <v>0.77777777777777779</v>
      </c>
      <c r="Q314">
        <f>[1]!survey_responses[[#This Row],[So với trước đây, tôi thấy cách tính thuế và các bậc thuế trong phương án mới đơn giản, dễ hiểu và dễ thực hiện hơn. - HUMAN-FAC2]]</f>
        <v>7</v>
      </c>
      <c r="R314">
        <f t="shared" si="117"/>
        <v>0.66666666666666663</v>
      </c>
      <c r="S314" s="32">
        <f t="shared" si="118"/>
        <v>0.61111111111111116</v>
      </c>
      <c r="T314" s="32">
        <f t="shared" si="119"/>
        <v>0.66666666666666663</v>
      </c>
      <c r="U314">
        <f>step3_validation[[#This Row],[AI_TRU1]]</f>
        <v>7</v>
      </c>
      <c r="V314">
        <f t="shared" si="120"/>
        <v>0.66666666666666663</v>
      </c>
      <c r="W314">
        <f>[1]!survey_responses[[#This Row],[Tôi tin rằng Nhà nước, cơ quan thuế sẽ thực thi chính sách mới một cách khách quan, công tâm và đối xử bình đẳng với mọi người nộp thuế.  - HUMAN-TRU1]]</f>
        <v>7</v>
      </c>
      <c r="X314">
        <f t="shared" si="121"/>
        <v>0.66666666666666663</v>
      </c>
      <c r="Y314">
        <f>step3_validation[[#This Row],[AI_TRU2]]</f>
        <v>6</v>
      </c>
      <c r="Z314">
        <f t="shared" si="122"/>
        <v>0.55555555555555558</v>
      </c>
      <c r="AA314">
        <f>[1]!survey_responses[[#This Row],[Tôi thấy mức thuế tôi phải đóng theo phương án mới là công bằng (người thu nhập như tôi đóng mức này là hợp lý). - HUMAN-TRU2]]</f>
        <v>8</v>
      </c>
      <c r="AB314">
        <f t="shared" si="123"/>
        <v>0.77777777777777779</v>
      </c>
      <c r="AC314">
        <f>step3_validation[[#This Row],[AI_TRU3]]</f>
        <v>5</v>
      </c>
      <c r="AD314">
        <f t="shared" si="124"/>
        <v>0.44444444444444442</v>
      </c>
      <c r="AE314">
        <f>[1]!survey_responses[[#This Row],[Tôi tin tưởng số tiền thuế tôi đóng sẽ được Nhà nước sử dụng hiệu quả để cải thiện dịch vụ công (y tế, đường xá...). - HUMAN-TRU3]]</f>
        <v>5</v>
      </c>
      <c r="AF314">
        <f t="shared" si="125"/>
        <v>0.44444444444444442</v>
      </c>
      <c r="AG314">
        <f>step3_validation[[#This Row],[AI_TRU4]]</f>
        <v>4</v>
      </c>
      <c r="AH314">
        <f t="shared" si="126"/>
        <v>0.33333333333333331</v>
      </c>
      <c r="AI314">
        <f>[1]!survey_responses[[#This Row],[Tôi thấy Nhà nước đã giải thích rõ ràng, minh bạch về lý do và mục tiêu của việc sửa đổi thuế lần này. - HUMAN-TRU4]]</f>
        <v>5</v>
      </c>
      <c r="AJ314">
        <f t="shared" si="127"/>
        <v>0.44444444444444442</v>
      </c>
      <c r="AK314" s="32">
        <f t="shared" si="128"/>
        <v>0.5</v>
      </c>
      <c r="AL314" s="32">
        <f t="shared" si="129"/>
        <v>0.58333333333333326</v>
      </c>
      <c r="AM314" s="7">
        <f t="shared" si="130"/>
        <v>0.57407407407407407</v>
      </c>
      <c r="AN314" s="7">
        <f t="shared" si="131"/>
        <v>0.60185185185185186</v>
      </c>
      <c r="AO314">
        <f>step3_validation[[#This Row],[AI_OUT1]]</f>
        <v>6</v>
      </c>
      <c r="AP314">
        <f t="shared" si="132"/>
        <v>0.55555555555555558</v>
      </c>
      <c r="AQ314">
        <f>[1]!survey_responses[[#This Row],[Sau khi xem xét các quyền lợi và nghĩa vụ, bạn có ủng hộ và tuân thủ chính sách mới hiện nay? - HUMAN-OUT1]]</f>
        <v>8</v>
      </c>
      <c r="AR314">
        <f t="shared" si="133"/>
        <v>0.77777777777777779</v>
      </c>
      <c r="AS314" s="32">
        <f t="shared" si="134"/>
        <v>2</v>
      </c>
    </row>
    <row r="315" spans="1:45" x14ac:dyDescent="0.45">
      <c r="A315">
        <f>step3_validation[[#This Row],[AI_ENF1]]</f>
        <v>8</v>
      </c>
      <c r="B315">
        <f t="shared" si="108"/>
        <v>0.77777777777777779</v>
      </c>
      <c r="C315">
        <f>[1]!survey_responses[[#This Row],[Tôi tin rằng với các quy định quản lý thuế hiện nay, hành vi gian lận hoặc trốn thuế sẽ dễ dàng bị phát hiện và xử lý nghiêm. - HUMAN-ENF1]]</f>
        <v>7</v>
      </c>
      <c r="D315">
        <f t="shared" si="109"/>
        <v>0.66666666666666663</v>
      </c>
      <c r="E315">
        <f>step3_validation[[#This Row],[AI_ENF2]]</f>
        <v>9</v>
      </c>
      <c r="F315">
        <f t="shared" si="110"/>
        <v>0.88888888888888884</v>
      </c>
      <c r="G315">
        <f>[1]!survey_responses[[#This Row],[Tôi tin rằng Nhà nước, cơ quan thuế có đủ khả năng và công nghệ để phát hiện, xử lý nghiêm các hành vi trốn thuế. - HUMAN-ENF2]]</f>
        <v>8</v>
      </c>
      <c r="H315">
        <f t="shared" si="111"/>
        <v>0.77777777777777779</v>
      </c>
      <c r="I315" s="32">
        <f t="shared" si="112"/>
        <v>0.83333333333333326</v>
      </c>
      <c r="J315" s="32">
        <f t="shared" si="113"/>
        <v>0.72222222222222221</v>
      </c>
      <c r="K315">
        <f>step3_validation[[#This Row],[AI_FAC1]]</f>
        <v>7</v>
      </c>
      <c r="L315">
        <f t="shared" si="114"/>
        <v>0.66666666666666663</v>
      </c>
      <c r="M315">
        <f>[1]!survey_responses[[#This Row],[Các thủ tục khai báo thuế VÀ/HOẶC quy trình làm việc với cơ quan thuế đơn giản, tiện lợi, nhanh chóng hơn so với trước đây. - HUMAN-FAC1]]</f>
        <v>8</v>
      </c>
      <c r="N315">
        <f t="shared" si="115"/>
        <v>0.77777777777777779</v>
      </c>
      <c r="O315">
        <f>step3_validation[[#This Row],[AI_FAC2]]</f>
        <v>8</v>
      </c>
      <c r="P315">
        <f t="shared" si="116"/>
        <v>0.77777777777777779</v>
      </c>
      <c r="Q315">
        <f>[1]!survey_responses[[#This Row],[So với trước đây, tôi thấy cách tính thuế và các bậc thuế trong phương án mới đơn giản, dễ hiểu và dễ thực hiện hơn. - HUMAN-FAC2]]</f>
        <v>8</v>
      </c>
      <c r="R315">
        <f t="shared" si="117"/>
        <v>0.77777777777777779</v>
      </c>
      <c r="S315" s="32">
        <f t="shared" si="118"/>
        <v>0.72222222222222221</v>
      </c>
      <c r="T315" s="32">
        <f t="shared" si="119"/>
        <v>0.77777777777777779</v>
      </c>
      <c r="U315">
        <f>step3_validation[[#This Row],[AI_TRU1]]</f>
        <v>7</v>
      </c>
      <c r="V315">
        <f t="shared" si="120"/>
        <v>0.66666666666666663</v>
      </c>
      <c r="W315">
        <f>[1]!survey_responses[[#This Row],[Tôi tin rằng Nhà nước, cơ quan thuế sẽ thực thi chính sách mới một cách khách quan, công tâm và đối xử bình đẳng với mọi người nộp thuế.  - HUMAN-TRU1]]</f>
        <v>5</v>
      </c>
      <c r="X315">
        <f t="shared" si="121"/>
        <v>0.44444444444444442</v>
      </c>
      <c r="Y315">
        <f>step3_validation[[#This Row],[AI_TRU2]]</f>
        <v>8</v>
      </c>
      <c r="Z315">
        <f t="shared" si="122"/>
        <v>0.77777777777777779</v>
      </c>
      <c r="AA315">
        <f>[1]!survey_responses[[#This Row],[Tôi thấy mức thuế tôi phải đóng theo phương án mới là công bằng (người thu nhập như tôi đóng mức này là hợp lý). - HUMAN-TRU2]]</f>
        <v>8</v>
      </c>
      <c r="AB315">
        <f t="shared" si="123"/>
        <v>0.77777777777777779</v>
      </c>
      <c r="AC315">
        <f>step3_validation[[#This Row],[AI_TRU3]]</f>
        <v>7</v>
      </c>
      <c r="AD315">
        <f t="shared" si="124"/>
        <v>0.66666666666666663</v>
      </c>
      <c r="AE315">
        <f>[1]!survey_responses[[#This Row],[Tôi tin tưởng số tiền thuế tôi đóng sẽ được Nhà nước sử dụng hiệu quả để cải thiện dịch vụ công (y tế, đường xá...). - HUMAN-TRU3]]</f>
        <v>6</v>
      </c>
      <c r="AF315">
        <f t="shared" si="125"/>
        <v>0.55555555555555558</v>
      </c>
      <c r="AG315">
        <f>step3_validation[[#This Row],[AI_TRU4]]</f>
        <v>6</v>
      </c>
      <c r="AH315">
        <f t="shared" si="126"/>
        <v>0.55555555555555558</v>
      </c>
      <c r="AI315">
        <f>[1]!survey_responses[[#This Row],[Tôi thấy Nhà nước đã giải thích rõ ràng, minh bạch về lý do và mục tiêu của việc sửa đổi thuế lần này. - HUMAN-TRU4]]</f>
        <v>6</v>
      </c>
      <c r="AJ315">
        <f t="shared" si="127"/>
        <v>0.55555555555555558</v>
      </c>
      <c r="AK315" s="32">
        <f t="shared" si="128"/>
        <v>0.66666666666666674</v>
      </c>
      <c r="AL315" s="32">
        <f t="shared" si="129"/>
        <v>0.58333333333333337</v>
      </c>
      <c r="AM315" s="7">
        <f t="shared" si="130"/>
        <v>0.74074074074074081</v>
      </c>
      <c r="AN315" s="7">
        <f t="shared" si="131"/>
        <v>0.69444444444444453</v>
      </c>
      <c r="AO315">
        <f>step3_validation[[#This Row],[AI_OUT1]]</f>
        <v>7</v>
      </c>
      <c r="AP315">
        <f t="shared" si="132"/>
        <v>0.66666666666666663</v>
      </c>
      <c r="AQ315">
        <f>[1]!survey_responses[[#This Row],[Sau khi xem xét các quyền lợi và nghĩa vụ, bạn có ủng hộ và tuân thủ chính sách mới hiện nay? - HUMAN-OUT1]]</f>
        <v>8</v>
      </c>
      <c r="AR315">
        <f t="shared" si="133"/>
        <v>0.77777777777777779</v>
      </c>
      <c r="AS315" s="32">
        <f t="shared" si="134"/>
        <v>1</v>
      </c>
    </row>
    <row r="316" spans="1:45" x14ac:dyDescent="0.45">
      <c r="A316">
        <f>step3_validation[[#This Row],[AI_ENF1]]</f>
        <v>8</v>
      </c>
      <c r="B316">
        <f t="shared" si="108"/>
        <v>0.77777777777777779</v>
      </c>
      <c r="C316">
        <f>[1]!survey_responses[[#This Row],[Tôi tin rằng với các quy định quản lý thuế hiện nay, hành vi gian lận hoặc trốn thuế sẽ dễ dàng bị phát hiện và xử lý nghiêm. - HUMAN-ENF1]]</f>
        <v>4</v>
      </c>
      <c r="D316">
        <f t="shared" si="109"/>
        <v>0.33333333333333331</v>
      </c>
      <c r="E316">
        <f>step3_validation[[#This Row],[AI_ENF2]]</f>
        <v>7</v>
      </c>
      <c r="F316">
        <f t="shared" si="110"/>
        <v>0.66666666666666663</v>
      </c>
      <c r="G316">
        <f>[1]!survey_responses[[#This Row],[Tôi tin rằng Nhà nước, cơ quan thuế có đủ khả năng và công nghệ để phát hiện, xử lý nghiêm các hành vi trốn thuế. - HUMAN-ENF2]]</f>
        <v>5</v>
      </c>
      <c r="H316">
        <f t="shared" si="111"/>
        <v>0.44444444444444442</v>
      </c>
      <c r="I316" s="32">
        <f t="shared" si="112"/>
        <v>0.72222222222222221</v>
      </c>
      <c r="J316" s="32">
        <f t="shared" si="113"/>
        <v>0.38888888888888884</v>
      </c>
      <c r="K316">
        <f>step3_validation[[#This Row],[AI_FAC1]]</f>
        <v>8</v>
      </c>
      <c r="L316">
        <f t="shared" si="114"/>
        <v>0.77777777777777779</v>
      </c>
      <c r="M316">
        <f>[1]!survey_responses[[#This Row],[Các thủ tục khai báo thuế VÀ/HOẶC quy trình làm việc với cơ quan thuế đơn giản, tiện lợi, nhanh chóng hơn so với trước đây. - HUMAN-FAC1]]</f>
        <v>5</v>
      </c>
      <c r="N316">
        <f t="shared" si="115"/>
        <v>0.44444444444444442</v>
      </c>
      <c r="O316">
        <f>step3_validation[[#This Row],[AI_FAC2]]</f>
        <v>9</v>
      </c>
      <c r="P316">
        <f t="shared" si="116"/>
        <v>0.88888888888888884</v>
      </c>
      <c r="Q316">
        <f>[1]!survey_responses[[#This Row],[So với trước đây, tôi thấy cách tính thuế và các bậc thuế trong phương án mới đơn giản, dễ hiểu và dễ thực hiện hơn. - HUMAN-FAC2]]</f>
        <v>7</v>
      </c>
      <c r="R316">
        <f t="shared" si="117"/>
        <v>0.66666666666666663</v>
      </c>
      <c r="S316" s="32">
        <f t="shared" si="118"/>
        <v>0.83333333333333326</v>
      </c>
      <c r="T316" s="32">
        <f t="shared" si="119"/>
        <v>0.55555555555555558</v>
      </c>
      <c r="U316">
        <f>step3_validation[[#This Row],[AI_TRU1]]</f>
        <v>8</v>
      </c>
      <c r="V316">
        <f t="shared" si="120"/>
        <v>0.77777777777777779</v>
      </c>
      <c r="W316">
        <f>[1]!survey_responses[[#This Row],[Tôi tin rằng Nhà nước, cơ quan thuế sẽ thực thi chính sách mới một cách khách quan, công tâm và đối xử bình đẳng với mọi người nộp thuế.  - HUMAN-TRU1]]</f>
        <v>5</v>
      </c>
      <c r="X316">
        <f t="shared" si="121"/>
        <v>0.44444444444444442</v>
      </c>
      <c r="Y316">
        <f>step3_validation[[#This Row],[AI_TRU2]]</f>
        <v>7</v>
      </c>
      <c r="Z316">
        <f t="shared" si="122"/>
        <v>0.66666666666666663</v>
      </c>
      <c r="AA316">
        <f>[1]!survey_responses[[#This Row],[Tôi thấy mức thuế tôi phải đóng theo phương án mới là công bằng (người thu nhập như tôi đóng mức này là hợp lý). - HUMAN-TRU2]]</f>
        <v>8</v>
      </c>
      <c r="AB316">
        <f t="shared" si="123"/>
        <v>0.77777777777777779</v>
      </c>
      <c r="AC316">
        <f>step3_validation[[#This Row],[AI_TRU3]]</f>
        <v>8</v>
      </c>
      <c r="AD316">
        <f t="shared" si="124"/>
        <v>0.77777777777777779</v>
      </c>
      <c r="AE316">
        <f>[1]!survey_responses[[#This Row],[Tôi tin tưởng số tiền thuế tôi đóng sẽ được Nhà nước sử dụng hiệu quả để cải thiện dịch vụ công (y tế, đường xá...). - HUMAN-TRU3]]</f>
        <v>5</v>
      </c>
      <c r="AF316">
        <f t="shared" si="125"/>
        <v>0.44444444444444442</v>
      </c>
      <c r="AG316">
        <f>step3_validation[[#This Row],[AI_TRU4]]</f>
        <v>7</v>
      </c>
      <c r="AH316">
        <f t="shared" si="126"/>
        <v>0.66666666666666663</v>
      </c>
      <c r="AI316">
        <f>[1]!survey_responses[[#This Row],[Tôi thấy Nhà nước đã giải thích rõ ràng, minh bạch về lý do và mục tiêu của việc sửa đổi thuế lần này. - HUMAN-TRU4]]</f>
        <v>6</v>
      </c>
      <c r="AJ316">
        <f t="shared" si="127"/>
        <v>0.55555555555555558</v>
      </c>
      <c r="AK316" s="32">
        <f t="shared" si="128"/>
        <v>0.72222222222222221</v>
      </c>
      <c r="AL316" s="32">
        <f t="shared" si="129"/>
        <v>0.55555555555555558</v>
      </c>
      <c r="AM316" s="7">
        <f t="shared" si="130"/>
        <v>0.75925925925925919</v>
      </c>
      <c r="AN316" s="7">
        <f t="shared" si="131"/>
        <v>0.5</v>
      </c>
      <c r="AO316">
        <f>step3_validation[[#This Row],[AI_OUT1]]</f>
        <v>8</v>
      </c>
      <c r="AP316">
        <f t="shared" si="132"/>
        <v>0.77777777777777779</v>
      </c>
      <c r="AQ316">
        <f>[1]!survey_responses[[#This Row],[Sau khi xem xét các quyền lợi và nghĩa vụ, bạn có ủng hộ và tuân thủ chính sách mới hiện nay? - HUMAN-OUT1]]</f>
        <v>8</v>
      </c>
      <c r="AR316">
        <f t="shared" si="133"/>
        <v>0.77777777777777779</v>
      </c>
      <c r="AS316" s="32">
        <f t="shared" si="134"/>
        <v>0</v>
      </c>
    </row>
    <row r="317" spans="1:45" x14ac:dyDescent="0.45">
      <c r="A317">
        <f>step3_validation[[#This Row],[AI_ENF1]]</f>
        <v>7</v>
      </c>
      <c r="B317">
        <f t="shared" si="108"/>
        <v>0.66666666666666663</v>
      </c>
      <c r="C317">
        <f>[1]!survey_responses[[#This Row],[Tôi tin rằng với các quy định quản lý thuế hiện nay, hành vi gian lận hoặc trốn thuế sẽ dễ dàng bị phát hiện và xử lý nghiêm. - HUMAN-ENF1]]</f>
        <v>6</v>
      </c>
      <c r="D317">
        <f t="shared" si="109"/>
        <v>0.55555555555555558</v>
      </c>
      <c r="E317">
        <f>step3_validation[[#This Row],[AI_ENF2]]</f>
        <v>8</v>
      </c>
      <c r="F317">
        <f t="shared" si="110"/>
        <v>0.77777777777777779</v>
      </c>
      <c r="G317">
        <f>[1]!survey_responses[[#This Row],[Tôi tin rằng Nhà nước, cơ quan thuế có đủ khả năng và công nghệ để phát hiện, xử lý nghiêm các hành vi trốn thuế. - HUMAN-ENF2]]</f>
        <v>8</v>
      </c>
      <c r="H317">
        <f t="shared" si="111"/>
        <v>0.77777777777777779</v>
      </c>
      <c r="I317" s="32">
        <f t="shared" si="112"/>
        <v>0.72222222222222221</v>
      </c>
      <c r="J317" s="32">
        <f t="shared" si="113"/>
        <v>0.66666666666666674</v>
      </c>
      <c r="K317">
        <f>step3_validation[[#This Row],[AI_FAC1]]</f>
        <v>6</v>
      </c>
      <c r="L317">
        <f t="shared" si="114"/>
        <v>0.55555555555555558</v>
      </c>
      <c r="M317">
        <f>[1]!survey_responses[[#This Row],[Các thủ tục khai báo thuế VÀ/HOẶC quy trình làm việc với cơ quan thuế đơn giản, tiện lợi, nhanh chóng hơn so với trước đây. - HUMAN-FAC1]]</f>
        <v>5</v>
      </c>
      <c r="N317">
        <f t="shared" si="115"/>
        <v>0.44444444444444442</v>
      </c>
      <c r="O317">
        <f>step3_validation[[#This Row],[AI_FAC2]]</f>
        <v>8</v>
      </c>
      <c r="P317">
        <f t="shared" si="116"/>
        <v>0.77777777777777779</v>
      </c>
      <c r="Q317">
        <f>[1]!survey_responses[[#This Row],[So với trước đây, tôi thấy cách tính thuế và các bậc thuế trong phương án mới đơn giản, dễ hiểu và dễ thực hiện hơn. - HUMAN-FAC2]]</f>
        <v>6</v>
      </c>
      <c r="R317">
        <f t="shared" si="117"/>
        <v>0.55555555555555558</v>
      </c>
      <c r="S317" s="32">
        <f t="shared" si="118"/>
        <v>0.66666666666666674</v>
      </c>
      <c r="T317" s="32">
        <f t="shared" si="119"/>
        <v>0.5</v>
      </c>
      <c r="U317">
        <f>step3_validation[[#This Row],[AI_TRU1]]</f>
        <v>7</v>
      </c>
      <c r="V317">
        <f t="shared" si="120"/>
        <v>0.66666666666666663</v>
      </c>
      <c r="W317">
        <f>[1]!survey_responses[[#This Row],[Tôi tin rằng Nhà nước, cơ quan thuế sẽ thực thi chính sách mới một cách khách quan, công tâm và đối xử bình đẳng với mọi người nộp thuế.  - HUMAN-TRU1]]</f>
        <v>6</v>
      </c>
      <c r="X317">
        <f t="shared" si="121"/>
        <v>0.55555555555555558</v>
      </c>
      <c r="Y317">
        <f>step3_validation[[#This Row],[AI_TRU2]]</f>
        <v>7</v>
      </c>
      <c r="Z317">
        <f t="shared" si="122"/>
        <v>0.66666666666666663</v>
      </c>
      <c r="AA317">
        <f>[1]!survey_responses[[#This Row],[Tôi thấy mức thuế tôi phải đóng theo phương án mới là công bằng (người thu nhập như tôi đóng mức này là hợp lý). - HUMAN-TRU2]]</f>
        <v>7</v>
      </c>
      <c r="AB317">
        <f t="shared" si="123"/>
        <v>0.66666666666666663</v>
      </c>
      <c r="AC317">
        <f>step3_validation[[#This Row],[AI_TRU3]]</f>
        <v>6</v>
      </c>
      <c r="AD317">
        <f t="shared" si="124"/>
        <v>0.55555555555555558</v>
      </c>
      <c r="AE317">
        <f>[1]!survey_responses[[#This Row],[Tôi tin tưởng số tiền thuế tôi đóng sẽ được Nhà nước sử dụng hiệu quả để cải thiện dịch vụ công (y tế, đường xá...). - HUMAN-TRU3]]</f>
        <v>6</v>
      </c>
      <c r="AF317">
        <f t="shared" si="125"/>
        <v>0.55555555555555558</v>
      </c>
      <c r="AG317">
        <f>step3_validation[[#This Row],[AI_TRU4]]</f>
        <v>5</v>
      </c>
      <c r="AH317">
        <f t="shared" si="126"/>
        <v>0.44444444444444442</v>
      </c>
      <c r="AI317">
        <f>[1]!survey_responses[[#This Row],[Tôi thấy Nhà nước đã giải thích rõ ràng, minh bạch về lý do và mục tiêu của việc sửa đổi thuế lần này. - HUMAN-TRU4]]</f>
        <v>7</v>
      </c>
      <c r="AJ317">
        <f t="shared" si="127"/>
        <v>0.66666666666666663</v>
      </c>
      <c r="AK317" s="32">
        <f t="shared" si="128"/>
        <v>0.58333333333333326</v>
      </c>
      <c r="AL317" s="32">
        <f t="shared" si="129"/>
        <v>0.61111111111111116</v>
      </c>
      <c r="AM317" s="7">
        <f t="shared" si="130"/>
        <v>0.65740740740740733</v>
      </c>
      <c r="AN317" s="7">
        <f t="shared" si="131"/>
        <v>0.59259259259259267</v>
      </c>
      <c r="AO317">
        <f>step3_validation[[#This Row],[AI_OUT1]]</f>
        <v>7</v>
      </c>
      <c r="AP317">
        <f t="shared" si="132"/>
        <v>0.66666666666666663</v>
      </c>
      <c r="AQ317">
        <f>[1]!survey_responses[[#This Row],[Sau khi xem xét các quyền lợi và nghĩa vụ, bạn có ủng hộ và tuân thủ chính sách mới hiện nay? - HUMAN-OUT1]]</f>
        <v>7</v>
      </c>
      <c r="AR317">
        <f t="shared" si="133"/>
        <v>0.66666666666666663</v>
      </c>
      <c r="AS317" s="32">
        <f t="shared" si="134"/>
        <v>0</v>
      </c>
    </row>
    <row r="318" spans="1:45" x14ac:dyDescent="0.45">
      <c r="A318">
        <f>step3_validation[[#This Row],[AI_ENF1]]</f>
        <v>7</v>
      </c>
      <c r="B318">
        <f t="shared" si="108"/>
        <v>0.66666666666666663</v>
      </c>
      <c r="C318">
        <f>[1]!survey_responses[[#This Row],[Tôi tin rằng với các quy định quản lý thuế hiện nay, hành vi gian lận hoặc trốn thuế sẽ dễ dàng bị phát hiện và xử lý nghiêm. - HUMAN-ENF1]]</f>
        <v>7</v>
      </c>
      <c r="D318">
        <f t="shared" si="109"/>
        <v>0.66666666666666663</v>
      </c>
      <c r="E318">
        <f>step3_validation[[#This Row],[AI_ENF2]]</f>
        <v>8</v>
      </c>
      <c r="F318">
        <f t="shared" si="110"/>
        <v>0.77777777777777779</v>
      </c>
      <c r="G318">
        <f>[1]!survey_responses[[#This Row],[Tôi tin rằng Nhà nước, cơ quan thuế có đủ khả năng và công nghệ để phát hiện, xử lý nghiêm các hành vi trốn thuế. - HUMAN-ENF2]]</f>
        <v>7</v>
      </c>
      <c r="H318">
        <f t="shared" si="111"/>
        <v>0.66666666666666663</v>
      </c>
      <c r="I318" s="32">
        <f t="shared" si="112"/>
        <v>0.72222222222222221</v>
      </c>
      <c r="J318" s="32">
        <f t="shared" si="113"/>
        <v>0.66666666666666663</v>
      </c>
      <c r="K318">
        <f>step3_validation[[#This Row],[AI_FAC1]]</f>
        <v>9</v>
      </c>
      <c r="L318">
        <f t="shared" si="114"/>
        <v>0.88888888888888884</v>
      </c>
      <c r="M318">
        <f>[1]!survey_responses[[#This Row],[Các thủ tục khai báo thuế VÀ/HOẶC quy trình làm việc với cơ quan thuế đơn giản, tiện lợi, nhanh chóng hơn so với trước đây. - HUMAN-FAC1]]</f>
        <v>5</v>
      </c>
      <c r="N318">
        <f t="shared" si="115"/>
        <v>0.44444444444444442</v>
      </c>
      <c r="O318">
        <f>step3_validation[[#This Row],[AI_FAC2]]</f>
        <v>7</v>
      </c>
      <c r="P318">
        <f t="shared" si="116"/>
        <v>0.66666666666666663</v>
      </c>
      <c r="Q318">
        <f>[1]!survey_responses[[#This Row],[So với trước đây, tôi thấy cách tính thuế và các bậc thuế trong phương án mới đơn giản, dễ hiểu và dễ thực hiện hơn. - HUMAN-FAC2]]</f>
        <v>8</v>
      </c>
      <c r="R318">
        <f t="shared" si="117"/>
        <v>0.77777777777777779</v>
      </c>
      <c r="S318" s="32">
        <f t="shared" si="118"/>
        <v>0.77777777777777768</v>
      </c>
      <c r="T318" s="32">
        <f t="shared" si="119"/>
        <v>0.61111111111111116</v>
      </c>
      <c r="U318">
        <f>step3_validation[[#This Row],[AI_TRU1]]</f>
        <v>8</v>
      </c>
      <c r="V318">
        <f t="shared" si="120"/>
        <v>0.77777777777777779</v>
      </c>
      <c r="W318">
        <f>[1]!survey_responses[[#This Row],[Tôi tin rằng Nhà nước, cơ quan thuế sẽ thực thi chính sách mới một cách khách quan, công tâm và đối xử bình đẳng với mọi người nộp thuế.  - HUMAN-TRU1]]</f>
        <v>5</v>
      </c>
      <c r="X318">
        <f t="shared" si="121"/>
        <v>0.44444444444444442</v>
      </c>
      <c r="Y318">
        <f>step3_validation[[#This Row],[AI_TRU2]]</f>
        <v>7</v>
      </c>
      <c r="Z318">
        <f t="shared" si="122"/>
        <v>0.66666666666666663</v>
      </c>
      <c r="AA318">
        <f>[1]!survey_responses[[#This Row],[Tôi thấy mức thuế tôi phải đóng theo phương án mới là công bằng (người thu nhập như tôi đóng mức này là hợp lý). - HUMAN-TRU2]]</f>
        <v>8</v>
      </c>
      <c r="AB318">
        <f t="shared" si="123"/>
        <v>0.77777777777777779</v>
      </c>
      <c r="AC318">
        <f>step3_validation[[#This Row],[AI_TRU3]]</f>
        <v>8</v>
      </c>
      <c r="AD318">
        <f t="shared" si="124"/>
        <v>0.77777777777777779</v>
      </c>
      <c r="AE318">
        <f>[1]!survey_responses[[#This Row],[Tôi tin tưởng số tiền thuế tôi đóng sẽ được Nhà nước sử dụng hiệu quả để cải thiện dịch vụ công (y tế, đường xá...). - HUMAN-TRU3]]</f>
        <v>5</v>
      </c>
      <c r="AF318">
        <f t="shared" si="125"/>
        <v>0.44444444444444442</v>
      </c>
      <c r="AG318">
        <f>step3_validation[[#This Row],[AI_TRU4]]</f>
        <v>5</v>
      </c>
      <c r="AH318">
        <f t="shared" si="126"/>
        <v>0.44444444444444442</v>
      </c>
      <c r="AI318">
        <f>[1]!survey_responses[[#This Row],[Tôi thấy Nhà nước đã giải thích rõ ràng, minh bạch về lý do và mục tiêu của việc sửa đổi thuế lần này. - HUMAN-TRU4]]</f>
        <v>7</v>
      </c>
      <c r="AJ318">
        <f t="shared" si="127"/>
        <v>0.66666666666666663</v>
      </c>
      <c r="AK318" s="32">
        <f t="shared" si="128"/>
        <v>0.66666666666666674</v>
      </c>
      <c r="AL318" s="32">
        <f t="shared" si="129"/>
        <v>0.58333333333333337</v>
      </c>
      <c r="AM318" s="7">
        <f t="shared" si="130"/>
        <v>0.72222222222222232</v>
      </c>
      <c r="AN318" s="7">
        <f t="shared" si="131"/>
        <v>0.62037037037037035</v>
      </c>
      <c r="AO318">
        <f>step3_validation[[#This Row],[AI_OUT1]]</f>
        <v>8</v>
      </c>
      <c r="AP318">
        <f t="shared" si="132"/>
        <v>0.77777777777777779</v>
      </c>
      <c r="AQ318">
        <f>[1]!survey_responses[[#This Row],[Sau khi xem xét các quyền lợi và nghĩa vụ, bạn có ủng hộ và tuân thủ chính sách mới hiện nay? - HUMAN-OUT1]]</f>
        <v>8</v>
      </c>
      <c r="AR318">
        <f t="shared" si="133"/>
        <v>0.77777777777777779</v>
      </c>
      <c r="AS318" s="32">
        <f t="shared" si="134"/>
        <v>0</v>
      </c>
    </row>
    <row r="319" spans="1:45" x14ac:dyDescent="0.45">
      <c r="A319">
        <f>step3_validation[[#This Row],[AI_ENF1]]</f>
        <v>6</v>
      </c>
      <c r="B319">
        <f t="shared" si="108"/>
        <v>0.55555555555555558</v>
      </c>
      <c r="C319">
        <f>[1]!survey_responses[[#This Row],[Tôi tin rằng với các quy định quản lý thuế hiện nay, hành vi gian lận hoặc trốn thuế sẽ dễ dàng bị phát hiện và xử lý nghiêm. - HUMAN-ENF1]]</f>
        <v>4</v>
      </c>
      <c r="D319">
        <f t="shared" si="109"/>
        <v>0.33333333333333331</v>
      </c>
      <c r="E319">
        <f>step3_validation[[#This Row],[AI_ENF2]]</f>
        <v>5</v>
      </c>
      <c r="F319">
        <f t="shared" si="110"/>
        <v>0.44444444444444442</v>
      </c>
      <c r="G319">
        <f>[1]!survey_responses[[#This Row],[Tôi tin rằng Nhà nước, cơ quan thuế có đủ khả năng và công nghệ để phát hiện, xử lý nghiêm các hành vi trốn thuế. - HUMAN-ENF2]]</f>
        <v>4</v>
      </c>
      <c r="H319">
        <f t="shared" si="111"/>
        <v>0.33333333333333331</v>
      </c>
      <c r="I319" s="32">
        <f t="shared" si="112"/>
        <v>0.5</v>
      </c>
      <c r="J319" s="32">
        <f t="shared" si="113"/>
        <v>0.33333333333333331</v>
      </c>
      <c r="K319">
        <f>step3_validation[[#This Row],[AI_FAC1]]</f>
        <v>7</v>
      </c>
      <c r="L319">
        <f t="shared" si="114"/>
        <v>0.66666666666666663</v>
      </c>
      <c r="M319">
        <f>[1]!survey_responses[[#This Row],[Các thủ tục khai báo thuế VÀ/HOẶC quy trình làm việc với cơ quan thuế đơn giản, tiện lợi, nhanh chóng hơn so với trước đây. - HUMAN-FAC1]]</f>
        <v>6</v>
      </c>
      <c r="N319">
        <f t="shared" si="115"/>
        <v>0.55555555555555558</v>
      </c>
      <c r="O319">
        <f>step3_validation[[#This Row],[AI_FAC2]]</f>
        <v>8</v>
      </c>
      <c r="P319">
        <f t="shared" si="116"/>
        <v>0.77777777777777779</v>
      </c>
      <c r="Q319">
        <f>[1]!survey_responses[[#This Row],[So với trước đây, tôi thấy cách tính thuế và các bậc thuế trong phương án mới đơn giản, dễ hiểu và dễ thực hiện hơn. - HUMAN-FAC2]]</f>
        <v>7</v>
      </c>
      <c r="R319">
        <f t="shared" si="117"/>
        <v>0.66666666666666663</v>
      </c>
      <c r="S319" s="32">
        <f t="shared" si="118"/>
        <v>0.72222222222222221</v>
      </c>
      <c r="T319" s="32">
        <f t="shared" si="119"/>
        <v>0.61111111111111116</v>
      </c>
      <c r="U319">
        <f>step3_validation[[#This Row],[AI_TRU1]]</f>
        <v>7</v>
      </c>
      <c r="V319">
        <f t="shared" si="120"/>
        <v>0.66666666666666663</v>
      </c>
      <c r="W319">
        <f>[1]!survey_responses[[#This Row],[Tôi tin rằng Nhà nước, cơ quan thuế sẽ thực thi chính sách mới một cách khách quan, công tâm và đối xử bình đẳng với mọi người nộp thuế.  - HUMAN-TRU1]]</f>
        <v>5</v>
      </c>
      <c r="X319">
        <f t="shared" si="121"/>
        <v>0.44444444444444442</v>
      </c>
      <c r="Y319">
        <f>step3_validation[[#This Row],[AI_TRU2]]</f>
        <v>8</v>
      </c>
      <c r="Z319">
        <f t="shared" si="122"/>
        <v>0.77777777777777779</v>
      </c>
      <c r="AA319">
        <f>[1]!survey_responses[[#This Row],[Tôi thấy mức thuế tôi phải đóng theo phương án mới là công bằng (người thu nhập như tôi đóng mức này là hợp lý). - HUMAN-TRU2]]</f>
        <v>8</v>
      </c>
      <c r="AB319">
        <f t="shared" si="123"/>
        <v>0.77777777777777779</v>
      </c>
      <c r="AC319">
        <f>step3_validation[[#This Row],[AI_TRU3]]</f>
        <v>7</v>
      </c>
      <c r="AD319">
        <f t="shared" si="124"/>
        <v>0.66666666666666663</v>
      </c>
      <c r="AE319">
        <f>[1]!survey_responses[[#This Row],[Tôi tin tưởng số tiền thuế tôi đóng sẽ được Nhà nước sử dụng hiệu quả để cải thiện dịch vụ công (y tế, đường xá...). - HUMAN-TRU3]]</f>
        <v>5</v>
      </c>
      <c r="AF319">
        <f t="shared" si="125"/>
        <v>0.44444444444444442</v>
      </c>
      <c r="AG319">
        <f>step3_validation[[#This Row],[AI_TRU4]]</f>
        <v>6</v>
      </c>
      <c r="AH319">
        <f t="shared" si="126"/>
        <v>0.55555555555555558</v>
      </c>
      <c r="AI319">
        <f>[1]!survey_responses[[#This Row],[Tôi thấy Nhà nước đã giải thích rõ ràng, minh bạch về lý do và mục tiêu của việc sửa đổi thuế lần này. - HUMAN-TRU4]]</f>
        <v>5</v>
      </c>
      <c r="AJ319">
        <f t="shared" si="127"/>
        <v>0.44444444444444442</v>
      </c>
      <c r="AK319" s="32">
        <f t="shared" si="128"/>
        <v>0.66666666666666674</v>
      </c>
      <c r="AL319" s="32">
        <f t="shared" si="129"/>
        <v>0.52777777777777779</v>
      </c>
      <c r="AM319" s="7">
        <f t="shared" si="130"/>
        <v>0.62962962962962965</v>
      </c>
      <c r="AN319" s="7">
        <f t="shared" si="131"/>
        <v>0.49074074074074076</v>
      </c>
      <c r="AO319">
        <f>step3_validation[[#This Row],[AI_OUT1]]</f>
        <v>7</v>
      </c>
      <c r="AP319">
        <f t="shared" si="132"/>
        <v>0.66666666666666663</v>
      </c>
      <c r="AQ319">
        <f>[1]!survey_responses[[#This Row],[Sau khi xem xét các quyền lợi và nghĩa vụ, bạn có ủng hộ và tuân thủ chính sách mới hiện nay? - HUMAN-OUT1]]</f>
        <v>8</v>
      </c>
      <c r="AR319">
        <f t="shared" si="133"/>
        <v>0.77777777777777779</v>
      </c>
      <c r="AS319" s="32">
        <f t="shared" si="134"/>
        <v>1</v>
      </c>
    </row>
    <row r="320" spans="1:45" x14ac:dyDescent="0.45">
      <c r="A320">
        <f>step3_validation[[#This Row],[AI_ENF1]]</f>
        <v>8</v>
      </c>
      <c r="B320">
        <f t="shared" si="108"/>
        <v>0.77777777777777779</v>
      </c>
      <c r="C320">
        <f>[1]!survey_responses[[#This Row],[Tôi tin rằng với các quy định quản lý thuế hiện nay, hành vi gian lận hoặc trốn thuế sẽ dễ dàng bị phát hiện và xử lý nghiêm. - HUMAN-ENF1]]</f>
        <v>8</v>
      </c>
      <c r="D320">
        <f t="shared" si="109"/>
        <v>0.77777777777777779</v>
      </c>
      <c r="E320">
        <f>step3_validation[[#This Row],[AI_ENF2]]</f>
        <v>7</v>
      </c>
      <c r="F320">
        <f t="shared" si="110"/>
        <v>0.66666666666666663</v>
      </c>
      <c r="G320">
        <f>[1]!survey_responses[[#This Row],[Tôi tin rằng Nhà nước, cơ quan thuế có đủ khả năng và công nghệ để phát hiện, xử lý nghiêm các hành vi trốn thuế. - HUMAN-ENF2]]</f>
        <v>8</v>
      </c>
      <c r="H320">
        <f t="shared" si="111"/>
        <v>0.77777777777777779</v>
      </c>
      <c r="I320" s="32">
        <f t="shared" si="112"/>
        <v>0.72222222222222221</v>
      </c>
      <c r="J320" s="32">
        <f t="shared" si="113"/>
        <v>0.77777777777777779</v>
      </c>
      <c r="K320">
        <f>step3_validation[[#This Row],[AI_FAC1]]</f>
        <v>9</v>
      </c>
      <c r="L320">
        <f t="shared" si="114"/>
        <v>0.88888888888888884</v>
      </c>
      <c r="M320">
        <f>[1]!survey_responses[[#This Row],[Các thủ tục khai báo thuế VÀ/HOẶC quy trình làm việc với cơ quan thuế đơn giản, tiện lợi, nhanh chóng hơn so với trước đây. - HUMAN-FAC1]]</f>
        <v>10</v>
      </c>
      <c r="N320">
        <f t="shared" si="115"/>
        <v>1</v>
      </c>
      <c r="O320">
        <f>step3_validation[[#This Row],[AI_FAC2]]</f>
        <v>8</v>
      </c>
      <c r="P320">
        <f t="shared" si="116"/>
        <v>0.77777777777777779</v>
      </c>
      <c r="Q320">
        <f>[1]!survey_responses[[#This Row],[So với trước đây, tôi thấy cách tính thuế và các bậc thuế trong phương án mới đơn giản, dễ hiểu và dễ thực hiện hơn. - HUMAN-FAC2]]</f>
        <v>10</v>
      </c>
      <c r="R320">
        <f t="shared" si="117"/>
        <v>1</v>
      </c>
      <c r="S320" s="32">
        <f t="shared" si="118"/>
        <v>0.83333333333333326</v>
      </c>
      <c r="T320" s="32">
        <f t="shared" si="119"/>
        <v>1</v>
      </c>
      <c r="U320">
        <f>step3_validation[[#This Row],[AI_TRU1]]</f>
        <v>9</v>
      </c>
      <c r="V320">
        <f t="shared" si="120"/>
        <v>0.88888888888888884</v>
      </c>
      <c r="W320">
        <f>[1]!survey_responses[[#This Row],[Tôi tin rằng Nhà nước, cơ quan thuế sẽ thực thi chính sách mới một cách khách quan, công tâm và đối xử bình đẳng với mọi người nộp thuế.  - HUMAN-TRU1]]</f>
        <v>9</v>
      </c>
      <c r="X320">
        <f t="shared" si="121"/>
        <v>0.88888888888888884</v>
      </c>
      <c r="Y320">
        <f>step3_validation[[#This Row],[AI_TRU2]]</f>
        <v>7</v>
      </c>
      <c r="Z320">
        <f t="shared" si="122"/>
        <v>0.66666666666666663</v>
      </c>
      <c r="AA320">
        <f>[1]!survey_responses[[#This Row],[Tôi thấy mức thuế tôi phải đóng theo phương án mới là công bằng (người thu nhập như tôi đóng mức này là hợp lý). - HUMAN-TRU2]]</f>
        <v>10</v>
      </c>
      <c r="AB320">
        <f t="shared" si="123"/>
        <v>1</v>
      </c>
      <c r="AC320">
        <f>step3_validation[[#This Row],[AI_TRU3]]</f>
        <v>8</v>
      </c>
      <c r="AD320">
        <f t="shared" si="124"/>
        <v>0.77777777777777779</v>
      </c>
      <c r="AE320">
        <f>[1]!survey_responses[[#This Row],[Tôi tin tưởng số tiền thuế tôi đóng sẽ được Nhà nước sử dụng hiệu quả để cải thiện dịch vụ công (y tế, đường xá...). - HUMAN-TRU3]]</f>
        <v>8</v>
      </c>
      <c r="AF320">
        <f t="shared" si="125"/>
        <v>0.77777777777777779</v>
      </c>
      <c r="AG320">
        <f>step3_validation[[#This Row],[AI_TRU4]]</f>
        <v>6</v>
      </c>
      <c r="AH320">
        <f t="shared" si="126"/>
        <v>0.55555555555555558</v>
      </c>
      <c r="AI320">
        <f>[1]!survey_responses[[#This Row],[Tôi thấy Nhà nước đã giải thích rõ ràng, minh bạch về lý do và mục tiêu của việc sửa đổi thuế lần này. - HUMAN-TRU4]]</f>
        <v>8</v>
      </c>
      <c r="AJ320">
        <f t="shared" si="127"/>
        <v>0.77777777777777779</v>
      </c>
      <c r="AK320" s="32">
        <f t="shared" si="128"/>
        <v>0.7222222222222221</v>
      </c>
      <c r="AL320" s="32">
        <f t="shared" si="129"/>
        <v>0.86111111111111105</v>
      </c>
      <c r="AM320" s="7">
        <f t="shared" si="130"/>
        <v>0.75925925925925919</v>
      </c>
      <c r="AN320" s="7">
        <f t="shared" si="131"/>
        <v>0.87962962962962965</v>
      </c>
      <c r="AO320">
        <f>step3_validation[[#This Row],[AI_OUT1]]</f>
        <v>8</v>
      </c>
      <c r="AP320">
        <f t="shared" si="132"/>
        <v>0.77777777777777779</v>
      </c>
      <c r="AQ320">
        <f>[1]!survey_responses[[#This Row],[Sau khi xem xét các quyền lợi và nghĩa vụ, bạn có ủng hộ và tuân thủ chính sách mới hiện nay? - HUMAN-OUT1]]</f>
        <v>10</v>
      </c>
      <c r="AR320">
        <f t="shared" si="133"/>
        <v>1</v>
      </c>
      <c r="AS320" s="32">
        <f t="shared" si="134"/>
        <v>2</v>
      </c>
    </row>
    <row r="321" spans="1:45" x14ac:dyDescent="0.45">
      <c r="A321">
        <f>step3_validation[[#This Row],[AI_ENF1]]</f>
        <v>7</v>
      </c>
      <c r="B321">
        <f t="shared" si="108"/>
        <v>0.66666666666666663</v>
      </c>
      <c r="C321">
        <f>[1]!survey_responses[[#This Row],[Tôi tin rằng với các quy định quản lý thuế hiện nay, hành vi gian lận hoặc trốn thuế sẽ dễ dàng bị phát hiện và xử lý nghiêm. - HUMAN-ENF1]]</f>
        <v>5</v>
      </c>
      <c r="D321">
        <f t="shared" si="109"/>
        <v>0.44444444444444442</v>
      </c>
      <c r="E321">
        <f>step3_validation[[#This Row],[AI_ENF2]]</f>
        <v>8</v>
      </c>
      <c r="F321">
        <f t="shared" si="110"/>
        <v>0.77777777777777779</v>
      </c>
      <c r="G321">
        <f>[1]!survey_responses[[#This Row],[Tôi tin rằng Nhà nước, cơ quan thuế có đủ khả năng và công nghệ để phát hiện, xử lý nghiêm các hành vi trốn thuế. - HUMAN-ENF2]]</f>
        <v>7</v>
      </c>
      <c r="H321">
        <f t="shared" si="111"/>
        <v>0.66666666666666663</v>
      </c>
      <c r="I321" s="32">
        <f t="shared" si="112"/>
        <v>0.72222222222222221</v>
      </c>
      <c r="J321" s="32">
        <f t="shared" si="113"/>
        <v>0.55555555555555558</v>
      </c>
      <c r="K321">
        <f>step3_validation[[#This Row],[AI_FAC1]]</f>
        <v>9</v>
      </c>
      <c r="L321">
        <f t="shared" si="114"/>
        <v>0.88888888888888884</v>
      </c>
      <c r="M321">
        <f>[1]!survey_responses[[#This Row],[Các thủ tục khai báo thuế VÀ/HOẶC quy trình làm việc với cơ quan thuế đơn giản, tiện lợi, nhanh chóng hơn so với trước đây. - HUMAN-FAC1]]</f>
        <v>7</v>
      </c>
      <c r="N321">
        <f t="shared" si="115"/>
        <v>0.66666666666666663</v>
      </c>
      <c r="O321">
        <f>step3_validation[[#This Row],[AI_FAC2]]</f>
        <v>8</v>
      </c>
      <c r="P321">
        <f t="shared" si="116"/>
        <v>0.77777777777777779</v>
      </c>
      <c r="Q321">
        <f>[1]!survey_responses[[#This Row],[So với trước đây, tôi thấy cách tính thuế và các bậc thuế trong phương án mới đơn giản, dễ hiểu và dễ thực hiện hơn. - HUMAN-FAC2]]</f>
        <v>9</v>
      </c>
      <c r="R321">
        <f t="shared" si="117"/>
        <v>0.88888888888888884</v>
      </c>
      <c r="S321" s="32">
        <f t="shared" si="118"/>
        <v>0.83333333333333326</v>
      </c>
      <c r="T321" s="32">
        <f t="shared" si="119"/>
        <v>0.77777777777777768</v>
      </c>
      <c r="U321">
        <f>step3_validation[[#This Row],[AI_TRU1]]</f>
        <v>9</v>
      </c>
      <c r="V321">
        <f t="shared" si="120"/>
        <v>0.88888888888888884</v>
      </c>
      <c r="W321">
        <f>[1]!survey_responses[[#This Row],[Tôi tin rằng Nhà nước, cơ quan thuế sẽ thực thi chính sách mới một cách khách quan, công tâm và đối xử bình đẳng với mọi người nộp thuế.  - HUMAN-TRU1]]</f>
        <v>5</v>
      </c>
      <c r="X321">
        <f t="shared" si="121"/>
        <v>0.44444444444444442</v>
      </c>
      <c r="Y321">
        <f>step3_validation[[#This Row],[AI_TRU2]]</f>
        <v>7</v>
      </c>
      <c r="Z321">
        <f t="shared" si="122"/>
        <v>0.66666666666666663</v>
      </c>
      <c r="AA321">
        <f>[1]!survey_responses[[#This Row],[Tôi thấy mức thuế tôi phải đóng theo phương án mới là công bằng (người thu nhập như tôi đóng mức này là hợp lý). - HUMAN-TRU2]]</f>
        <v>6</v>
      </c>
      <c r="AB321">
        <f t="shared" si="123"/>
        <v>0.55555555555555558</v>
      </c>
      <c r="AC321">
        <f>step3_validation[[#This Row],[AI_TRU3]]</f>
        <v>8</v>
      </c>
      <c r="AD321">
        <f t="shared" si="124"/>
        <v>0.77777777777777779</v>
      </c>
      <c r="AE321">
        <f>[1]!survey_responses[[#This Row],[Tôi tin tưởng số tiền thuế tôi đóng sẽ được Nhà nước sử dụng hiệu quả để cải thiện dịch vụ công (y tế, đường xá...). - HUMAN-TRU3]]</f>
        <v>5</v>
      </c>
      <c r="AF321">
        <f t="shared" si="125"/>
        <v>0.44444444444444442</v>
      </c>
      <c r="AG321">
        <f>step3_validation[[#This Row],[AI_TRU4]]</f>
        <v>6</v>
      </c>
      <c r="AH321">
        <f t="shared" si="126"/>
        <v>0.55555555555555558</v>
      </c>
      <c r="AI321">
        <f>[1]!survey_responses[[#This Row],[Tôi thấy Nhà nước đã giải thích rõ ràng, minh bạch về lý do và mục tiêu của việc sửa đổi thuế lần này. - HUMAN-TRU4]]</f>
        <v>7</v>
      </c>
      <c r="AJ321">
        <f t="shared" si="127"/>
        <v>0.66666666666666663</v>
      </c>
      <c r="AK321" s="32">
        <f t="shared" si="128"/>
        <v>0.7222222222222221</v>
      </c>
      <c r="AL321" s="32">
        <f t="shared" si="129"/>
        <v>0.52777777777777779</v>
      </c>
      <c r="AM321" s="7">
        <f t="shared" si="130"/>
        <v>0.75925925925925919</v>
      </c>
      <c r="AN321" s="7">
        <f t="shared" si="131"/>
        <v>0.62037037037037035</v>
      </c>
      <c r="AO321">
        <f>step3_validation[[#This Row],[AI_OUT1]]</f>
        <v>9</v>
      </c>
      <c r="AP321">
        <f t="shared" si="132"/>
        <v>0.88888888888888884</v>
      </c>
      <c r="AQ321">
        <f>[1]!survey_responses[[#This Row],[Sau khi xem xét các quyền lợi và nghĩa vụ, bạn có ủng hộ và tuân thủ chính sách mới hiện nay? - HUMAN-OUT1]]</f>
        <v>7</v>
      </c>
      <c r="AR321">
        <f t="shared" si="133"/>
        <v>0.66666666666666663</v>
      </c>
      <c r="AS321" s="32">
        <f t="shared" si="134"/>
        <v>2</v>
      </c>
    </row>
    <row r="322" spans="1:45" x14ac:dyDescent="0.45">
      <c r="A322">
        <f>step3_validation[[#This Row],[AI_ENF1]]</f>
        <v>7</v>
      </c>
      <c r="B322">
        <f t="shared" si="108"/>
        <v>0.66666666666666663</v>
      </c>
      <c r="C322">
        <f>[1]!survey_responses[[#This Row],[Tôi tin rằng với các quy định quản lý thuế hiện nay, hành vi gian lận hoặc trốn thuế sẽ dễ dàng bị phát hiện và xử lý nghiêm. - HUMAN-ENF1]]</f>
        <v>8</v>
      </c>
      <c r="D322">
        <f t="shared" si="109"/>
        <v>0.77777777777777779</v>
      </c>
      <c r="E322">
        <f>step3_validation[[#This Row],[AI_ENF2]]</f>
        <v>8</v>
      </c>
      <c r="F322">
        <f t="shared" si="110"/>
        <v>0.77777777777777779</v>
      </c>
      <c r="G322">
        <f>[1]!survey_responses[[#This Row],[Tôi tin rằng Nhà nước, cơ quan thuế có đủ khả năng và công nghệ để phát hiện, xử lý nghiêm các hành vi trốn thuế. - HUMAN-ENF2]]</f>
        <v>8</v>
      </c>
      <c r="H322">
        <f t="shared" si="111"/>
        <v>0.77777777777777779</v>
      </c>
      <c r="I322" s="32">
        <f t="shared" si="112"/>
        <v>0.72222222222222221</v>
      </c>
      <c r="J322" s="32">
        <f t="shared" si="113"/>
        <v>0.77777777777777779</v>
      </c>
      <c r="K322">
        <f>step3_validation[[#This Row],[AI_FAC1]]</f>
        <v>9</v>
      </c>
      <c r="L322">
        <f t="shared" si="114"/>
        <v>0.88888888888888884</v>
      </c>
      <c r="M322">
        <f>[1]!survey_responses[[#This Row],[Các thủ tục khai báo thuế VÀ/HOẶC quy trình làm việc với cơ quan thuế đơn giản, tiện lợi, nhanh chóng hơn so với trước đây. - HUMAN-FAC1]]</f>
        <v>7</v>
      </c>
      <c r="N322">
        <f t="shared" si="115"/>
        <v>0.66666666666666663</v>
      </c>
      <c r="O322">
        <f>step3_validation[[#This Row],[AI_FAC2]]</f>
        <v>8</v>
      </c>
      <c r="P322">
        <f t="shared" si="116"/>
        <v>0.77777777777777779</v>
      </c>
      <c r="Q322">
        <f>[1]!survey_responses[[#This Row],[So với trước đây, tôi thấy cách tính thuế và các bậc thuế trong phương án mới đơn giản, dễ hiểu và dễ thực hiện hơn. - HUMAN-FAC2]]</f>
        <v>9</v>
      </c>
      <c r="R322">
        <f t="shared" si="117"/>
        <v>0.88888888888888884</v>
      </c>
      <c r="S322" s="32">
        <f t="shared" si="118"/>
        <v>0.83333333333333326</v>
      </c>
      <c r="T322" s="32">
        <f t="shared" si="119"/>
        <v>0.77777777777777768</v>
      </c>
      <c r="U322">
        <f>step3_validation[[#This Row],[AI_TRU1]]</f>
        <v>7</v>
      </c>
      <c r="V322">
        <f t="shared" si="120"/>
        <v>0.66666666666666663</v>
      </c>
      <c r="W322">
        <f>[1]!survey_responses[[#This Row],[Tôi tin rằng Nhà nước, cơ quan thuế sẽ thực thi chính sách mới một cách khách quan, công tâm và đối xử bình đẳng với mọi người nộp thuế.  - HUMAN-TRU1]]</f>
        <v>9</v>
      </c>
      <c r="X322">
        <f t="shared" si="121"/>
        <v>0.88888888888888884</v>
      </c>
      <c r="Y322">
        <f>step3_validation[[#This Row],[AI_TRU2]]</f>
        <v>8</v>
      </c>
      <c r="Z322">
        <f t="shared" si="122"/>
        <v>0.77777777777777779</v>
      </c>
      <c r="AA322">
        <f>[1]!survey_responses[[#This Row],[Tôi thấy mức thuế tôi phải đóng theo phương án mới là công bằng (người thu nhập như tôi đóng mức này là hợp lý). - HUMAN-TRU2]]</f>
        <v>9</v>
      </c>
      <c r="AB322">
        <f t="shared" si="123"/>
        <v>0.88888888888888884</v>
      </c>
      <c r="AC322">
        <f>step3_validation[[#This Row],[AI_TRU3]]</f>
        <v>7</v>
      </c>
      <c r="AD322">
        <f t="shared" si="124"/>
        <v>0.66666666666666663</v>
      </c>
      <c r="AE322">
        <f>[1]!survey_responses[[#This Row],[Tôi tin tưởng số tiền thuế tôi đóng sẽ được Nhà nước sử dụng hiệu quả để cải thiện dịch vụ công (y tế, đường xá...). - HUMAN-TRU3]]</f>
        <v>7</v>
      </c>
      <c r="AF322">
        <f t="shared" si="125"/>
        <v>0.66666666666666663</v>
      </c>
      <c r="AG322">
        <f>step3_validation[[#This Row],[AI_TRU4]]</f>
        <v>6</v>
      </c>
      <c r="AH322">
        <f t="shared" si="126"/>
        <v>0.55555555555555558</v>
      </c>
      <c r="AI322">
        <f>[1]!survey_responses[[#This Row],[Tôi thấy Nhà nước đã giải thích rõ ràng, minh bạch về lý do và mục tiêu của việc sửa đổi thuế lần này. - HUMAN-TRU4]]</f>
        <v>9</v>
      </c>
      <c r="AJ322">
        <f t="shared" si="127"/>
        <v>0.88888888888888884</v>
      </c>
      <c r="AK322" s="32">
        <f t="shared" si="128"/>
        <v>0.66666666666666674</v>
      </c>
      <c r="AL322" s="32">
        <f t="shared" si="129"/>
        <v>0.83333333333333326</v>
      </c>
      <c r="AM322" s="7">
        <f t="shared" si="130"/>
        <v>0.74074074074074081</v>
      </c>
      <c r="AN322" s="7">
        <f t="shared" si="131"/>
        <v>0.79629629629629617</v>
      </c>
      <c r="AO322">
        <f>step3_validation[[#This Row],[AI_OUT1]]</f>
        <v>8</v>
      </c>
      <c r="AP322">
        <f t="shared" si="132"/>
        <v>0.77777777777777779</v>
      </c>
      <c r="AQ322">
        <f>[1]!survey_responses[[#This Row],[Sau khi xem xét các quyền lợi và nghĩa vụ, bạn có ủng hộ và tuân thủ chính sách mới hiện nay? - HUMAN-OUT1]]</f>
        <v>9</v>
      </c>
      <c r="AR322">
        <f t="shared" si="133"/>
        <v>0.88888888888888884</v>
      </c>
      <c r="AS322" s="32">
        <f t="shared" si="134"/>
        <v>1</v>
      </c>
    </row>
    <row r="323" spans="1:45" x14ac:dyDescent="0.45">
      <c r="A323">
        <f>step3_validation[[#This Row],[AI_ENF1]]</f>
        <v>6</v>
      </c>
      <c r="B323">
        <f t="shared" ref="B323:B386" si="135">(A323-1)/9</f>
        <v>0.55555555555555558</v>
      </c>
      <c r="C323">
        <f>[1]!survey_responses[[#This Row],[Tôi tin rằng với các quy định quản lý thuế hiện nay, hành vi gian lận hoặc trốn thuế sẽ dễ dàng bị phát hiện và xử lý nghiêm. - HUMAN-ENF1]]</f>
        <v>5</v>
      </c>
      <c r="D323">
        <f t="shared" ref="D323:D386" si="136">(C323-1)/9</f>
        <v>0.44444444444444442</v>
      </c>
      <c r="E323">
        <f>step3_validation[[#This Row],[AI_ENF2]]</f>
        <v>5</v>
      </c>
      <c r="F323">
        <f t="shared" ref="F323:F386" si="137">(E323-1)/9</f>
        <v>0.44444444444444442</v>
      </c>
      <c r="G323">
        <f>[1]!survey_responses[[#This Row],[Tôi tin rằng Nhà nước, cơ quan thuế có đủ khả năng và công nghệ để phát hiện, xử lý nghiêm các hành vi trốn thuế. - HUMAN-ENF2]]</f>
        <v>5</v>
      </c>
      <c r="H323">
        <f t="shared" ref="H323:H386" si="138">(G323-1)/9</f>
        <v>0.44444444444444442</v>
      </c>
      <c r="I323" s="32">
        <f t="shared" ref="I323:I386" si="139">AVERAGE(B323,F323)</f>
        <v>0.5</v>
      </c>
      <c r="J323" s="32">
        <f t="shared" ref="J323:J386" si="140">AVERAGE(D323,H323)</f>
        <v>0.44444444444444442</v>
      </c>
      <c r="K323">
        <f>step3_validation[[#This Row],[AI_FAC1]]</f>
        <v>8</v>
      </c>
      <c r="L323">
        <f t="shared" ref="L323:L386" si="141">(K323-1)/9</f>
        <v>0.77777777777777779</v>
      </c>
      <c r="M323">
        <f>[1]!survey_responses[[#This Row],[Các thủ tục khai báo thuế VÀ/HOẶC quy trình làm việc với cơ quan thuế đơn giản, tiện lợi, nhanh chóng hơn so với trước đây. - HUMAN-FAC1]]</f>
        <v>5</v>
      </c>
      <c r="N323">
        <f t="shared" ref="N323:N386" si="142">(M323-1)/9</f>
        <v>0.44444444444444442</v>
      </c>
      <c r="O323">
        <f>step3_validation[[#This Row],[AI_FAC2]]</f>
        <v>7</v>
      </c>
      <c r="P323">
        <f t="shared" ref="P323:P386" si="143">(O323-1)/9</f>
        <v>0.66666666666666663</v>
      </c>
      <c r="Q323">
        <f>[1]!survey_responses[[#This Row],[So với trước đây, tôi thấy cách tính thuế và các bậc thuế trong phương án mới đơn giản, dễ hiểu và dễ thực hiện hơn. - HUMAN-FAC2]]</f>
        <v>7</v>
      </c>
      <c r="R323">
        <f t="shared" ref="R323:R386" si="144">(Q323-1)/9</f>
        <v>0.66666666666666663</v>
      </c>
      <c r="S323" s="32">
        <f t="shared" ref="S323:S386" si="145">AVERAGE(L323,P323)</f>
        <v>0.72222222222222221</v>
      </c>
      <c r="T323" s="32">
        <f t="shared" ref="T323:T386" si="146">AVERAGE(N323,R323)</f>
        <v>0.55555555555555558</v>
      </c>
      <c r="U323">
        <f>step3_validation[[#This Row],[AI_TRU1]]</f>
        <v>6</v>
      </c>
      <c r="V323">
        <f t="shared" ref="V323:V386" si="147">(U323-1)/9</f>
        <v>0.55555555555555558</v>
      </c>
      <c r="W323">
        <f>[1]!survey_responses[[#This Row],[Tôi tin rằng Nhà nước, cơ quan thuế sẽ thực thi chính sách mới một cách khách quan, công tâm và đối xử bình đẳng với mọi người nộp thuế.  - HUMAN-TRU1]]</f>
        <v>5</v>
      </c>
      <c r="X323">
        <f t="shared" ref="X323:X386" si="148">(W323-1)/9</f>
        <v>0.44444444444444442</v>
      </c>
      <c r="Y323">
        <f>step3_validation[[#This Row],[AI_TRU2]]</f>
        <v>7</v>
      </c>
      <c r="Z323">
        <f t="shared" ref="Z323:Z386" si="149">(Y323-1)/9</f>
        <v>0.66666666666666663</v>
      </c>
      <c r="AA323">
        <f>[1]!survey_responses[[#This Row],[Tôi thấy mức thuế tôi phải đóng theo phương án mới là công bằng (người thu nhập như tôi đóng mức này là hợp lý). - HUMAN-TRU2]]</f>
        <v>7</v>
      </c>
      <c r="AB323">
        <f t="shared" ref="AB323:AB386" si="150">(AA323-1)/9</f>
        <v>0.66666666666666663</v>
      </c>
      <c r="AC323">
        <f>step3_validation[[#This Row],[AI_TRU3]]</f>
        <v>6</v>
      </c>
      <c r="AD323">
        <f t="shared" ref="AD323:AD386" si="151">(AC323-1)/9</f>
        <v>0.55555555555555558</v>
      </c>
      <c r="AE323">
        <f>[1]!survey_responses[[#This Row],[Tôi tin tưởng số tiền thuế tôi đóng sẽ được Nhà nước sử dụng hiệu quả để cải thiện dịch vụ công (y tế, đường xá...). - HUMAN-TRU3]]</f>
        <v>5</v>
      </c>
      <c r="AF323">
        <f t="shared" ref="AF323:AF386" si="152">(AE323-1)/9</f>
        <v>0.44444444444444442</v>
      </c>
      <c r="AG323">
        <f>step3_validation[[#This Row],[AI_TRU4]]</f>
        <v>5</v>
      </c>
      <c r="AH323">
        <f t="shared" ref="AH323:AH386" si="153">(AG323-1)/9</f>
        <v>0.44444444444444442</v>
      </c>
      <c r="AI323">
        <f>[1]!survey_responses[[#This Row],[Tôi thấy Nhà nước đã giải thích rõ ràng, minh bạch về lý do và mục tiêu của việc sửa đổi thuế lần này. - HUMAN-TRU4]]</f>
        <v>5</v>
      </c>
      <c r="AJ323">
        <f t="shared" ref="AJ323:AJ386" si="154">(AI323-1)/9</f>
        <v>0.44444444444444442</v>
      </c>
      <c r="AK323" s="32">
        <f t="shared" ref="AK323:AK386" si="155">AVERAGE(V323,Z323,AD323,AH323)</f>
        <v>0.55555555555555558</v>
      </c>
      <c r="AL323" s="32">
        <f t="shared" ref="AL323:AL386" si="156">AVERAGE(X323,AB323,AF323,AJ323)</f>
        <v>0.5</v>
      </c>
      <c r="AM323" s="7">
        <f t="shared" ref="AM323:AM386" si="157">(I323+S323+AK323)/3</f>
        <v>0.59259259259259267</v>
      </c>
      <c r="AN323" s="7">
        <f t="shared" ref="AN323:AN386" si="158">(J323+T323+AL323)/3</f>
        <v>0.5</v>
      </c>
      <c r="AO323">
        <f>step3_validation[[#This Row],[AI_OUT1]]</f>
        <v>6</v>
      </c>
      <c r="AP323">
        <f t="shared" ref="AP323:AP386" si="159">(AO323-1)/9</f>
        <v>0.55555555555555558</v>
      </c>
      <c r="AQ323">
        <f>[1]!survey_responses[[#This Row],[Sau khi xem xét các quyền lợi và nghĩa vụ, bạn có ủng hộ và tuân thủ chính sách mới hiện nay? - HUMAN-OUT1]]</f>
        <v>7</v>
      </c>
      <c r="AR323">
        <f t="shared" ref="AR323:AR386" si="160">(AQ323-1)/9</f>
        <v>0.66666666666666663</v>
      </c>
      <c r="AS323" s="32">
        <f t="shared" ref="AS323:AS386" si="161">ABS(AQ323-AO323)</f>
        <v>1</v>
      </c>
    </row>
    <row r="324" spans="1:45" x14ac:dyDescent="0.45">
      <c r="A324">
        <f>step3_validation[[#This Row],[AI_ENF1]]</f>
        <v>7</v>
      </c>
      <c r="B324">
        <f t="shared" si="135"/>
        <v>0.66666666666666663</v>
      </c>
      <c r="C324">
        <f>[1]!survey_responses[[#This Row],[Tôi tin rằng với các quy định quản lý thuế hiện nay, hành vi gian lận hoặc trốn thuế sẽ dễ dàng bị phát hiện và xử lý nghiêm. - HUMAN-ENF1]]</f>
        <v>7</v>
      </c>
      <c r="D324">
        <f t="shared" si="136"/>
        <v>0.66666666666666663</v>
      </c>
      <c r="E324">
        <f>step3_validation[[#This Row],[AI_ENF2]]</f>
        <v>6</v>
      </c>
      <c r="F324">
        <f t="shared" si="137"/>
        <v>0.55555555555555558</v>
      </c>
      <c r="G324">
        <f>[1]!survey_responses[[#This Row],[Tôi tin rằng Nhà nước, cơ quan thuế có đủ khả năng và công nghệ để phát hiện, xử lý nghiêm các hành vi trốn thuế. - HUMAN-ENF2]]</f>
        <v>7</v>
      </c>
      <c r="H324">
        <f t="shared" si="138"/>
        <v>0.66666666666666663</v>
      </c>
      <c r="I324" s="32">
        <f t="shared" si="139"/>
        <v>0.61111111111111116</v>
      </c>
      <c r="J324" s="32">
        <f t="shared" si="140"/>
        <v>0.66666666666666663</v>
      </c>
      <c r="K324">
        <f>step3_validation[[#This Row],[AI_FAC1]]</f>
        <v>8</v>
      </c>
      <c r="L324">
        <f t="shared" si="141"/>
        <v>0.77777777777777779</v>
      </c>
      <c r="M324">
        <f>[1]!survey_responses[[#This Row],[Các thủ tục khai báo thuế VÀ/HOẶC quy trình làm việc với cơ quan thuế đơn giản, tiện lợi, nhanh chóng hơn so với trước đây. - HUMAN-FAC1]]</f>
        <v>8</v>
      </c>
      <c r="N324">
        <f t="shared" si="142"/>
        <v>0.77777777777777779</v>
      </c>
      <c r="O324">
        <f>step3_validation[[#This Row],[AI_FAC2]]</f>
        <v>7</v>
      </c>
      <c r="P324">
        <f t="shared" si="143"/>
        <v>0.66666666666666663</v>
      </c>
      <c r="Q324">
        <f>[1]!survey_responses[[#This Row],[So với trước đây, tôi thấy cách tính thuế và các bậc thuế trong phương án mới đơn giản, dễ hiểu và dễ thực hiện hơn. - HUMAN-FAC2]]</f>
        <v>8</v>
      </c>
      <c r="R324">
        <f t="shared" si="144"/>
        <v>0.77777777777777779</v>
      </c>
      <c r="S324" s="32">
        <f t="shared" si="145"/>
        <v>0.72222222222222221</v>
      </c>
      <c r="T324" s="32">
        <f t="shared" si="146"/>
        <v>0.77777777777777779</v>
      </c>
      <c r="U324">
        <f>step3_validation[[#This Row],[AI_TRU1]]</f>
        <v>8</v>
      </c>
      <c r="V324">
        <f t="shared" si="147"/>
        <v>0.77777777777777779</v>
      </c>
      <c r="W324">
        <f>[1]!survey_responses[[#This Row],[Tôi tin rằng Nhà nước, cơ quan thuế sẽ thực thi chính sách mới một cách khách quan, công tâm và đối xử bình đẳng với mọi người nộp thuế.  - HUMAN-TRU1]]</f>
        <v>6</v>
      </c>
      <c r="X324">
        <f t="shared" si="148"/>
        <v>0.55555555555555558</v>
      </c>
      <c r="Y324">
        <f>step3_validation[[#This Row],[AI_TRU2]]</f>
        <v>7</v>
      </c>
      <c r="Z324">
        <f t="shared" si="149"/>
        <v>0.66666666666666663</v>
      </c>
      <c r="AA324">
        <f>[1]!survey_responses[[#This Row],[Tôi thấy mức thuế tôi phải đóng theo phương án mới là công bằng (người thu nhập như tôi đóng mức này là hợp lý). - HUMAN-TRU2]]</f>
        <v>7</v>
      </c>
      <c r="AB324">
        <f t="shared" si="150"/>
        <v>0.66666666666666663</v>
      </c>
      <c r="AC324">
        <f>step3_validation[[#This Row],[AI_TRU3]]</f>
        <v>6</v>
      </c>
      <c r="AD324">
        <f t="shared" si="151"/>
        <v>0.55555555555555558</v>
      </c>
      <c r="AE324">
        <f>[1]!survey_responses[[#This Row],[Tôi tin tưởng số tiền thuế tôi đóng sẽ được Nhà nước sử dụng hiệu quả để cải thiện dịch vụ công (y tế, đường xá...). - HUMAN-TRU3]]</f>
        <v>6</v>
      </c>
      <c r="AF324">
        <f t="shared" si="152"/>
        <v>0.55555555555555558</v>
      </c>
      <c r="AG324">
        <f>step3_validation[[#This Row],[AI_TRU4]]</f>
        <v>5</v>
      </c>
      <c r="AH324">
        <f t="shared" si="153"/>
        <v>0.44444444444444442</v>
      </c>
      <c r="AI324">
        <f>[1]!survey_responses[[#This Row],[Tôi thấy Nhà nước đã giải thích rõ ràng, minh bạch về lý do và mục tiêu của việc sửa đổi thuế lần này. - HUMAN-TRU4]]</f>
        <v>7</v>
      </c>
      <c r="AJ324">
        <f t="shared" si="154"/>
        <v>0.66666666666666663</v>
      </c>
      <c r="AK324" s="32">
        <f t="shared" si="155"/>
        <v>0.61111111111111116</v>
      </c>
      <c r="AL324" s="32">
        <f t="shared" si="156"/>
        <v>0.61111111111111116</v>
      </c>
      <c r="AM324" s="7">
        <f t="shared" si="157"/>
        <v>0.64814814814814825</v>
      </c>
      <c r="AN324" s="7">
        <f t="shared" si="158"/>
        <v>0.68518518518518512</v>
      </c>
      <c r="AO324">
        <f>step3_validation[[#This Row],[AI_OUT1]]</f>
        <v>7</v>
      </c>
      <c r="AP324">
        <f t="shared" si="159"/>
        <v>0.66666666666666663</v>
      </c>
      <c r="AQ324">
        <f>[1]!survey_responses[[#This Row],[Sau khi xem xét các quyền lợi và nghĩa vụ, bạn có ủng hộ và tuân thủ chính sách mới hiện nay? - HUMAN-OUT1]]</f>
        <v>7</v>
      </c>
      <c r="AR324">
        <f t="shared" si="160"/>
        <v>0.66666666666666663</v>
      </c>
      <c r="AS324" s="32">
        <f t="shared" si="161"/>
        <v>0</v>
      </c>
    </row>
    <row r="325" spans="1:45" x14ac:dyDescent="0.45">
      <c r="A325">
        <f>step3_validation[[#This Row],[AI_ENF1]]</f>
        <v>7</v>
      </c>
      <c r="B325">
        <f t="shared" si="135"/>
        <v>0.66666666666666663</v>
      </c>
      <c r="C325">
        <f>[1]!survey_responses[[#This Row],[Tôi tin rằng với các quy định quản lý thuế hiện nay, hành vi gian lận hoặc trốn thuế sẽ dễ dàng bị phát hiện và xử lý nghiêm. - HUMAN-ENF1]]</f>
        <v>7</v>
      </c>
      <c r="D325">
        <f t="shared" si="136"/>
        <v>0.66666666666666663</v>
      </c>
      <c r="E325">
        <f>step3_validation[[#This Row],[AI_ENF2]]</f>
        <v>8</v>
      </c>
      <c r="F325">
        <f t="shared" si="137"/>
        <v>0.77777777777777779</v>
      </c>
      <c r="G325">
        <f>[1]!survey_responses[[#This Row],[Tôi tin rằng Nhà nước, cơ quan thuế có đủ khả năng và công nghệ để phát hiện, xử lý nghiêm các hành vi trốn thuế. - HUMAN-ENF2]]</f>
        <v>7</v>
      </c>
      <c r="H325">
        <f t="shared" si="138"/>
        <v>0.66666666666666663</v>
      </c>
      <c r="I325" s="32">
        <f t="shared" si="139"/>
        <v>0.72222222222222221</v>
      </c>
      <c r="J325" s="32">
        <f t="shared" si="140"/>
        <v>0.66666666666666663</v>
      </c>
      <c r="K325">
        <f>step3_validation[[#This Row],[AI_FAC1]]</f>
        <v>6</v>
      </c>
      <c r="L325">
        <f t="shared" si="141"/>
        <v>0.55555555555555558</v>
      </c>
      <c r="M325">
        <f>[1]!survey_responses[[#This Row],[Các thủ tục khai báo thuế VÀ/HOẶC quy trình làm việc với cơ quan thuế đơn giản, tiện lợi, nhanh chóng hơn so với trước đây. - HUMAN-FAC1]]</f>
        <v>5</v>
      </c>
      <c r="N325">
        <f t="shared" si="142"/>
        <v>0.44444444444444442</v>
      </c>
      <c r="O325">
        <f>step3_validation[[#This Row],[AI_FAC2]]</f>
        <v>9</v>
      </c>
      <c r="P325">
        <f t="shared" si="143"/>
        <v>0.88888888888888884</v>
      </c>
      <c r="Q325">
        <f>[1]!survey_responses[[#This Row],[So với trước đây, tôi thấy cách tính thuế và các bậc thuế trong phương án mới đơn giản, dễ hiểu và dễ thực hiện hơn. - HUMAN-FAC2]]</f>
        <v>7</v>
      </c>
      <c r="R325">
        <f t="shared" si="144"/>
        <v>0.66666666666666663</v>
      </c>
      <c r="S325" s="32">
        <f t="shared" si="145"/>
        <v>0.72222222222222221</v>
      </c>
      <c r="T325" s="32">
        <f t="shared" si="146"/>
        <v>0.55555555555555558</v>
      </c>
      <c r="U325">
        <f>step3_validation[[#This Row],[AI_TRU1]]</f>
        <v>7</v>
      </c>
      <c r="V325">
        <f t="shared" si="147"/>
        <v>0.66666666666666663</v>
      </c>
      <c r="W325">
        <f>[1]!survey_responses[[#This Row],[Tôi tin rằng Nhà nước, cơ quan thuế sẽ thực thi chính sách mới một cách khách quan, công tâm và đối xử bình đẳng với mọi người nộp thuế.  - HUMAN-TRU1]]</f>
        <v>7</v>
      </c>
      <c r="X325">
        <f t="shared" si="148"/>
        <v>0.66666666666666663</v>
      </c>
      <c r="Y325">
        <f>step3_validation[[#This Row],[AI_TRU2]]</f>
        <v>6</v>
      </c>
      <c r="Z325">
        <f t="shared" si="149"/>
        <v>0.55555555555555558</v>
      </c>
      <c r="AA325">
        <f>[1]!survey_responses[[#This Row],[Tôi thấy mức thuế tôi phải đóng theo phương án mới là công bằng (người thu nhập như tôi đóng mức này là hợp lý). - HUMAN-TRU2]]</f>
        <v>7</v>
      </c>
      <c r="AB325">
        <f t="shared" si="150"/>
        <v>0.66666666666666663</v>
      </c>
      <c r="AC325">
        <f>step3_validation[[#This Row],[AI_TRU3]]</f>
        <v>8</v>
      </c>
      <c r="AD325">
        <f t="shared" si="151"/>
        <v>0.77777777777777779</v>
      </c>
      <c r="AE325">
        <f>[1]!survey_responses[[#This Row],[Tôi tin tưởng số tiền thuế tôi đóng sẽ được Nhà nước sử dụng hiệu quả để cải thiện dịch vụ công (y tế, đường xá...). - HUMAN-TRU3]]</f>
        <v>5</v>
      </c>
      <c r="AF325">
        <f t="shared" si="152"/>
        <v>0.44444444444444442</v>
      </c>
      <c r="AG325">
        <f>step3_validation[[#This Row],[AI_TRU4]]</f>
        <v>5</v>
      </c>
      <c r="AH325">
        <f t="shared" si="153"/>
        <v>0.44444444444444442</v>
      </c>
      <c r="AI325">
        <f>[1]!survey_responses[[#This Row],[Tôi thấy Nhà nước đã giải thích rõ ràng, minh bạch về lý do và mục tiêu của việc sửa đổi thuế lần này. - HUMAN-TRU4]]</f>
        <v>5</v>
      </c>
      <c r="AJ325">
        <f t="shared" si="154"/>
        <v>0.44444444444444442</v>
      </c>
      <c r="AK325" s="32">
        <f t="shared" si="155"/>
        <v>0.61111111111111116</v>
      </c>
      <c r="AL325" s="32">
        <f t="shared" si="156"/>
        <v>0.55555555555555558</v>
      </c>
      <c r="AM325" s="7">
        <f t="shared" si="157"/>
        <v>0.68518518518518512</v>
      </c>
      <c r="AN325" s="7">
        <f t="shared" si="158"/>
        <v>0.59259259259259267</v>
      </c>
      <c r="AO325">
        <f>step3_validation[[#This Row],[AI_OUT1]]</f>
        <v>6</v>
      </c>
      <c r="AP325">
        <f t="shared" si="159"/>
        <v>0.55555555555555558</v>
      </c>
      <c r="AQ325">
        <f>[1]!survey_responses[[#This Row],[Sau khi xem xét các quyền lợi và nghĩa vụ, bạn có ủng hộ và tuân thủ chính sách mới hiện nay? - HUMAN-OUT1]]</f>
        <v>8</v>
      </c>
      <c r="AR325">
        <f t="shared" si="160"/>
        <v>0.77777777777777779</v>
      </c>
      <c r="AS325" s="32">
        <f t="shared" si="161"/>
        <v>2</v>
      </c>
    </row>
    <row r="326" spans="1:45" x14ac:dyDescent="0.45">
      <c r="A326">
        <f>step3_validation[[#This Row],[AI_ENF1]]</f>
        <v>7</v>
      </c>
      <c r="B326">
        <f t="shared" si="135"/>
        <v>0.66666666666666663</v>
      </c>
      <c r="C326">
        <f>[1]!survey_responses[[#This Row],[Tôi tin rằng với các quy định quản lý thuế hiện nay, hành vi gian lận hoặc trốn thuế sẽ dễ dàng bị phát hiện và xử lý nghiêm. - HUMAN-ENF1]]</f>
        <v>2</v>
      </c>
      <c r="D326">
        <f t="shared" si="136"/>
        <v>0.1111111111111111</v>
      </c>
      <c r="E326">
        <f>step3_validation[[#This Row],[AI_ENF2]]</f>
        <v>8</v>
      </c>
      <c r="F326">
        <f t="shared" si="137"/>
        <v>0.77777777777777779</v>
      </c>
      <c r="G326">
        <f>[1]!survey_responses[[#This Row],[Tôi tin rằng Nhà nước, cơ quan thuế có đủ khả năng và công nghệ để phát hiện, xử lý nghiêm các hành vi trốn thuế. - HUMAN-ENF2]]</f>
        <v>2</v>
      </c>
      <c r="H326">
        <f t="shared" si="138"/>
        <v>0.1111111111111111</v>
      </c>
      <c r="I326" s="32">
        <f t="shared" si="139"/>
        <v>0.72222222222222221</v>
      </c>
      <c r="J326" s="32">
        <f t="shared" si="140"/>
        <v>0.1111111111111111</v>
      </c>
      <c r="K326">
        <f>step3_validation[[#This Row],[AI_FAC1]]</f>
        <v>7</v>
      </c>
      <c r="L326">
        <f t="shared" si="141"/>
        <v>0.66666666666666663</v>
      </c>
      <c r="M326">
        <f>[1]!survey_responses[[#This Row],[Các thủ tục khai báo thuế VÀ/HOẶC quy trình làm việc với cơ quan thuế đơn giản, tiện lợi, nhanh chóng hơn so với trước đây. - HUMAN-FAC1]]</f>
        <v>6</v>
      </c>
      <c r="N326">
        <f t="shared" si="142"/>
        <v>0.55555555555555558</v>
      </c>
      <c r="O326">
        <f>step3_validation[[#This Row],[AI_FAC2]]</f>
        <v>8</v>
      </c>
      <c r="P326">
        <f t="shared" si="143"/>
        <v>0.77777777777777779</v>
      </c>
      <c r="Q326">
        <f>[1]!survey_responses[[#This Row],[So với trước đây, tôi thấy cách tính thuế và các bậc thuế trong phương án mới đơn giản, dễ hiểu và dễ thực hiện hơn. - HUMAN-FAC2]]</f>
        <v>7</v>
      </c>
      <c r="R326">
        <f t="shared" si="144"/>
        <v>0.66666666666666663</v>
      </c>
      <c r="S326" s="32">
        <f t="shared" si="145"/>
        <v>0.72222222222222221</v>
      </c>
      <c r="T326" s="32">
        <f t="shared" si="146"/>
        <v>0.61111111111111116</v>
      </c>
      <c r="U326">
        <f>step3_validation[[#This Row],[AI_TRU1]]</f>
        <v>8</v>
      </c>
      <c r="V326">
        <f t="shared" si="147"/>
        <v>0.77777777777777779</v>
      </c>
      <c r="W326">
        <f>[1]!survey_responses[[#This Row],[Tôi tin rằng Nhà nước, cơ quan thuế sẽ thực thi chính sách mới một cách khách quan, công tâm và đối xử bình đẳng với mọi người nộp thuế.  - HUMAN-TRU1]]</f>
        <v>2</v>
      </c>
      <c r="X326">
        <f t="shared" si="148"/>
        <v>0.1111111111111111</v>
      </c>
      <c r="Y326">
        <f>step3_validation[[#This Row],[AI_TRU2]]</f>
        <v>9</v>
      </c>
      <c r="Z326">
        <f t="shared" si="149"/>
        <v>0.88888888888888884</v>
      </c>
      <c r="AA326">
        <f>[1]!survey_responses[[#This Row],[Tôi thấy mức thuế tôi phải đóng theo phương án mới là công bằng (người thu nhập như tôi đóng mức này là hợp lý). - HUMAN-TRU2]]</f>
        <v>5</v>
      </c>
      <c r="AB326">
        <f t="shared" si="150"/>
        <v>0.44444444444444442</v>
      </c>
      <c r="AC326">
        <f>step3_validation[[#This Row],[AI_TRU3]]</f>
        <v>8</v>
      </c>
      <c r="AD326">
        <f t="shared" si="151"/>
        <v>0.77777777777777779</v>
      </c>
      <c r="AE326">
        <f>[1]!survey_responses[[#This Row],[Tôi tin tưởng số tiền thuế tôi đóng sẽ được Nhà nước sử dụng hiệu quả để cải thiện dịch vụ công (y tế, đường xá...). - HUMAN-TRU3]]</f>
        <v>5</v>
      </c>
      <c r="AF326">
        <f t="shared" si="152"/>
        <v>0.44444444444444442</v>
      </c>
      <c r="AG326">
        <f>step3_validation[[#This Row],[AI_TRU4]]</f>
        <v>7</v>
      </c>
      <c r="AH326">
        <f t="shared" si="153"/>
        <v>0.66666666666666663</v>
      </c>
      <c r="AI326">
        <f>[1]!survey_responses[[#This Row],[Tôi thấy Nhà nước đã giải thích rõ ràng, minh bạch về lý do và mục tiêu của việc sửa đổi thuế lần này. - HUMAN-TRU4]]</f>
        <v>6</v>
      </c>
      <c r="AJ326">
        <f t="shared" si="154"/>
        <v>0.55555555555555558</v>
      </c>
      <c r="AK326" s="32">
        <f t="shared" si="155"/>
        <v>0.77777777777777768</v>
      </c>
      <c r="AL326" s="32">
        <f t="shared" si="156"/>
        <v>0.3888888888888889</v>
      </c>
      <c r="AM326" s="7">
        <f t="shared" si="157"/>
        <v>0.74074074074074081</v>
      </c>
      <c r="AN326" s="7">
        <f t="shared" si="158"/>
        <v>0.37037037037037041</v>
      </c>
      <c r="AO326">
        <f>step3_validation[[#This Row],[AI_OUT1]]</f>
        <v>8</v>
      </c>
      <c r="AP326">
        <f t="shared" si="159"/>
        <v>0.77777777777777779</v>
      </c>
      <c r="AQ326">
        <f>[1]!survey_responses[[#This Row],[Sau khi xem xét các quyền lợi và nghĩa vụ, bạn có ủng hộ và tuân thủ chính sách mới hiện nay? - HUMAN-OUT1]]</f>
        <v>5</v>
      </c>
      <c r="AR326">
        <f t="shared" si="160"/>
        <v>0.44444444444444442</v>
      </c>
      <c r="AS326" s="32">
        <f t="shared" si="161"/>
        <v>3</v>
      </c>
    </row>
    <row r="327" spans="1:45" x14ac:dyDescent="0.45">
      <c r="A327">
        <f>step3_validation[[#This Row],[AI_ENF1]]</f>
        <v>7</v>
      </c>
      <c r="B327">
        <f t="shared" si="135"/>
        <v>0.66666666666666663</v>
      </c>
      <c r="C327">
        <f>[1]!survey_responses[[#This Row],[Tôi tin rằng với các quy định quản lý thuế hiện nay, hành vi gian lận hoặc trốn thuế sẽ dễ dàng bị phát hiện và xử lý nghiêm. - HUMAN-ENF1]]</f>
        <v>8</v>
      </c>
      <c r="D327">
        <f t="shared" si="136"/>
        <v>0.77777777777777779</v>
      </c>
      <c r="E327">
        <f>step3_validation[[#This Row],[AI_ENF2]]</f>
        <v>7</v>
      </c>
      <c r="F327">
        <f t="shared" si="137"/>
        <v>0.66666666666666663</v>
      </c>
      <c r="G327">
        <f>[1]!survey_responses[[#This Row],[Tôi tin rằng Nhà nước, cơ quan thuế có đủ khả năng và công nghệ để phát hiện, xử lý nghiêm các hành vi trốn thuế. - HUMAN-ENF2]]</f>
        <v>9</v>
      </c>
      <c r="H327">
        <f t="shared" si="138"/>
        <v>0.88888888888888884</v>
      </c>
      <c r="I327" s="32">
        <f t="shared" si="139"/>
        <v>0.66666666666666663</v>
      </c>
      <c r="J327" s="32">
        <f t="shared" si="140"/>
        <v>0.83333333333333326</v>
      </c>
      <c r="K327">
        <f>step3_validation[[#This Row],[AI_FAC1]]</f>
        <v>8</v>
      </c>
      <c r="L327">
        <f t="shared" si="141"/>
        <v>0.77777777777777779</v>
      </c>
      <c r="M327">
        <f>[1]!survey_responses[[#This Row],[Các thủ tục khai báo thuế VÀ/HOẶC quy trình làm việc với cơ quan thuế đơn giản, tiện lợi, nhanh chóng hơn so với trước đây. - HUMAN-FAC1]]</f>
        <v>9</v>
      </c>
      <c r="N327">
        <f t="shared" si="142"/>
        <v>0.88888888888888884</v>
      </c>
      <c r="O327">
        <f>step3_validation[[#This Row],[AI_FAC2]]</f>
        <v>8</v>
      </c>
      <c r="P327">
        <f t="shared" si="143"/>
        <v>0.77777777777777779</v>
      </c>
      <c r="Q327">
        <f>[1]!survey_responses[[#This Row],[So với trước đây, tôi thấy cách tính thuế và các bậc thuế trong phương án mới đơn giản, dễ hiểu và dễ thực hiện hơn. - HUMAN-FAC2]]</f>
        <v>10</v>
      </c>
      <c r="R327">
        <f t="shared" si="144"/>
        <v>1</v>
      </c>
      <c r="S327" s="32">
        <f t="shared" si="145"/>
        <v>0.77777777777777779</v>
      </c>
      <c r="T327" s="32">
        <f t="shared" si="146"/>
        <v>0.94444444444444442</v>
      </c>
      <c r="U327">
        <f>step3_validation[[#This Row],[AI_TRU1]]</f>
        <v>6</v>
      </c>
      <c r="V327">
        <f t="shared" si="147"/>
        <v>0.55555555555555558</v>
      </c>
      <c r="W327">
        <f>[1]!survey_responses[[#This Row],[Tôi tin rằng Nhà nước, cơ quan thuế sẽ thực thi chính sách mới một cách khách quan, công tâm và đối xử bình đẳng với mọi người nộp thuế.  - HUMAN-TRU1]]</f>
        <v>8</v>
      </c>
      <c r="X327">
        <f t="shared" si="148"/>
        <v>0.77777777777777779</v>
      </c>
      <c r="Y327">
        <f>step3_validation[[#This Row],[AI_TRU2]]</f>
        <v>6</v>
      </c>
      <c r="Z327">
        <f t="shared" si="149"/>
        <v>0.55555555555555558</v>
      </c>
      <c r="AA327">
        <f>[1]!survey_responses[[#This Row],[Tôi thấy mức thuế tôi phải đóng theo phương án mới là công bằng (người thu nhập như tôi đóng mức này là hợp lý). - HUMAN-TRU2]]</f>
        <v>10</v>
      </c>
      <c r="AB327">
        <f t="shared" si="150"/>
        <v>1</v>
      </c>
      <c r="AC327">
        <f>step3_validation[[#This Row],[AI_TRU3]]</f>
        <v>6</v>
      </c>
      <c r="AD327">
        <f t="shared" si="151"/>
        <v>0.55555555555555558</v>
      </c>
      <c r="AE327">
        <f>[1]!survey_responses[[#This Row],[Tôi tin tưởng số tiền thuế tôi đóng sẽ được Nhà nước sử dụng hiệu quả để cải thiện dịch vụ công (y tế, đường xá...). - HUMAN-TRU3]]</f>
        <v>9</v>
      </c>
      <c r="AF327">
        <f t="shared" si="152"/>
        <v>0.88888888888888884</v>
      </c>
      <c r="AG327">
        <f>step3_validation[[#This Row],[AI_TRU4]]</f>
        <v>6</v>
      </c>
      <c r="AH327">
        <f t="shared" si="153"/>
        <v>0.55555555555555558</v>
      </c>
      <c r="AI327">
        <f>[1]!survey_responses[[#This Row],[Tôi thấy Nhà nước đã giải thích rõ ràng, minh bạch về lý do và mục tiêu của việc sửa đổi thuế lần này. - HUMAN-TRU4]]</f>
        <v>9</v>
      </c>
      <c r="AJ327">
        <f t="shared" si="154"/>
        <v>0.88888888888888884</v>
      </c>
      <c r="AK327" s="32">
        <f t="shared" si="155"/>
        <v>0.55555555555555558</v>
      </c>
      <c r="AL327" s="32">
        <f t="shared" si="156"/>
        <v>0.88888888888888884</v>
      </c>
      <c r="AM327" s="7">
        <f t="shared" si="157"/>
        <v>0.66666666666666663</v>
      </c>
      <c r="AN327" s="7">
        <f t="shared" si="158"/>
        <v>0.88888888888888884</v>
      </c>
      <c r="AO327">
        <f>step3_validation[[#This Row],[AI_OUT1]]</f>
        <v>6</v>
      </c>
      <c r="AP327">
        <f t="shared" si="159"/>
        <v>0.55555555555555558</v>
      </c>
      <c r="AQ327">
        <f>[1]!survey_responses[[#This Row],[Sau khi xem xét các quyền lợi và nghĩa vụ, bạn có ủng hộ và tuân thủ chính sách mới hiện nay? - HUMAN-OUT1]]</f>
        <v>10</v>
      </c>
      <c r="AR327">
        <f t="shared" si="160"/>
        <v>1</v>
      </c>
      <c r="AS327" s="32">
        <f t="shared" si="161"/>
        <v>4</v>
      </c>
    </row>
    <row r="328" spans="1:45" x14ac:dyDescent="0.45">
      <c r="A328">
        <f>step3_validation[[#This Row],[AI_ENF1]]</f>
        <v>7</v>
      </c>
      <c r="B328">
        <f t="shared" si="135"/>
        <v>0.66666666666666663</v>
      </c>
      <c r="C328">
        <f>[1]!survey_responses[[#This Row],[Tôi tin rằng với các quy định quản lý thuế hiện nay, hành vi gian lận hoặc trốn thuế sẽ dễ dàng bị phát hiện và xử lý nghiêm. - HUMAN-ENF1]]</f>
        <v>7</v>
      </c>
      <c r="D328">
        <f t="shared" si="136"/>
        <v>0.66666666666666663</v>
      </c>
      <c r="E328">
        <f>step3_validation[[#This Row],[AI_ENF2]]</f>
        <v>8</v>
      </c>
      <c r="F328">
        <f t="shared" si="137"/>
        <v>0.77777777777777779</v>
      </c>
      <c r="G328">
        <f>[1]!survey_responses[[#This Row],[Tôi tin rằng Nhà nước, cơ quan thuế có đủ khả năng và công nghệ để phát hiện, xử lý nghiêm các hành vi trốn thuế. - HUMAN-ENF2]]</f>
        <v>7</v>
      </c>
      <c r="H328">
        <f t="shared" si="138"/>
        <v>0.66666666666666663</v>
      </c>
      <c r="I328" s="32">
        <f t="shared" si="139"/>
        <v>0.72222222222222221</v>
      </c>
      <c r="J328" s="32">
        <f t="shared" si="140"/>
        <v>0.66666666666666663</v>
      </c>
      <c r="K328">
        <f>step3_validation[[#This Row],[AI_FAC1]]</f>
        <v>6</v>
      </c>
      <c r="L328">
        <f t="shared" si="141"/>
        <v>0.55555555555555558</v>
      </c>
      <c r="M328">
        <f>[1]!survey_responses[[#This Row],[Các thủ tục khai báo thuế VÀ/HOẶC quy trình làm việc với cơ quan thuế đơn giản, tiện lợi, nhanh chóng hơn so với trước đây. - HUMAN-FAC1]]</f>
        <v>7</v>
      </c>
      <c r="N328">
        <f t="shared" si="142"/>
        <v>0.66666666666666663</v>
      </c>
      <c r="O328">
        <f>step3_validation[[#This Row],[AI_FAC2]]</f>
        <v>8</v>
      </c>
      <c r="P328">
        <f t="shared" si="143"/>
        <v>0.77777777777777779</v>
      </c>
      <c r="Q328">
        <f>[1]!survey_responses[[#This Row],[So với trước đây, tôi thấy cách tính thuế và các bậc thuế trong phương án mới đơn giản, dễ hiểu và dễ thực hiện hơn. - HUMAN-FAC2]]</f>
        <v>9</v>
      </c>
      <c r="R328">
        <f t="shared" si="144"/>
        <v>0.88888888888888884</v>
      </c>
      <c r="S328" s="32">
        <f t="shared" si="145"/>
        <v>0.66666666666666674</v>
      </c>
      <c r="T328" s="32">
        <f t="shared" si="146"/>
        <v>0.77777777777777768</v>
      </c>
      <c r="U328">
        <f>step3_validation[[#This Row],[AI_TRU1]]</f>
        <v>9</v>
      </c>
      <c r="V328">
        <f t="shared" si="147"/>
        <v>0.88888888888888884</v>
      </c>
      <c r="W328">
        <f>[1]!survey_responses[[#This Row],[Tôi tin rằng Nhà nước, cơ quan thuế sẽ thực thi chính sách mới một cách khách quan, công tâm và đối xử bình đẳng với mọi người nộp thuế.  - HUMAN-TRU1]]</f>
        <v>7</v>
      </c>
      <c r="X328">
        <f t="shared" si="148"/>
        <v>0.66666666666666663</v>
      </c>
      <c r="Y328">
        <f>step3_validation[[#This Row],[AI_TRU2]]</f>
        <v>7</v>
      </c>
      <c r="Z328">
        <f t="shared" si="149"/>
        <v>0.66666666666666663</v>
      </c>
      <c r="AA328">
        <f>[1]!survey_responses[[#This Row],[Tôi thấy mức thuế tôi phải đóng theo phương án mới là công bằng (người thu nhập như tôi đóng mức này là hợp lý). - HUMAN-TRU2]]</f>
        <v>8</v>
      </c>
      <c r="AB328">
        <f t="shared" si="150"/>
        <v>0.77777777777777779</v>
      </c>
      <c r="AC328">
        <f>step3_validation[[#This Row],[AI_TRU3]]</f>
        <v>6</v>
      </c>
      <c r="AD328">
        <f t="shared" si="151"/>
        <v>0.55555555555555558</v>
      </c>
      <c r="AE328">
        <f>[1]!survey_responses[[#This Row],[Tôi tin tưởng số tiền thuế tôi đóng sẽ được Nhà nước sử dụng hiệu quả để cải thiện dịch vụ công (y tế, đường xá...). - HUMAN-TRU3]]</f>
        <v>5</v>
      </c>
      <c r="AF328">
        <f t="shared" si="152"/>
        <v>0.44444444444444442</v>
      </c>
      <c r="AG328">
        <f>step3_validation[[#This Row],[AI_TRU4]]</f>
        <v>8</v>
      </c>
      <c r="AH328">
        <f t="shared" si="153"/>
        <v>0.77777777777777779</v>
      </c>
      <c r="AI328">
        <f>[1]!survey_responses[[#This Row],[Tôi thấy Nhà nước đã giải thích rõ ràng, minh bạch về lý do và mục tiêu của việc sửa đổi thuế lần này. - HUMAN-TRU4]]</f>
        <v>7</v>
      </c>
      <c r="AJ328">
        <f t="shared" si="154"/>
        <v>0.66666666666666663</v>
      </c>
      <c r="AK328" s="32">
        <f t="shared" si="155"/>
        <v>0.7222222222222221</v>
      </c>
      <c r="AL328" s="32">
        <f t="shared" si="156"/>
        <v>0.63888888888888884</v>
      </c>
      <c r="AM328" s="7">
        <f t="shared" si="157"/>
        <v>0.70370370370370361</v>
      </c>
      <c r="AN328" s="7">
        <f t="shared" si="158"/>
        <v>0.69444444444444431</v>
      </c>
      <c r="AO328">
        <f>step3_validation[[#This Row],[AI_OUT1]]</f>
        <v>7</v>
      </c>
      <c r="AP328">
        <f t="shared" si="159"/>
        <v>0.66666666666666663</v>
      </c>
      <c r="AQ328">
        <f>[1]!survey_responses[[#This Row],[Sau khi xem xét các quyền lợi và nghĩa vụ, bạn có ủng hộ và tuân thủ chính sách mới hiện nay? - HUMAN-OUT1]]</f>
        <v>8</v>
      </c>
      <c r="AR328">
        <f t="shared" si="160"/>
        <v>0.77777777777777779</v>
      </c>
      <c r="AS328" s="32">
        <f t="shared" si="161"/>
        <v>1</v>
      </c>
    </row>
    <row r="329" spans="1:45" x14ac:dyDescent="0.45">
      <c r="A329">
        <f>step3_validation[[#This Row],[AI_ENF1]]</f>
        <v>8</v>
      </c>
      <c r="B329">
        <f t="shared" si="135"/>
        <v>0.77777777777777779</v>
      </c>
      <c r="C329">
        <f>[1]!survey_responses[[#This Row],[Tôi tin rằng với các quy định quản lý thuế hiện nay, hành vi gian lận hoặc trốn thuế sẽ dễ dàng bị phát hiện và xử lý nghiêm. - HUMAN-ENF1]]</f>
        <v>7</v>
      </c>
      <c r="D329">
        <f t="shared" si="136"/>
        <v>0.66666666666666663</v>
      </c>
      <c r="E329">
        <f>step3_validation[[#This Row],[AI_ENF2]]</f>
        <v>9</v>
      </c>
      <c r="F329">
        <f t="shared" si="137"/>
        <v>0.88888888888888884</v>
      </c>
      <c r="G329">
        <f>[1]!survey_responses[[#This Row],[Tôi tin rằng Nhà nước, cơ quan thuế có đủ khả năng và công nghệ để phát hiện, xử lý nghiêm các hành vi trốn thuế. - HUMAN-ENF2]]</f>
        <v>8</v>
      </c>
      <c r="H329">
        <f t="shared" si="138"/>
        <v>0.77777777777777779</v>
      </c>
      <c r="I329" s="32">
        <f t="shared" si="139"/>
        <v>0.83333333333333326</v>
      </c>
      <c r="J329" s="32">
        <f t="shared" si="140"/>
        <v>0.72222222222222221</v>
      </c>
      <c r="K329">
        <f>step3_validation[[#This Row],[AI_FAC1]]</f>
        <v>7</v>
      </c>
      <c r="L329">
        <f t="shared" si="141"/>
        <v>0.66666666666666663</v>
      </c>
      <c r="M329">
        <f>[1]!survey_responses[[#This Row],[Các thủ tục khai báo thuế VÀ/HOẶC quy trình làm việc với cơ quan thuế đơn giản, tiện lợi, nhanh chóng hơn so với trước đây. - HUMAN-FAC1]]</f>
        <v>9</v>
      </c>
      <c r="N329">
        <f t="shared" si="142"/>
        <v>0.88888888888888884</v>
      </c>
      <c r="O329">
        <f>step3_validation[[#This Row],[AI_FAC2]]</f>
        <v>8</v>
      </c>
      <c r="P329">
        <f t="shared" si="143"/>
        <v>0.77777777777777779</v>
      </c>
      <c r="Q329">
        <f>[1]!survey_responses[[#This Row],[So với trước đây, tôi thấy cách tính thuế và các bậc thuế trong phương án mới đơn giản, dễ hiểu và dễ thực hiện hơn. - HUMAN-FAC2]]</f>
        <v>9</v>
      </c>
      <c r="R329">
        <f t="shared" si="144"/>
        <v>0.88888888888888884</v>
      </c>
      <c r="S329" s="32">
        <f t="shared" si="145"/>
        <v>0.72222222222222221</v>
      </c>
      <c r="T329" s="32">
        <f t="shared" si="146"/>
        <v>0.88888888888888884</v>
      </c>
      <c r="U329">
        <f>step3_validation[[#This Row],[AI_TRU1]]</f>
        <v>7</v>
      </c>
      <c r="V329">
        <f t="shared" si="147"/>
        <v>0.66666666666666663</v>
      </c>
      <c r="W329">
        <f>[1]!survey_responses[[#This Row],[Tôi tin rằng Nhà nước, cơ quan thuế sẽ thực thi chính sách mới một cách khách quan, công tâm và đối xử bình đẳng với mọi người nộp thuế.  - HUMAN-TRU1]]</f>
        <v>9</v>
      </c>
      <c r="X329">
        <f t="shared" si="148"/>
        <v>0.88888888888888884</v>
      </c>
      <c r="Y329">
        <f>step3_validation[[#This Row],[AI_TRU2]]</f>
        <v>8</v>
      </c>
      <c r="Z329">
        <f t="shared" si="149"/>
        <v>0.77777777777777779</v>
      </c>
      <c r="AA329">
        <f>[1]!survey_responses[[#This Row],[Tôi thấy mức thuế tôi phải đóng theo phương án mới là công bằng (người thu nhập như tôi đóng mức này là hợp lý). - HUMAN-TRU2]]</f>
        <v>8</v>
      </c>
      <c r="AB329">
        <f t="shared" si="150"/>
        <v>0.77777777777777779</v>
      </c>
      <c r="AC329">
        <f>step3_validation[[#This Row],[AI_TRU3]]</f>
        <v>6</v>
      </c>
      <c r="AD329">
        <f t="shared" si="151"/>
        <v>0.55555555555555558</v>
      </c>
      <c r="AE329">
        <f>[1]!survey_responses[[#This Row],[Tôi tin tưởng số tiền thuế tôi đóng sẽ được Nhà nước sử dụng hiệu quả để cải thiện dịch vụ công (y tế, đường xá...). - HUMAN-TRU3]]</f>
        <v>7</v>
      </c>
      <c r="AF329">
        <f t="shared" si="152"/>
        <v>0.66666666666666663</v>
      </c>
      <c r="AG329">
        <f>step3_validation[[#This Row],[AI_TRU4]]</f>
        <v>7</v>
      </c>
      <c r="AH329">
        <f t="shared" si="153"/>
        <v>0.66666666666666663</v>
      </c>
      <c r="AI329">
        <f>[1]!survey_responses[[#This Row],[Tôi thấy Nhà nước đã giải thích rõ ràng, minh bạch về lý do và mục tiêu của việc sửa đổi thuế lần này. - HUMAN-TRU4]]</f>
        <v>7</v>
      </c>
      <c r="AJ329">
        <f t="shared" si="154"/>
        <v>0.66666666666666663</v>
      </c>
      <c r="AK329" s="32">
        <f t="shared" si="155"/>
        <v>0.66666666666666663</v>
      </c>
      <c r="AL329" s="32">
        <f t="shared" si="156"/>
        <v>0.74999999999999989</v>
      </c>
      <c r="AM329" s="7">
        <f t="shared" si="157"/>
        <v>0.74074074074074059</v>
      </c>
      <c r="AN329" s="7">
        <f t="shared" si="158"/>
        <v>0.78703703703703709</v>
      </c>
      <c r="AO329">
        <f>step3_validation[[#This Row],[AI_OUT1]]</f>
        <v>6</v>
      </c>
      <c r="AP329">
        <f t="shared" si="159"/>
        <v>0.55555555555555558</v>
      </c>
      <c r="AQ329">
        <f>[1]!survey_responses[[#This Row],[Sau khi xem xét các quyền lợi và nghĩa vụ, bạn có ủng hộ và tuân thủ chính sách mới hiện nay? - HUMAN-OUT1]]</f>
        <v>9</v>
      </c>
      <c r="AR329">
        <f t="shared" si="160"/>
        <v>0.88888888888888884</v>
      </c>
      <c r="AS329" s="32">
        <f t="shared" si="161"/>
        <v>3</v>
      </c>
    </row>
    <row r="330" spans="1:45" x14ac:dyDescent="0.45">
      <c r="A330">
        <f>step3_validation[[#This Row],[AI_ENF1]]</f>
        <v>8</v>
      </c>
      <c r="B330">
        <f t="shared" si="135"/>
        <v>0.77777777777777779</v>
      </c>
      <c r="C330">
        <f>[1]!survey_responses[[#This Row],[Tôi tin rằng với các quy định quản lý thuế hiện nay, hành vi gian lận hoặc trốn thuế sẽ dễ dàng bị phát hiện và xử lý nghiêm. - HUMAN-ENF1]]</f>
        <v>7</v>
      </c>
      <c r="D330">
        <f t="shared" si="136"/>
        <v>0.66666666666666663</v>
      </c>
      <c r="E330">
        <f>step3_validation[[#This Row],[AI_ENF2]]</f>
        <v>7</v>
      </c>
      <c r="F330">
        <f t="shared" si="137"/>
        <v>0.66666666666666663</v>
      </c>
      <c r="G330">
        <f>[1]!survey_responses[[#This Row],[Tôi tin rằng Nhà nước, cơ quan thuế có đủ khả năng và công nghệ để phát hiện, xử lý nghiêm các hành vi trốn thuế. - HUMAN-ENF2]]</f>
        <v>7</v>
      </c>
      <c r="H330">
        <f t="shared" si="138"/>
        <v>0.66666666666666663</v>
      </c>
      <c r="I330" s="32">
        <f t="shared" si="139"/>
        <v>0.72222222222222221</v>
      </c>
      <c r="J330" s="32">
        <f t="shared" si="140"/>
        <v>0.66666666666666663</v>
      </c>
      <c r="K330">
        <f>step3_validation[[#This Row],[AI_FAC1]]</f>
        <v>9</v>
      </c>
      <c r="L330">
        <f t="shared" si="141"/>
        <v>0.88888888888888884</v>
      </c>
      <c r="M330">
        <f>[1]!survey_responses[[#This Row],[Các thủ tục khai báo thuế VÀ/HOẶC quy trình làm việc với cơ quan thuế đơn giản, tiện lợi, nhanh chóng hơn so với trước đây. - HUMAN-FAC1]]</f>
        <v>9</v>
      </c>
      <c r="N330">
        <f t="shared" si="142"/>
        <v>0.88888888888888884</v>
      </c>
      <c r="O330">
        <f>step3_validation[[#This Row],[AI_FAC2]]</f>
        <v>8</v>
      </c>
      <c r="P330">
        <f t="shared" si="143"/>
        <v>0.77777777777777779</v>
      </c>
      <c r="Q330">
        <f>[1]!survey_responses[[#This Row],[So với trước đây, tôi thấy cách tính thuế và các bậc thuế trong phương án mới đơn giản, dễ hiểu và dễ thực hiện hơn. - HUMAN-FAC2]]</f>
        <v>9</v>
      </c>
      <c r="R330">
        <f t="shared" si="144"/>
        <v>0.88888888888888884</v>
      </c>
      <c r="S330" s="32">
        <f t="shared" si="145"/>
        <v>0.83333333333333326</v>
      </c>
      <c r="T330" s="32">
        <f t="shared" si="146"/>
        <v>0.88888888888888884</v>
      </c>
      <c r="U330">
        <f>step3_validation[[#This Row],[AI_TRU1]]</f>
        <v>7</v>
      </c>
      <c r="V330">
        <f t="shared" si="147"/>
        <v>0.66666666666666663</v>
      </c>
      <c r="W330">
        <f>[1]!survey_responses[[#This Row],[Tôi tin rằng Nhà nước, cơ quan thuế sẽ thực thi chính sách mới một cách khách quan, công tâm và đối xử bình đẳng với mọi người nộp thuế.  - HUMAN-TRU1]]</f>
        <v>9</v>
      </c>
      <c r="X330">
        <f t="shared" si="148"/>
        <v>0.88888888888888884</v>
      </c>
      <c r="Y330">
        <f>step3_validation[[#This Row],[AI_TRU2]]</f>
        <v>8</v>
      </c>
      <c r="Z330">
        <f t="shared" si="149"/>
        <v>0.77777777777777779</v>
      </c>
      <c r="AA330">
        <f>[1]!survey_responses[[#This Row],[Tôi thấy mức thuế tôi phải đóng theo phương án mới là công bằng (người thu nhập như tôi đóng mức này là hợp lý). - HUMAN-TRU2]]</f>
        <v>9</v>
      </c>
      <c r="AB330">
        <f t="shared" si="150"/>
        <v>0.88888888888888884</v>
      </c>
      <c r="AC330">
        <f>step3_validation[[#This Row],[AI_TRU3]]</f>
        <v>7</v>
      </c>
      <c r="AD330">
        <f t="shared" si="151"/>
        <v>0.66666666666666663</v>
      </c>
      <c r="AE330">
        <f>[1]!survey_responses[[#This Row],[Tôi tin tưởng số tiền thuế tôi đóng sẽ được Nhà nước sử dụng hiệu quả để cải thiện dịch vụ công (y tế, đường xá...). - HUMAN-TRU3]]</f>
        <v>5</v>
      </c>
      <c r="AF330">
        <f t="shared" si="152"/>
        <v>0.44444444444444442</v>
      </c>
      <c r="AG330">
        <f>step3_validation[[#This Row],[AI_TRU4]]</f>
        <v>6</v>
      </c>
      <c r="AH330">
        <f t="shared" si="153"/>
        <v>0.55555555555555558</v>
      </c>
      <c r="AI330">
        <f>[1]!survey_responses[[#This Row],[Tôi thấy Nhà nước đã giải thích rõ ràng, minh bạch về lý do và mục tiêu của việc sửa đổi thuế lần này. - HUMAN-TRU4]]</f>
        <v>6</v>
      </c>
      <c r="AJ330">
        <f t="shared" si="154"/>
        <v>0.55555555555555558</v>
      </c>
      <c r="AK330" s="32">
        <f t="shared" si="155"/>
        <v>0.66666666666666674</v>
      </c>
      <c r="AL330" s="32">
        <f t="shared" si="156"/>
        <v>0.69444444444444442</v>
      </c>
      <c r="AM330" s="7">
        <f t="shared" si="157"/>
        <v>0.74074074074074081</v>
      </c>
      <c r="AN330" s="7">
        <f t="shared" si="158"/>
        <v>0.75</v>
      </c>
      <c r="AO330">
        <f>step3_validation[[#This Row],[AI_OUT1]]</f>
        <v>8</v>
      </c>
      <c r="AP330">
        <f t="shared" si="159"/>
        <v>0.77777777777777779</v>
      </c>
      <c r="AQ330">
        <f>[1]!survey_responses[[#This Row],[Sau khi xem xét các quyền lợi và nghĩa vụ, bạn có ủng hộ và tuân thủ chính sách mới hiện nay? - HUMAN-OUT1]]</f>
        <v>9</v>
      </c>
      <c r="AR330">
        <f t="shared" si="160"/>
        <v>0.88888888888888884</v>
      </c>
      <c r="AS330" s="32">
        <f t="shared" si="161"/>
        <v>1</v>
      </c>
    </row>
    <row r="331" spans="1:45" x14ac:dyDescent="0.45">
      <c r="A331">
        <f>step3_validation[[#This Row],[AI_ENF1]]</f>
        <v>7</v>
      </c>
      <c r="B331">
        <f t="shared" si="135"/>
        <v>0.66666666666666663</v>
      </c>
      <c r="C331">
        <f>[1]!survey_responses[[#This Row],[Tôi tin rằng với các quy định quản lý thuế hiện nay, hành vi gian lận hoặc trốn thuế sẽ dễ dàng bị phát hiện và xử lý nghiêm. - HUMAN-ENF1]]</f>
        <v>3</v>
      </c>
      <c r="D331">
        <f t="shared" si="136"/>
        <v>0.22222222222222221</v>
      </c>
      <c r="E331">
        <f>step3_validation[[#This Row],[AI_ENF2]]</f>
        <v>8</v>
      </c>
      <c r="F331">
        <f t="shared" si="137"/>
        <v>0.77777777777777779</v>
      </c>
      <c r="G331">
        <f>[1]!survey_responses[[#This Row],[Tôi tin rằng Nhà nước, cơ quan thuế có đủ khả năng và công nghệ để phát hiện, xử lý nghiêm các hành vi trốn thuế. - HUMAN-ENF2]]</f>
        <v>3</v>
      </c>
      <c r="H331">
        <f t="shared" si="138"/>
        <v>0.22222222222222221</v>
      </c>
      <c r="I331" s="32">
        <f t="shared" si="139"/>
        <v>0.72222222222222221</v>
      </c>
      <c r="J331" s="32">
        <f t="shared" si="140"/>
        <v>0.22222222222222221</v>
      </c>
      <c r="K331">
        <f>step3_validation[[#This Row],[AI_FAC1]]</f>
        <v>9</v>
      </c>
      <c r="L331">
        <f t="shared" si="141"/>
        <v>0.88888888888888884</v>
      </c>
      <c r="M331">
        <f>[1]!survey_responses[[#This Row],[Các thủ tục khai báo thuế VÀ/HOẶC quy trình làm việc với cơ quan thuế đơn giản, tiện lợi, nhanh chóng hơn so với trước đây. - HUMAN-FAC1]]</f>
        <v>5</v>
      </c>
      <c r="N331">
        <f t="shared" si="142"/>
        <v>0.44444444444444442</v>
      </c>
      <c r="O331">
        <f>step3_validation[[#This Row],[AI_FAC2]]</f>
        <v>8</v>
      </c>
      <c r="P331">
        <f t="shared" si="143"/>
        <v>0.77777777777777779</v>
      </c>
      <c r="Q331">
        <f>[1]!survey_responses[[#This Row],[So với trước đây, tôi thấy cách tính thuế và các bậc thuế trong phương án mới đơn giản, dễ hiểu và dễ thực hiện hơn. - HUMAN-FAC2]]</f>
        <v>6</v>
      </c>
      <c r="R331">
        <f t="shared" si="144"/>
        <v>0.55555555555555558</v>
      </c>
      <c r="S331" s="32">
        <f t="shared" si="145"/>
        <v>0.83333333333333326</v>
      </c>
      <c r="T331" s="32">
        <f t="shared" si="146"/>
        <v>0.5</v>
      </c>
      <c r="U331">
        <f>step3_validation[[#This Row],[AI_TRU1]]</f>
        <v>9</v>
      </c>
      <c r="V331">
        <f t="shared" si="147"/>
        <v>0.88888888888888884</v>
      </c>
      <c r="W331">
        <f>[1]!survey_responses[[#This Row],[Tôi tin rằng Nhà nước, cơ quan thuế sẽ thực thi chính sách mới một cách khách quan, công tâm và đối xử bình đẳng với mọi người nộp thuế.  - HUMAN-TRU1]]</f>
        <v>4</v>
      </c>
      <c r="X331">
        <f t="shared" si="148"/>
        <v>0.33333333333333331</v>
      </c>
      <c r="Y331">
        <f>step3_validation[[#This Row],[AI_TRU2]]</f>
        <v>7</v>
      </c>
      <c r="Z331">
        <f t="shared" si="149"/>
        <v>0.66666666666666663</v>
      </c>
      <c r="AA331">
        <f>[1]!survey_responses[[#This Row],[Tôi thấy mức thuế tôi phải đóng theo phương án mới là công bằng (người thu nhập như tôi đóng mức này là hợp lý). - HUMAN-TRU2]]</f>
        <v>5</v>
      </c>
      <c r="AB331">
        <f t="shared" si="150"/>
        <v>0.44444444444444442</v>
      </c>
      <c r="AC331">
        <f>step3_validation[[#This Row],[AI_TRU3]]</f>
        <v>6</v>
      </c>
      <c r="AD331">
        <f t="shared" si="151"/>
        <v>0.55555555555555558</v>
      </c>
      <c r="AE331">
        <f>[1]!survey_responses[[#This Row],[Tôi tin tưởng số tiền thuế tôi đóng sẽ được Nhà nước sử dụng hiệu quả để cải thiện dịch vụ công (y tế, đường xá...). - HUMAN-TRU3]]</f>
        <v>5</v>
      </c>
      <c r="AF331">
        <f t="shared" si="152"/>
        <v>0.44444444444444442</v>
      </c>
      <c r="AG331">
        <f>step3_validation[[#This Row],[AI_TRU4]]</f>
        <v>5</v>
      </c>
      <c r="AH331">
        <f t="shared" si="153"/>
        <v>0.44444444444444442</v>
      </c>
      <c r="AI331">
        <f>[1]!survey_responses[[#This Row],[Tôi thấy Nhà nước đã giải thích rõ ràng, minh bạch về lý do và mục tiêu của việc sửa đổi thuế lần này. - HUMAN-TRU4]]</f>
        <v>5</v>
      </c>
      <c r="AJ331">
        <f t="shared" si="154"/>
        <v>0.44444444444444442</v>
      </c>
      <c r="AK331" s="32">
        <f t="shared" si="155"/>
        <v>0.63888888888888884</v>
      </c>
      <c r="AL331" s="32">
        <f t="shared" si="156"/>
        <v>0.41666666666666663</v>
      </c>
      <c r="AM331" s="7">
        <f t="shared" si="157"/>
        <v>0.7314814814814814</v>
      </c>
      <c r="AN331" s="7">
        <f t="shared" si="158"/>
        <v>0.37962962962962959</v>
      </c>
      <c r="AO331">
        <f>step3_validation[[#This Row],[AI_OUT1]]</f>
        <v>7</v>
      </c>
      <c r="AP331">
        <f t="shared" si="159"/>
        <v>0.66666666666666663</v>
      </c>
      <c r="AQ331">
        <f>[1]!survey_responses[[#This Row],[Sau khi xem xét các quyền lợi và nghĩa vụ, bạn có ủng hộ và tuân thủ chính sách mới hiện nay? - HUMAN-OUT1]]</f>
        <v>5</v>
      </c>
      <c r="AR331">
        <f t="shared" si="160"/>
        <v>0.44444444444444442</v>
      </c>
      <c r="AS331" s="32">
        <f t="shared" si="161"/>
        <v>2</v>
      </c>
    </row>
    <row r="332" spans="1:45" x14ac:dyDescent="0.45">
      <c r="A332">
        <f>step3_validation[[#This Row],[AI_ENF1]]</f>
        <v>8</v>
      </c>
      <c r="B332">
        <f t="shared" si="135"/>
        <v>0.77777777777777779</v>
      </c>
      <c r="C332">
        <f>[1]!survey_responses[[#This Row],[Tôi tin rằng với các quy định quản lý thuế hiện nay, hành vi gian lận hoặc trốn thuế sẽ dễ dàng bị phát hiện và xử lý nghiêm. - HUMAN-ENF1]]</f>
        <v>4</v>
      </c>
      <c r="D332">
        <f t="shared" si="136"/>
        <v>0.33333333333333331</v>
      </c>
      <c r="E332">
        <f>step3_validation[[#This Row],[AI_ENF2]]</f>
        <v>7</v>
      </c>
      <c r="F332">
        <f t="shared" si="137"/>
        <v>0.66666666666666663</v>
      </c>
      <c r="G332">
        <f>[1]!survey_responses[[#This Row],[Tôi tin rằng Nhà nước, cơ quan thuế có đủ khả năng và công nghệ để phát hiện, xử lý nghiêm các hành vi trốn thuế. - HUMAN-ENF2]]</f>
        <v>4</v>
      </c>
      <c r="H332">
        <f t="shared" si="138"/>
        <v>0.33333333333333331</v>
      </c>
      <c r="I332" s="32">
        <f t="shared" si="139"/>
        <v>0.72222222222222221</v>
      </c>
      <c r="J332" s="32">
        <f t="shared" si="140"/>
        <v>0.33333333333333331</v>
      </c>
      <c r="K332">
        <f>step3_validation[[#This Row],[AI_FAC1]]</f>
        <v>8</v>
      </c>
      <c r="L332">
        <f t="shared" si="141"/>
        <v>0.77777777777777779</v>
      </c>
      <c r="M332">
        <f>[1]!survey_responses[[#This Row],[Các thủ tục khai báo thuế VÀ/HOẶC quy trình làm việc với cơ quan thuế đơn giản, tiện lợi, nhanh chóng hơn so với trước đây. - HUMAN-FAC1]]</f>
        <v>5</v>
      </c>
      <c r="N332">
        <f t="shared" si="142"/>
        <v>0.44444444444444442</v>
      </c>
      <c r="O332">
        <f>step3_validation[[#This Row],[AI_FAC2]]</f>
        <v>9</v>
      </c>
      <c r="P332">
        <f t="shared" si="143"/>
        <v>0.88888888888888884</v>
      </c>
      <c r="Q332">
        <f>[1]!survey_responses[[#This Row],[So với trước đây, tôi thấy cách tính thuế và các bậc thuế trong phương án mới đơn giản, dễ hiểu và dễ thực hiện hơn. - HUMAN-FAC2]]</f>
        <v>6</v>
      </c>
      <c r="R332">
        <f t="shared" si="144"/>
        <v>0.55555555555555558</v>
      </c>
      <c r="S332" s="32">
        <f t="shared" si="145"/>
        <v>0.83333333333333326</v>
      </c>
      <c r="T332" s="32">
        <f t="shared" si="146"/>
        <v>0.5</v>
      </c>
      <c r="U332">
        <f>step3_validation[[#This Row],[AI_TRU1]]</f>
        <v>7</v>
      </c>
      <c r="V332">
        <f t="shared" si="147"/>
        <v>0.66666666666666663</v>
      </c>
      <c r="W332">
        <f>[1]!survey_responses[[#This Row],[Tôi tin rằng Nhà nước, cơ quan thuế sẽ thực thi chính sách mới một cách khách quan, công tâm và đối xử bình đẳng với mọi người nộp thuế.  - HUMAN-TRU1]]</f>
        <v>4</v>
      </c>
      <c r="X332">
        <f t="shared" si="148"/>
        <v>0.33333333333333331</v>
      </c>
      <c r="Y332">
        <f>step3_validation[[#This Row],[AI_TRU2]]</f>
        <v>8</v>
      </c>
      <c r="Z332">
        <f t="shared" si="149"/>
        <v>0.77777777777777779</v>
      </c>
      <c r="AA332">
        <f>[1]!survey_responses[[#This Row],[Tôi thấy mức thuế tôi phải đóng theo phương án mới là công bằng (người thu nhập như tôi đóng mức này là hợp lý). - HUMAN-TRU2]]</f>
        <v>5</v>
      </c>
      <c r="AB332">
        <f t="shared" si="150"/>
        <v>0.44444444444444442</v>
      </c>
      <c r="AC332">
        <f>step3_validation[[#This Row],[AI_TRU3]]</f>
        <v>6</v>
      </c>
      <c r="AD332">
        <f t="shared" si="151"/>
        <v>0.55555555555555558</v>
      </c>
      <c r="AE332">
        <f>[1]!survey_responses[[#This Row],[Tôi tin tưởng số tiền thuế tôi đóng sẽ được Nhà nước sử dụng hiệu quả để cải thiện dịch vụ công (y tế, đường xá...). - HUMAN-TRU3]]</f>
        <v>3</v>
      </c>
      <c r="AF332">
        <f t="shared" si="152"/>
        <v>0.22222222222222221</v>
      </c>
      <c r="AG332">
        <f>step3_validation[[#This Row],[AI_TRU4]]</f>
        <v>7</v>
      </c>
      <c r="AH332">
        <f t="shared" si="153"/>
        <v>0.66666666666666663</v>
      </c>
      <c r="AI332">
        <f>[1]!survey_responses[[#This Row],[Tôi thấy Nhà nước đã giải thích rõ ràng, minh bạch về lý do và mục tiêu của việc sửa đổi thuế lần này. - HUMAN-TRU4]]</f>
        <v>4</v>
      </c>
      <c r="AJ332">
        <f t="shared" si="154"/>
        <v>0.33333333333333331</v>
      </c>
      <c r="AK332" s="32">
        <f t="shared" si="155"/>
        <v>0.66666666666666663</v>
      </c>
      <c r="AL332" s="32">
        <f t="shared" si="156"/>
        <v>0.33333333333333331</v>
      </c>
      <c r="AM332" s="7">
        <f t="shared" si="157"/>
        <v>0.74074074074074059</v>
      </c>
      <c r="AN332" s="7">
        <f t="shared" si="158"/>
        <v>0.38888888888888884</v>
      </c>
      <c r="AO332">
        <f>step3_validation[[#This Row],[AI_OUT1]]</f>
        <v>7</v>
      </c>
      <c r="AP332">
        <f t="shared" si="159"/>
        <v>0.66666666666666663</v>
      </c>
      <c r="AQ332">
        <f>[1]!survey_responses[[#This Row],[Sau khi xem xét các quyền lợi và nghĩa vụ, bạn có ủng hộ và tuân thủ chính sách mới hiện nay? - HUMAN-OUT1]]</f>
        <v>5</v>
      </c>
      <c r="AR332">
        <f t="shared" si="160"/>
        <v>0.44444444444444442</v>
      </c>
      <c r="AS332" s="32">
        <f t="shared" si="161"/>
        <v>2</v>
      </c>
    </row>
    <row r="333" spans="1:45" x14ac:dyDescent="0.45">
      <c r="A333">
        <f>step3_validation[[#This Row],[AI_ENF1]]</f>
        <v>8</v>
      </c>
      <c r="B333">
        <f t="shared" si="135"/>
        <v>0.77777777777777779</v>
      </c>
      <c r="C333">
        <f>[1]!survey_responses[[#This Row],[Tôi tin rằng với các quy định quản lý thuế hiện nay, hành vi gian lận hoặc trốn thuế sẽ dễ dàng bị phát hiện và xử lý nghiêm. - HUMAN-ENF1]]</f>
        <v>7</v>
      </c>
      <c r="D333">
        <f t="shared" si="136"/>
        <v>0.66666666666666663</v>
      </c>
      <c r="E333">
        <f>step3_validation[[#This Row],[AI_ENF2]]</f>
        <v>9</v>
      </c>
      <c r="F333">
        <f t="shared" si="137"/>
        <v>0.88888888888888884</v>
      </c>
      <c r="G333">
        <f>[1]!survey_responses[[#This Row],[Tôi tin rằng Nhà nước, cơ quan thuế có đủ khả năng và công nghệ để phát hiện, xử lý nghiêm các hành vi trốn thuế. - HUMAN-ENF2]]</f>
        <v>7</v>
      </c>
      <c r="H333">
        <f t="shared" si="138"/>
        <v>0.66666666666666663</v>
      </c>
      <c r="I333" s="32">
        <f t="shared" si="139"/>
        <v>0.83333333333333326</v>
      </c>
      <c r="J333" s="32">
        <f t="shared" si="140"/>
        <v>0.66666666666666663</v>
      </c>
      <c r="K333">
        <f>step3_validation[[#This Row],[AI_FAC1]]</f>
        <v>7</v>
      </c>
      <c r="L333">
        <f t="shared" si="141"/>
        <v>0.66666666666666663</v>
      </c>
      <c r="M333">
        <f>[1]!survey_responses[[#This Row],[Các thủ tục khai báo thuế VÀ/HOẶC quy trình làm việc với cơ quan thuế đơn giản, tiện lợi, nhanh chóng hơn so với trước đây. - HUMAN-FAC1]]</f>
        <v>9</v>
      </c>
      <c r="N333">
        <f t="shared" si="142"/>
        <v>0.88888888888888884</v>
      </c>
      <c r="O333">
        <f>step3_validation[[#This Row],[AI_FAC2]]</f>
        <v>8</v>
      </c>
      <c r="P333">
        <f t="shared" si="143"/>
        <v>0.77777777777777779</v>
      </c>
      <c r="Q333">
        <f>[1]!survey_responses[[#This Row],[So với trước đây, tôi thấy cách tính thuế và các bậc thuế trong phương án mới đơn giản, dễ hiểu và dễ thực hiện hơn. - HUMAN-FAC2]]</f>
        <v>9</v>
      </c>
      <c r="R333">
        <f t="shared" si="144"/>
        <v>0.88888888888888884</v>
      </c>
      <c r="S333" s="32">
        <f t="shared" si="145"/>
        <v>0.72222222222222221</v>
      </c>
      <c r="T333" s="32">
        <f t="shared" si="146"/>
        <v>0.88888888888888884</v>
      </c>
      <c r="U333">
        <f>step3_validation[[#This Row],[AI_TRU1]]</f>
        <v>7</v>
      </c>
      <c r="V333">
        <f t="shared" si="147"/>
        <v>0.66666666666666663</v>
      </c>
      <c r="W333">
        <f>[1]!survey_responses[[#This Row],[Tôi tin rằng Nhà nước, cơ quan thuế sẽ thực thi chính sách mới một cách khách quan, công tâm và đối xử bình đẳng với mọi người nộp thuế.  - HUMAN-TRU1]]</f>
        <v>8</v>
      </c>
      <c r="X333">
        <f t="shared" si="148"/>
        <v>0.77777777777777779</v>
      </c>
      <c r="Y333">
        <f>step3_validation[[#This Row],[AI_TRU2]]</f>
        <v>6</v>
      </c>
      <c r="Z333">
        <f t="shared" si="149"/>
        <v>0.55555555555555558</v>
      </c>
      <c r="AA333">
        <f>[1]!survey_responses[[#This Row],[Tôi thấy mức thuế tôi phải đóng theo phương án mới là công bằng (người thu nhập như tôi đóng mức này là hợp lý). - HUMAN-TRU2]]</f>
        <v>9</v>
      </c>
      <c r="AB333">
        <f t="shared" si="150"/>
        <v>0.88888888888888884</v>
      </c>
      <c r="AC333">
        <f>step3_validation[[#This Row],[AI_TRU3]]</f>
        <v>5</v>
      </c>
      <c r="AD333">
        <f t="shared" si="151"/>
        <v>0.44444444444444442</v>
      </c>
      <c r="AE333">
        <f>[1]!survey_responses[[#This Row],[Tôi tin tưởng số tiền thuế tôi đóng sẽ được Nhà nước sử dụng hiệu quả để cải thiện dịch vụ công (y tế, đường xá...). - HUMAN-TRU3]]</f>
        <v>7</v>
      </c>
      <c r="AF333">
        <f t="shared" si="152"/>
        <v>0.66666666666666663</v>
      </c>
      <c r="AG333">
        <f>step3_validation[[#This Row],[AI_TRU4]]</f>
        <v>6</v>
      </c>
      <c r="AH333">
        <f t="shared" si="153"/>
        <v>0.55555555555555558</v>
      </c>
      <c r="AI333">
        <f>[1]!survey_responses[[#This Row],[Tôi thấy Nhà nước đã giải thích rõ ràng, minh bạch về lý do và mục tiêu của việc sửa đổi thuế lần này. - HUMAN-TRU4]]</f>
        <v>9</v>
      </c>
      <c r="AJ333">
        <f t="shared" si="154"/>
        <v>0.88888888888888884</v>
      </c>
      <c r="AK333" s="32">
        <f t="shared" si="155"/>
        <v>0.55555555555555558</v>
      </c>
      <c r="AL333" s="32">
        <f t="shared" si="156"/>
        <v>0.80555555555555547</v>
      </c>
      <c r="AM333" s="7">
        <f t="shared" si="157"/>
        <v>0.70370370370370361</v>
      </c>
      <c r="AN333" s="7">
        <f t="shared" si="158"/>
        <v>0.78703703703703687</v>
      </c>
      <c r="AO333">
        <f>step3_validation[[#This Row],[AI_OUT1]]</f>
        <v>7</v>
      </c>
      <c r="AP333">
        <f t="shared" si="159"/>
        <v>0.66666666666666663</v>
      </c>
      <c r="AQ333">
        <f>[1]!survey_responses[[#This Row],[Sau khi xem xét các quyền lợi và nghĩa vụ, bạn có ủng hộ và tuân thủ chính sách mới hiện nay? - HUMAN-OUT1]]</f>
        <v>9</v>
      </c>
      <c r="AR333">
        <f t="shared" si="160"/>
        <v>0.88888888888888884</v>
      </c>
      <c r="AS333" s="32">
        <f t="shared" si="161"/>
        <v>2</v>
      </c>
    </row>
    <row r="334" spans="1:45" x14ac:dyDescent="0.45">
      <c r="A334">
        <f>step3_validation[[#This Row],[AI_ENF1]]</f>
        <v>8</v>
      </c>
      <c r="B334">
        <f t="shared" si="135"/>
        <v>0.77777777777777779</v>
      </c>
      <c r="C334">
        <f>[1]!survey_responses[[#This Row],[Tôi tin rằng với các quy định quản lý thuế hiện nay, hành vi gian lận hoặc trốn thuế sẽ dễ dàng bị phát hiện và xử lý nghiêm. - HUMAN-ENF1]]</f>
        <v>6</v>
      </c>
      <c r="D334">
        <f t="shared" si="136"/>
        <v>0.55555555555555558</v>
      </c>
      <c r="E334">
        <f>step3_validation[[#This Row],[AI_ENF2]]</f>
        <v>9</v>
      </c>
      <c r="F334">
        <f t="shared" si="137"/>
        <v>0.88888888888888884</v>
      </c>
      <c r="G334">
        <f>[1]!survey_responses[[#This Row],[Tôi tin rằng Nhà nước, cơ quan thuế có đủ khả năng và công nghệ để phát hiện, xử lý nghiêm các hành vi trốn thuế. - HUMAN-ENF2]]</f>
        <v>6</v>
      </c>
      <c r="H334">
        <f t="shared" si="138"/>
        <v>0.55555555555555558</v>
      </c>
      <c r="I334" s="32">
        <f t="shared" si="139"/>
        <v>0.83333333333333326</v>
      </c>
      <c r="J334" s="32">
        <f t="shared" si="140"/>
        <v>0.55555555555555558</v>
      </c>
      <c r="K334">
        <f>step3_validation[[#This Row],[AI_FAC1]]</f>
        <v>7</v>
      </c>
      <c r="L334">
        <f t="shared" si="141"/>
        <v>0.66666666666666663</v>
      </c>
      <c r="M334">
        <f>[1]!survey_responses[[#This Row],[Các thủ tục khai báo thuế VÀ/HOẶC quy trình làm việc với cơ quan thuế đơn giản, tiện lợi, nhanh chóng hơn so với trước đây. - HUMAN-FAC1]]</f>
        <v>8</v>
      </c>
      <c r="N334">
        <f t="shared" si="142"/>
        <v>0.77777777777777779</v>
      </c>
      <c r="O334">
        <f>step3_validation[[#This Row],[AI_FAC2]]</f>
        <v>8</v>
      </c>
      <c r="P334">
        <f t="shared" si="143"/>
        <v>0.77777777777777779</v>
      </c>
      <c r="Q334">
        <f>[1]!survey_responses[[#This Row],[So với trước đây, tôi thấy cách tính thuế và các bậc thuế trong phương án mới đơn giản, dễ hiểu và dễ thực hiện hơn. - HUMAN-FAC2]]</f>
        <v>8</v>
      </c>
      <c r="R334">
        <f t="shared" si="144"/>
        <v>0.77777777777777779</v>
      </c>
      <c r="S334" s="32">
        <f t="shared" si="145"/>
        <v>0.72222222222222221</v>
      </c>
      <c r="T334" s="32">
        <f t="shared" si="146"/>
        <v>0.77777777777777779</v>
      </c>
      <c r="U334">
        <f>step3_validation[[#This Row],[AI_TRU1]]</f>
        <v>6</v>
      </c>
      <c r="V334">
        <f t="shared" si="147"/>
        <v>0.55555555555555558</v>
      </c>
      <c r="W334">
        <f>[1]!survey_responses[[#This Row],[Tôi tin rằng Nhà nước, cơ quan thuế sẽ thực thi chính sách mới một cách khách quan, công tâm và đối xử bình đẳng với mọi người nộp thuế.  - HUMAN-TRU1]]</f>
        <v>6</v>
      </c>
      <c r="X334">
        <f t="shared" si="148"/>
        <v>0.55555555555555558</v>
      </c>
      <c r="Y334">
        <f>step3_validation[[#This Row],[AI_TRU2]]</f>
        <v>7</v>
      </c>
      <c r="Z334">
        <f t="shared" si="149"/>
        <v>0.66666666666666663</v>
      </c>
      <c r="AA334">
        <f>[1]!survey_responses[[#This Row],[Tôi thấy mức thuế tôi phải đóng theo phương án mới là công bằng (người thu nhập như tôi đóng mức này là hợp lý). - HUMAN-TRU2]]</f>
        <v>7</v>
      </c>
      <c r="AB334">
        <f t="shared" si="150"/>
        <v>0.66666666666666663</v>
      </c>
      <c r="AC334">
        <f>step3_validation[[#This Row],[AI_TRU3]]</f>
        <v>5</v>
      </c>
      <c r="AD334">
        <f t="shared" si="151"/>
        <v>0.44444444444444442</v>
      </c>
      <c r="AE334">
        <f>[1]!survey_responses[[#This Row],[Tôi tin tưởng số tiền thuế tôi đóng sẽ được Nhà nước sử dụng hiệu quả để cải thiện dịch vụ công (y tế, đường xá...). - HUMAN-TRU3]]</f>
        <v>6</v>
      </c>
      <c r="AF334">
        <f t="shared" si="152"/>
        <v>0.55555555555555558</v>
      </c>
      <c r="AG334">
        <f>step3_validation[[#This Row],[AI_TRU4]]</f>
        <v>6</v>
      </c>
      <c r="AH334">
        <f t="shared" si="153"/>
        <v>0.55555555555555558</v>
      </c>
      <c r="AI334">
        <f>[1]!survey_responses[[#This Row],[Tôi thấy Nhà nước đã giải thích rõ ràng, minh bạch về lý do và mục tiêu của việc sửa đổi thuế lần này. - HUMAN-TRU4]]</f>
        <v>7</v>
      </c>
      <c r="AJ334">
        <f t="shared" si="154"/>
        <v>0.66666666666666663</v>
      </c>
      <c r="AK334" s="32">
        <f t="shared" si="155"/>
        <v>0.55555555555555558</v>
      </c>
      <c r="AL334" s="32">
        <f t="shared" si="156"/>
        <v>0.61111111111111116</v>
      </c>
      <c r="AM334" s="7">
        <f t="shared" si="157"/>
        <v>0.70370370370370361</v>
      </c>
      <c r="AN334" s="7">
        <f t="shared" si="158"/>
        <v>0.64814814814814825</v>
      </c>
      <c r="AO334">
        <f>step3_validation[[#This Row],[AI_OUT1]]</f>
        <v>7</v>
      </c>
      <c r="AP334">
        <f t="shared" si="159"/>
        <v>0.66666666666666663</v>
      </c>
      <c r="AQ334">
        <f>[1]!survey_responses[[#This Row],[Sau khi xem xét các quyền lợi và nghĩa vụ, bạn có ủng hộ và tuân thủ chính sách mới hiện nay? - HUMAN-OUT1]]</f>
        <v>7</v>
      </c>
      <c r="AR334">
        <f t="shared" si="160"/>
        <v>0.66666666666666663</v>
      </c>
      <c r="AS334" s="32">
        <f t="shared" si="161"/>
        <v>0</v>
      </c>
    </row>
    <row r="335" spans="1:45" x14ac:dyDescent="0.45">
      <c r="A335">
        <f>step3_validation[[#This Row],[AI_ENF1]]</f>
        <v>8</v>
      </c>
      <c r="B335">
        <f t="shared" si="135"/>
        <v>0.77777777777777779</v>
      </c>
      <c r="C335">
        <f>[1]!survey_responses[[#This Row],[Tôi tin rằng với các quy định quản lý thuế hiện nay, hành vi gian lận hoặc trốn thuế sẽ dễ dàng bị phát hiện và xử lý nghiêm. - HUMAN-ENF1]]</f>
        <v>2</v>
      </c>
      <c r="D335">
        <f t="shared" si="136"/>
        <v>0.1111111111111111</v>
      </c>
      <c r="E335">
        <f>step3_validation[[#This Row],[AI_ENF2]]</f>
        <v>7</v>
      </c>
      <c r="F335">
        <f t="shared" si="137"/>
        <v>0.66666666666666663</v>
      </c>
      <c r="G335">
        <f>[1]!survey_responses[[#This Row],[Tôi tin rằng Nhà nước, cơ quan thuế có đủ khả năng và công nghệ để phát hiện, xử lý nghiêm các hành vi trốn thuế. - HUMAN-ENF2]]</f>
        <v>2</v>
      </c>
      <c r="H335">
        <f t="shared" si="138"/>
        <v>0.1111111111111111</v>
      </c>
      <c r="I335" s="32">
        <f t="shared" si="139"/>
        <v>0.72222222222222221</v>
      </c>
      <c r="J335" s="32">
        <f t="shared" si="140"/>
        <v>0.1111111111111111</v>
      </c>
      <c r="K335">
        <f>step3_validation[[#This Row],[AI_FAC1]]</f>
        <v>9</v>
      </c>
      <c r="L335">
        <f t="shared" si="141"/>
        <v>0.88888888888888884</v>
      </c>
      <c r="M335">
        <f>[1]!survey_responses[[#This Row],[Các thủ tục khai báo thuế VÀ/HOẶC quy trình làm việc với cơ quan thuế đơn giản, tiện lợi, nhanh chóng hơn so với trước đây. - HUMAN-FAC1]]</f>
        <v>3</v>
      </c>
      <c r="N335">
        <f t="shared" si="142"/>
        <v>0.22222222222222221</v>
      </c>
      <c r="O335">
        <f>step3_validation[[#This Row],[AI_FAC2]]</f>
        <v>8</v>
      </c>
      <c r="P335">
        <f t="shared" si="143"/>
        <v>0.77777777777777779</v>
      </c>
      <c r="Q335">
        <f>[1]!survey_responses[[#This Row],[So với trước đây, tôi thấy cách tính thuế và các bậc thuế trong phương án mới đơn giản, dễ hiểu và dễ thực hiện hơn. - HUMAN-FAC2]]</f>
        <v>5</v>
      </c>
      <c r="R335">
        <f t="shared" si="144"/>
        <v>0.44444444444444442</v>
      </c>
      <c r="S335" s="32">
        <f t="shared" si="145"/>
        <v>0.83333333333333326</v>
      </c>
      <c r="T335" s="32">
        <f t="shared" si="146"/>
        <v>0.33333333333333331</v>
      </c>
      <c r="U335">
        <f>step3_validation[[#This Row],[AI_TRU1]]</f>
        <v>9</v>
      </c>
      <c r="V335">
        <f t="shared" si="147"/>
        <v>0.88888888888888884</v>
      </c>
      <c r="W335">
        <f>[1]!survey_responses[[#This Row],[Tôi tin rằng Nhà nước, cơ quan thuế sẽ thực thi chính sách mới một cách khách quan, công tâm và đối xử bình đẳng với mọi người nộp thuế.  - HUMAN-TRU1]]</f>
        <v>1</v>
      </c>
      <c r="X335">
        <f t="shared" si="148"/>
        <v>0</v>
      </c>
      <c r="Y335">
        <f>step3_validation[[#This Row],[AI_TRU2]]</f>
        <v>8</v>
      </c>
      <c r="Z335">
        <f t="shared" si="149"/>
        <v>0.77777777777777779</v>
      </c>
      <c r="AA335">
        <f>[1]!survey_responses[[#This Row],[Tôi thấy mức thuế tôi phải đóng theo phương án mới là công bằng (người thu nhập như tôi đóng mức này là hợp lý). - HUMAN-TRU2]]</f>
        <v>1</v>
      </c>
      <c r="AB335">
        <f t="shared" si="150"/>
        <v>0</v>
      </c>
      <c r="AC335">
        <f>step3_validation[[#This Row],[AI_TRU3]]</f>
        <v>9</v>
      </c>
      <c r="AD335">
        <f t="shared" si="151"/>
        <v>0.88888888888888884</v>
      </c>
      <c r="AE335">
        <f>[1]!survey_responses[[#This Row],[Tôi tin tưởng số tiền thuế tôi đóng sẽ được Nhà nước sử dụng hiệu quả để cải thiện dịch vụ công (y tế, đường xá...). - HUMAN-TRU3]]</f>
        <v>1</v>
      </c>
      <c r="AF335">
        <f t="shared" si="152"/>
        <v>0</v>
      </c>
      <c r="AG335">
        <f>step3_validation[[#This Row],[AI_TRU4]]</f>
        <v>7</v>
      </c>
      <c r="AH335">
        <f t="shared" si="153"/>
        <v>0.66666666666666663</v>
      </c>
      <c r="AI335">
        <f>[1]!survey_responses[[#This Row],[Tôi thấy Nhà nước đã giải thích rõ ràng, minh bạch về lý do và mục tiêu của việc sửa đổi thuế lần này. - HUMAN-TRU4]]</f>
        <v>3</v>
      </c>
      <c r="AJ335">
        <f t="shared" si="154"/>
        <v>0.22222222222222221</v>
      </c>
      <c r="AK335" s="32">
        <f t="shared" si="155"/>
        <v>0.80555555555555547</v>
      </c>
      <c r="AL335" s="32">
        <f t="shared" si="156"/>
        <v>5.5555555555555552E-2</v>
      </c>
      <c r="AM335" s="7">
        <f t="shared" si="157"/>
        <v>0.78703703703703687</v>
      </c>
      <c r="AN335" s="7">
        <f t="shared" si="158"/>
        <v>0.16666666666666666</v>
      </c>
      <c r="AO335">
        <f>step3_validation[[#This Row],[AI_OUT1]]</f>
        <v>9</v>
      </c>
      <c r="AP335">
        <f t="shared" si="159"/>
        <v>0.88888888888888884</v>
      </c>
      <c r="AQ335">
        <f>[1]!survey_responses[[#This Row],[Sau khi xem xét các quyền lợi và nghĩa vụ, bạn có ủng hộ và tuân thủ chính sách mới hiện nay? - HUMAN-OUT1]]</f>
        <v>1</v>
      </c>
      <c r="AR335">
        <f t="shared" si="160"/>
        <v>0</v>
      </c>
      <c r="AS335" s="32">
        <f t="shared" si="161"/>
        <v>8</v>
      </c>
    </row>
    <row r="336" spans="1:45" x14ac:dyDescent="0.45">
      <c r="A336">
        <f>step3_validation[[#This Row],[AI_ENF1]]</f>
        <v>8</v>
      </c>
      <c r="B336">
        <f t="shared" si="135"/>
        <v>0.77777777777777779</v>
      </c>
      <c r="C336">
        <f>[1]!survey_responses[[#This Row],[Tôi tin rằng với các quy định quản lý thuế hiện nay, hành vi gian lận hoặc trốn thuế sẽ dễ dàng bị phát hiện và xử lý nghiêm. - HUMAN-ENF1]]</f>
        <v>7</v>
      </c>
      <c r="D336">
        <f t="shared" si="136"/>
        <v>0.66666666666666663</v>
      </c>
      <c r="E336">
        <f>step3_validation[[#This Row],[AI_ENF2]]</f>
        <v>7</v>
      </c>
      <c r="F336">
        <f t="shared" si="137"/>
        <v>0.66666666666666663</v>
      </c>
      <c r="G336">
        <f>[1]!survey_responses[[#This Row],[Tôi tin rằng Nhà nước, cơ quan thuế có đủ khả năng và công nghệ để phát hiện, xử lý nghiêm các hành vi trốn thuế. - HUMAN-ENF2]]</f>
        <v>7</v>
      </c>
      <c r="H336">
        <f t="shared" si="138"/>
        <v>0.66666666666666663</v>
      </c>
      <c r="I336" s="32">
        <f t="shared" si="139"/>
        <v>0.72222222222222221</v>
      </c>
      <c r="J336" s="32">
        <f t="shared" si="140"/>
        <v>0.66666666666666663</v>
      </c>
      <c r="K336">
        <f>step3_validation[[#This Row],[AI_FAC1]]</f>
        <v>7</v>
      </c>
      <c r="L336">
        <f t="shared" si="141"/>
        <v>0.66666666666666663</v>
      </c>
      <c r="M336">
        <f>[1]!survey_responses[[#This Row],[Các thủ tục khai báo thuế VÀ/HOẶC quy trình làm việc với cơ quan thuế đơn giản, tiện lợi, nhanh chóng hơn so với trước đây. - HUMAN-FAC1]]</f>
        <v>8</v>
      </c>
      <c r="N336">
        <f t="shared" si="142"/>
        <v>0.77777777777777779</v>
      </c>
      <c r="O336">
        <f>step3_validation[[#This Row],[AI_FAC2]]</f>
        <v>8</v>
      </c>
      <c r="P336">
        <f t="shared" si="143"/>
        <v>0.77777777777777779</v>
      </c>
      <c r="Q336">
        <f>[1]!survey_responses[[#This Row],[So với trước đây, tôi thấy cách tính thuế và các bậc thuế trong phương án mới đơn giản, dễ hiểu và dễ thực hiện hơn. - HUMAN-FAC2]]</f>
        <v>10</v>
      </c>
      <c r="R336">
        <f t="shared" si="144"/>
        <v>1</v>
      </c>
      <c r="S336" s="32">
        <f t="shared" si="145"/>
        <v>0.72222222222222221</v>
      </c>
      <c r="T336" s="32">
        <f t="shared" si="146"/>
        <v>0.88888888888888884</v>
      </c>
      <c r="U336">
        <f>step3_validation[[#This Row],[AI_TRU1]]</f>
        <v>8</v>
      </c>
      <c r="V336">
        <f t="shared" si="147"/>
        <v>0.77777777777777779</v>
      </c>
      <c r="W336">
        <f>[1]!survey_responses[[#This Row],[Tôi tin rằng Nhà nước, cơ quan thuế sẽ thực thi chính sách mới một cách khách quan, công tâm và đối xử bình đẳng với mọi người nộp thuế.  - HUMAN-TRU1]]</f>
        <v>9</v>
      </c>
      <c r="X336">
        <f t="shared" si="148"/>
        <v>0.88888888888888884</v>
      </c>
      <c r="Y336">
        <f>step3_validation[[#This Row],[AI_TRU2]]</f>
        <v>7</v>
      </c>
      <c r="Z336">
        <f t="shared" si="149"/>
        <v>0.66666666666666663</v>
      </c>
      <c r="AA336">
        <f>[1]!survey_responses[[#This Row],[Tôi thấy mức thuế tôi phải đóng theo phương án mới là công bằng (người thu nhập như tôi đóng mức này là hợp lý). - HUMAN-TRU2]]</f>
        <v>10</v>
      </c>
      <c r="AB336">
        <f t="shared" si="150"/>
        <v>1</v>
      </c>
      <c r="AC336">
        <f>step3_validation[[#This Row],[AI_TRU3]]</f>
        <v>0</v>
      </c>
      <c r="AD336">
        <f t="shared" si="151"/>
        <v>-0.1111111111111111</v>
      </c>
      <c r="AE336">
        <f>[1]!survey_responses[[#This Row],[Tôi tin tưởng số tiền thuế tôi đóng sẽ được Nhà nước sử dụng hiệu quả để cải thiện dịch vụ công (y tế, đường xá...). - HUMAN-TRU3]]</f>
        <v>8</v>
      </c>
      <c r="AF336">
        <f t="shared" si="152"/>
        <v>0.77777777777777779</v>
      </c>
      <c r="AG336">
        <f>step3_validation[[#This Row],[AI_TRU4]]</f>
        <v>0</v>
      </c>
      <c r="AH336">
        <f t="shared" si="153"/>
        <v>-0.1111111111111111</v>
      </c>
      <c r="AI336">
        <f>[1]!survey_responses[[#This Row],[Tôi thấy Nhà nước đã giải thích rõ ràng, minh bạch về lý do và mục tiêu của việc sửa đổi thuế lần này. - HUMAN-TRU4]]</f>
        <v>8</v>
      </c>
      <c r="AJ336">
        <f t="shared" si="154"/>
        <v>0.77777777777777779</v>
      </c>
      <c r="AK336" s="32">
        <f t="shared" si="155"/>
        <v>0.30555555555555552</v>
      </c>
      <c r="AL336" s="32">
        <f t="shared" si="156"/>
        <v>0.86111111111111105</v>
      </c>
      <c r="AM336" s="7">
        <f t="shared" si="157"/>
        <v>0.58333333333333337</v>
      </c>
      <c r="AN336" s="7">
        <f t="shared" si="158"/>
        <v>0.80555555555555547</v>
      </c>
      <c r="AO336">
        <f>step3_validation[[#This Row],[AI_OUT1]]</f>
        <v>0</v>
      </c>
      <c r="AP336">
        <f t="shared" si="159"/>
        <v>-0.1111111111111111</v>
      </c>
      <c r="AQ336">
        <f>[1]!survey_responses[[#This Row],[Sau khi xem xét các quyền lợi và nghĩa vụ, bạn có ủng hộ và tuân thủ chính sách mới hiện nay? - HUMAN-OUT1]]</f>
        <v>10</v>
      </c>
      <c r="AR336">
        <f t="shared" si="160"/>
        <v>1</v>
      </c>
      <c r="AS336" s="32">
        <f t="shared" si="161"/>
        <v>10</v>
      </c>
    </row>
    <row r="337" spans="1:45" x14ac:dyDescent="0.45">
      <c r="A337">
        <f>step3_validation[[#This Row],[AI_ENF1]]</f>
        <v>7</v>
      </c>
      <c r="B337">
        <f t="shared" si="135"/>
        <v>0.66666666666666663</v>
      </c>
      <c r="C337">
        <f>[1]!survey_responses[[#This Row],[Tôi tin rằng với các quy định quản lý thuế hiện nay, hành vi gian lận hoặc trốn thuế sẽ dễ dàng bị phát hiện và xử lý nghiêm. - HUMAN-ENF1]]</f>
        <v>4</v>
      </c>
      <c r="D337">
        <f t="shared" si="136"/>
        <v>0.33333333333333331</v>
      </c>
      <c r="E337">
        <f>step3_validation[[#This Row],[AI_ENF2]]</f>
        <v>8</v>
      </c>
      <c r="F337">
        <f t="shared" si="137"/>
        <v>0.77777777777777779</v>
      </c>
      <c r="G337">
        <f>[1]!survey_responses[[#This Row],[Tôi tin rằng Nhà nước, cơ quan thuế có đủ khả năng và công nghệ để phát hiện, xử lý nghiêm các hành vi trốn thuế. - HUMAN-ENF2]]</f>
        <v>5</v>
      </c>
      <c r="H337">
        <f t="shared" si="138"/>
        <v>0.44444444444444442</v>
      </c>
      <c r="I337" s="32">
        <f t="shared" si="139"/>
        <v>0.72222222222222221</v>
      </c>
      <c r="J337" s="32">
        <f t="shared" si="140"/>
        <v>0.38888888888888884</v>
      </c>
      <c r="K337">
        <f>step3_validation[[#This Row],[AI_FAC1]]</f>
        <v>6</v>
      </c>
      <c r="L337">
        <f t="shared" si="141"/>
        <v>0.55555555555555558</v>
      </c>
      <c r="M337">
        <f>[1]!survey_responses[[#This Row],[Các thủ tục khai báo thuế VÀ/HOẶC quy trình làm việc với cơ quan thuế đơn giản, tiện lợi, nhanh chóng hơn so với trước đây. - HUMAN-FAC1]]</f>
        <v>5</v>
      </c>
      <c r="N337">
        <f t="shared" si="142"/>
        <v>0.44444444444444442</v>
      </c>
      <c r="O337">
        <f>step3_validation[[#This Row],[AI_FAC2]]</f>
        <v>9</v>
      </c>
      <c r="P337">
        <f t="shared" si="143"/>
        <v>0.88888888888888884</v>
      </c>
      <c r="Q337">
        <f>[1]!survey_responses[[#This Row],[So với trước đây, tôi thấy cách tính thuế và các bậc thuế trong phương án mới đơn giản, dễ hiểu và dễ thực hiện hơn. - HUMAN-FAC2]]</f>
        <v>6</v>
      </c>
      <c r="R337">
        <f t="shared" si="144"/>
        <v>0.55555555555555558</v>
      </c>
      <c r="S337" s="32">
        <f t="shared" si="145"/>
        <v>0.72222222222222221</v>
      </c>
      <c r="T337" s="32">
        <f t="shared" si="146"/>
        <v>0.5</v>
      </c>
      <c r="U337">
        <f>step3_validation[[#This Row],[AI_TRU1]]</f>
        <v>8</v>
      </c>
      <c r="V337">
        <f t="shared" si="147"/>
        <v>0.77777777777777779</v>
      </c>
      <c r="W337">
        <f>[1]!survey_responses[[#This Row],[Tôi tin rằng Nhà nước, cơ quan thuế sẽ thực thi chính sách mới một cách khách quan, công tâm và đối xử bình đẳng với mọi người nộp thuế.  - HUMAN-TRU1]]</f>
        <v>5</v>
      </c>
      <c r="X337">
        <f t="shared" si="148"/>
        <v>0.44444444444444442</v>
      </c>
      <c r="Y337">
        <f>step3_validation[[#This Row],[AI_TRU2]]</f>
        <v>7</v>
      </c>
      <c r="Z337">
        <f t="shared" si="149"/>
        <v>0.66666666666666663</v>
      </c>
      <c r="AA337">
        <f>[1]!survey_responses[[#This Row],[Tôi thấy mức thuế tôi phải đóng theo phương án mới là công bằng (người thu nhập như tôi đóng mức này là hợp lý). - HUMAN-TRU2]]</f>
        <v>6</v>
      </c>
      <c r="AB337">
        <f t="shared" si="150"/>
        <v>0.55555555555555558</v>
      </c>
      <c r="AC337">
        <f>step3_validation[[#This Row],[AI_TRU3]]</f>
        <v>6</v>
      </c>
      <c r="AD337">
        <f t="shared" si="151"/>
        <v>0.55555555555555558</v>
      </c>
      <c r="AE337">
        <f>[1]!survey_responses[[#This Row],[Tôi tin tưởng số tiền thuế tôi đóng sẽ được Nhà nước sử dụng hiệu quả để cải thiện dịch vụ công (y tế, đường xá...). - HUMAN-TRU3]]</f>
        <v>5</v>
      </c>
      <c r="AF337">
        <f t="shared" si="152"/>
        <v>0.44444444444444442</v>
      </c>
      <c r="AG337">
        <f>step3_validation[[#This Row],[AI_TRU4]]</f>
        <v>8</v>
      </c>
      <c r="AH337">
        <f t="shared" si="153"/>
        <v>0.77777777777777779</v>
      </c>
      <c r="AI337">
        <f>[1]!survey_responses[[#This Row],[Tôi thấy Nhà nước đã giải thích rõ ràng, minh bạch về lý do và mục tiêu của việc sửa đổi thuế lần này. - HUMAN-TRU4]]</f>
        <v>5</v>
      </c>
      <c r="AJ337">
        <f t="shared" si="154"/>
        <v>0.44444444444444442</v>
      </c>
      <c r="AK337" s="32">
        <f t="shared" si="155"/>
        <v>0.69444444444444442</v>
      </c>
      <c r="AL337" s="32">
        <f t="shared" si="156"/>
        <v>0.47222222222222221</v>
      </c>
      <c r="AM337" s="7">
        <f t="shared" si="157"/>
        <v>0.71296296296296291</v>
      </c>
      <c r="AN337" s="7">
        <f t="shared" si="158"/>
        <v>0.45370370370370372</v>
      </c>
      <c r="AO337">
        <f>step3_validation[[#This Row],[AI_OUT1]]</f>
        <v>5</v>
      </c>
      <c r="AP337">
        <f t="shared" si="159"/>
        <v>0.44444444444444442</v>
      </c>
      <c r="AQ337">
        <f>[1]!survey_responses[[#This Row],[Sau khi xem xét các quyền lợi và nghĩa vụ, bạn có ủng hộ và tuân thủ chính sách mới hiện nay? - HUMAN-OUT1]]</f>
        <v>6</v>
      </c>
      <c r="AR337">
        <f t="shared" si="160"/>
        <v>0.55555555555555558</v>
      </c>
      <c r="AS337" s="32">
        <f t="shared" si="161"/>
        <v>1</v>
      </c>
    </row>
    <row r="338" spans="1:45" x14ac:dyDescent="0.45">
      <c r="A338">
        <f>step3_validation[[#This Row],[AI_ENF1]]</f>
        <v>7</v>
      </c>
      <c r="B338">
        <f t="shared" si="135"/>
        <v>0.66666666666666663</v>
      </c>
      <c r="C338">
        <f>[1]!survey_responses[[#This Row],[Tôi tin rằng với các quy định quản lý thuế hiện nay, hành vi gian lận hoặc trốn thuế sẽ dễ dàng bị phát hiện và xử lý nghiêm. - HUMAN-ENF1]]</f>
        <v>7</v>
      </c>
      <c r="D338">
        <f t="shared" si="136"/>
        <v>0.66666666666666663</v>
      </c>
      <c r="E338">
        <f>step3_validation[[#This Row],[AI_ENF2]]</f>
        <v>8</v>
      </c>
      <c r="F338">
        <f t="shared" si="137"/>
        <v>0.77777777777777779</v>
      </c>
      <c r="G338">
        <f>[1]!survey_responses[[#This Row],[Tôi tin rằng Nhà nước, cơ quan thuế có đủ khả năng và công nghệ để phát hiện, xử lý nghiêm các hành vi trốn thuế. - HUMAN-ENF2]]</f>
        <v>8</v>
      </c>
      <c r="H338">
        <f t="shared" si="138"/>
        <v>0.77777777777777779</v>
      </c>
      <c r="I338" s="32">
        <f t="shared" si="139"/>
        <v>0.72222222222222221</v>
      </c>
      <c r="J338" s="32">
        <f t="shared" si="140"/>
        <v>0.72222222222222221</v>
      </c>
      <c r="K338">
        <f>step3_validation[[#This Row],[AI_FAC1]]</f>
        <v>9</v>
      </c>
      <c r="L338">
        <f t="shared" si="141"/>
        <v>0.88888888888888884</v>
      </c>
      <c r="M338">
        <f>[1]!survey_responses[[#This Row],[Các thủ tục khai báo thuế VÀ/HOẶC quy trình làm việc với cơ quan thuế đơn giản, tiện lợi, nhanh chóng hơn so với trước đây. - HUMAN-FAC1]]</f>
        <v>7</v>
      </c>
      <c r="N338">
        <f t="shared" si="142"/>
        <v>0.66666666666666663</v>
      </c>
      <c r="O338">
        <f>step3_validation[[#This Row],[AI_FAC2]]</f>
        <v>8</v>
      </c>
      <c r="P338">
        <f t="shared" si="143"/>
        <v>0.77777777777777779</v>
      </c>
      <c r="Q338">
        <f>[1]!survey_responses[[#This Row],[So với trước đây, tôi thấy cách tính thuế và các bậc thuế trong phương án mới đơn giản, dễ hiểu và dễ thực hiện hơn. - HUMAN-FAC2]]</f>
        <v>7</v>
      </c>
      <c r="R338">
        <f t="shared" si="144"/>
        <v>0.66666666666666663</v>
      </c>
      <c r="S338" s="32">
        <f t="shared" si="145"/>
        <v>0.83333333333333326</v>
      </c>
      <c r="T338" s="32">
        <f t="shared" si="146"/>
        <v>0.66666666666666663</v>
      </c>
      <c r="U338">
        <f>step3_validation[[#This Row],[AI_TRU1]]</f>
        <v>8</v>
      </c>
      <c r="V338">
        <f t="shared" si="147"/>
        <v>0.77777777777777779</v>
      </c>
      <c r="W338">
        <f>[1]!survey_responses[[#This Row],[Tôi tin rằng Nhà nước, cơ quan thuế sẽ thực thi chính sách mới một cách khách quan, công tâm và đối xử bình đẳng với mọi người nộp thuế.  - HUMAN-TRU1]]</f>
        <v>6</v>
      </c>
      <c r="X338">
        <f t="shared" si="148"/>
        <v>0.55555555555555558</v>
      </c>
      <c r="Y338">
        <f>step3_validation[[#This Row],[AI_TRU2]]</f>
        <v>9</v>
      </c>
      <c r="Z338">
        <f t="shared" si="149"/>
        <v>0.88888888888888884</v>
      </c>
      <c r="AA338">
        <f>[1]!survey_responses[[#This Row],[Tôi thấy mức thuế tôi phải đóng theo phương án mới là công bằng (người thu nhập như tôi đóng mức này là hợp lý). - HUMAN-TRU2]]</f>
        <v>8</v>
      </c>
      <c r="AB338">
        <f t="shared" si="150"/>
        <v>0.77777777777777779</v>
      </c>
      <c r="AC338">
        <f>step3_validation[[#This Row],[AI_TRU3]]</f>
        <v>8</v>
      </c>
      <c r="AD338">
        <f t="shared" si="151"/>
        <v>0.77777777777777779</v>
      </c>
      <c r="AE338">
        <f>[1]!survey_responses[[#This Row],[Tôi tin tưởng số tiền thuế tôi đóng sẽ được Nhà nước sử dụng hiệu quả để cải thiện dịch vụ công (y tế, đường xá...). - HUMAN-TRU3]]</f>
        <v>6</v>
      </c>
      <c r="AF338">
        <f t="shared" si="152"/>
        <v>0.55555555555555558</v>
      </c>
      <c r="AG338">
        <f>step3_validation[[#This Row],[AI_TRU4]]</f>
        <v>7</v>
      </c>
      <c r="AH338">
        <f t="shared" si="153"/>
        <v>0.66666666666666663</v>
      </c>
      <c r="AI338">
        <f>[1]!survey_responses[[#This Row],[Tôi thấy Nhà nước đã giải thích rõ ràng, minh bạch về lý do và mục tiêu của việc sửa đổi thuế lần này. - HUMAN-TRU4]]</f>
        <v>8</v>
      </c>
      <c r="AJ338">
        <f t="shared" si="154"/>
        <v>0.77777777777777779</v>
      </c>
      <c r="AK338" s="32">
        <f t="shared" si="155"/>
        <v>0.77777777777777768</v>
      </c>
      <c r="AL338" s="32">
        <f t="shared" si="156"/>
        <v>0.66666666666666674</v>
      </c>
      <c r="AM338" s="7">
        <f t="shared" si="157"/>
        <v>0.77777777777777768</v>
      </c>
      <c r="AN338" s="7">
        <f t="shared" si="158"/>
        <v>0.68518518518518512</v>
      </c>
      <c r="AO338">
        <f>step3_validation[[#This Row],[AI_OUT1]]</f>
        <v>8</v>
      </c>
      <c r="AP338">
        <f t="shared" si="159"/>
        <v>0.77777777777777779</v>
      </c>
      <c r="AQ338">
        <f>[1]!survey_responses[[#This Row],[Sau khi xem xét các quyền lợi và nghĩa vụ, bạn có ủng hộ và tuân thủ chính sách mới hiện nay? - HUMAN-OUT1]]</f>
        <v>8</v>
      </c>
      <c r="AR338">
        <f t="shared" si="160"/>
        <v>0.77777777777777779</v>
      </c>
      <c r="AS338" s="32">
        <f t="shared" si="161"/>
        <v>0</v>
      </c>
    </row>
    <row r="339" spans="1:45" x14ac:dyDescent="0.45">
      <c r="A339">
        <f>step3_validation[[#This Row],[AI_ENF1]]</f>
        <v>7</v>
      </c>
      <c r="B339">
        <f t="shared" si="135"/>
        <v>0.66666666666666663</v>
      </c>
      <c r="C339">
        <f>[1]!survey_responses[[#This Row],[Tôi tin rằng với các quy định quản lý thuế hiện nay, hành vi gian lận hoặc trốn thuế sẽ dễ dàng bị phát hiện và xử lý nghiêm. - HUMAN-ENF1]]</f>
        <v>8</v>
      </c>
      <c r="D339">
        <f t="shared" si="136"/>
        <v>0.77777777777777779</v>
      </c>
      <c r="E339">
        <f>step3_validation[[#This Row],[AI_ENF2]]</f>
        <v>8</v>
      </c>
      <c r="F339">
        <f t="shared" si="137"/>
        <v>0.77777777777777779</v>
      </c>
      <c r="G339">
        <f>[1]!survey_responses[[#This Row],[Tôi tin rằng Nhà nước, cơ quan thuế có đủ khả năng và công nghệ để phát hiện, xử lý nghiêm các hành vi trốn thuế. - HUMAN-ENF2]]</f>
        <v>8</v>
      </c>
      <c r="H339">
        <f t="shared" si="138"/>
        <v>0.77777777777777779</v>
      </c>
      <c r="I339" s="32">
        <f t="shared" si="139"/>
        <v>0.72222222222222221</v>
      </c>
      <c r="J339" s="32">
        <f t="shared" si="140"/>
        <v>0.77777777777777779</v>
      </c>
      <c r="K339">
        <f>step3_validation[[#This Row],[AI_FAC1]]</f>
        <v>9</v>
      </c>
      <c r="L339">
        <f t="shared" si="141"/>
        <v>0.88888888888888884</v>
      </c>
      <c r="M339">
        <f>[1]!survey_responses[[#This Row],[Các thủ tục khai báo thuế VÀ/HOẶC quy trình làm việc với cơ quan thuế đơn giản, tiện lợi, nhanh chóng hơn so với trước đây. - HUMAN-FAC1]]</f>
        <v>9</v>
      </c>
      <c r="N339">
        <f t="shared" si="142"/>
        <v>0.88888888888888884</v>
      </c>
      <c r="O339">
        <f>step3_validation[[#This Row],[AI_FAC2]]</f>
        <v>8</v>
      </c>
      <c r="P339">
        <f t="shared" si="143"/>
        <v>0.77777777777777779</v>
      </c>
      <c r="Q339">
        <f>[1]!survey_responses[[#This Row],[So với trước đây, tôi thấy cách tính thuế và các bậc thuế trong phương án mới đơn giản, dễ hiểu và dễ thực hiện hơn. - HUMAN-FAC2]]</f>
        <v>9</v>
      </c>
      <c r="R339">
        <f t="shared" si="144"/>
        <v>0.88888888888888884</v>
      </c>
      <c r="S339" s="32">
        <f t="shared" si="145"/>
        <v>0.83333333333333326</v>
      </c>
      <c r="T339" s="32">
        <f t="shared" si="146"/>
        <v>0.88888888888888884</v>
      </c>
      <c r="U339">
        <f>step3_validation[[#This Row],[AI_TRU1]]</f>
        <v>7</v>
      </c>
      <c r="V339">
        <f t="shared" si="147"/>
        <v>0.66666666666666663</v>
      </c>
      <c r="W339">
        <f>[1]!survey_responses[[#This Row],[Tôi tin rằng Nhà nước, cơ quan thuế sẽ thực thi chính sách mới một cách khách quan, công tâm và đối xử bình đẳng với mọi người nộp thuế.  - HUMAN-TRU1]]</f>
        <v>8</v>
      </c>
      <c r="X339">
        <f t="shared" si="148"/>
        <v>0.77777777777777779</v>
      </c>
      <c r="Y339">
        <f>step3_validation[[#This Row],[AI_TRU2]]</f>
        <v>6</v>
      </c>
      <c r="Z339">
        <f t="shared" si="149"/>
        <v>0.55555555555555558</v>
      </c>
      <c r="AA339">
        <f>[1]!survey_responses[[#This Row],[Tôi thấy mức thuế tôi phải đóng theo phương án mới là công bằng (người thu nhập như tôi đóng mức này là hợp lý). - HUMAN-TRU2]]</f>
        <v>9</v>
      </c>
      <c r="AB339">
        <f t="shared" si="150"/>
        <v>0.88888888888888884</v>
      </c>
      <c r="AC339">
        <f>step3_validation[[#This Row],[AI_TRU3]]</f>
        <v>7</v>
      </c>
      <c r="AD339">
        <f t="shared" si="151"/>
        <v>0.66666666666666663</v>
      </c>
      <c r="AE339">
        <f>[1]!survey_responses[[#This Row],[Tôi tin tưởng số tiền thuế tôi đóng sẽ được Nhà nước sử dụng hiệu quả để cải thiện dịch vụ công (y tế, đường xá...). - HUMAN-TRU3]]</f>
        <v>10</v>
      </c>
      <c r="AF339">
        <f t="shared" si="152"/>
        <v>1</v>
      </c>
      <c r="AG339">
        <f>step3_validation[[#This Row],[AI_TRU4]]</f>
        <v>6</v>
      </c>
      <c r="AH339">
        <f t="shared" si="153"/>
        <v>0.55555555555555558</v>
      </c>
      <c r="AI339">
        <f>[1]!survey_responses[[#This Row],[Tôi thấy Nhà nước đã giải thích rõ ràng, minh bạch về lý do và mục tiêu của việc sửa đổi thuế lần này. - HUMAN-TRU4]]</f>
        <v>9</v>
      </c>
      <c r="AJ339">
        <f t="shared" si="154"/>
        <v>0.88888888888888884</v>
      </c>
      <c r="AK339" s="32">
        <f t="shared" si="155"/>
        <v>0.61111111111111116</v>
      </c>
      <c r="AL339" s="32">
        <f t="shared" si="156"/>
        <v>0.88888888888888884</v>
      </c>
      <c r="AM339" s="7">
        <f t="shared" si="157"/>
        <v>0.72222222222222221</v>
      </c>
      <c r="AN339" s="7">
        <f t="shared" si="158"/>
        <v>0.85185185185185175</v>
      </c>
      <c r="AO339">
        <f>step3_validation[[#This Row],[AI_OUT1]]</f>
        <v>7</v>
      </c>
      <c r="AP339">
        <f t="shared" si="159"/>
        <v>0.66666666666666663</v>
      </c>
      <c r="AQ339">
        <f>[1]!survey_responses[[#This Row],[Sau khi xem xét các quyền lợi và nghĩa vụ, bạn có ủng hộ và tuân thủ chính sách mới hiện nay? - HUMAN-OUT1]]</f>
        <v>10</v>
      </c>
      <c r="AR339">
        <f t="shared" si="160"/>
        <v>1</v>
      </c>
      <c r="AS339" s="32">
        <f t="shared" si="161"/>
        <v>3</v>
      </c>
    </row>
    <row r="340" spans="1:45" x14ac:dyDescent="0.45">
      <c r="A340">
        <f>step3_validation[[#This Row],[AI_ENF1]]</f>
        <v>8</v>
      </c>
      <c r="B340">
        <f t="shared" si="135"/>
        <v>0.77777777777777779</v>
      </c>
      <c r="C340">
        <f>[1]!survey_responses[[#This Row],[Tôi tin rằng với các quy định quản lý thuế hiện nay, hành vi gian lận hoặc trốn thuế sẽ dễ dàng bị phát hiện và xử lý nghiêm. - HUMAN-ENF1]]</f>
        <v>7</v>
      </c>
      <c r="D340">
        <f t="shared" si="136"/>
        <v>0.66666666666666663</v>
      </c>
      <c r="E340">
        <f>step3_validation[[#This Row],[AI_ENF2]]</f>
        <v>7</v>
      </c>
      <c r="F340">
        <f t="shared" si="137"/>
        <v>0.66666666666666663</v>
      </c>
      <c r="G340">
        <f>[1]!survey_responses[[#This Row],[Tôi tin rằng Nhà nước, cơ quan thuế có đủ khả năng và công nghệ để phát hiện, xử lý nghiêm các hành vi trốn thuế. - HUMAN-ENF2]]</f>
        <v>7</v>
      </c>
      <c r="H340">
        <f t="shared" si="138"/>
        <v>0.66666666666666663</v>
      </c>
      <c r="I340" s="32">
        <f t="shared" si="139"/>
        <v>0.72222222222222221</v>
      </c>
      <c r="J340" s="32">
        <f t="shared" si="140"/>
        <v>0.66666666666666663</v>
      </c>
      <c r="K340">
        <f>step3_validation[[#This Row],[AI_FAC1]]</f>
        <v>9</v>
      </c>
      <c r="L340">
        <f t="shared" si="141"/>
        <v>0.88888888888888884</v>
      </c>
      <c r="M340">
        <f>[1]!survey_responses[[#This Row],[Các thủ tục khai báo thuế VÀ/HOẶC quy trình làm việc với cơ quan thuế đơn giản, tiện lợi, nhanh chóng hơn so với trước đây. - HUMAN-FAC1]]</f>
        <v>8</v>
      </c>
      <c r="N340">
        <f t="shared" si="142"/>
        <v>0.77777777777777779</v>
      </c>
      <c r="O340">
        <f>step3_validation[[#This Row],[AI_FAC2]]</f>
        <v>8</v>
      </c>
      <c r="P340">
        <f t="shared" si="143"/>
        <v>0.77777777777777779</v>
      </c>
      <c r="Q340">
        <f>[1]!survey_responses[[#This Row],[So với trước đây, tôi thấy cách tính thuế và các bậc thuế trong phương án mới đơn giản, dễ hiểu và dễ thực hiện hơn. - HUMAN-FAC2]]</f>
        <v>8</v>
      </c>
      <c r="R340">
        <f t="shared" si="144"/>
        <v>0.77777777777777779</v>
      </c>
      <c r="S340" s="32">
        <f t="shared" si="145"/>
        <v>0.83333333333333326</v>
      </c>
      <c r="T340" s="32">
        <f t="shared" si="146"/>
        <v>0.77777777777777779</v>
      </c>
      <c r="U340">
        <f>step3_validation[[#This Row],[AI_TRU1]]</f>
        <v>6</v>
      </c>
      <c r="V340">
        <f t="shared" si="147"/>
        <v>0.55555555555555558</v>
      </c>
      <c r="W340">
        <f>[1]!survey_responses[[#This Row],[Tôi tin rằng Nhà nước, cơ quan thuế sẽ thực thi chính sách mới một cách khách quan, công tâm và đối xử bình đẳng với mọi người nộp thuế.  - HUMAN-TRU1]]</f>
        <v>6</v>
      </c>
      <c r="X340">
        <f t="shared" si="148"/>
        <v>0.55555555555555558</v>
      </c>
      <c r="Y340">
        <f>step3_validation[[#This Row],[AI_TRU2]]</f>
        <v>7</v>
      </c>
      <c r="Z340">
        <f t="shared" si="149"/>
        <v>0.66666666666666663</v>
      </c>
      <c r="AA340">
        <f>[1]!survey_responses[[#This Row],[Tôi thấy mức thuế tôi phải đóng theo phương án mới là công bằng (người thu nhập như tôi đóng mức này là hợp lý). - HUMAN-TRU2]]</f>
        <v>7</v>
      </c>
      <c r="AB340">
        <f t="shared" si="150"/>
        <v>0.66666666666666663</v>
      </c>
      <c r="AC340">
        <f>step3_validation[[#This Row],[AI_TRU3]]</f>
        <v>6</v>
      </c>
      <c r="AD340">
        <f t="shared" si="151"/>
        <v>0.55555555555555558</v>
      </c>
      <c r="AE340">
        <f>[1]!survey_responses[[#This Row],[Tôi tin tưởng số tiền thuế tôi đóng sẽ được Nhà nước sử dụng hiệu quả để cải thiện dịch vụ công (y tế, đường xá...). - HUMAN-TRU3]]</f>
        <v>6</v>
      </c>
      <c r="AF340">
        <f t="shared" si="152"/>
        <v>0.55555555555555558</v>
      </c>
      <c r="AG340">
        <f>step3_validation[[#This Row],[AI_TRU4]]</f>
        <v>7</v>
      </c>
      <c r="AH340">
        <f t="shared" si="153"/>
        <v>0.66666666666666663</v>
      </c>
      <c r="AI340">
        <f>[1]!survey_responses[[#This Row],[Tôi thấy Nhà nước đã giải thích rõ ràng, minh bạch về lý do và mục tiêu của việc sửa đổi thuế lần này. - HUMAN-TRU4]]</f>
        <v>6</v>
      </c>
      <c r="AJ340">
        <f t="shared" si="154"/>
        <v>0.55555555555555558</v>
      </c>
      <c r="AK340" s="32">
        <f t="shared" si="155"/>
        <v>0.61111111111111116</v>
      </c>
      <c r="AL340" s="32">
        <f t="shared" si="156"/>
        <v>0.58333333333333337</v>
      </c>
      <c r="AM340" s="7">
        <f t="shared" si="157"/>
        <v>0.72222222222222221</v>
      </c>
      <c r="AN340" s="7">
        <f t="shared" si="158"/>
        <v>0.67592592592592593</v>
      </c>
      <c r="AO340">
        <f>step3_validation[[#This Row],[AI_OUT1]]</f>
        <v>7</v>
      </c>
      <c r="AP340">
        <f t="shared" si="159"/>
        <v>0.66666666666666663</v>
      </c>
      <c r="AQ340">
        <f>[1]!survey_responses[[#This Row],[Sau khi xem xét các quyền lợi và nghĩa vụ, bạn có ủng hộ và tuân thủ chính sách mới hiện nay? - HUMAN-OUT1]]</f>
        <v>7</v>
      </c>
      <c r="AR340">
        <f t="shared" si="160"/>
        <v>0.66666666666666663</v>
      </c>
      <c r="AS340" s="32">
        <f t="shared" si="161"/>
        <v>0</v>
      </c>
    </row>
    <row r="341" spans="1:45" x14ac:dyDescent="0.45">
      <c r="A341">
        <f>step3_validation[[#This Row],[AI_ENF1]]</f>
        <v>7</v>
      </c>
      <c r="B341">
        <f t="shared" si="135"/>
        <v>0.66666666666666663</v>
      </c>
      <c r="C341">
        <f>[1]!survey_responses[[#This Row],[Tôi tin rằng với các quy định quản lý thuế hiện nay, hành vi gian lận hoặc trốn thuế sẽ dễ dàng bị phát hiện và xử lý nghiêm. - HUMAN-ENF1]]</f>
        <v>7</v>
      </c>
      <c r="D341">
        <f t="shared" si="136"/>
        <v>0.66666666666666663</v>
      </c>
      <c r="E341">
        <f>step3_validation[[#This Row],[AI_ENF2]]</f>
        <v>8</v>
      </c>
      <c r="F341">
        <f t="shared" si="137"/>
        <v>0.77777777777777779</v>
      </c>
      <c r="G341">
        <f>[1]!survey_responses[[#This Row],[Tôi tin rằng Nhà nước, cơ quan thuế có đủ khả năng và công nghệ để phát hiện, xử lý nghiêm các hành vi trốn thuế. - HUMAN-ENF2]]</f>
        <v>8</v>
      </c>
      <c r="H341">
        <f t="shared" si="138"/>
        <v>0.77777777777777779</v>
      </c>
      <c r="I341" s="32">
        <f t="shared" si="139"/>
        <v>0.72222222222222221</v>
      </c>
      <c r="J341" s="32">
        <f t="shared" si="140"/>
        <v>0.72222222222222221</v>
      </c>
      <c r="K341">
        <f>step3_validation[[#This Row],[AI_FAC1]]</f>
        <v>6</v>
      </c>
      <c r="L341">
        <f t="shared" si="141"/>
        <v>0.55555555555555558</v>
      </c>
      <c r="M341">
        <f>[1]!survey_responses[[#This Row],[Các thủ tục khai báo thuế VÀ/HOẶC quy trình làm việc với cơ quan thuế đơn giản, tiện lợi, nhanh chóng hơn so với trước đây. - HUMAN-FAC1]]</f>
        <v>8</v>
      </c>
      <c r="N341">
        <f t="shared" si="142"/>
        <v>0.77777777777777779</v>
      </c>
      <c r="O341">
        <f>step3_validation[[#This Row],[AI_FAC2]]</f>
        <v>7</v>
      </c>
      <c r="P341">
        <f t="shared" si="143"/>
        <v>0.66666666666666663</v>
      </c>
      <c r="Q341">
        <f>[1]!survey_responses[[#This Row],[So với trước đây, tôi thấy cách tính thuế và các bậc thuế trong phương án mới đơn giản, dễ hiểu và dễ thực hiện hơn. - HUMAN-FAC2]]</f>
        <v>8</v>
      </c>
      <c r="R341">
        <f t="shared" si="144"/>
        <v>0.77777777777777779</v>
      </c>
      <c r="S341" s="32">
        <f t="shared" si="145"/>
        <v>0.61111111111111116</v>
      </c>
      <c r="T341" s="32">
        <f t="shared" si="146"/>
        <v>0.77777777777777779</v>
      </c>
      <c r="U341">
        <f>step3_validation[[#This Row],[AI_TRU1]]</f>
        <v>8</v>
      </c>
      <c r="V341">
        <f t="shared" si="147"/>
        <v>0.77777777777777779</v>
      </c>
      <c r="W341">
        <f>[1]!survey_responses[[#This Row],[Tôi tin rằng Nhà nước, cơ quan thuế sẽ thực thi chính sách mới một cách khách quan, công tâm và đối xử bình đẳng với mọi người nộp thuế.  - HUMAN-TRU1]]</f>
        <v>5</v>
      </c>
      <c r="X341">
        <f t="shared" si="148"/>
        <v>0.44444444444444442</v>
      </c>
      <c r="Y341">
        <f>step3_validation[[#This Row],[AI_TRU2]]</f>
        <v>7</v>
      </c>
      <c r="Z341">
        <f t="shared" si="149"/>
        <v>0.66666666666666663</v>
      </c>
      <c r="AA341">
        <f>[1]!survey_responses[[#This Row],[Tôi thấy mức thuế tôi phải đóng theo phương án mới là công bằng (người thu nhập như tôi đóng mức này là hợp lý). - HUMAN-TRU2]]</f>
        <v>8</v>
      </c>
      <c r="AB341">
        <f t="shared" si="150"/>
        <v>0.77777777777777779</v>
      </c>
      <c r="AC341">
        <f>step3_validation[[#This Row],[AI_TRU3]]</f>
        <v>7</v>
      </c>
      <c r="AD341">
        <f t="shared" si="151"/>
        <v>0.66666666666666663</v>
      </c>
      <c r="AE341">
        <f>[1]!survey_responses[[#This Row],[Tôi tin tưởng số tiền thuế tôi đóng sẽ được Nhà nước sử dụng hiệu quả để cải thiện dịch vụ công (y tế, đường xá...). - HUMAN-TRU3]]</f>
        <v>5</v>
      </c>
      <c r="AF341">
        <f t="shared" si="152"/>
        <v>0.44444444444444442</v>
      </c>
      <c r="AG341">
        <f>step3_validation[[#This Row],[AI_TRU4]]</f>
        <v>6</v>
      </c>
      <c r="AH341">
        <f t="shared" si="153"/>
        <v>0.55555555555555558</v>
      </c>
      <c r="AI341">
        <f>[1]!survey_responses[[#This Row],[Tôi thấy Nhà nước đã giải thích rõ ràng, minh bạch về lý do và mục tiêu của việc sửa đổi thuế lần này. - HUMAN-TRU4]]</f>
        <v>8</v>
      </c>
      <c r="AJ341">
        <f t="shared" si="154"/>
        <v>0.77777777777777779</v>
      </c>
      <c r="AK341" s="32">
        <f t="shared" si="155"/>
        <v>0.66666666666666674</v>
      </c>
      <c r="AL341" s="32">
        <f t="shared" si="156"/>
        <v>0.61111111111111116</v>
      </c>
      <c r="AM341" s="7">
        <f t="shared" si="157"/>
        <v>0.66666666666666663</v>
      </c>
      <c r="AN341" s="7">
        <f t="shared" si="158"/>
        <v>0.70370370370370372</v>
      </c>
      <c r="AO341">
        <f>step3_validation[[#This Row],[AI_OUT1]]</f>
        <v>8</v>
      </c>
      <c r="AP341">
        <f t="shared" si="159"/>
        <v>0.77777777777777779</v>
      </c>
      <c r="AQ341">
        <f>[1]!survey_responses[[#This Row],[Sau khi xem xét các quyền lợi và nghĩa vụ, bạn có ủng hộ và tuân thủ chính sách mới hiện nay? - HUMAN-OUT1]]</f>
        <v>8</v>
      </c>
      <c r="AR341">
        <f t="shared" si="160"/>
        <v>0.77777777777777779</v>
      </c>
      <c r="AS341" s="32">
        <f t="shared" si="161"/>
        <v>0</v>
      </c>
    </row>
    <row r="342" spans="1:45" x14ac:dyDescent="0.45">
      <c r="A342">
        <f>step3_validation[[#This Row],[AI_ENF1]]</f>
        <v>7</v>
      </c>
      <c r="B342">
        <f t="shared" si="135"/>
        <v>0.66666666666666663</v>
      </c>
      <c r="C342">
        <f>[1]!survey_responses[[#This Row],[Tôi tin rằng với các quy định quản lý thuế hiện nay, hành vi gian lận hoặc trốn thuế sẽ dễ dàng bị phát hiện và xử lý nghiêm. - HUMAN-ENF1]]</f>
        <v>8</v>
      </c>
      <c r="D342">
        <f t="shared" si="136"/>
        <v>0.77777777777777779</v>
      </c>
      <c r="E342">
        <f>step3_validation[[#This Row],[AI_ENF2]]</f>
        <v>8</v>
      </c>
      <c r="F342">
        <f t="shared" si="137"/>
        <v>0.77777777777777779</v>
      </c>
      <c r="G342">
        <f>[1]!survey_responses[[#This Row],[Tôi tin rằng Nhà nước, cơ quan thuế có đủ khả năng và công nghệ để phát hiện, xử lý nghiêm các hành vi trốn thuế. - HUMAN-ENF2]]</f>
        <v>8</v>
      </c>
      <c r="H342">
        <f t="shared" si="138"/>
        <v>0.77777777777777779</v>
      </c>
      <c r="I342" s="32">
        <f t="shared" si="139"/>
        <v>0.72222222222222221</v>
      </c>
      <c r="J342" s="32">
        <f t="shared" si="140"/>
        <v>0.77777777777777779</v>
      </c>
      <c r="K342">
        <f>step3_validation[[#This Row],[AI_FAC1]]</f>
        <v>6</v>
      </c>
      <c r="L342">
        <f t="shared" si="141"/>
        <v>0.55555555555555558</v>
      </c>
      <c r="M342">
        <f>[1]!survey_responses[[#This Row],[Các thủ tục khai báo thuế VÀ/HOẶC quy trình làm việc với cơ quan thuế đơn giản, tiện lợi, nhanh chóng hơn so với trước đây. - HUMAN-FAC1]]</f>
        <v>8</v>
      </c>
      <c r="N342">
        <f t="shared" si="142"/>
        <v>0.77777777777777779</v>
      </c>
      <c r="O342">
        <f>step3_validation[[#This Row],[AI_FAC2]]</f>
        <v>9</v>
      </c>
      <c r="P342">
        <f t="shared" si="143"/>
        <v>0.88888888888888884</v>
      </c>
      <c r="Q342">
        <f>[1]!survey_responses[[#This Row],[So với trước đây, tôi thấy cách tính thuế và các bậc thuế trong phương án mới đơn giản, dễ hiểu và dễ thực hiện hơn. - HUMAN-FAC2]]</f>
        <v>9</v>
      </c>
      <c r="R342">
        <f t="shared" si="144"/>
        <v>0.88888888888888884</v>
      </c>
      <c r="S342" s="32">
        <f t="shared" si="145"/>
        <v>0.72222222222222221</v>
      </c>
      <c r="T342" s="32">
        <f t="shared" si="146"/>
        <v>0.83333333333333326</v>
      </c>
      <c r="U342">
        <f>step3_validation[[#This Row],[AI_TRU1]]</f>
        <v>5</v>
      </c>
      <c r="V342">
        <f t="shared" si="147"/>
        <v>0.44444444444444442</v>
      </c>
      <c r="W342">
        <f>[1]!survey_responses[[#This Row],[Tôi tin rằng Nhà nước, cơ quan thuế sẽ thực thi chính sách mới một cách khách quan, công tâm và đối xử bình đẳng với mọi người nộp thuế.  - HUMAN-TRU1]]</f>
        <v>8</v>
      </c>
      <c r="X342">
        <f t="shared" si="148"/>
        <v>0.77777777777777779</v>
      </c>
      <c r="Y342">
        <f>step3_validation[[#This Row],[AI_TRU2]]</f>
        <v>7</v>
      </c>
      <c r="Z342">
        <f t="shared" si="149"/>
        <v>0.66666666666666663</v>
      </c>
      <c r="AA342">
        <f>[1]!survey_responses[[#This Row],[Tôi thấy mức thuế tôi phải đóng theo phương án mới là công bằng (người thu nhập như tôi đóng mức này là hợp lý). - HUMAN-TRU2]]</f>
        <v>8</v>
      </c>
      <c r="AB342">
        <f t="shared" si="150"/>
        <v>0.77777777777777779</v>
      </c>
      <c r="AC342">
        <f>step3_validation[[#This Row],[AI_TRU3]]</f>
        <v>6</v>
      </c>
      <c r="AD342">
        <f t="shared" si="151"/>
        <v>0.55555555555555558</v>
      </c>
      <c r="AE342">
        <f>[1]!survey_responses[[#This Row],[Tôi tin tưởng số tiền thuế tôi đóng sẽ được Nhà nước sử dụng hiệu quả để cải thiện dịch vụ công (y tế, đường xá...). - HUMAN-TRU3]]</f>
        <v>7</v>
      </c>
      <c r="AF342">
        <f t="shared" si="152"/>
        <v>0.66666666666666663</v>
      </c>
      <c r="AG342">
        <f>step3_validation[[#This Row],[AI_TRU4]]</f>
        <v>7</v>
      </c>
      <c r="AH342">
        <f t="shared" si="153"/>
        <v>0.66666666666666663</v>
      </c>
      <c r="AI342">
        <f>[1]!survey_responses[[#This Row],[Tôi thấy Nhà nước đã giải thích rõ ràng, minh bạch về lý do và mục tiêu của việc sửa đổi thuế lần này. - HUMAN-TRU4]]</f>
        <v>7</v>
      </c>
      <c r="AJ342">
        <f t="shared" si="154"/>
        <v>0.66666666666666663</v>
      </c>
      <c r="AK342" s="32">
        <f t="shared" si="155"/>
        <v>0.58333333333333337</v>
      </c>
      <c r="AL342" s="32">
        <f t="shared" si="156"/>
        <v>0.72222222222222221</v>
      </c>
      <c r="AM342" s="7">
        <f t="shared" si="157"/>
        <v>0.67592592592592593</v>
      </c>
      <c r="AN342" s="7">
        <f t="shared" si="158"/>
        <v>0.77777777777777779</v>
      </c>
      <c r="AO342">
        <f>step3_validation[[#This Row],[AI_OUT1]]</f>
        <v>6</v>
      </c>
      <c r="AP342">
        <f t="shared" si="159"/>
        <v>0.55555555555555558</v>
      </c>
      <c r="AQ342">
        <f>[1]!survey_responses[[#This Row],[Sau khi xem xét các quyền lợi và nghĩa vụ, bạn có ủng hộ và tuân thủ chính sách mới hiện nay? - HUMAN-OUT1]]</f>
        <v>8</v>
      </c>
      <c r="AR342">
        <f t="shared" si="160"/>
        <v>0.77777777777777779</v>
      </c>
      <c r="AS342" s="32">
        <f t="shared" si="161"/>
        <v>2</v>
      </c>
    </row>
    <row r="343" spans="1:45" x14ac:dyDescent="0.45">
      <c r="A343">
        <f>step3_validation[[#This Row],[AI_ENF1]]</f>
        <v>7</v>
      </c>
      <c r="B343">
        <f t="shared" si="135"/>
        <v>0.66666666666666663</v>
      </c>
      <c r="C343">
        <f>[1]!survey_responses[[#This Row],[Tôi tin rằng với các quy định quản lý thuế hiện nay, hành vi gian lận hoặc trốn thuế sẽ dễ dàng bị phát hiện và xử lý nghiêm. - HUMAN-ENF1]]</f>
        <v>5</v>
      </c>
      <c r="D343">
        <f t="shared" si="136"/>
        <v>0.44444444444444442</v>
      </c>
      <c r="E343">
        <f>step3_validation[[#This Row],[AI_ENF2]]</f>
        <v>8</v>
      </c>
      <c r="F343">
        <f t="shared" si="137"/>
        <v>0.77777777777777779</v>
      </c>
      <c r="G343">
        <f>[1]!survey_responses[[#This Row],[Tôi tin rằng Nhà nước, cơ quan thuế có đủ khả năng và công nghệ để phát hiện, xử lý nghiêm các hành vi trốn thuế. - HUMAN-ENF2]]</f>
        <v>5</v>
      </c>
      <c r="H343">
        <f t="shared" si="138"/>
        <v>0.44444444444444442</v>
      </c>
      <c r="I343" s="32">
        <f t="shared" si="139"/>
        <v>0.72222222222222221</v>
      </c>
      <c r="J343" s="32">
        <f t="shared" si="140"/>
        <v>0.44444444444444442</v>
      </c>
      <c r="K343">
        <f>step3_validation[[#This Row],[AI_FAC1]]</f>
        <v>6</v>
      </c>
      <c r="L343">
        <f t="shared" si="141"/>
        <v>0.55555555555555558</v>
      </c>
      <c r="M343">
        <f>[1]!survey_responses[[#This Row],[Các thủ tục khai báo thuế VÀ/HOẶC quy trình làm việc với cơ quan thuế đơn giản, tiện lợi, nhanh chóng hơn so với trước đây. - HUMAN-FAC1]]</f>
        <v>6</v>
      </c>
      <c r="N343">
        <f t="shared" si="142"/>
        <v>0.55555555555555558</v>
      </c>
      <c r="O343">
        <f>step3_validation[[#This Row],[AI_FAC2]]</f>
        <v>8</v>
      </c>
      <c r="P343">
        <f t="shared" si="143"/>
        <v>0.77777777777777779</v>
      </c>
      <c r="Q343">
        <f>[1]!survey_responses[[#This Row],[So với trước đây, tôi thấy cách tính thuế và các bậc thuế trong phương án mới đơn giản, dễ hiểu và dễ thực hiện hơn. - HUMAN-FAC2]]</f>
        <v>7</v>
      </c>
      <c r="R343">
        <f t="shared" si="144"/>
        <v>0.66666666666666663</v>
      </c>
      <c r="S343" s="32">
        <f t="shared" si="145"/>
        <v>0.66666666666666674</v>
      </c>
      <c r="T343" s="32">
        <f t="shared" si="146"/>
        <v>0.61111111111111116</v>
      </c>
      <c r="U343">
        <f>step3_validation[[#This Row],[AI_TRU1]]</f>
        <v>7</v>
      </c>
      <c r="V343">
        <f t="shared" si="147"/>
        <v>0.66666666666666663</v>
      </c>
      <c r="W343">
        <f>[1]!survey_responses[[#This Row],[Tôi tin rằng Nhà nước, cơ quan thuế sẽ thực thi chính sách mới một cách khách quan, công tâm và đối xử bình đẳng với mọi người nộp thuế.  - HUMAN-TRU1]]</f>
        <v>5</v>
      </c>
      <c r="X343">
        <f t="shared" si="148"/>
        <v>0.44444444444444442</v>
      </c>
      <c r="Y343">
        <f>step3_validation[[#This Row],[AI_TRU2]]</f>
        <v>6</v>
      </c>
      <c r="Z343">
        <f t="shared" si="149"/>
        <v>0.55555555555555558</v>
      </c>
      <c r="AA343">
        <f>[1]!survey_responses[[#This Row],[Tôi thấy mức thuế tôi phải đóng theo phương án mới là công bằng (người thu nhập như tôi đóng mức này là hợp lý). - HUMAN-TRU2]]</f>
        <v>8</v>
      </c>
      <c r="AB343">
        <f t="shared" si="150"/>
        <v>0.77777777777777779</v>
      </c>
      <c r="AC343">
        <f>step3_validation[[#This Row],[AI_TRU3]]</f>
        <v>7</v>
      </c>
      <c r="AD343">
        <f t="shared" si="151"/>
        <v>0.66666666666666663</v>
      </c>
      <c r="AE343">
        <f>[1]!survey_responses[[#This Row],[Tôi tin tưởng số tiền thuế tôi đóng sẽ được Nhà nước sử dụng hiệu quả để cải thiện dịch vụ công (y tế, đường xá...). - HUMAN-TRU3]]</f>
        <v>6</v>
      </c>
      <c r="AF343">
        <f t="shared" si="152"/>
        <v>0.55555555555555558</v>
      </c>
      <c r="AG343">
        <f>step3_validation[[#This Row],[AI_TRU4]]</f>
        <v>5</v>
      </c>
      <c r="AH343">
        <f t="shared" si="153"/>
        <v>0.44444444444444442</v>
      </c>
      <c r="AI343">
        <f>[1]!survey_responses[[#This Row],[Tôi thấy Nhà nước đã giải thích rõ ràng, minh bạch về lý do và mục tiêu của việc sửa đổi thuế lần này. - HUMAN-TRU4]]</f>
        <v>6</v>
      </c>
      <c r="AJ343">
        <f t="shared" si="154"/>
        <v>0.55555555555555558</v>
      </c>
      <c r="AK343" s="32">
        <f t="shared" si="155"/>
        <v>0.58333333333333326</v>
      </c>
      <c r="AL343" s="32">
        <f t="shared" si="156"/>
        <v>0.58333333333333337</v>
      </c>
      <c r="AM343" s="7">
        <f t="shared" si="157"/>
        <v>0.65740740740740733</v>
      </c>
      <c r="AN343" s="7">
        <f t="shared" si="158"/>
        <v>0.54629629629629628</v>
      </c>
      <c r="AO343">
        <f>step3_validation[[#This Row],[AI_OUT1]]</f>
        <v>6</v>
      </c>
      <c r="AP343">
        <f t="shared" si="159"/>
        <v>0.55555555555555558</v>
      </c>
      <c r="AQ343">
        <f>[1]!survey_responses[[#This Row],[Sau khi xem xét các quyền lợi và nghĩa vụ, bạn có ủng hộ và tuân thủ chính sách mới hiện nay? - HUMAN-OUT1]]</f>
        <v>7</v>
      </c>
      <c r="AR343">
        <f t="shared" si="160"/>
        <v>0.66666666666666663</v>
      </c>
      <c r="AS343" s="32">
        <f t="shared" si="161"/>
        <v>1</v>
      </c>
    </row>
    <row r="344" spans="1:45" x14ac:dyDescent="0.45">
      <c r="A344">
        <f>step3_validation[[#This Row],[AI_ENF1]]</f>
        <v>9</v>
      </c>
      <c r="B344">
        <f t="shared" si="135"/>
        <v>0.88888888888888884</v>
      </c>
      <c r="C344">
        <f>[1]!survey_responses[[#This Row],[Tôi tin rằng với các quy định quản lý thuế hiện nay, hành vi gian lận hoặc trốn thuế sẽ dễ dàng bị phát hiện và xử lý nghiêm. - HUMAN-ENF1]]</f>
        <v>7</v>
      </c>
      <c r="D344">
        <f t="shared" si="136"/>
        <v>0.66666666666666663</v>
      </c>
      <c r="E344">
        <f>step3_validation[[#This Row],[AI_ENF2]]</f>
        <v>8</v>
      </c>
      <c r="F344">
        <f t="shared" si="137"/>
        <v>0.77777777777777779</v>
      </c>
      <c r="G344">
        <f>[1]!survey_responses[[#This Row],[Tôi tin rằng Nhà nước, cơ quan thuế có đủ khả năng và công nghệ để phát hiện, xử lý nghiêm các hành vi trốn thuế. - HUMAN-ENF2]]</f>
        <v>7</v>
      </c>
      <c r="H344">
        <f t="shared" si="138"/>
        <v>0.66666666666666663</v>
      </c>
      <c r="I344" s="32">
        <f t="shared" si="139"/>
        <v>0.83333333333333326</v>
      </c>
      <c r="J344" s="32">
        <f t="shared" si="140"/>
        <v>0.66666666666666663</v>
      </c>
      <c r="K344">
        <f>step3_validation[[#This Row],[AI_FAC1]]</f>
        <v>9</v>
      </c>
      <c r="L344">
        <f t="shared" si="141"/>
        <v>0.88888888888888884</v>
      </c>
      <c r="M344">
        <f>[1]!survey_responses[[#This Row],[Các thủ tục khai báo thuế VÀ/HOẶC quy trình làm việc với cơ quan thuế đơn giản, tiện lợi, nhanh chóng hơn so với trước đây. - HUMAN-FAC1]]</f>
        <v>8</v>
      </c>
      <c r="N344">
        <f t="shared" si="142"/>
        <v>0.77777777777777779</v>
      </c>
      <c r="O344">
        <f>step3_validation[[#This Row],[AI_FAC2]]</f>
        <v>8</v>
      </c>
      <c r="P344">
        <f t="shared" si="143"/>
        <v>0.77777777777777779</v>
      </c>
      <c r="Q344">
        <f>[1]!survey_responses[[#This Row],[So với trước đây, tôi thấy cách tính thuế và các bậc thuế trong phương án mới đơn giản, dễ hiểu và dễ thực hiện hơn. - HUMAN-FAC2]]</f>
        <v>7</v>
      </c>
      <c r="R344">
        <f t="shared" si="144"/>
        <v>0.66666666666666663</v>
      </c>
      <c r="S344" s="32">
        <f t="shared" si="145"/>
        <v>0.83333333333333326</v>
      </c>
      <c r="T344" s="32">
        <f t="shared" si="146"/>
        <v>0.72222222222222221</v>
      </c>
      <c r="U344">
        <f>step3_validation[[#This Row],[AI_TRU1]]</f>
        <v>9</v>
      </c>
      <c r="V344">
        <f t="shared" si="147"/>
        <v>0.88888888888888884</v>
      </c>
      <c r="W344">
        <f>[1]!survey_responses[[#This Row],[Tôi tin rằng Nhà nước, cơ quan thuế sẽ thực thi chính sách mới một cách khách quan, công tâm và đối xử bình đẳng với mọi người nộp thuế.  - HUMAN-TRU1]]</f>
        <v>8</v>
      </c>
      <c r="X344">
        <f t="shared" si="148"/>
        <v>0.77777777777777779</v>
      </c>
      <c r="Y344">
        <f>step3_validation[[#This Row],[AI_TRU2]]</f>
        <v>7</v>
      </c>
      <c r="Z344">
        <f t="shared" si="149"/>
        <v>0.66666666666666663</v>
      </c>
      <c r="AA344">
        <f>[1]!survey_responses[[#This Row],[Tôi thấy mức thuế tôi phải đóng theo phương án mới là công bằng (người thu nhập như tôi đóng mức này là hợp lý). - HUMAN-TRU2]]</f>
        <v>8</v>
      </c>
      <c r="AB344">
        <f t="shared" si="150"/>
        <v>0.77777777777777779</v>
      </c>
      <c r="AC344">
        <f>step3_validation[[#This Row],[AI_TRU3]]</f>
        <v>8</v>
      </c>
      <c r="AD344">
        <f t="shared" si="151"/>
        <v>0.77777777777777779</v>
      </c>
      <c r="AE344">
        <f>[1]!survey_responses[[#This Row],[Tôi tin tưởng số tiền thuế tôi đóng sẽ được Nhà nước sử dụng hiệu quả để cải thiện dịch vụ công (y tế, đường xá...). - HUMAN-TRU3]]</f>
        <v>8</v>
      </c>
      <c r="AF344">
        <f t="shared" si="152"/>
        <v>0.77777777777777779</v>
      </c>
      <c r="AG344">
        <f>step3_validation[[#This Row],[AI_TRU4]]</f>
        <v>7</v>
      </c>
      <c r="AH344">
        <f t="shared" si="153"/>
        <v>0.66666666666666663</v>
      </c>
      <c r="AI344">
        <f>[1]!survey_responses[[#This Row],[Tôi thấy Nhà nước đã giải thích rõ ràng, minh bạch về lý do và mục tiêu của việc sửa đổi thuế lần này. - HUMAN-TRU4]]</f>
        <v>7</v>
      </c>
      <c r="AJ344">
        <f t="shared" si="154"/>
        <v>0.66666666666666663</v>
      </c>
      <c r="AK344" s="32">
        <f t="shared" si="155"/>
        <v>0.74999999999999989</v>
      </c>
      <c r="AL344" s="32">
        <f t="shared" si="156"/>
        <v>0.75</v>
      </c>
      <c r="AM344" s="7">
        <f t="shared" si="157"/>
        <v>0.80555555555555547</v>
      </c>
      <c r="AN344" s="7">
        <f t="shared" si="158"/>
        <v>0.71296296296296291</v>
      </c>
      <c r="AO344">
        <f>step3_validation[[#This Row],[AI_OUT1]]</f>
        <v>8</v>
      </c>
      <c r="AP344">
        <f t="shared" si="159"/>
        <v>0.77777777777777779</v>
      </c>
      <c r="AQ344">
        <f>[1]!survey_responses[[#This Row],[Sau khi xem xét các quyền lợi và nghĩa vụ, bạn có ủng hộ và tuân thủ chính sách mới hiện nay? - HUMAN-OUT1]]</f>
        <v>8</v>
      </c>
      <c r="AR344">
        <f t="shared" si="160"/>
        <v>0.77777777777777779</v>
      </c>
      <c r="AS344" s="32">
        <f t="shared" si="161"/>
        <v>0</v>
      </c>
    </row>
    <row r="345" spans="1:45" x14ac:dyDescent="0.45">
      <c r="A345">
        <f>step3_validation[[#This Row],[AI_ENF1]]</f>
        <v>7</v>
      </c>
      <c r="B345">
        <f t="shared" si="135"/>
        <v>0.66666666666666663</v>
      </c>
      <c r="C345">
        <f>[1]!survey_responses[[#This Row],[Tôi tin rằng với các quy định quản lý thuế hiện nay, hành vi gian lận hoặc trốn thuế sẽ dễ dàng bị phát hiện và xử lý nghiêm. - HUMAN-ENF1]]</f>
        <v>7</v>
      </c>
      <c r="D345">
        <f t="shared" si="136"/>
        <v>0.66666666666666663</v>
      </c>
      <c r="E345">
        <f>step3_validation[[#This Row],[AI_ENF2]]</f>
        <v>8</v>
      </c>
      <c r="F345">
        <f t="shared" si="137"/>
        <v>0.77777777777777779</v>
      </c>
      <c r="G345">
        <f>[1]!survey_responses[[#This Row],[Tôi tin rằng Nhà nước, cơ quan thuế có đủ khả năng và công nghệ để phát hiện, xử lý nghiêm các hành vi trốn thuế. - HUMAN-ENF2]]</f>
        <v>7</v>
      </c>
      <c r="H345">
        <f t="shared" si="138"/>
        <v>0.66666666666666663</v>
      </c>
      <c r="I345" s="32">
        <f t="shared" si="139"/>
        <v>0.72222222222222221</v>
      </c>
      <c r="J345" s="32">
        <f t="shared" si="140"/>
        <v>0.66666666666666663</v>
      </c>
      <c r="K345">
        <f>step3_validation[[#This Row],[AI_FAC1]]</f>
        <v>9</v>
      </c>
      <c r="L345">
        <f t="shared" si="141"/>
        <v>0.88888888888888884</v>
      </c>
      <c r="M345">
        <f>[1]!survey_responses[[#This Row],[Các thủ tục khai báo thuế VÀ/HOẶC quy trình làm việc với cơ quan thuế đơn giản, tiện lợi, nhanh chóng hơn so với trước đây. - HUMAN-FAC1]]</f>
        <v>5</v>
      </c>
      <c r="N345">
        <f t="shared" si="142"/>
        <v>0.44444444444444442</v>
      </c>
      <c r="O345">
        <f>step3_validation[[#This Row],[AI_FAC2]]</f>
        <v>8</v>
      </c>
      <c r="P345">
        <f t="shared" si="143"/>
        <v>0.77777777777777779</v>
      </c>
      <c r="Q345">
        <f>[1]!survey_responses[[#This Row],[So với trước đây, tôi thấy cách tính thuế và các bậc thuế trong phương án mới đơn giản, dễ hiểu và dễ thực hiện hơn. - HUMAN-FAC2]]</f>
        <v>8</v>
      </c>
      <c r="R345">
        <f t="shared" si="144"/>
        <v>0.77777777777777779</v>
      </c>
      <c r="S345" s="32">
        <f t="shared" si="145"/>
        <v>0.83333333333333326</v>
      </c>
      <c r="T345" s="32">
        <f t="shared" si="146"/>
        <v>0.61111111111111116</v>
      </c>
      <c r="U345">
        <f>step3_validation[[#This Row],[AI_TRU1]]</f>
        <v>7</v>
      </c>
      <c r="V345">
        <f t="shared" si="147"/>
        <v>0.66666666666666663</v>
      </c>
      <c r="W345">
        <f>[1]!survey_responses[[#This Row],[Tôi tin rằng Nhà nước, cơ quan thuế sẽ thực thi chính sách mới một cách khách quan, công tâm và đối xử bình đẳng với mọi người nộp thuế.  - HUMAN-TRU1]]</f>
        <v>6</v>
      </c>
      <c r="X345">
        <f t="shared" si="148"/>
        <v>0.55555555555555558</v>
      </c>
      <c r="Y345">
        <f>step3_validation[[#This Row],[AI_TRU2]]</f>
        <v>6</v>
      </c>
      <c r="Z345">
        <f t="shared" si="149"/>
        <v>0.55555555555555558</v>
      </c>
      <c r="AA345">
        <f>[1]!survey_responses[[#This Row],[Tôi thấy mức thuế tôi phải đóng theo phương án mới là công bằng (người thu nhập như tôi đóng mức này là hợp lý). - HUMAN-TRU2]]</f>
        <v>5</v>
      </c>
      <c r="AB345">
        <f t="shared" si="150"/>
        <v>0.44444444444444442</v>
      </c>
      <c r="AC345">
        <f>step3_validation[[#This Row],[AI_TRU3]]</f>
        <v>6</v>
      </c>
      <c r="AD345">
        <f t="shared" si="151"/>
        <v>0.55555555555555558</v>
      </c>
      <c r="AE345">
        <f>[1]!survey_responses[[#This Row],[Tôi tin tưởng số tiền thuế tôi đóng sẽ được Nhà nước sử dụng hiệu quả để cải thiện dịch vụ công (y tế, đường xá...). - HUMAN-TRU3]]</f>
        <v>5</v>
      </c>
      <c r="AF345">
        <f t="shared" si="152"/>
        <v>0.44444444444444442</v>
      </c>
      <c r="AG345">
        <f>step3_validation[[#This Row],[AI_TRU4]]</f>
        <v>5</v>
      </c>
      <c r="AH345">
        <f t="shared" si="153"/>
        <v>0.44444444444444442</v>
      </c>
      <c r="AI345">
        <f>[1]!survey_responses[[#This Row],[Tôi thấy Nhà nước đã giải thích rõ ràng, minh bạch về lý do và mục tiêu của việc sửa đổi thuế lần này. - HUMAN-TRU4]]</f>
        <v>6</v>
      </c>
      <c r="AJ345">
        <f t="shared" si="154"/>
        <v>0.55555555555555558</v>
      </c>
      <c r="AK345" s="32">
        <f t="shared" si="155"/>
        <v>0.55555555555555558</v>
      </c>
      <c r="AL345" s="32">
        <f t="shared" si="156"/>
        <v>0.5</v>
      </c>
      <c r="AM345" s="7">
        <f t="shared" si="157"/>
        <v>0.70370370370370361</v>
      </c>
      <c r="AN345" s="7">
        <f t="shared" si="158"/>
        <v>0.59259259259259256</v>
      </c>
      <c r="AO345">
        <f>step3_validation[[#This Row],[AI_OUT1]]</f>
        <v>6</v>
      </c>
      <c r="AP345">
        <f t="shared" si="159"/>
        <v>0.55555555555555558</v>
      </c>
      <c r="AQ345">
        <f>[1]!survey_responses[[#This Row],[Sau khi xem xét các quyền lợi và nghĩa vụ, bạn có ủng hộ và tuân thủ chính sách mới hiện nay? - HUMAN-OUT1]]</f>
        <v>5</v>
      </c>
      <c r="AR345">
        <f t="shared" si="160"/>
        <v>0.44444444444444442</v>
      </c>
      <c r="AS345" s="32">
        <f t="shared" si="161"/>
        <v>1</v>
      </c>
    </row>
    <row r="346" spans="1:45" x14ac:dyDescent="0.45">
      <c r="A346">
        <f>step3_validation[[#This Row],[AI_ENF1]]</f>
        <v>8</v>
      </c>
      <c r="B346">
        <f t="shared" si="135"/>
        <v>0.77777777777777779</v>
      </c>
      <c r="C346">
        <f>[1]!survey_responses[[#This Row],[Tôi tin rằng với các quy định quản lý thuế hiện nay, hành vi gian lận hoặc trốn thuế sẽ dễ dàng bị phát hiện và xử lý nghiêm. - HUMAN-ENF1]]</f>
        <v>7</v>
      </c>
      <c r="D346">
        <f t="shared" si="136"/>
        <v>0.66666666666666663</v>
      </c>
      <c r="E346">
        <f>step3_validation[[#This Row],[AI_ENF2]]</f>
        <v>9</v>
      </c>
      <c r="F346">
        <f t="shared" si="137"/>
        <v>0.88888888888888884</v>
      </c>
      <c r="G346">
        <f>[1]!survey_responses[[#This Row],[Tôi tin rằng Nhà nước, cơ quan thuế có đủ khả năng và công nghệ để phát hiện, xử lý nghiêm các hành vi trốn thuế. - HUMAN-ENF2]]</f>
        <v>7</v>
      </c>
      <c r="H346">
        <f t="shared" si="138"/>
        <v>0.66666666666666663</v>
      </c>
      <c r="I346" s="32">
        <f t="shared" si="139"/>
        <v>0.83333333333333326</v>
      </c>
      <c r="J346" s="32">
        <f t="shared" si="140"/>
        <v>0.66666666666666663</v>
      </c>
      <c r="K346">
        <f>step3_validation[[#This Row],[AI_FAC1]]</f>
        <v>7</v>
      </c>
      <c r="L346">
        <f t="shared" si="141"/>
        <v>0.66666666666666663</v>
      </c>
      <c r="M346">
        <f>[1]!survey_responses[[#This Row],[Các thủ tục khai báo thuế VÀ/HOẶC quy trình làm việc với cơ quan thuế đơn giản, tiện lợi, nhanh chóng hơn so với trước đây. - HUMAN-FAC1]]</f>
        <v>5</v>
      </c>
      <c r="N346">
        <f t="shared" si="142"/>
        <v>0.44444444444444442</v>
      </c>
      <c r="O346">
        <f>step3_validation[[#This Row],[AI_FAC2]]</f>
        <v>8</v>
      </c>
      <c r="P346">
        <f t="shared" si="143"/>
        <v>0.77777777777777779</v>
      </c>
      <c r="Q346">
        <f>[1]!survey_responses[[#This Row],[So với trước đây, tôi thấy cách tính thuế và các bậc thuế trong phương án mới đơn giản, dễ hiểu và dễ thực hiện hơn. - HUMAN-FAC2]]</f>
        <v>8</v>
      </c>
      <c r="R346">
        <f t="shared" si="144"/>
        <v>0.77777777777777779</v>
      </c>
      <c r="S346" s="32">
        <f t="shared" si="145"/>
        <v>0.72222222222222221</v>
      </c>
      <c r="T346" s="32">
        <f t="shared" si="146"/>
        <v>0.61111111111111116</v>
      </c>
      <c r="U346">
        <f>step3_validation[[#This Row],[AI_TRU1]]</f>
        <v>7</v>
      </c>
      <c r="V346">
        <f t="shared" si="147"/>
        <v>0.66666666666666663</v>
      </c>
      <c r="W346">
        <f>[1]!survey_responses[[#This Row],[Tôi tin rằng Nhà nước, cơ quan thuế sẽ thực thi chính sách mới một cách khách quan, công tâm và đối xử bình đẳng với mọi người nộp thuế.  - HUMAN-TRU1]]</f>
        <v>7</v>
      </c>
      <c r="X346">
        <f t="shared" si="148"/>
        <v>0.66666666666666663</v>
      </c>
      <c r="Y346">
        <f>step3_validation[[#This Row],[AI_TRU2]]</f>
        <v>8</v>
      </c>
      <c r="Z346">
        <f t="shared" si="149"/>
        <v>0.77777777777777779</v>
      </c>
      <c r="AA346">
        <f>[1]!survey_responses[[#This Row],[Tôi thấy mức thuế tôi phải đóng theo phương án mới là công bằng (người thu nhập như tôi đóng mức này là hợp lý). - HUMAN-TRU2]]</f>
        <v>7</v>
      </c>
      <c r="AB346">
        <f t="shared" si="150"/>
        <v>0.66666666666666663</v>
      </c>
      <c r="AC346">
        <f>step3_validation[[#This Row],[AI_TRU3]]</f>
        <v>7</v>
      </c>
      <c r="AD346">
        <f t="shared" si="151"/>
        <v>0.66666666666666663</v>
      </c>
      <c r="AE346">
        <f>[1]!survey_responses[[#This Row],[Tôi tin tưởng số tiền thuế tôi đóng sẽ được Nhà nước sử dụng hiệu quả để cải thiện dịch vụ công (y tế, đường xá...). - HUMAN-TRU3]]</f>
        <v>6</v>
      </c>
      <c r="AF346">
        <f t="shared" si="152"/>
        <v>0.55555555555555558</v>
      </c>
      <c r="AG346">
        <f>step3_validation[[#This Row],[AI_TRU4]]</f>
        <v>6</v>
      </c>
      <c r="AH346">
        <f t="shared" si="153"/>
        <v>0.55555555555555558</v>
      </c>
      <c r="AI346">
        <f>[1]!survey_responses[[#This Row],[Tôi thấy Nhà nước đã giải thích rõ ràng, minh bạch về lý do và mục tiêu của việc sửa đổi thuế lần này. - HUMAN-TRU4]]</f>
        <v>7</v>
      </c>
      <c r="AJ346">
        <f t="shared" si="154"/>
        <v>0.66666666666666663</v>
      </c>
      <c r="AK346" s="32">
        <f t="shared" si="155"/>
        <v>0.66666666666666674</v>
      </c>
      <c r="AL346" s="32">
        <f t="shared" si="156"/>
        <v>0.63888888888888884</v>
      </c>
      <c r="AM346" s="7">
        <f t="shared" si="157"/>
        <v>0.74074074074074081</v>
      </c>
      <c r="AN346" s="7">
        <f t="shared" si="158"/>
        <v>0.63888888888888884</v>
      </c>
      <c r="AO346">
        <f>step3_validation[[#This Row],[AI_OUT1]]</f>
        <v>7</v>
      </c>
      <c r="AP346">
        <f t="shared" si="159"/>
        <v>0.66666666666666663</v>
      </c>
      <c r="AQ346">
        <f>[1]!survey_responses[[#This Row],[Sau khi xem xét các quyền lợi và nghĩa vụ, bạn có ủng hộ và tuân thủ chính sách mới hiện nay? - HUMAN-OUT1]]</f>
        <v>7</v>
      </c>
      <c r="AR346">
        <f t="shared" si="160"/>
        <v>0.66666666666666663</v>
      </c>
      <c r="AS346" s="32">
        <f t="shared" si="161"/>
        <v>0</v>
      </c>
    </row>
    <row r="347" spans="1:45" x14ac:dyDescent="0.45">
      <c r="A347">
        <f>step3_validation[[#This Row],[AI_ENF1]]</f>
        <v>8</v>
      </c>
      <c r="B347">
        <f t="shared" si="135"/>
        <v>0.77777777777777779</v>
      </c>
      <c r="C347">
        <f>[1]!survey_responses[[#This Row],[Tôi tin rằng với các quy định quản lý thuế hiện nay, hành vi gian lận hoặc trốn thuế sẽ dễ dàng bị phát hiện và xử lý nghiêm. - HUMAN-ENF1]]</f>
        <v>9</v>
      </c>
      <c r="D347">
        <f t="shared" si="136"/>
        <v>0.88888888888888884</v>
      </c>
      <c r="E347">
        <f>step3_validation[[#This Row],[AI_ENF2]]</f>
        <v>7</v>
      </c>
      <c r="F347">
        <f t="shared" si="137"/>
        <v>0.66666666666666663</v>
      </c>
      <c r="G347">
        <f>[1]!survey_responses[[#This Row],[Tôi tin rằng Nhà nước, cơ quan thuế có đủ khả năng và công nghệ để phát hiện, xử lý nghiêm các hành vi trốn thuế. - HUMAN-ENF2]]</f>
        <v>8</v>
      </c>
      <c r="H347">
        <f t="shared" si="138"/>
        <v>0.77777777777777779</v>
      </c>
      <c r="I347" s="32">
        <f t="shared" si="139"/>
        <v>0.72222222222222221</v>
      </c>
      <c r="J347" s="32">
        <f t="shared" si="140"/>
        <v>0.83333333333333326</v>
      </c>
      <c r="K347">
        <f>step3_validation[[#This Row],[AI_FAC1]]</f>
        <v>6</v>
      </c>
      <c r="L347">
        <f t="shared" si="141"/>
        <v>0.55555555555555558</v>
      </c>
      <c r="M347">
        <f>[1]!survey_responses[[#This Row],[Các thủ tục khai báo thuế VÀ/HOẶC quy trình làm việc với cơ quan thuế đơn giản, tiện lợi, nhanh chóng hơn so với trước đây. - HUMAN-FAC1]]</f>
        <v>8</v>
      </c>
      <c r="N347">
        <f t="shared" si="142"/>
        <v>0.77777777777777779</v>
      </c>
      <c r="O347">
        <f>step3_validation[[#This Row],[AI_FAC2]]</f>
        <v>8</v>
      </c>
      <c r="P347">
        <f t="shared" si="143"/>
        <v>0.77777777777777779</v>
      </c>
      <c r="Q347">
        <f>[1]!survey_responses[[#This Row],[So với trước đây, tôi thấy cách tính thuế và các bậc thuế trong phương án mới đơn giản, dễ hiểu và dễ thực hiện hơn. - HUMAN-FAC2]]</f>
        <v>9</v>
      </c>
      <c r="R347">
        <f t="shared" si="144"/>
        <v>0.88888888888888884</v>
      </c>
      <c r="S347" s="32">
        <f t="shared" si="145"/>
        <v>0.66666666666666674</v>
      </c>
      <c r="T347" s="32">
        <f t="shared" si="146"/>
        <v>0.83333333333333326</v>
      </c>
      <c r="U347">
        <f>step3_validation[[#This Row],[AI_TRU1]]</f>
        <v>7</v>
      </c>
      <c r="V347">
        <f t="shared" si="147"/>
        <v>0.66666666666666663</v>
      </c>
      <c r="W347">
        <f>[1]!survey_responses[[#This Row],[Tôi tin rằng Nhà nước, cơ quan thuế sẽ thực thi chính sách mới một cách khách quan, công tâm và đối xử bình đẳng với mọi người nộp thuế.  - HUMAN-TRU1]]</f>
        <v>7</v>
      </c>
      <c r="X347">
        <f t="shared" si="148"/>
        <v>0.66666666666666663</v>
      </c>
      <c r="Y347">
        <f>step3_validation[[#This Row],[AI_TRU2]]</f>
        <v>8</v>
      </c>
      <c r="Z347">
        <f t="shared" si="149"/>
        <v>0.77777777777777779</v>
      </c>
      <c r="AA347">
        <f>[1]!survey_responses[[#This Row],[Tôi thấy mức thuế tôi phải đóng theo phương án mới là công bằng (người thu nhập như tôi đóng mức này là hợp lý). - HUMAN-TRU2]]</f>
        <v>8</v>
      </c>
      <c r="AB347">
        <f t="shared" si="150"/>
        <v>0.77777777777777779</v>
      </c>
      <c r="AC347">
        <f>step3_validation[[#This Row],[AI_TRU3]]</f>
        <v>6</v>
      </c>
      <c r="AD347">
        <f t="shared" si="151"/>
        <v>0.55555555555555558</v>
      </c>
      <c r="AE347">
        <f>[1]!survey_responses[[#This Row],[Tôi tin tưởng số tiền thuế tôi đóng sẽ được Nhà nước sử dụng hiệu quả để cải thiện dịch vụ công (y tế, đường xá...). - HUMAN-TRU3]]</f>
        <v>7</v>
      </c>
      <c r="AF347">
        <f t="shared" si="152"/>
        <v>0.66666666666666663</v>
      </c>
      <c r="AG347">
        <f>step3_validation[[#This Row],[AI_TRU4]]</f>
        <v>5</v>
      </c>
      <c r="AH347">
        <f t="shared" si="153"/>
        <v>0.44444444444444442</v>
      </c>
      <c r="AI347">
        <f>[1]!survey_responses[[#This Row],[Tôi thấy Nhà nước đã giải thích rõ ràng, minh bạch về lý do và mục tiêu của việc sửa đổi thuế lần này. - HUMAN-TRU4]]</f>
        <v>7</v>
      </c>
      <c r="AJ347">
        <f t="shared" si="154"/>
        <v>0.66666666666666663</v>
      </c>
      <c r="AK347" s="32">
        <f t="shared" si="155"/>
        <v>0.61111111111111116</v>
      </c>
      <c r="AL347" s="32">
        <f t="shared" si="156"/>
        <v>0.69444444444444442</v>
      </c>
      <c r="AM347" s="7">
        <f t="shared" si="157"/>
        <v>0.66666666666666663</v>
      </c>
      <c r="AN347" s="7">
        <f t="shared" si="158"/>
        <v>0.78703703703703687</v>
      </c>
      <c r="AO347">
        <f>step3_validation[[#This Row],[AI_OUT1]]</f>
        <v>6</v>
      </c>
      <c r="AP347">
        <f t="shared" si="159"/>
        <v>0.55555555555555558</v>
      </c>
      <c r="AQ347">
        <f>[1]!survey_responses[[#This Row],[Sau khi xem xét các quyền lợi và nghĩa vụ, bạn có ủng hộ và tuân thủ chính sách mới hiện nay? - HUMAN-OUT1]]</f>
        <v>8</v>
      </c>
      <c r="AR347">
        <f t="shared" si="160"/>
        <v>0.77777777777777779</v>
      </c>
      <c r="AS347" s="32">
        <f t="shared" si="161"/>
        <v>2</v>
      </c>
    </row>
    <row r="348" spans="1:45" x14ac:dyDescent="0.45">
      <c r="A348">
        <f>step3_validation[[#This Row],[AI_ENF1]]</f>
        <v>8</v>
      </c>
      <c r="B348">
        <f t="shared" si="135"/>
        <v>0.77777777777777779</v>
      </c>
      <c r="C348">
        <f>[1]!survey_responses[[#This Row],[Tôi tin rằng với các quy định quản lý thuế hiện nay, hành vi gian lận hoặc trốn thuế sẽ dễ dàng bị phát hiện và xử lý nghiêm. - HUMAN-ENF1]]</f>
        <v>8</v>
      </c>
      <c r="D348">
        <f t="shared" si="136"/>
        <v>0.77777777777777779</v>
      </c>
      <c r="E348">
        <f>step3_validation[[#This Row],[AI_ENF2]]</f>
        <v>9</v>
      </c>
      <c r="F348">
        <f t="shared" si="137"/>
        <v>0.88888888888888884</v>
      </c>
      <c r="G348">
        <f>[1]!survey_responses[[#This Row],[Tôi tin rằng Nhà nước, cơ quan thuế có đủ khả năng và công nghệ để phát hiện, xử lý nghiêm các hành vi trốn thuế. - HUMAN-ENF2]]</f>
        <v>8</v>
      </c>
      <c r="H348">
        <f t="shared" si="138"/>
        <v>0.77777777777777779</v>
      </c>
      <c r="I348" s="32">
        <f t="shared" si="139"/>
        <v>0.83333333333333326</v>
      </c>
      <c r="J348" s="32">
        <f t="shared" si="140"/>
        <v>0.77777777777777779</v>
      </c>
      <c r="K348">
        <f>step3_validation[[#This Row],[AI_FAC1]]</f>
        <v>7</v>
      </c>
      <c r="L348">
        <f t="shared" si="141"/>
        <v>0.66666666666666663</v>
      </c>
      <c r="M348">
        <f>[1]!survey_responses[[#This Row],[Các thủ tục khai báo thuế VÀ/HOẶC quy trình làm việc với cơ quan thuế đơn giản, tiện lợi, nhanh chóng hơn so với trước đây. - HUMAN-FAC1]]</f>
        <v>7</v>
      </c>
      <c r="N348">
        <f t="shared" si="142"/>
        <v>0.66666666666666663</v>
      </c>
      <c r="O348">
        <f>step3_validation[[#This Row],[AI_FAC2]]</f>
        <v>8</v>
      </c>
      <c r="P348">
        <f t="shared" si="143"/>
        <v>0.77777777777777779</v>
      </c>
      <c r="Q348">
        <f>[1]!survey_responses[[#This Row],[So với trước đây, tôi thấy cách tính thuế và các bậc thuế trong phương án mới đơn giản, dễ hiểu và dễ thực hiện hơn. - HUMAN-FAC2]]</f>
        <v>8</v>
      </c>
      <c r="R348">
        <f t="shared" si="144"/>
        <v>0.77777777777777779</v>
      </c>
      <c r="S348" s="32">
        <f t="shared" si="145"/>
        <v>0.72222222222222221</v>
      </c>
      <c r="T348" s="32">
        <f t="shared" si="146"/>
        <v>0.72222222222222221</v>
      </c>
      <c r="U348">
        <f>step3_validation[[#This Row],[AI_TRU1]]</f>
        <v>7</v>
      </c>
      <c r="V348">
        <f t="shared" si="147"/>
        <v>0.66666666666666663</v>
      </c>
      <c r="W348">
        <f>[1]!survey_responses[[#This Row],[Tôi tin rằng Nhà nước, cơ quan thuế sẽ thực thi chính sách mới một cách khách quan, công tâm và đối xử bình đẳng với mọi người nộp thuế.  - HUMAN-TRU1]]</f>
        <v>6</v>
      </c>
      <c r="X348">
        <f t="shared" si="148"/>
        <v>0.55555555555555558</v>
      </c>
      <c r="Y348">
        <f>step3_validation[[#This Row],[AI_TRU2]]</f>
        <v>8</v>
      </c>
      <c r="Z348">
        <f t="shared" si="149"/>
        <v>0.77777777777777779</v>
      </c>
      <c r="AA348">
        <f>[1]!survey_responses[[#This Row],[Tôi thấy mức thuế tôi phải đóng theo phương án mới là công bằng (người thu nhập như tôi đóng mức này là hợp lý). - HUMAN-TRU2]]</f>
        <v>8</v>
      </c>
      <c r="AB348">
        <f t="shared" si="150"/>
        <v>0.77777777777777779</v>
      </c>
      <c r="AC348">
        <f>step3_validation[[#This Row],[AI_TRU3]]</f>
        <v>7</v>
      </c>
      <c r="AD348">
        <f t="shared" si="151"/>
        <v>0.66666666666666663</v>
      </c>
      <c r="AE348">
        <f>[1]!survey_responses[[#This Row],[Tôi tin tưởng số tiền thuế tôi đóng sẽ được Nhà nước sử dụng hiệu quả để cải thiện dịch vụ công (y tế, đường xá...). - HUMAN-TRU3]]</f>
        <v>6</v>
      </c>
      <c r="AF348">
        <f t="shared" si="152"/>
        <v>0.55555555555555558</v>
      </c>
      <c r="AG348">
        <f>step3_validation[[#This Row],[AI_TRU4]]</f>
        <v>6</v>
      </c>
      <c r="AH348">
        <f t="shared" si="153"/>
        <v>0.55555555555555558</v>
      </c>
      <c r="AI348">
        <f>[1]!survey_responses[[#This Row],[Tôi thấy Nhà nước đã giải thích rõ ràng, minh bạch về lý do và mục tiêu của việc sửa đổi thuế lần này. - HUMAN-TRU4]]</f>
        <v>6</v>
      </c>
      <c r="AJ348">
        <f t="shared" si="154"/>
        <v>0.55555555555555558</v>
      </c>
      <c r="AK348" s="32">
        <f t="shared" si="155"/>
        <v>0.66666666666666674</v>
      </c>
      <c r="AL348" s="32">
        <f t="shared" si="156"/>
        <v>0.61111111111111116</v>
      </c>
      <c r="AM348" s="7">
        <f t="shared" si="157"/>
        <v>0.74074074074074081</v>
      </c>
      <c r="AN348" s="7">
        <f t="shared" si="158"/>
        <v>0.70370370370370372</v>
      </c>
      <c r="AO348">
        <f>step3_validation[[#This Row],[AI_OUT1]]</f>
        <v>8</v>
      </c>
      <c r="AP348">
        <f t="shared" si="159"/>
        <v>0.77777777777777779</v>
      </c>
      <c r="AQ348">
        <f>[1]!survey_responses[[#This Row],[Sau khi xem xét các quyền lợi và nghĩa vụ, bạn có ủng hộ và tuân thủ chính sách mới hiện nay? - HUMAN-OUT1]]</f>
        <v>8</v>
      </c>
      <c r="AR348">
        <f t="shared" si="160"/>
        <v>0.77777777777777779</v>
      </c>
      <c r="AS348" s="32">
        <f t="shared" si="161"/>
        <v>0</v>
      </c>
    </row>
    <row r="349" spans="1:45" x14ac:dyDescent="0.45">
      <c r="A349">
        <f>step3_validation[[#This Row],[AI_ENF1]]</f>
        <v>7</v>
      </c>
      <c r="B349">
        <f t="shared" si="135"/>
        <v>0.66666666666666663</v>
      </c>
      <c r="C349">
        <f>[1]!survey_responses[[#This Row],[Tôi tin rằng với các quy định quản lý thuế hiện nay, hành vi gian lận hoặc trốn thuế sẽ dễ dàng bị phát hiện và xử lý nghiêm. - HUMAN-ENF1]]</f>
        <v>8</v>
      </c>
      <c r="D349">
        <f t="shared" si="136"/>
        <v>0.77777777777777779</v>
      </c>
      <c r="E349">
        <f>step3_validation[[#This Row],[AI_ENF2]]</f>
        <v>8</v>
      </c>
      <c r="F349">
        <f t="shared" si="137"/>
        <v>0.77777777777777779</v>
      </c>
      <c r="G349">
        <f>[1]!survey_responses[[#This Row],[Tôi tin rằng Nhà nước, cơ quan thuế có đủ khả năng và công nghệ để phát hiện, xử lý nghiêm các hành vi trốn thuế. - HUMAN-ENF2]]</f>
        <v>8</v>
      </c>
      <c r="H349">
        <f t="shared" si="138"/>
        <v>0.77777777777777779</v>
      </c>
      <c r="I349" s="32">
        <f t="shared" si="139"/>
        <v>0.72222222222222221</v>
      </c>
      <c r="J349" s="32">
        <f t="shared" si="140"/>
        <v>0.77777777777777779</v>
      </c>
      <c r="K349">
        <f>step3_validation[[#This Row],[AI_FAC1]]</f>
        <v>6</v>
      </c>
      <c r="L349">
        <f t="shared" si="141"/>
        <v>0.55555555555555558</v>
      </c>
      <c r="M349">
        <f>[1]!survey_responses[[#This Row],[Các thủ tục khai báo thuế VÀ/HOẶC quy trình làm việc với cơ quan thuế đơn giản, tiện lợi, nhanh chóng hơn so với trước đây. - HUMAN-FAC1]]</f>
        <v>7</v>
      </c>
      <c r="N349">
        <f t="shared" si="142"/>
        <v>0.66666666666666663</v>
      </c>
      <c r="O349">
        <f>step3_validation[[#This Row],[AI_FAC2]]</f>
        <v>9</v>
      </c>
      <c r="P349">
        <f t="shared" si="143"/>
        <v>0.88888888888888884</v>
      </c>
      <c r="Q349">
        <f>[1]!survey_responses[[#This Row],[So với trước đây, tôi thấy cách tính thuế và các bậc thuế trong phương án mới đơn giản, dễ hiểu và dễ thực hiện hơn. - HUMAN-FAC2]]</f>
        <v>7</v>
      </c>
      <c r="R349">
        <f t="shared" si="144"/>
        <v>0.66666666666666663</v>
      </c>
      <c r="S349" s="32">
        <f t="shared" si="145"/>
        <v>0.72222222222222221</v>
      </c>
      <c r="T349" s="32">
        <f t="shared" si="146"/>
        <v>0.66666666666666663</v>
      </c>
      <c r="U349">
        <f>step3_validation[[#This Row],[AI_TRU1]]</f>
        <v>8</v>
      </c>
      <c r="V349">
        <f t="shared" si="147"/>
        <v>0.77777777777777779</v>
      </c>
      <c r="W349">
        <f>[1]!survey_responses[[#This Row],[Tôi tin rằng Nhà nước, cơ quan thuế sẽ thực thi chính sách mới một cách khách quan, công tâm và đối xử bình đẳng với mọi người nộp thuế.  - HUMAN-TRU1]]</f>
        <v>6</v>
      </c>
      <c r="X349">
        <f t="shared" si="148"/>
        <v>0.55555555555555558</v>
      </c>
      <c r="Y349">
        <f>step3_validation[[#This Row],[AI_TRU2]]</f>
        <v>7</v>
      </c>
      <c r="Z349">
        <f t="shared" si="149"/>
        <v>0.66666666666666663</v>
      </c>
      <c r="AA349">
        <f>[1]!survey_responses[[#This Row],[Tôi thấy mức thuế tôi phải đóng theo phương án mới là công bằng (người thu nhập như tôi đóng mức này là hợp lý). - HUMAN-TRU2]]</f>
        <v>7</v>
      </c>
      <c r="AB349">
        <f t="shared" si="150"/>
        <v>0.66666666666666663</v>
      </c>
      <c r="AC349">
        <f>step3_validation[[#This Row],[AI_TRU3]]</f>
        <v>6</v>
      </c>
      <c r="AD349">
        <f t="shared" si="151"/>
        <v>0.55555555555555558</v>
      </c>
      <c r="AE349">
        <f>[1]!survey_responses[[#This Row],[Tôi tin tưởng số tiền thuế tôi đóng sẽ được Nhà nước sử dụng hiệu quả để cải thiện dịch vụ công (y tế, đường xá...). - HUMAN-TRU3]]</f>
        <v>6</v>
      </c>
      <c r="AF349">
        <f t="shared" si="152"/>
        <v>0.55555555555555558</v>
      </c>
      <c r="AG349">
        <f>step3_validation[[#This Row],[AI_TRU4]]</f>
        <v>7</v>
      </c>
      <c r="AH349">
        <f t="shared" si="153"/>
        <v>0.66666666666666663</v>
      </c>
      <c r="AI349">
        <f>[1]!survey_responses[[#This Row],[Tôi thấy Nhà nước đã giải thích rõ ràng, minh bạch về lý do và mục tiêu của việc sửa đổi thuế lần này. - HUMAN-TRU4]]</f>
        <v>6</v>
      </c>
      <c r="AJ349">
        <f t="shared" si="154"/>
        <v>0.55555555555555558</v>
      </c>
      <c r="AK349" s="32">
        <f t="shared" si="155"/>
        <v>0.66666666666666663</v>
      </c>
      <c r="AL349" s="32">
        <f t="shared" si="156"/>
        <v>0.58333333333333337</v>
      </c>
      <c r="AM349" s="7">
        <f t="shared" si="157"/>
        <v>0.70370370370370372</v>
      </c>
      <c r="AN349" s="7">
        <f t="shared" si="158"/>
        <v>0.67592592592592593</v>
      </c>
      <c r="AO349">
        <f>step3_validation[[#This Row],[AI_OUT1]]</f>
        <v>8</v>
      </c>
      <c r="AP349">
        <f t="shared" si="159"/>
        <v>0.77777777777777779</v>
      </c>
      <c r="AQ349">
        <f>[1]!survey_responses[[#This Row],[Sau khi xem xét các quyền lợi và nghĩa vụ, bạn có ủng hộ và tuân thủ chính sách mới hiện nay? - HUMAN-OUT1]]</f>
        <v>7</v>
      </c>
      <c r="AR349">
        <f t="shared" si="160"/>
        <v>0.66666666666666663</v>
      </c>
      <c r="AS349" s="32">
        <f t="shared" si="161"/>
        <v>1</v>
      </c>
    </row>
    <row r="350" spans="1:45" x14ac:dyDescent="0.45">
      <c r="A350">
        <f>step3_validation[[#This Row],[AI_ENF1]]</f>
        <v>7</v>
      </c>
      <c r="B350">
        <f t="shared" si="135"/>
        <v>0.66666666666666663</v>
      </c>
      <c r="C350">
        <f>[1]!survey_responses[[#This Row],[Tôi tin rằng với các quy định quản lý thuế hiện nay, hành vi gian lận hoặc trốn thuế sẽ dễ dàng bị phát hiện và xử lý nghiêm. - HUMAN-ENF1]]</f>
        <v>4</v>
      </c>
      <c r="D350">
        <f t="shared" si="136"/>
        <v>0.33333333333333331</v>
      </c>
      <c r="E350">
        <f>step3_validation[[#This Row],[AI_ENF2]]</f>
        <v>8</v>
      </c>
      <c r="F350">
        <f t="shared" si="137"/>
        <v>0.77777777777777779</v>
      </c>
      <c r="G350">
        <f>[1]!survey_responses[[#This Row],[Tôi tin rằng Nhà nước, cơ quan thuế có đủ khả năng và công nghệ để phát hiện, xử lý nghiêm các hành vi trốn thuế. - HUMAN-ENF2]]</f>
        <v>4</v>
      </c>
      <c r="H350">
        <f t="shared" si="138"/>
        <v>0.33333333333333331</v>
      </c>
      <c r="I350" s="32">
        <f t="shared" si="139"/>
        <v>0.72222222222222221</v>
      </c>
      <c r="J350" s="32">
        <f t="shared" si="140"/>
        <v>0.33333333333333331</v>
      </c>
      <c r="K350">
        <f>step3_validation[[#This Row],[AI_FAC1]]</f>
        <v>6</v>
      </c>
      <c r="L350">
        <f t="shared" si="141"/>
        <v>0.55555555555555558</v>
      </c>
      <c r="M350">
        <f>[1]!survey_responses[[#This Row],[Các thủ tục khai báo thuế VÀ/HOẶC quy trình làm việc với cơ quan thuế đơn giản, tiện lợi, nhanh chóng hơn so với trước đây. - HUMAN-FAC1]]</f>
        <v>5</v>
      </c>
      <c r="N350">
        <f t="shared" si="142"/>
        <v>0.44444444444444442</v>
      </c>
      <c r="O350">
        <f>step3_validation[[#This Row],[AI_FAC2]]</f>
        <v>8</v>
      </c>
      <c r="P350">
        <f t="shared" si="143"/>
        <v>0.77777777777777779</v>
      </c>
      <c r="Q350">
        <f>[1]!survey_responses[[#This Row],[So với trước đây, tôi thấy cách tính thuế và các bậc thuế trong phương án mới đơn giản, dễ hiểu và dễ thực hiện hơn. - HUMAN-FAC2]]</f>
        <v>7</v>
      </c>
      <c r="R350">
        <f t="shared" si="144"/>
        <v>0.66666666666666663</v>
      </c>
      <c r="S350" s="32">
        <f t="shared" si="145"/>
        <v>0.66666666666666674</v>
      </c>
      <c r="T350" s="32">
        <f t="shared" si="146"/>
        <v>0.55555555555555558</v>
      </c>
      <c r="U350">
        <f>step3_validation[[#This Row],[AI_TRU1]]</f>
        <v>9</v>
      </c>
      <c r="V350">
        <f t="shared" si="147"/>
        <v>0.88888888888888884</v>
      </c>
      <c r="W350">
        <f>[1]!survey_responses[[#This Row],[Tôi tin rằng Nhà nước, cơ quan thuế sẽ thực thi chính sách mới một cách khách quan, công tâm và đối xử bình đẳng với mọi người nộp thuế.  - HUMAN-TRU1]]</f>
        <v>5</v>
      </c>
      <c r="X350">
        <f t="shared" si="148"/>
        <v>0.44444444444444442</v>
      </c>
      <c r="Y350">
        <f>step3_validation[[#This Row],[AI_TRU2]]</f>
        <v>7</v>
      </c>
      <c r="Z350">
        <f t="shared" si="149"/>
        <v>0.66666666666666663</v>
      </c>
      <c r="AA350">
        <f>[1]!survey_responses[[#This Row],[Tôi thấy mức thuế tôi phải đóng theo phương án mới là công bằng (người thu nhập như tôi đóng mức này là hợp lý). - HUMAN-TRU2]]</f>
        <v>6</v>
      </c>
      <c r="AB350">
        <f t="shared" si="150"/>
        <v>0.55555555555555558</v>
      </c>
      <c r="AC350">
        <f>step3_validation[[#This Row],[AI_TRU3]]</f>
        <v>8</v>
      </c>
      <c r="AD350">
        <f t="shared" si="151"/>
        <v>0.77777777777777779</v>
      </c>
      <c r="AE350">
        <f>[1]!survey_responses[[#This Row],[Tôi tin tưởng số tiền thuế tôi đóng sẽ được Nhà nước sử dụng hiệu quả để cải thiện dịch vụ công (y tế, đường xá...). - HUMAN-TRU3]]</f>
        <v>6</v>
      </c>
      <c r="AF350">
        <f t="shared" si="152"/>
        <v>0.55555555555555558</v>
      </c>
      <c r="AG350">
        <f>step3_validation[[#This Row],[AI_TRU4]]</f>
        <v>6</v>
      </c>
      <c r="AH350">
        <f t="shared" si="153"/>
        <v>0.55555555555555558</v>
      </c>
      <c r="AI350">
        <f>[1]!survey_responses[[#This Row],[Tôi thấy Nhà nước đã giải thích rõ ràng, minh bạch về lý do và mục tiêu của việc sửa đổi thuế lần này. - HUMAN-TRU4]]</f>
        <v>6</v>
      </c>
      <c r="AJ350">
        <f t="shared" si="154"/>
        <v>0.55555555555555558</v>
      </c>
      <c r="AK350" s="32">
        <f t="shared" si="155"/>
        <v>0.7222222222222221</v>
      </c>
      <c r="AL350" s="32">
        <f t="shared" si="156"/>
        <v>0.52777777777777779</v>
      </c>
      <c r="AM350" s="7">
        <f t="shared" si="157"/>
        <v>0.70370370370370361</v>
      </c>
      <c r="AN350" s="7">
        <f t="shared" si="158"/>
        <v>0.47222222222222215</v>
      </c>
      <c r="AO350">
        <f>step3_validation[[#This Row],[AI_OUT1]]</f>
        <v>9</v>
      </c>
      <c r="AP350">
        <f t="shared" si="159"/>
        <v>0.88888888888888884</v>
      </c>
      <c r="AQ350">
        <f>[1]!survey_responses[[#This Row],[Sau khi xem xét các quyền lợi và nghĩa vụ, bạn có ủng hộ và tuân thủ chính sách mới hiện nay? - HUMAN-OUT1]]</f>
        <v>6</v>
      </c>
      <c r="AR350">
        <f t="shared" si="160"/>
        <v>0.55555555555555558</v>
      </c>
      <c r="AS350" s="32">
        <f t="shared" si="161"/>
        <v>3</v>
      </c>
    </row>
    <row r="351" spans="1:45" x14ac:dyDescent="0.45">
      <c r="A351">
        <f>step3_validation[[#This Row],[AI_ENF1]]</f>
        <v>7</v>
      </c>
      <c r="B351">
        <f t="shared" si="135"/>
        <v>0.66666666666666663</v>
      </c>
      <c r="C351">
        <f>[1]!survey_responses[[#This Row],[Tôi tin rằng với các quy định quản lý thuế hiện nay, hành vi gian lận hoặc trốn thuế sẽ dễ dàng bị phát hiện và xử lý nghiêm. - HUMAN-ENF1]]</f>
        <v>7</v>
      </c>
      <c r="D351">
        <f t="shared" si="136"/>
        <v>0.66666666666666663</v>
      </c>
      <c r="E351">
        <f>step3_validation[[#This Row],[AI_ENF2]]</f>
        <v>8</v>
      </c>
      <c r="F351">
        <f t="shared" si="137"/>
        <v>0.77777777777777779</v>
      </c>
      <c r="G351">
        <f>[1]!survey_responses[[#This Row],[Tôi tin rằng Nhà nước, cơ quan thuế có đủ khả năng và công nghệ để phát hiện, xử lý nghiêm các hành vi trốn thuế. - HUMAN-ENF2]]</f>
        <v>7</v>
      </c>
      <c r="H351">
        <f t="shared" si="138"/>
        <v>0.66666666666666663</v>
      </c>
      <c r="I351" s="32">
        <f t="shared" si="139"/>
        <v>0.72222222222222221</v>
      </c>
      <c r="J351" s="32">
        <f t="shared" si="140"/>
        <v>0.66666666666666663</v>
      </c>
      <c r="K351">
        <f>step3_validation[[#This Row],[AI_FAC1]]</f>
        <v>6</v>
      </c>
      <c r="L351">
        <f t="shared" si="141"/>
        <v>0.55555555555555558</v>
      </c>
      <c r="M351">
        <f>[1]!survey_responses[[#This Row],[Các thủ tục khai báo thuế VÀ/HOẶC quy trình làm việc với cơ quan thuế đơn giản, tiện lợi, nhanh chóng hơn so với trước đây. - HUMAN-FAC1]]</f>
        <v>8</v>
      </c>
      <c r="N351">
        <f t="shared" si="142"/>
        <v>0.77777777777777779</v>
      </c>
      <c r="O351">
        <f>step3_validation[[#This Row],[AI_FAC2]]</f>
        <v>8</v>
      </c>
      <c r="P351">
        <f t="shared" si="143"/>
        <v>0.77777777777777779</v>
      </c>
      <c r="Q351">
        <f>[1]!survey_responses[[#This Row],[So với trước đây, tôi thấy cách tính thuế và các bậc thuế trong phương án mới đơn giản, dễ hiểu và dễ thực hiện hơn. - HUMAN-FAC2]]</f>
        <v>8</v>
      </c>
      <c r="R351">
        <f t="shared" si="144"/>
        <v>0.77777777777777779</v>
      </c>
      <c r="S351" s="32">
        <f t="shared" si="145"/>
        <v>0.66666666666666674</v>
      </c>
      <c r="T351" s="32">
        <f t="shared" si="146"/>
        <v>0.77777777777777779</v>
      </c>
      <c r="U351">
        <f>step3_validation[[#This Row],[AI_TRU1]]</f>
        <v>6</v>
      </c>
      <c r="V351">
        <f t="shared" si="147"/>
        <v>0.55555555555555558</v>
      </c>
      <c r="W351">
        <f>[1]!survey_responses[[#This Row],[Tôi tin rằng Nhà nước, cơ quan thuế sẽ thực thi chính sách mới một cách khách quan, công tâm và đối xử bình đẳng với mọi người nộp thuế.  - HUMAN-TRU1]]</f>
        <v>7</v>
      </c>
      <c r="X351">
        <f t="shared" si="148"/>
        <v>0.66666666666666663</v>
      </c>
      <c r="Y351">
        <f>step3_validation[[#This Row],[AI_TRU2]]</f>
        <v>7</v>
      </c>
      <c r="Z351">
        <f t="shared" si="149"/>
        <v>0.66666666666666663</v>
      </c>
      <c r="AA351">
        <f>[1]!survey_responses[[#This Row],[Tôi thấy mức thuế tôi phải đóng theo phương án mới là công bằng (người thu nhập như tôi đóng mức này là hợp lý). - HUMAN-TRU2]]</f>
        <v>7</v>
      </c>
      <c r="AB351">
        <f t="shared" si="150"/>
        <v>0.66666666666666663</v>
      </c>
      <c r="AC351">
        <f>step3_validation[[#This Row],[AI_TRU3]]</f>
        <v>5</v>
      </c>
      <c r="AD351">
        <f t="shared" si="151"/>
        <v>0.44444444444444442</v>
      </c>
      <c r="AE351">
        <f>[1]!survey_responses[[#This Row],[Tôi tin tưởng số tiền thuế tôi đóng sẽ được Nhà nước sử dụng hiệu quả để cải thiện dịch vụ công (y tế, đường xá...). - HUMAN-TRU3]]</f>
        <v>8</v>
      </c>
      <c r="AF351">
        <f t="shared" si="152"/>
        <v>0.77777777777777779</v>
      </c>
      <c r="AG351">
        <f>step3_validation[[#This Row],[AI_TRU4]]</f>
        <v>4</v>
      </c>
      <c r="AH351">
        <f t="shared" si="153"/>
        <v>0.33333333333333331</v>
      </c>
      <c r="AI351">
        <f>[1]!survey_responses[[#This Row],[Tôi thấy Nhà nước đã giải thích rõ ràng, minh bạch về lý do và mục tiêu của việc sửa đổi thuế lần này. - HUMAN-TRU4]]</f>
        <v>7</v>
      </c>
      <c r="AJ351">
        <f t="shared" si="154"/>
        <v>0.66666666666666663</v>
      </c>
      <c r="AK351" s="32">
        <f t="shared" si="155"/>
        <v>0.5</v>
      </c>
      <c r="AL351" s="32">
        <f t="shared" si="156"/>
        <v>0.69444444444444442</v>
      </c>
      <c r="AM351" s="7">
        <f t="shared" si="157"/>
        <v>0.62962962962962965</v>
      </c>
      <c r="AN351" s="7">
        <f t="shared" si="158"/>
        <v>0.71296296296296291</v>
      </c>
      <c r="AO351">
        <f>step3_validation[[#This Row],[AI_OUT1]]</f>
        <v>5</v>
      </c>
      <c r="AP351">
        <f t="shared" si="159"/>
        <v>0.44444444444444442</v>
      </c>
      <c r="AQ351">
        <f>[1]!survey_responses[[#This Row],[Sau khi xem xét các quyền lợi và nghĩa vụ, bạn có ủng hộ và tuân thủ chính sách mới hiện nay? - HUMAN-OUT1]]</f>
        <v>8</v>
      </c>
      <c r="AR351">
        <f t="shared" si="160"/>
        <v>0.77777777777777779</v>
      </c>
      <c r="AS351" s="32">
        <f t="shared" si="161"/>
        <v>3</v>
      </c>
    </row>
    <row r="352" spans="1:45" x14ac:dyDescent="0.45">
      <c r="A352">
        <f>step3_validation[[#This Row],[AI_ENF1]]</f>
        <v>7</v>
      </c>
      <c r="B352">
        <f t="shared" si="135"/>
        <v>0.66666666666666663</v>
      </c>
      <c r="C352">
        <f>[1]!survey_responses[[#This Row],[Tôi tin rằng với các quy định quản lý thuế hiện nay, hành vi gian lận hoặc trốn thuế sẽ dễ dàng bị phát hiện và xử lý nghiêm. - HUMAN-ENF1]]</f>
        <v>8</v>
      </c>
      <c r="D352">
        <f t="shared" si="136"/>
        <v>0.77777777777777779</v>
      </c>
      <c r="E352">
        <f>step3_validation[[#This Row],[AI_ENF2]]</f>
        <v>8</v>
      </c>
      <c r="F352">
        <f t="shared" si="137"/>
        <v>0.77777777777777779</v>
      </c>
      <c r="G352">
        <f>[1]!survey_responses[[#This Row],[Tôi tin rằng Nhà nước, cơ quan thuế có đủ khả năng và công nghệ để phát hiện, xử lý nghiêm các hành vi trốn thuế. - HUMAN-ENF2]]</f>
        <v>8</v>
      </c>
      <c r="H352">
        <f t="shared" si="138"/>
        <v>0.77777777777777779</v>
      </c>
      <c r="I352" s="32">
        <f t="shared" si="139"/>
        <v>0.72222222222222221</v>
      </c>
      <c r="J352" s="32">
        <f t="shared" si="140"/>
        <v>0.77777777777777779</v>
      </c>
      <c r="K352">
        <f>step3_validation[[#This Row],[AI_FAC1]]</f>
        <v>9</v>
      </c>
      <c r="L352">
        <f t="shared" si="141"/>
        <v>0.88888888888888884</v>
      </c>
      <c r="M352">
        <f>[1]!survey_responses[[#This Row],[Các thủ tục khai báo thuế VÀ/HOẶC quy trình làm việc với cơ quan thuế đơn giản, tiện lợi, nhanh chóng hơn so với trước đây. - HUMAN-FAC1]]</f>
        <v>6</v>
      </c>
      <c r="N352">
        <f t="shared" si="142"/>
        <v>0.55555555555555558</v>
      </c>
      <c r="O352">
        <f>step3_validation[[#This Row],[AI_FAC2]]</f>
        <v>8</v>
      </c>
      <c r="P352">
        <f t="shared" si="143"/>
        <v>0.77777777777777779</v>
      </c>
      <c r="Q352">
        <f>[1]!survey_responses[[#This Row],[So với trước đây, tôi thấy cách tính thuế và các bậc thuế trong phương án mới đơn giản, dễ hiểu và dễ thực hiện hơn. - HUMAN-FAC2]]</f>
        <v>7</v>
      </c>
      <c r="R352">
        <f t="shared" si="144"/>
        <v>0.66666666666666663</v>
      </c>
      <c r="S352" s="32">
        <f t="shared" si="145"/>
        <v>0.83333333333333326</v>
      </c>
      <c r="T352" s="32">
        <f t="shared" si="146"/>
        <v>0.61111111111111116</v>
      </c>
      <c r="U352">
        <f>step3_validation[[#This Row],[AI_TRU1]]</f>
        <v>7</v>
      </c>
      <c r="V352">
        <f t="shared" si="147"/>
        <v>0.66666666666666663</v>
      </c>
      <c r="W352">
        <f>[1]!survey_responses[[#This Row],[Tôi tin rằng Nhà nước, cơ quan thuế sẽ thực thi chính sách mới một cách khách quan, công tâm và đối xử bình đẳng với mọi người nộp thuế.  - HUMAN-TRU1]]</f>
        <v>6</v>
      </c>
      <c r="X352">
        <f t="shared" si="148"/>
        <v>0.55555555555555558</v>
      </c>
      <c r="Y352">
        <f>step3_validation[[#This Row],[AI_TRU2]]</f>
        <v>8</v>
      </c>
      <c r="Z352">
        <f t="shared" si="149"/>
        <v>0.77777777777777779</v>
      </c>
      <c r="AA352">
        <f>[1]!survey_responses[[#This Row],[Tôi thấy mức thuế tôi phải đóng theo phương án mới là công bằng (người thu nhập như tôi đóng mức này là hợp lý). - HUMAN-TRU2]]</f>
        <v>7</v>
      </c>
      <c r="AB352">
        <f t="shared" si="150"/>
        <v>0.66666666666666663</v>
      </c>
      <c r="AC352">
        <f>step3_validation[[#This Row],[AI_TRU3]]</f>
        <v>6</v>
      </c>
      <c r="AD352">
        <f t="shared" si="151"/>
        <v>0.55555555555555558</v>
      </c>
      <c r="AE352">
        <f>[1]!survey_responses[[#This Row],[Tôi tin tưởng số tiền thuế tôi đóng sẽ được Nhà nước sử dụng hiệu quả để cải thiện dịch vụ công (y tế, đường xá...). - HUMAN-TRU3]]</f>
        <v>5</v>
      </c>
      <c r="AF352">
        <f t="shared" si="152"/>
        <v>0.44444444444444442</v>
      </c>
      <c r="AG352">
        <f>step3_validation[[#This Row],[AI_TRU4]]</f>
        <v>7</v>
      </c>
      <c r="AH352">
        <f t="shared" si="153"/>
        <v>0.66666666666666663</v>
      </c>
      <c r="AI352">
        <f>[1]!survey_responses[[#This Row],[Tôi thấy Nhà nước đã giải thích rõ ràng, minh bạch về lý do và mục tiêu của việc sửa đổi thuế lần này. - HUMAN-TRU4]]</f>
        <v>7</v>
      </c>
      <c r="AJ352">
        <f t="shared" si="154"/>
        <v>0.66666666666666663</v>
      </c>
      <c r="AK352" s="32">
        <f t="shared" si="155"/>
        <v>0.66666666666666663</v>
      </c>
      <c r="AL352" s="32">
        <f t="shared" si="156"/>
        <v>0.58333333333333337</v>
      </c>
      <c r="AM352" s="7">
        <f t="shared" si="157"/>
        <v>0.74074074074074059</v>
      </c>
      <c r="AN352" s="7">
        <f t="shared" si="158"/>
        <v>0.65740740740740744</v>
      </c>
      <c r="AO352">
        <f>step3_validation[[#This Row],[AI_OUT1]]</f>
        <v>8</v>
      </c>
      <c r="AP352">
        <f t="shared" si="159"/>
        <v>0.77777777777777779</v>
      </c>
      <c r="AQ352">
        <f>[1]!survey_responses[[#This Row],[Sau khi xem xét các quyền lợi và nghĩa vụ, bạn có ủng hộ và tuân thủ chính sách mới hiện nay? - HUMAN-OUT1]]</f>
        <v>7</v>
      </c>
      <c r="AR352">
        <f t="shared" si="160"/>
        <v>0.66666666666666663</v>
      </c>
      <c r="AS352" s="32">
        <f t="shared" si="161"/>
        <v>1</v>
      </c>
    </row>
    <row r="353" spans="1:45" x14ac:dyDescent="0.45">
      <c r="A353">
        <f>step3_validation[[#This Row],[AI_ENF1]]</f>
        <v>8</v>
      </c>
      <c r="B353">
        <f t="shared" si="135"/>
        <v>0.77777777777777779</v>
      </c>
      <c r="C353">
        <f>[1]!survey_responses[[#This Row],[Tôi tin rằng với các quy định quản lý thuế hiện nay, hành vi gian lận hoặc trốn thuế sẽ dễ dàng bị phát hiện và xử lý nghiêm. - HUMAN-ENF1]]</f>
        <v>6</v>
      </c>
      <c r="D353">
        <f t="shared" si="136"/>
        <v>0.55555555555555558</v>
      </c>
      <c r="E353">
        <f>step3_validation[[#This Row],[AI_ENF2]]</f>
        <v>7</v>
      </c>
      <c r="F353">
        <f t="shared" si="137"/>
        <v>0.66666666666666663</v>
      </c>
      <c r="G353">
        <f>[1]!survey_responses[[#This Row],[Tôi tin rằng Nhà nước, cơ quan thuế có đủ khả năng và công nghệ để phát hiện, xử lý nghiêm các hành vi trốn thuế. - HUMAN-ENF2]]</f>
        <v>6</v>
      </c>
      <c r="H353">
        <f t="shared" si="138"/>
        <v>0.55555555555555558</v>
      </c>
      <c r="I353" s="32">
        <f t="shared" si="139"/>
        <v>0.72222222222222221</v>
      </c>
      <c r="J353" s="32">
        <f t="shared" si="140"/>
        <v>0.55555555555555558</v>
      </c>
      <c r="K353">
        <f>step3_validation[[#This Row],[AI_FAC1]]</f>
        <v>6</v>
      </c>
      <c r="L353">
        <f t="shared" si="141"/>
        <v>0.55555555555555558</v>
      </c>
      <c r="M353">
        <f>[1]!survey_responses[[#This Row],[Các thủ tục khai báo thuế VÀ/HOẶC quy trình làm việc với cơ quan thuế đơn giản, tiện lợi, nhanh chóng hơn so với trước đây. - HUMAN-FAC1]]</f>
        <v>8</v>
      </c>
      <c r="N353">
        <f t="shared" si="142"/>
        <v>0.77777777777777779</v>
      </c>
      <c r="O353">
        <f>step3_validation[[#This Row],[AI_FAC2]]</f>
        <v>8</v>
      </c>
      <c r="P353">
        <f t="shared" si="143"/>
        <v>0.77777777777777779</v>
      </c>
      <c r="Q353">
        <f>[1]!survey_responses[[#This Row],[So với trước đây, tôi thấy cách tính thuế và các bậc thuế trong phương án mới đơn giản, dễ hiểu và dễ thực hiện hơn. - HUMAN-FAC2]]</f>
        <v>7</v>
      </c>
      <c r="R353">
        <f t="shared" si="144"/>
        <v>0.66666666666666663</v>
      </c>
      <c r="S353" s="32">
        <f t="shared" si="145"/>
        <v>0.66666666666666674</v>
      </c>
      <c r="T353" s="32">
        <f t="shared" si="146"/>
        <v>0.72222222222222221</v>
      </c>
      <c r="U353">
        <f>step3_validation[[#This Row],[AI_TRU1]]</f>
        <v>7</v>
      </c>
      <c r="V353">
        <f t="shared" si="147"/>
        <v>0.66666666666666663</v>
      </c>
      <c r="W353">
        <f>[1]!survey_responses[[#This Row],[Tôi tin rằng Nhà nước, cơ quan thuế sẽ thực thi chính sách mới một cách khách quan, công tâm và đối xử bình đẳng với mọi người nộp thuế.  - HUMAN-TRU1]]</f>
        <v>7</v>
      </c>
      <c r="X353">
        <f t="shared" si="148"/>
        <v>0.66666666666666663</v>
      </c>
      <c r="Y353">
        <f>step3_validation[[#This Row],[AI_TRU2]]</f>
        <v>6</v>
      </c>
      <c r="Z353">
        <f t="shared" si="149"/>
        <v>0.55555555555555558</v>
      </c>
      <c r="AA353">
        <f>[1]!survey_responses[[#This Row],[Tôi thấy mức thuế tôi phải đóng theo phương án mới là công bằng (người thu nhập như tôi đóng mức này là hợp lý). - HUMAN-TRU2]]</f>
        <v>7</v>
      </c>
      <c r="AB353">
        <f t="shared" si="150"/>
        <v>0.66666666666666663</v>
      </c>
      <c r="AC353">
        <f>step3_validation[[#This Row],[AI_TRU3]]</f>
        <v>5</v>
      </c>
      <c r="AD353">
        <f t="shared" si="151"/>
        <v>0.44444444444444442</v>
      </c>
      <c r="AE353">
        <f>[1]!survey_responses[[#This Row],[Tôi tin tưởng số tiền thuế tôi đóng sẽ được Nhà nước sử dụng hiệu quả để cải thiện dịch vụ công (y tế, đường xá...). - HUMAN-TRU3]]</f>
        <v>5</v>
      </c>
      <c r="AF353">
        <f t="shared" si="152"/>
        <v>0.44444444444444442</v>
      </c>
      <c r="AG353">
        <f>step3_validation[[#This Row],[AI_TRU4]]</f>
        <v>6</v>
      </c>
      <c r="AH353">
        <f t="shared" si="153"/>
        <v>0.55555555555555558</v>
      </c>
      <c r="AI353">
        <f>[1]!survey_responses[[#This Row],[Tôi thấy Nhà nước đã giải thích rõ ràng, minh bạch về lý do và mục tiêu của việc sửa đổi thuế lần này. - HUMAN-TRU4]]</f>
        <v>6</v>
      </c>
      <c r="AJ353">
        <f t="shared" si="154"/>
        <v>0.55555555555555558</v>
      </c>
      <c r="AK353" s="32">
        <f t="shared" si="155"/>
        <v>0.55555555555555558</v>
      </c>
      <c r="AL353" s="32">
        <f t="shared" si="156"/>
        <v>0.58333333333333326</v>
      </c>
      <c r="AM353" s="7">
        <f t="shared" si="157"/>
        <v>0.64814814814814814</v>
      </c>
      <c r="AN353" s="7">
        <f t="shared" si="158"/>
        <v>0.62037037037037035</v>
      </c>
      <c r="AO353">
        <f>step3_validation[[#This Row],[AI_OUT1]]</f>
        <v>7</v>
      </c>
      <c r="AP353">
        <f t="shared" si="159"/>
        <v>0.66666666666666663</v>
      </c>
      <c r="AQ353">
        <f>[1]!survey_responses[[#This Row],[Sau khi xem xét các quyền lợi và nghĩa vụ, bạn có ủng hộ và tuân thủ chính sách mới hiện nay? - HUMAN-OUT1]]</f>
        <v>7</v>
      </c>
      <c r="AR353">
        <f t="shared" si="160"/>
        <v>0.66666666666666663</v>
      </c>
      <c r="AS353" s="32">
        <f t="shared" si="161"/>
        <v>0</v>
      </c>
    </row>
    <row r="354" spans="1:45" x14ac:dyDescent="0.45">
      <c r="A354">
        <f>step3_validation[[#This Row],[AI_ENF1]]</f>
        <v>7</v>
      </c>
      <c r="B354">
        <f t="shared" si="135"/>
        <v>0.66666666666666663</v>
      </c>
      <c r="C354">
        <f>[1]!survey_responses[[#This Row],[Tôi tin rằng với các quy định quản lý thuế hiện nay, hành vi gian lận hoặc trốn thuế sẽ dễ dàng bị phát hiện và xử lý nghiêm. - HUMAN-ENF1]]</f>
        <v>7</v>
      </c>
      <c r="D354">
        <f t="shared" si="136"/>
        <v>0.66666666666666663</v>
      </c>
      <c r="E354">
        <f>step3_validation[[#This Row],[AI_ENF2]]</f>
        <v>7</v>
      </c>
      <c r="F354">
        <f t="shared" si="137"/>
        <v>0.66666666666666663</v>
      </c>
      <c r="G354">
        <f>[1]!survey_responses[[#This Row],[Tôi tin rằng Nhà nước, cơ quan thuế có đủ khả năng và công nghệ để phát hiện, xử lý nghiêm các hành vi trốn thuế. - HUMAN-ENF2]]</f>
        <v>7</v>
      </c>
      <c r="H354">
        <f t="shared" si="138"/>
        <v>0.66666666666666663</v>
      </c>
      <c r="I354" s="32">
        <f t="shared" si="139"/>
        <v>0.66666666666666663</v>
      </c>
      <c r="J354" s="32">
        <f t="shared" si="140"/>
        <v>0.66666666666666663</v>
      </c>
      <c r="K354">
        <f>step3_validation[[#This Row],[AI_FAC1]]</f>
        <v>8</v>
      </c>
      <c r="L354">
        <f t="shared" si="141"/>
        <v>0.77777777777777779</v>
      </c>
      <c r="M354">
        <f>[1]!survey_responses[[#This Row],[Các thủ tục khai báo thuế VÀ/HOẶC quy trình làm việc với cơ quan thuế đơn giản, tiện lợi, nhanh chóng hơn so với trước đây. - HUMAN-FAC1]]</f>
        <v>8</v>
      </c>
      <c r="N354">
        <f t="shared" si="142"/>
        <v>0.77777777777777779</v>
      </c>
      <c r="O354">
        <f>step3_validation[[#This Row],[AI_FAC2]]</f>
        <v>7</v>
      </c>
      <c r="P354">
        <f t="shared" si="143"/>
        <v>0.66666666666666663</v>
      </c>
      <c r="Q354">
        <f>[1]!survey_responses[[#This Row],[So với trước đây, tôi thấy cách tính thuế và các bậc thuế trong phương án mới đơn giản, dễ hiểu và dễ thực hiện hơn. - HUMAN-FAC2]]</f>
        <v>8</v>
      </c>
      <c r="R354">
        <f t="shared" si="144"/>
        <v>0.77777777777777779</v>
      </c>
      <c r="S354" s="32">
        <f t="shared" si="145"/>
        <v>0.72222222222222221</v>
      </c>
      <c r="T354" s="32">
        <f t="shared" si="146"/>
        <v>0.77777777777777779</v>
      </c>
      <c r="U354">
        <f>step3_validation[[#This Row],[AI_TRU1]]</f>
        <v>6</v>
      </c>
      <c r="V354">
        <f t="shared" si="147"/>
        <v>0.55555555555555558</v>
      </c>
      <c r="W354">
        <f>[1]!survey_responses[[#This Row],[Tôi tin rằng Nhà nước, cơ quan thuế sẽ thực thi chính sách mới một cách khách quan, công tâm và đối xử bình đẳng với mọi người nộp thuế.  - HUMAN-TRU1]]</f>
        <v>6</v>
      </c>
      <c r="X354">
        <f t="shared" si="148"/>
        <v>0.55555555555555558</v>
      </c>
      <c r="Y354">
        <f>step3_validation[[#This Row],[AI_TRU2]]</f>
        <v>7</v>
      </c>
      <c r="Z354">
        <f t="shared" si="149"/>
        <v>0.66666666666666663</v>
      </c>
      <c r="AA354">
        <f>[1]!survey_responses[[#This Row],[Tôi thấy mức thuế tôi phải đóng theo phương án mới là công bằng (người thu nhập như tôi đóng mức này là hợp lý). - HUMAN-TRU2]]</f>
        <v>7</v>
      </c>
      <c r="AB354">
        <f t="shared" si="150"/>
        <v>0.66666666666666663</v>
      </c>
      <c r="AC354">
        <f>step3_validation[[#This Row],[AI_TRU3]]</f>
        <v>6</v>
      </c>
      <c r="AD354">
        <f t="shared" si="151"/>
        <v>0.55555555555555558</v>
      </c>
      <c r="AE354">
        <f>[1]!survey_responses[[#This Row],[Tôi tin tưởng số tiền thuế tôi đóng sẽ được Nhà nước sử dụng hiệu quả để cải thiện dịch vụ công (y tế, đường xá...). - HUMAN-TRU3]]</f>
        <v>5</v>
      </c>
      <c r="AF354">
        <f t="shared" si="152"/>
        <v>0.44444444444444442</v>
      </c>
      <c r="AG354">
        <f>step3_validation[[#This Row],[AI_TRU4]]</f>
        <v>5</v>
      </c>
      <c r="AH354">
        <f t="shared" si="153"/>
        <v>0.44444444444444442</v>
      </c>
      <c r="AI354">
        <f>[1]!survey_responses[[#This Row],[Tôi thấy Nhà nước đã giải thích rõ ràng, minh bạch về lý do và mục tiêu của việc sửa đổi thuế lần này. - HUMAN-TRU4]]</f>
        <v>7</v>
      </c>
      <c r="AJ354">
        <f t="shared" si="154"/>
        <v>0.66666666666666663</v>
      </c>
      <c r="AK354" s="32">
        <f t="shared" si="155"/>
        <v>0.55555555555555558</v>
      </c>
      <c r="AL354" s="32">
        <f t="shared" si="156"/>
        <v>0.58333333333333337</v>
      </c>
      <c r="AM354" s="7">
        <f t="shared" si="157"/>
        <v>0.64814814814814814</v>
      </c>
      <c r="AN354" s="7">
        <f t="shared" si="158"/>
        <v>0.67592592592592593</v>
      </c>
      <c r="AO354">
        <f>step3_validation[[#This Row],[AI_OUT1]]</f>
        <v>6</v>
      </c>
      <c r="AP354">
        <f t="shared" si="159"/>
        <v>0.55555555555555558</v>
      </c>
      <c r="AQ354">
        <f>[1]!survey_responses[[#This Row],[Sau khi xem xét các quyền lợi và nghĩa vụ, bạn có ủng hộ và tuân thủ chính sách mới hiện nay? - HUMAN-OUT1]]</f>
        <v>7</v>
      </c>
      <c r="AR354">
        <f t="shared" si="160"/>
        <v>0.66666666666666663</v>
      </c>
      <c r="AS354" s="32">
        <f t="shared" si="161"/>
        <v>1</v>
      </c>
    </row>
    <row r="355" spans="1:45" x14ac:dyDescent="0.45">
      <c r="A355">
        <f>step3_validation[[#This Row],[AI_ENF1]]</f>
        <v>6</v>
      </c>
      <c r="B355">
        <f t="shared" si="135"/>
        <v>0.55555555555555558</v>
      </c>
      <c r="C355">
        <f>[1]!survey_responses[[#This Row],[Tôi tin rằng với các quy định quản lý thuế hiện nay, hành vi gian lận hoặc trốn thuế sẽ dễ dàng bị phát hiện và xử lý nghiêm. - HUMAN-ENF1]]</f>
        <v>9</v>
      </c>
      <c r="D355">
        <f t="shared" si="136"/>
        <v>0.88888888888888884</v>
      </c>
      <c r="E355">
        <f>step3_validation[[#This Row],[AI_ENF2]]</f>
        <v>7</v>
      </c>
      <c r="F355">
        <f t="shared" si="137"/>
        <v>0.66666666666666663</v>
      </c>
      <c r="G355">
        <f>[1]!survey_responses[[#This Row],[Tôi tin rằng Nhà nước, cơ quan thuế có đủ khả năng và công nghệ để phát hiện, xử lý nghiêm các hành vi trốn thuế. - HUMAN-ENF2]]</f>
        <v>9</v>
      </c>
      <c r="H355">
        <f t="shared" si="138"/>
        <v>0.88888888888888884</v>
      </c>
      <c r="I355" s="32">
        <f t="shared" si="139"/>
        <v>0.61111111111111116</v>
      </c>
      <c r="J355" s="32">
        <f t="shared" si="140"/>
        <v>0.88888888888888884</v>
      </c>
      <c r="K355">
        <f>step3_validation[[#This Row],[AI_FAC1]]</f>
        <v>6</v>
      </c>
      <c r="L355">
        <f t="shared" si="141"/>
        <v>0.55555555555555558</v>
      </c>
      <c r="M355">
        <f>[1]!survey_responses[[#This Row],[Các thủ tục khai báo thuế VÀ/HOẶC quy trình làm việc với cơ quan thuế đơn giản, tiện lợi, nhanh chóng hơn so với trước đây. - HUMAN-FAC1]]</f>
        <v>10</v>
      </c>
      <c r="N355">
        <f t="shared" si="142"/>
        <v>1</v>
      </c>
      <c r="O355">
        <f>step3_validation[[#This Row],[AI_FAC2]]</f>
        <v>6</v>
      </c>
      <c r="P355">
        <f t="shared" si="143"/>
        <v>0.55555555555555558</v>
      </c>
      <c r="Q355">
        <f>[1]!survey_responses[[#This Row],[So với trước đây, tôi thấy cách tính thuế và các bậc thuế trong phương án mới đơn giản, dễ hiểu và dễ thực hiện hơn. - HUMAN-FAC2]]</f>
        <v>10</v>
      </c>
      <c r="R355">
        <f t="shared" si="144"/>
        <v>1</v>
      </c>
      <c r="S355" s="32">
        <f t="shared" si="145"/>
        <v>0.55555555555555558</v>
      </c>
      <c r="T355" s="32">
        <f t="shared" si="146"/>
        <v>1</v>
      </c>
      <c r="U355">
        <f>step3_validation[[#This Row],[AI_TRU1]]</f>
        <v>6</v>
      </c>
      <c r="V355">
        <f t="shared" si="147"/>
        <v>0.55555555555555558</v>
      </c>
      <c r="W355">
        <f>[1]!survey_responses[[#This Row],[Tôi tin rằng Nhà nước, cơ quan thuế sẽ thực thi chính sách mới một cách khách quan, công tâm và đối xử bình đẳng với mọi người nộp thuế.  - HUMAN-TRU1]]</f>
        <v>9</v>
      </c>
      <c r="X355">
        <f t="shared" si="148"/>
        <v>0.88888888888888884</v>
      </c>
      <c r="Y355">
        <f>step3_validation[[#This Row],[AI_TRU2]]</f>
        <v>7</v>
      </c>
      <c r="Z355">
        <f t="shared" si="149"/>
        <v>0.66666666666666663</v>
      </c>
      <c r="AA355">
        <f>[1]!survey_responses[[#This Row],[Tôi thấy mức thuế tôi phải đóng theo phương án mới là công bằng (người thu nhập như tôi đóng mức này là hợp lý). - HUMAN-TRU2]]</f>
        <v>10</v>
      </c>
      <c r="AB355">
        <f t="shared" si="150"/>
        <v>1</v>
      </c>
      <c r="AC355">
        <f>step3_validation[[#This Row],[AI_TRU3]]</f>
        <v>6</v>
      </c>
      <c r="AD355">
        <f t="shared" si="151"/>
        <v>0.55555555555555558</v>
      </c>
      <c r="AE355">
        <f>[1]!survey_responses[[#This Row],[Tôi tin tưởng số tiền thuế tôi đóng sẽ được Nhà nước sử dụng hiệu quả để cải thiện dịch vụ công (y tế, đường xá...). - HUMAN-TRU3]]</f>
        <v>8</v>
      </c>
      <c r="AF355">
        <f t="shared" si="152"/>
        <v>0.77777777777777779</v>
      </c>
      <c r="AG355">
        <f>step3_validation[[#This Row],[AI_TRU4]]</f>
        <v>5</v>
      </c>
      <c r="AH355">
        <f t="shared" si="153"/>
        <v>0.44444444444444442</v>
      </c>
      <c r="AI355">
        <f>[1]!survey_responses[[#This Row],[Tôi thấy Nhà nước đã giải thích rõ ràng, minh bạch về lý do và mục tiêu của việc sửa đổi thuế lần này. - HUMAN-TRU4]]</f>
        <v>8</v>
      </c>
      <c r="AJ355">
        <f t="shared" si="154"/>
        <v>0.77777777777777779</v>
      </c>
      <c r="AK355" s="32">
        <f t="shared" si="155"/>
        <v>0.55555555555555558</v>
      </c>
      <c r="AL355" s="32">
        <f t="shared" si="156"/>
        <v>0.86111111111111105</v>
      </c>
      <c r="AM355" s="7">
        <f t="shared" si="157"/>
        <v>0.57407407407407407</v>
      </c>
      <c r="AN355" s="7">
        <f t="shared" si="158"/>
        <v>0.91666666666666663</v>
      </c>
      <c r="AO355">
        <f>step3_validation[[#This Row],[AI_OUT1]]</f>
        <v>6</v>
      </c>
      <c r="AP355">
        <f t="shared" si="159"/>
        <v>0.55555555555555558</v>
      </c>
      <c r="AQ355">
        <f>[1]!survey_responses[[#This Row],[Sau khi xem xét các quyền lợi và nghĩa vụ, bạn có ủng hộ và tuân thủ chính sách mới hiện nay? - HUMAN-OUT1]]</f>
        <v>9</v>
      </c>
      <c r="AR355">
        <f t="shared" si="160"/>
        <v>0.88888888888888884</v>
      </c>
      <c r="AS355" s="32">
        <f t="shared" si="161"/>
        <v>3</v>
      </c>
    </row>
    <row r="356" spans="1:45" x14ac:dyDescent="0.45">
      <c r="A356">
        <f>step3_validation[[#This Row],[AI_ENF1]]</f>
        <v>8</v>
      </c>
      <c r="B356">
        <f t="shared" si="135"/>
        <v>0.77777777777777779</v>
      </c>
      <c r="C356">
        <f>[1]!survey_responses[[#This Row],[Tôi tin rằng với các quy định quản lý thuế hiện nay, hành vi gian lận hoặc trốn thuế sẽ dễ dàng bị phát hiện và xử lý nghiêm. - HUMAN-ENF1]]</f>
        <v>7</v>
      </c>
      <c r="D356">
        <f t="shared" si="136"/>
        <v>0.66666666666666663</v>
      </c>
      <c r="E356">
        <f>step3_validation[[#This Row],[AI_ENF2]]</f>
        <v>9</v>
      </c>
      <c r="F356">
        <f t="shared" si="137"/>
        <v>0.88888888888888884</v>
      </c>
      <c r="G356">
        <f>[1]!survey_responses[[#This Row],[Tôi tin rằng Nhà nước, cơ quan thuế có đủ khả năng và công nghệ để phát hiện, xử lý nghiêm các hành vi trốn thuế. - HUMAN-ENF2]]</f>
        <v>8</v>
      </c>
      <c r="H356">
        <f t="shared" si="138"/>
        <v>0.77777777777777779</v>
      </c>
      <c r="I356" s="32">
        <f t="shared" si="139"/>
        <v>0.83333333333333326</v>
      </c>
      <c r="J356" s="32">
        <f t="shared" si="140"/>
        <v>0.72222222222222221</v>
      </c>
      <c r="K356">
        <f>step3_validation[[#This Row],[AI_FAC1]]</f>
        <v>8</v>
      </c>
      <c r="L356">
        <f t="shared" si="141"/>
        <v>0.77777777777777779</v>
      </c>
      <c r="M356">
        <f>[1]!survey_responses[[#This Row],[Các thủ tục khai báo thuế VÀ/HOẶC quy trình làm việc với cơ quan thuế đơn giản, tiện lợi, nhanh chóng hơn so với trước đây. - HUMAN-FAC1]]</f>
        <v>8</v>
      </c>
      <c r="N356">
        <f t="shared" si="142"/>
        <v>0.77777777777777779</v>
      </c>
      <c r="O356">
        <f>step3_validation[[#This Row],[AI_FAC2]]</f>
        <v>7</v>
      </c>
      <c r="P356">
        <f t="shared" si="143"/>
        <v>0.66666666666666663</v>
      </c>
      <c r="Q356">
        <f>[1]!survey_responses[[#This Row],[So với trước đây, tôi thấy cách tính thuế và các bậc thuế trong phương án mới đơn giản, dễ hiểu và dễ thực hiện hơn. - HUMAN-FAC2]]</f>
        <v>9</v>
      </c>
      <c r="R356">
        <f t="shared" si="144"/>
        <v>0.88888888888888884</v>
      </c>
      <c r="S356" s="32">
        <f t="shared" si="145"/>
        <v>0.72222222222222221</v>
      </c>
      <c r="T356" s="32">
        <f t="shared" si="146"/>
        <v>0.83333333333333326</v>
      </c>
      <c r="U356">
        <f>step3_validation[[#This Row],[AI_TRU1]]</f>
        <v>8</v>
      </c>
      <c r="V356">
        <f t="shared" si="147"/>
        <v>0.77777777777777779</v>
      </c>
      <c r="W356">
        <f>[1]!survey_responses[[#This Row],[Tôi tin rằng Nhà nước, cơ quan thuế sẽ thực thi chính sách mới một cách khách quan, công tâm và đối xử bình đẳng với mọi người nộp thuế.  - HUMAN-TRU1]]</f>
        <v>8</v>
      </c>
      <c r="X356">
        <f t="shared" si="148"/>
        <v>0.77777777777777779</v>
      </c>
      <c r="Y356">
        <f>step3_validation[[#This Row],[AI_TRU2]]</f>
        <v>9</v>
      </c>
      <c r="Z356">
        <f t="shared" si="149"/>
        <v>0.88888888888888884</v>
      </c>
      <c r="AA356">
        <f>[1]!survey_responses[[#This Row],[Tôi thấy mức thuế tôi phải đóng theo phương án mới là công bằng (người thu nhập như tôi đóng mức này là hợp lý). - HUMAN-TRU2]]</f>
        <v>10</v>
      </c>
      <c r="AB356">
        <f t="shared" si="150"/>
        <v>1</v>
      </c>
      <c r="AC356">
        <f>step3_validation[[#This Row],[AI_TRU3]]</f>
        <v>8</v>
      </c>
      <c r="AD356">
        <f t="shared" si="151"/>
        <v>0.77777777777777779</v>
      </c>
      <c r="AE356">
        <f>[1]!survey_responses[[#This Row],[Tôi tin tưởng số tiền thuế tôi đóng sẽ được Nhà nước sử dụng hiệu quả để cải thiện dịch vụ công (y tế, đường xá...). - HUMAN-TRU3]]</f>
        <v>8</v>
      </c>
      <c r="AF356">
        <f t="shared" si="152"/>
        <v>0.77777777777777779</v>
      </c>
      <c r="AG356">
        <f>step3_validation[[#This Row],[AI_TRU4]]</f>
        <v>6</v>
      </c>
      <c r="AH356">
        <f t="shared" si="153"/>
        <v>0.55555555555555558</v>
      </c>
      <c r="AI356">
        <f>[1]!survey_responses[[#This Row],[Tôi thấy Nhà nước đã giải thích rõ ràng, minh bạch về lý do và mục tiêu của việc sửa đổi thuế lần này. - HUMAN-TRU4]]</f>
        <v>8</v>
      </c>
      <c r="AJ356">
        <f t="shared" si="154"/>
        <v>0.77777777777777779</v>
      </c>
      <c r="AK356" s="32">
        <f t="shared" si="155"/>
        <v>0.75</v>
      </c>
      <c r="AL356" s="32">
        <f t="shared" si="156"/>
        <v>0.83333333333333326</v>
      </c>
      <c r="AM356" s="7">
        <f t="shared" si="157"/>
        <v>0.76851851851851849</v>
      </c>
      <c r="AN356" s="7">
        <f t="shared" si="158"/>
        <v>0.79629629629629617</v>
      </c>
      <c r="AO356">
        <f>step3_validation[[#This Row],[AI_OUT1]]</f>
        <v>8</v>
      </c>
      <c r="AP356">
        <f t="shared" si="159"/>
        <v>0.77777777777777779</v>
      </c>
      <c r="AQ356">
        <f>[1]!survey_responses[[#This Row],[Sau khi xem xét các quyền lợi và nghĩa vụ, bạn có ủng hộ và tuân thủ chính sách mới hiện nay? - HUMAN-OUT1]]</f>
        <v>9</v>
      </c>
      <c r="AR356">
        <f t="shared" si="160"/>
        <v>0.88888888888888884</v>
      </c>
      <c r="AS356" s="32">
        <f t="shared" si="161"/>
        <v>1</v>
      </c>
    </row>
    <row r="357" spans="1:45" x14ac:dyDescent="0.45">
      <c r="A357">
        <f>step3_validation[[#This Row],[AI_ENF1]]</f>
        <v>7</v>
      </c>
      <c r="B357">
        <f t="shared" si="135"/>
        <v>0.66666666666666663</v>
      </c>
      <c r="C357">
        <f>[1]!survey_responses[[#This Row],[Tôi tin rằng với các quy định quản lý thuế hiện nay, hành vi gian lận hoặc trốn thuế sẽ dễ dàng bị phát hiện và xử lý nghiêm. - HUMAN-ENF1]]</f>
        <v>7</v>
      </c>
      <c r="D357">
        <f t="shared" si="136"/>
        <v>0.66666666666666663</v>
      </c>
      <c r="E357">
        <f>step3_validation[[#This Row],[AI_ENF2]]</f>
        <v>8</v>
      </c>
      <c r="F357">
        <f t="shared" si="137"/>
        <v>0.77777777777777779</v>
      </c>
      <c r="G357">
        <f>[1]!survey_responses[[#This Row],[Tôi tin rằng Nhà nước, cơ quan thuế có đủ khả năng và công nghệ để phát hiện, xử lý nghiêm các hành vi trốn thuế. - HUMAN-ENF2]]</f>
        <v>7</v>
      </c>
      <c r="H357">
        <f t="shared" si="138"/>
        <v>0.66666666666666663</v>
      </c>
      <c r="I357" s="32">
        <f t="shared" si="139"/>
        <v>0.72222222222222221</v>
      </c>
      <c r="J357" s="32">
        <f t="shared" si="140"/>
        <v>0.66666666666666663</v>
      </c>
      <c r="K357">
        <f>step3_validation[[#This Row],[AI_FAC1]]</f>
        <v>6</v>
      </c>
      <c r="L357">
        <f t="shared" si="141"/>
        <v>0.55555555555555558</v>
      </c>
      <c r="M357">
        <f>[1]!survey_responses[[#This Row],[Các thủ tục khai báo thuế VÀ/HOẶC quy trình làm việc với cơ quan thuế đơn giản, tiện lợi, nhanh chóng hơn so với trước đây. - HUMAN-FAC1]]</f>
        <v>8</v>
      </c>
      <c r="N357">
        <f t="shared" si="142"/>
        <v>0.77777777777777779</v>
      </c>
      <c r="O357">
        <f>step3_validation[[#This Row],[AI_FAC2]]</f>
        <v>9</v>
      </c>
      <c r="P357">
        <f t="shared" si="143"/>
        <v>0.88888888888888884</v>
      </c>
      <c r="Q357">
        <f>[1]!survey_responses[[#This Row],[So với trước đây, tôi thấy cách tính thuế và các bậc thuế trong phương án mới đơn giản, dễ hiểu và dễ thực hiện hơn. - HUMAN-FAC2]]</f>
        <v>10</v>
      </c>
      <c r="R357">
        <f t="shared" si="144"/>
        <v>1</v>
      </c>
      <c r="S357" s="32">
        <f t="shared" si="145"/>
        <v>0.72222222222222221</v>
      </c>
      <c r="T357" s="32">
        <f t="shared" si="146"/>
        <v>0.88888888888888884</v>
      </c>
      <c r="U357">
        <f>step3_validation[[#This Row],[AI_TRU1]]</f>
        <v>8</v>
      </c>
      <c r="V357">
        <f t="shared" si="147"/>
        <v>0.77777777777777779</v>
      </c>
      <c r="W357">
        <f>[1]!survey_responses[[#This Row],[Tôi tin rằng Nhà nước, cơ quan thuế sẽ thực thi chính sách mới một cách khách quan, công tâm và đối xử bình đẳng với mọi người nộp thuế.  - HUMAN-TRU1]]</f>
        <v>9</v>
      </c>
      <c r="X357">
        <f t="shared" si="148"/>
        <v>0.88888888888888884</v>
      </c>
      <c r="Y357">
        <f>step3_validation[[#This Row],[AI_TRU2]]</f>
        <v>9</v>
      </c>
      <c r="Z357">
        <f t="shared" si="149"/>
        <v>0.88888888888888884</v>
      </c>
      <c r="AA357">
        <f>[1]!survey_responses[[#This Row],[Tôi thấy mức thuế tôi phải đóng theo phương án mới là công bằng (người thu nhập như tôi đóng mức này là hợp lý). - HUMAN-TRU2]]</f>
        <v>10</v>
      </c>
      <c r="AB357">
        <f t="shared" si="150"/>
        <v>1</v>
      </c>
      <c r="AC357">
        <f>step3_validation[[#This Row],[AI_TRU3]]</f>
        <v>7</v>
      </c>
      <c r="AD357">
        <f t="shared" si="151"/>
        <v>0.66666666666666663</v>
      </c>
      <c r="AE357">
        <f>[1]!survey_responses[[#This Row],[Tôi tin tưởng số tiền thuế tôi đóng sẽ được Nhà nước sử dụng hiệu quả để cải thiện dịch vụ công (y tế, đường xá...). - HUMAN-TRU3]]</f>
        <v>8</v>
      </c>
      <c r="AF357">
        <f t="shared" si="152"/>
        <v>0.77777777777777779</v>
      </c>
      <c r="AG357">
        <f>step3_validation[[#This Row],[AI_TRU4]]</f>
        <v>6</v>
      </c>
      <c r="AH357">
        <f t="shared" si="153"/>
        <v>0.55555555555555558</v>
      </c>
      <c r="AI357">
        <f>[1]!survey_responses[[#This Row],[Tôi thấy Nhà nước đã giải thích rõ ràng, minh bạch về lý do và mục tiêu của việc sửa đổi thuế lần này. - HUMAN-TRU4]]</f>
        <v>8</v>
      </c>
      <c r="AJ357">
        <f t="shared" si="154"/>
        <v>0.77777777777777779</v>
      </c>
      <c r="AK357" s="32">
        <f t="shared" si="155"/>
        <v>0.7222222222222221</v>
      </c>
      <c r="AL357" s="32">
        <f t="shared" si="156"/>
        <v>0.86111111111111105</v>
      </c>
      <c r="AM357" s="7">
        <f t="shared" si="157"/>
        <v>0.72222222222222221</v>
      </c>
      <c r="AN357" s="7">
        <f t="shared" si="158"/>
        <v>0.80555555555555547</v>
      </c>
      <c r="AO357">
        <f>step3_validation[[#This Row],[AI_OUT1]]</f>
        <v>9</v>
      </c>
      <c r="AP357">
        <f t="shared" si="159"/>
        <v>0.88888888888888884</v>
      </c>
      <c r="AQ357">
        <f>[1]!survey_responses[[#This Row],[Sau khi xem xét các quyền lợi và nghĩa vụ, bạn có ủng hộ và tuân thủ chính sách mới hiện nay? - HUMAN-OUT1]]</f>
        <v>10</v>
      </c>
      <c r="AR357">
        <f t="shared" si="160"/>
        <v>1</v>
      </c>
      <c r="AS357" s="32">
        <f t="shared" si="161"/>
        <v>1</v>
      </c>
    </row>
    <row r="358" spans="1:45" x14ac:dyDescent="0.45">
      <c r="A358">
        <f>step3_validation[[#This Row],[AI_ENF1]]</f>
        <v>6</v>
      </c>
      <c r="B358">
        <f t="shared" si="135"/>
        <v>0.55555555555555558</v>
      </c>
      <c r="C358">
        <f>[1]!survey_responses[[#This Row],[Tôi tin rằng với các quy định quản lý thuế hiện nay, hành vi gian lận hoặc trốn thuế sẽ dễ dàng bị phát hiện và xử lý nghiêm. - HUMAN-ENF1]]</f>
        <v>9</v>
      </c>
      <c r="D358">
        <f t="shared" si="136"/>
        <v>0.88888888888888884</v>
      </c>
      <c r="E358">
        <f>step3_validation[[#This Row],[AI_ENF2]]</f>
        <v>8</v>
      </c>
      <c r="F358">
        <f t="shared" si="137"/>
        <v>0.77777777777777779</v>
      </c>
      <c r="G358">
        <f>[1]!survey_responses[[#This Row],[Tôi tin rằng Nhà nước, cơ quan thuế có đủ khả năng và công nghệ để phát hiện, xử lý nghiêm các hành vi trốn thuế. - HUMAN-ENF2]]</f>
        <v>9</v>
      </c>
      <c r="H358">
        <f t="shared" si="138"/>
        <v>0.88888888888888884</v>
      </c>
      <c r="I358" s="32">
        <f t="shared" si="139"/>
        <v>0.66666666666666674</v>
      </c>
      <c r="J358" s="32">
        <f t="shared" si="140"/>
        <v>0.88888888888888884</v>
      </c>
      <c r="K358">
        <f>step3_validation[[#This Row],[AI_FAC1]]</f>
        <v>7</v>
      </c>
      <c r="L358">
        <f t="shared" si="141"/>
        <v>0.66666666666666663</v>
      </c>
      <c r="M358">
        <f>[1]!survey_responses[[#This Row],[Các thủ tục khai báo thuế VÀ/HOẶC quy trình làm việc với cơ quan thuế đơn giản, tiện lợi, nhanh chóng hơn so với trước đây. - HUMAN-FAC1]]</f>
        <v>8</v>
      </c>
      <c r="N358">
        <f t="shared" si="142"/>
        <v>0.77777777777777779</v>
      </c>
      <c r="O358">
        <f>step3_validation[[#This Row],[AI_FAC2]]</f>
        <v>8</v>
      </c>
      <c r="P358">
        <f t="shared" si="143"/>
        <v>0.77777777777777779</v>
      </c>
      <c r="Q358">
        <f>[1]!survey_responses[[#This Row],[So với trước đây, tôi thấy cách tính thuế và các bậc thuế trong phương án mới đơn giản, dễ hiểu và dễ thực hiện hơn. - HUMAN-FAC2]]</f>
        <v>9</v>
      </c>
      <c r="R358">
        <f t="shared" si="144"/>
        <v>0.88888888888888884</v>
      </c>
      <c r="S358" s="32">
        <f t="shared" si="145"/>
        <v>0.72222222222222221</v>
      </c>
      <c r="T358" s="32">
        <f t="shared" si="146"/>
        <v>0.83333333333333326</v>
      </c>
      <c r="U358">
        <f>step3_validation[[#This Row],[AI_TRU1]]</f>
        <v>7</v>
      </c>
      <c r="V358">
        <f t="shared" si="147"/>
        <v>0.66666666666666663</v>
      </c>
      <c r="W358">
        <f>[1]!survey_responses[[#This Row],[Tôi tin rằng Nhà nước, cơ quan thuế sẽ thực thi chính sách mới một cách khách quan, công tâm và đối xử bình đẳng với mọi người nộp thuế.  - HUMAN-TRU1]]</f>
        <v>8</v>
      </c>
      <c r="X358">
        <f t="shared" si="148"/>
        <v>0.77777777777777779</v>
      </c>
      <c r="Y358">
        <f>step3_validation[[#This Row],[AI_TRU2]]</f>
        <v>8</v>
      </c>
      <c r="Z358">
        <f t="shared" si="149"/>
        <v>0.77777777777777779</v>
      </c>
      <c r="AA358">
        <f>[1]!survey_responses[[#This Row],[Tôi thấy mức thuế tôi phải đóng theo phương án mới là công bằng (người thu nhập như tôi đóng mức này là hợp lý). - HUMAN-TRU2]]</f>
        <v>8</v>
      </c>
      <c r="AB358">
        <f t="shared" si="150"/>
        <v>0.77777777777777779</v>
      </c>
      <c r="AC358">
        <f>step3_validation[[#This Row],[AI_TRU3]]</f>
        <v>7</v>
      </c>
      <c r="AD358">
        <f t="shared" si="151"/>
        <v>0.66666666666666663</v>
      </c>
      <c r="AE358">
        <f>[1]!survey_responses[[#This Row],[Tôi tin tưởng số tiền thuế tôi đóng sẽ được Nhà nước sử dụng hiệu quả để cải thiện dịch vụ công (y tế, đường xá...). - HUMAN-TRU3]]</f>
        <v>7</v>
      </c>
      <c r="AF358">
        <f t="shared" si="152"/>
        <v>0.66666666666666663</v>
      </c>
      <c r="AG358">
        <f>step3_validation[[#This Row],[AI_TRU4]]</f>
        <v>5</v>
      </c>
      <c r="AH358">
        <f t="shared" si="153"/>
        <v>0.44444444444444442</v>
      </c>
      <c r="AI358">
        <f>[1]!survey_responses[[#This Row],[Tôi thấy Nhà nước đã giải thích rõ ràng, minh bạch về lý do và mục tiêu của việc sửa đổi thuế lần này. - HUMAN-TRU4]]</f>
        <v>7</v>
      </c>
      <c r="AJ358">
        <f t="shared" si="154"/>
        <v>0.66666666666666663</v>
      </c>
      <c r="AK358" s="32">
        <f t="shared" si="155"/>
        <v>0.63888888888888884</v>
      </c>
      <c r="AL358" s="32">
        <f t="shared" si="156"/>
        <v>0.72222222222222221</v>
      </c>
      <c r="AM358" s="7">
        <f t="shared" si="157"/>
        <v>0.67592592592592593</v>
      </c>
      <c r="AN358" s="7">
        <f t="shared" si="158"/>
        <v>0.81481481481481477</v>
      </c>
      <c r="AO358">
        <f>step3_validation[[#This Row],[AI_OUT1]]</f>
        <v>7</v>
      </c>
      <c r="AP358">
        <f t="shared" si="159"/>
        <v>0.66666666666666663</v>
      </c>
      <c r="AQ358">
        <f>[1]!survey_responses[[#This Row],[Sau khi xem xét các quyền lợi và nghĩa vụ, bạn có ủng hộ và tuân thủ chính sách mới hiện nay? - HUMAN-OUT1]]</f>
        <v>8</v>
      </c>
      <c r="AR358">
        <f t="shared" si="160"/>
        <v>0.77777777777777779</v>
      </c>
      <c r="AS358" s="32">
        <f t="shared" si="161"/>
        <v>1</v>
      </c>
    </row>
    <row r="359" spans="1:45" x14ac:dyDescent="0.45">
      <c r="A359">
        <f>step3_validation[[#This Row],[AI_ENF1]]</f>
        <v>5</v>
      </c>
      <c r="B359">
        <f t="shared" si="135"/>
        <v>0.44444444444444442</v>
      </c>
      <c r="C359">
        <f>[1]!survey_responses[[#This Row],[Tôi tin rằng với các quy định quản lý thuế hiện nay, hành vi gian lận hoặc trốn thuế sẽ dễ dàng bị phát hiện và xử lý nghiêm. - HUMAN-ENF1]]</f>
        <v>7</v>
      </c>
      <c r="D359">
        <f t="shared" si="136"/>
        <v>0.66666666666666663</v>
      </c>
      <c r="E359">
        <f>step3_validation[[#This Row],[AI_ENF2]]</f>
        <v>6</v>
      </c>
      <c r="F359">
        <f t="shared" si="137"/>
        <v>0.55555555555555558</v>
      </c>
      <c r="G359">
        <f>[1]!survey_responses[[#This Row],[Tôi tin rằng Nhà nước, cơ quan thuế có đủ khả năng và công nghệ để phát hiện, xử lý nghiêm các hành vi trốn thuế. - HUMAN-ENF2]]</f>
        <v>7</v>
      </c>
      <c r="H359">
        <f t="shared" si="138"/>
        <v>0.66666666666666663</v>
      </c>
      <c r="I359" s="32">
        <f t="shared" si="139"/>
        <v>0.5</v>
      </c>
      <c r="J359" s="32">
        <f t="shared" si="140"/>
        <v>0.66666666666666663</v>
      </c>
      <c r="K359">
        <f>step3_validation[[#This Row],[AI_FAC1]]</f>
        <v>8</v>
      </c>
      <c r="L359">
        <f t="shared" si="141"/>
        <v>0.77777777777777779</v>
      </c>
      <c r="M359">
        <f>[1]!survey_responses[[#This Row],[Các thủ tục khai báo thuế VÀ/HOẶC quy trình làm việc với cơ quan thuế đơn giản, tiện lợi, nhanh chóng hơn so với trước đây. - HUMAN-FAC1]]</f>
        <v>7</v>
      </c>
      <c r="N359">
        <f t="shared" si="142"/>
        <v>0.66666666666666663</v>
      </c>
      <c r="O359">
        <f>step3_validation[[#This Row],[AI_FAC2]]</f>
        <v>9</v>
      </c>
      <c r="P359">
        <f t="shared" si="143"/>
        <v>0.88888888888888884</v>
      </c>
      <c r="Q359">
        <f>[1]!survey_responses[[#This Row],[So với trước đây, tôi thấy cách tính thuế và các bậc thuế trong phương án mới đơn giản, dễ hiểu và dễ thực hiện hơn. - HUMAN-FAC2]]</f>
        <v>8</v>
      </c>
      <c r="R359">
        <f t="shared" si="144"/>
        <v>0.77777777777777779</v>
      </c>
      <c r="S359" s="32">
        <f t="shared" si="145"/>
        <v>0.83333333333333326</v>
      </c>
      <c r="T359" s="32">
        <f t="shared" si="146"/>
        <v>0.72222222222222221</v>
      </c>
      <c r="U359">
        <f>step3_validation[[#This Row],[AI_TRU1]]</f>
        <v>7</v>
      </c>
      <c r="V359">
        <f t="shared" si="147"/>
        <v>0.66666666666666663</v>
      </c>
      <c r="W359">
        <f>[1]!survey_responses[[#This Row],[Tôi tin rằng Nhà nước, cơ quan thuế sẽ thực thi chính sách mới một cách khách quan, công tâm và đối xử bình đẳng với mọi người nộp thuế.  - HUMAN-TRU1]]</f>
        <v>7</v>
      </c>
      <c r="X359">
        <f t="shared" si="148"/>
        <v>0.66666666666666663</v>
      </c>
      <c r="Y359">
        <f>step3_validation[[#This Row],[AI_TRU2]]</f>
        <v>6</v>
      </c>
      <c r="Z359">
        <f t="shared" si="149"/>
        <v>0.55555555555555558</v>
      </c>
      <c r="AA359">
        <f>[1]!survey_responses[[#This Row],[Tôi thấy mức thuế tôi phải đóng theo phương án mới là công bằng (người thu nhập như tôi đóng mức này là hợp lý). - HUMAN-TRU2]]</f>
        <v>9</v>
      </c>
      <c r="AB359">
        <f t="shared" si="150"/>
        <v>0.88888888888888884</v>
      </c>
      <c r="AC359">
        <f>step3_validation[[#This Row],[AI_TRU3]]</f>
        <v>8</v>
      </c>
      <c r="AD359">
        <f t="shared" si="151"/>
        <v>0.77777777777777779</v>
      </c>
      <c r="AE359">
        <f>[1]!survey_responses[[#This Row],[Tôi tin tưởng số tiền thuế tôi đóng sẽ được Nhà nước sử dụng hiệu quả để cải thiện dịch vụ công (y tế, đường xá...). - HUMAN-TRU3]]</f>
        <v>8</v>
      </c>
      <c r="AF359">
        <f t="shared" si="152"/>
        <v>0.77777777777777779</v>
      </c>
      <c r="AG359">
        <f>step3_validation[[#This Row],[AI_TRU4]]</f>
        <v>5</v>
      </c>
      <c r="AH359">
        <f t="shared" si="153"/>
        <v>0.44444444444444442</v>
      </c>
      <c r="AI359">
        <f>[1]!survey_responses[[#This Row],[Tôi thấy Nhà nước đã giải thích rõ ràng, minh bạch về lý do và mục tiêu của việc sửa đổi thuế lần này. - HUMAN-TRU4]]</f>
        <v>8</v>
      </c>
      <c r="AJ359">
        <f t="shared" si="154"/>
        <v>0.77777777777777779</v>
      </c>
      <c r="AK359" s="32">
        <f t="shared" si="155"/>
        <v>0.61111111111111116</v>
      </c>
      <c r="AL359" s="32">
        <f t="shared" si="156"/>
        <v>0.77777777777777768</v>
      </c>
      <c r="AM359" s="7">
        <f t="shared" si="157"/>
        <v>0.64814814814814814</v>
      </c>
      <c r="AN359" s="7">
        <f t="shared" si="158"/>
        <v>0.72222222222222221</v>
      </c>
      <c r="AO359">
        <f>step3_validation[[#This Row],[AI_OUT1]]</f>
        <v>7</v>
      </c>
      <c r="AP359">
        <f t="shared" si="159"/>
        <v>0.66666666666666663</v>
      </c>
      <c r="AQ359">
        <f>[1]!survey_responses[[#This Row],[Sau khi xem xét các quyền lợi và nghĩa vụ, bạn có ủng hộ và tuân thủ chính sách mới hiện nay? - HUMAN-OUT1]]</f>
        <v>8</v>
      </c>
      <c r="AR359">
        <f t="shared" si="160"/>
        <v>0.77777777777777779</v>
      </c>
      <c r="AS359" s="32">
        <f t="shared" si="161"/>
        <v>1</v>
      </c>
    </row>
    <row r="360" spans="1:45" x14ac:dyDescent="0.45">
      <c r="A360">
        <f>step3_validation[[#This Row],[AI_ENF1]]</f>
        <v>7</v>
      </c>
      <c r="B360">
        <f t="shared" si="135"/>
        <v>0.66666666666666663</v>
      </c>
      <c r="C360">
        <f>[1]!survey_responses[[#This Row],[Tôi tin rằng với các quy định quản lý thuế hiện nay, hành vi gian lận hoặc trốn thuế sẽ dễ dàng bị phát hiện và xử lý nghiêm. - HUMAN-ENF1]]</f>
        <v>4</v>
      </c>
      <c r="D360">
        <f t="shared" si="136"/>
        <v>0.33333333333333331</v>
      </c>
      <c r="E360">
        <f>step3_validation[[#This Row],[AI_ENF2]]</f>
        <v>8</v>
      </c>
      <c r="F360">
        <f t="shared" si="137"/>
        <v>0.77777777777777779</v>
      </c>
      <c r="G360">
        <f>[1]!survey_responses[[#This Row],[Tôi tin rằng Nhà nước, cơ quan thuế có đủ khả năng và công nghệ để phát hiện, xử lý nghiêm các hành vi trốn thuế. - HUMAN-ENF2]]</f>
        <v>5</v>
      </c>
      <c r="H360">
        <f t="shared" si="138"/>
        <v>0.44444444444444442</v>
      </c>
      <c r="I360" s="32">
        <f t="shared" si="139"/>
        <v>0.72222222222222221</v>
      </c>
      <c r="J360" s="32">
        <f t="shared" si="140"/>
        <v>0.38888888888888884</v>
      </c>
      <c r="K360">
        <f>step3_validation[[#This Row],[AI_FAC1]]</f>
        <v>6</v>
      </c>
      <c r="L360">
        <f t="shared" si="141"/>
        <v>0.55555555555555558</v>
      </c>
      <c r="M360">
        <f>[1]!survey_responses[[#This Row],[Các thủ tục khai báo thuế VÀ/HOẶC quy trình làm việc với cơ quan thuế đơn giản, tiện lợi, nhanh chóng hơn so với trước đây. - HUMAN-FAC1]]</f>
        <v>6</v>
      </c>
      <c r="N360">
        <f t="shared" si="142"/>
        <v>0.55555555555555558</v>
      </c>
      <c r="O360">
        <f>step3_validation[[#This Row],[AI_FAC2]]</f>
        <v>8</v>
      </c>
      <c r="P360">
        <f t="shared" si="143"/>
        <v>0.77777777777777779</v>
      </c>
      <c r="Q360">
        <f>[1]!survey_responses[[#This Row],[So với trước đây, tôi thấy cách tính thuế và các bậc thuế trong phương án mới đơn giản, dễ hiểu và dễ thực hiện hơn. - HUMAN-FAC2]]</f>
        <v>7</v>
      </c>
      <c r="R360">
        <f t="shared" si="144"/>
        <v>0.66666666666666663</v>
      </c>
      <c r="S360" s="32">
        <f t="shared" si="145"/>
        <v>0.66666666666666674</v>
      </c>
      <c r="T360" s="32">
        <f t="shared" si="146"/>
        <v>0.61111111111111116</v>
      </c>
      <c r="U360">
        <f>step3_validation[[#This Row],[AI_TRU1]]</f>
        <v>7</v>
      </c>
      <c r="V360">
        <f t="shared" si="147"/>
        <v>0.66666666666666663</v>
      </c>
      <c r="W360">
        <f>[1]!survey_responses[[#This Row],[Tôi tin rằng Nhà nước, cơ quan thuế sẽ thực thi chính sách mới một cách khách quan, công tâm và đối xử bình đẳng với mọi người nộp thuế.  - HUMAN-TRU1]]</f>
        <v>7</v>
      </c>
      <c r="X360">
        <f t="shared" si="148"/>
        <v>0.66666666666666663</v>
      </c>
      <c r="Y360">
        <f>step3_validation[[#This Row],[AI_TRU2]]</f>
        <v>6</v>
      </c>
      <c r="Z360">
        <f t="shared" si="149"/>
        <v>0.55555555555555558</v>
      </c>
      <c r="AA360">
        <f>[1]!survey_responses[[#This Row],[Tôi thấy mức thuế tôi phải đóng theo phương án mới là công bằng (người thu nhập như tôi đóng mức này là hợp lý). - HUMAN-TRU2]]</f>
        <v>6</v>
      </c>
      <c r="AB360">
        <f t="shared" si="150"/>
        <v>0.55555555555555558</v>
      </c>
      <c r="AC360">
        <f>step3_validation[[#This Row],[AI_TRU3]]</f>
        <v>5</v>
      </c>
      <c r="AD360">
        <f t="shared" si="151"/>
        <v>0.44444444444444442</v>
      </c>
      <c r="AE360">
        <f>[1]!survey_responses[[#This Row],[Tôi tin tưởng số tiền thuế tôi đóng sẽ được Nhà nước sử dụng hiệu quả để cải thiện dịch vụ công (y tế, đường xá...). - HUMAN-TRU3]]</f>
        <v>4</v>
      </c>
      <c r="AF360">
        <f t="shared" si="152"/>
        <v>0.33333333333333331</v>
      </c>
      <c r="AG360">
        <f>step3_validation[[#This Row],[AI_TRU4]]</f>
        <v>6</v>
      </c>
      <c r="AH360">
        <f t="shared" si="153"/>
        <v>0.55555555555555558</v>
      </c>
      <c r="AI360">
        <f>[1]!survey_responses[[#This Row],[Tôi thấy Nhà nước đã giải thích rõ ràng, minh bạch về lý do và mục tiêu của việc sửa đổi thuế lần này. - HUMAN-TRU4]]</f>
        <v>6</v>
      </c>
      <c r="AJ360">
        <f t="shared" si="154"/>
        <v>0.55555555555555558</v>
      </c>
      <c r="AK360" s="32">
        <f t="shared" si="155"/>
        <v>0.55555555555555558</v>
      </c>
      <c r="AL360" s="32">
        <f t="shared" si="156"/>
        <v>0.52777777777777779</v>
      </c>
      <c r="AM360" s="7">
        <f t="shared" si="157"/>
        <v>0.64814814814814814</v>
      </c>
      <c r="AN360" s="7">
        <f t="shared" si="158"/>
        <v>0.50925925925925919</v>
      </c>
      <c r="AO360">
        <f>step3_validation[[#This Row],[AI_OUT1]]</f>
        <v>7</v>
      </c>
      <c r="AP360">
        <f t="shared" si="159"/>
        <v>0.66666666666666663</v>
      </c>
      <c r="AQ360">
        <f>[1]!survey_responses[[#This Row],[Sau khi xem xét các quyền lợi và nghĩa vụ, bạn có ủng hộ và tuân thủ chính sách mới hiện nay? - HUMAN-OUT1]]</f>
        <v>7</v>
      </c>
      <c r="AR360">
        <f t="shared" si="160"/>
        <v>0.66666666666666663</v>
      </c>
      <c r="AS360" s="32">
        <f t="shared" si="161"/>
        <v>0</v>
      </c>
    </row>
    <row r="361" spans="1:45" x14ac:dyDescent="0.45">
      <c r="A361">
        <f>step3_validation[[#This Row],[AI_ENF1]]</f>
        <v>7</v>
      </c>
      <c r="B361">
        <f t="shared" si="135"/>
        <v>0.66666666666666663</v>
      </c>
      <c r="C361">
        <f>[1]!survey_responses[[#This Row],[Tôi tin rằng với các quy định quản lý thuế hiện nay, hành vi gian lận hoặc trốn thuế sẽ dễ dàng bị phát hiện và xử lý nghiêm. - HUMAN-ENF1]]</f>
        <v>9</v>
      </c>
      <c r="D361">
        <f t="shared" si="136"/>
        <v>0.88888888888888884</v>
      </c>
      <c r="E361">
        <f>step3_validation[[#This Row],[AI_ENF2]]</f>
        <v>8</v>
      </c>
      <c r="F361">
        <f t="shared" si="137"/>
        <v>0.77777777777777779</v>
      </c>
      <c r="G361">
        <f>[1]!survey_responses[[#This Row],[Tôi tin rằng Nhà nước, cơ quan thuế có đủ khả năng và công nghệ để phát hiện, xử lý nghiêm các hành vi trốn thuế. - HUMAN-ENF2]]</f>
        <v>8</v>
      </c>
      <c r="H361">
        <f t="shared" si="138"/>
        <v>0.77777777777777779</v>
      </c>
      <c r="I361" s="32">
        <f t="shared" si="139"/>
        <v>0.72222222222222221</v>
      </c>
      <c r="J361" s="32">
        <f t="shared" si="140"/>
        <v>0.83333333333333326</v>
      </c>
      <c r="K361">
        <f>step3_validation[[#This Row],[AI_FAC1]]</f>
        <v>6</v>
      </c>
      <c r="L361">
        <f t="shared" si="141"/>
        <v>0.55555555555555558</v>
      </c>
      <c r="M361">
        <f>[1]!survey_responses[[#This Row],[Các thủ tục khai báo thuế VÀ/HOẶC quy trình làm việc với cơ quan thuế đơn giản, tiện lợi, nhanh chóng hơn so với trước đây. - HUMAN-FAC1]]</f>
        <v>8</v>
      </c>
      <c r="N361">
        <f t="shared" si="142"/>
        <v>0.77777777777777779</v>
      </c>
      <c r="O361">
        <f>step3_validation[[#This Row],[AI_FAC2]]</f>
        <v>7</v>
      </c>
      <c r="P361">
        <f t="shared" si="143"/>
        <v>0.66666666666666663</v>
      </c>
      <c r="Q361">
        <f>[1]!survey_responses[[#This Row],[So với trước đây, tôi thấy cách tính thuế và các bậc thuế trong phương án mới đơn giản, dễ hiểu và dễ thực hiện hơn. - HUMAN-FAC2]]</f>
        <v>8</v>
      </c>
      <c r="R361">
        <f t="shared" si="144"/>
        <v>0.77777777777777779</v>
      </c>
      <c r="S361" s="32">
        <f t="shared" si="145"/>
        <v>0.61111111111111116</v>
      </c>
      <c r="T361" s="32">
        <f t="shared" si="146"/>
        <v>0.77777777777777779</v>
      </c>
      <c r="U361">
        <f>step3_validation[[#This Row],[AI_TRU1]]</f>
        <v>6</v>
      </c>
      <c r="V361">
        <f t="shared" si="147"/>
        <v>0.55555555555555558</v>
      </c>
      <c r="W361">
        <f>[1]!survey_responses[[#This Row],[Tôi tin rằng Nhà nước, cơ quan thuế sẽ thực thi chính sách mới một cách khách quan, công tâm và đối xử bình đẳng với mọi người nộp thuế.  - HUMAN-TRU1]]</f>
        <v>7</v>
      </c>
      <c r="X361">
        <f t="shared" si="148"/>
        <v>0.66666666666666663</v>
      </c>
      <c r="Y361">
        <f>step3_validation[[#This Row],[AI_TRU2]]</f>
        <v>8</v>
      </c>
      <c r="Z361">
        <f t="shared" si="149"/>
        <v>0.77777777777777779</v>
      </c>
      <c r="AA361">
        <f>[1]!survey_responses[[#This Row],[Tôi thấy mức thuế tôi phải đóng theo phương án mới là công bằng (người thu nhập như tôi đóng mức này là hợp lý). - HUMAN-TRU2]]</f>
        <v>7</v>
      </c>
      <c r="AB361">
        <f t="shared" si="150"/>
        <v>0.66666666666666663</v>
      </c>
      <c r="AC361">
        <f>step3_validation[[#This Row],[AI_TRU3]]</f>
        <v>5</v>
      </c>
      <c r="AD361">
        <f t="shared" si="151"/>
        <v>0.44444444444444442</v>
      </c>
      <c r="AE361">
        <f>[1]!survey_responses[[#This Row],[Tôi tin tưởng số tiền thuế tôi đóng sẽ được Nhà nước sử dụng hiệu quả để cải thiện dịch vụ công (y tế, đường xá...). - HUMAN-TRU3]]</f>
        <v>6</v>
      </c>
      <c r="AF361">
        <f t="shared" si="152"/>
        <v>0.55555555555555558</v>
      </c>
      <c r="AG361">
        <f>step3_validation[[#This Row],[AI_TRU4]]</f>
        <v>6</v>
      </c>
      <c r="AH361">
        <f t="shared" si="153"/>
        <v>0.55555555555555558</v>
      </c>
      <c r="AI361">
        <f>[1]!survey_responses[[#This Row],[Tôi thấy Nhà nước đã giải thích rõ ràng, minh bạch về lý do và mục tiêu của việc sửa đổi thuế lần này. - HUMAN-TRU4]]</f>
        <v>7</v>
      </c>
      <c r="AJ361">
        <f t="shared" si="154"/>
        <v>0.66666666666666663</v>
      </c>
      <c r="AK361" s="32">
        <f t="shared" si="155"/>
        <v>0.58333333333333337</v>
      </c>
      <c r="AL361" s="32">
        <f t="shared" si="156"/>
        <v>0.63888888888888884</v>
      </c>
      <c r="AM361" s="7">
        <f t="shared" si="157"/>
        <v>0.63888888888888895</v>
      </c>
      <c r="AN361" s="7">
        <f t="shared" si="158"/>
        <v>0.75</v>
      </c>
      <c r="AO361">
        <f>step3_validation[[#This Row],[AI_OUT1]]</f>
        <v>7</v>
      </c>
      <c r="AP361">
        <f t="shared" si="159"/>
        <v>0.66666666666666663</v>
      </c>
      <c r="AQ361">
        <f>[1]!survey_responses[[#This Row],[Sau khi xem xét các quyền lợi và nghĩa vụ, bạn có ủng hộ và tuân thủ chính sách mới hiện nay? - HUMAN-OUT1]]</f>
        <v>8</v>
      </c>
      <c r="AR361">
        <f t="shared" si="160"/>
        <v>0.77777777777777779</v>
      </c>
      <c r="AS361" s="32">
        <f t="shared" si="161"/>
        <v>1</v>
      </c>
    </row>
    <row r="362" spans="1:45" x14ac:dyDescent="0.45">
      <c r="A362">
        <f>step3_validation[[#This Row],[AI_ENF1]]</f>
        <v>6</v>
      </c>
      <c r="B362">
        <f t="shared" si="135"/>
        <v>0.55555555555555558</v>
      </c>
      <c r="C362">
        <f>[1]!survey_responses[[#This Row],[Tôi tin rằng với các quy định quản lý thuế hiện nay, hành vi gian lận hoặc trốn thuế sẽ dễ dàng bị phát hiện và xử lý nghiêm. - HUMAN-ENF1]]</f>
        <v>7</v>
      </c>
      <c r="D362">
        <f t="shared" si="136"/>
        <v>0.66666666666666663</v>
      </c>
      <c r="E362">
        <f>step3_validation[[#This Row],[AI_ENF2]]</f>
        <v>7</v>
      </c>
      <c r="F362">
        <f t="shared" si="137"/>
        <v>0.66666666666666663</v>
      </c>
      <c r="G362">
        <f>[1]!survey_responses[[#This Row],[Tôi tin rằng Nhà nước, cơ quan thuế có đủ khả năng và công nghệ để phát hiện, xử lý nghiêm các hành vi trốn thuế. - HUMAN-ENF2]]</f>
        <v>7</v>
      </c>
      <c r="H362">
        <f t="shared" si="138"/>
        <v>0.66666666666666663</v>
      </c>
      <c r="I362" s="32">
        <f t="shared" si="139"/>
        <v>0.61111111111111116</v>
      </c>
      <c r="J362" s="32">
        <f t="shared" si="140"/>
        <v>0.66666666666666663</v>
      </c>
      <c r="K362">
        <f>step3_validation[[#This Row],[AI_FAC1]]</f>
        <v>7</v>
      </c>
      <c r="L362">
        <f t="shared" si="141"/>
        <v>0.66666666666666663</v>
      </c>
      <c r="M362">
        <f>[1]!survey_responses[[#This Row],[Các thủ tục khai báo thuế VÀ/HOẶC quy trình làm việc với cơ quan thuế đơn giản, tiện lợi, nhanh chóng hơn so với trước đây. - HUMAN-FAC1]]</f>
        <v>8</v>
      </c>
      <c r="N362">
        <f t="shared" si="142"/>
        <v>0.77777777777777779</v>
      </c>
      <c r="O362">
        <f>step3_validation[[#This Row],[AI_FAC2]]</f>
        <v>8</v>
      </c>
      <c r="P362">
        <f t="shared" si="143"/>
        <v>0.77777777777777779</v>
      </c>
      <c r="Q362">
        <f>[1]!survey_responses[[#This Row],[So với trước đây, tôi thấy cách tính thuế và các bậc thuế trong phương án mới đơn giản, dễ hiểu và dễ thực hiện hơn. - HUMAN-FAC2]]</f>
        <v>9</v>
      </c>
      <c r="R362">
        <f t="shared" si="144"/>
        <v>0.88888888888888884</v>
      </c>
      <c r="S362" s="32">
        <f t="shared" si="145"/>
        <v>0.72222222222222221</v>
      </c>
      <c r="T362" s="32">
        <f t="shared" si="146"/>
        <v>0.83333333333333326</v>
      </c>
      <c r="U362">
        <f>step3_validation[[#This Row],[AI_TRU1]]</f>
        <v>5</v>
      </c>
      <c r="V362">
        <f t="shared" si="147"/>
        <v>0.44444444444444442</v>
      </c>
      <c r="W362">
        <f>[1]!survey_responses[[#This Row],[Tôi tin rằng Nhà nước, cơ quan thuế sẽ thực thi chính sách mới một cách khách quan, công tâm và đối xử bình đẳng với mọi người nộp thuế.  - HUMAN-TRU1]]</f>
        <v>7</v>
      </c>
      <c r="X362">
        <f t="shared" si="148"/>
        <v>0.66666666666666663</v>
      </c>
      <c r="Y362">
        <f>step3_validation[[#This Row],[AI_TRU2]]</f>
        <v>6</v>
      </c>
      <c r="Z362">
        <f t="shared" si="149"/>
        <v>0.55555555555555558</v>
      </c>
      <c r="AA362">
        <f>[1]!survey_responses[[#This Row],[Tôi thấy mức thuế tôi phải đóng theo phương án mới là công bằng (người thu nhập như tôi đóng mức này là hợp lý). - HUMAN-TRU2]]</f>
        <v>10</v>
      </c>
      <c r="AB362">
        <f t="shared" si="150"/>
        <v>1</v>
      </c>
      <c r="AC362">
        <f>step3_validation[[#This Row],[AI_TRU3]]</f>
        <v>4</v>
      </c>
      <c r="AD362">
        <f t="shared" si="151"/>
        <v>0.33333333333333331</v>
      </c>
      <c r="AE362">
        <f>[1]!survey_responses[[#This Row],[Tôi tin tưởng số tiền thuế tôi đóng sẽ được Nhà nước sử dụng hiệu quả để cải thiện dịch vụ công (y tế, đường xá...). - HUMAN-TRU3]]</f>
        <v>8</v>
      </c>
      <c r="AF362">
        <f t="shared" si="152"/>
        <v>0.77777777777777779</v>
      </c>
      <c r="AG362">
        <f>step3_validation[[#This Row],[AI_TRU4]]</f>
        <v>5</v>
      </c>
      <c r="AH362">
        <f t="shared" si="153"/>
        <v>0.44444444444444442</v>
      </c>
      <c r="AI362">
        <f>[1]!survey_responses[[#This Row],[Tôi thấy Nhà nước đã giải thích rõ ràng, minh bạch về lý do và mục tiêu của việc sửa đổi thuế lần này. - HUMAN-TRU4]]</f>
        <v>8</v>
      </c>
      <c r="AJ362">
        <f t="shared" si="154"/>
        <v>0.77777777777777779</v>
      </c>
      <c r="AK362" s="32">
        <f t="shared" si="155"/>
        <v>0.44444444444444442</v>
      </c>
      <c r="AL362" s="32">
        <f t="shared" si="156"/>
        <v>0.80555555555555547</v>
      </c>
      <c r="AM362" s="7">
        <f t="shared" si="157"/>
        <v>0.59259259259259267</v>
      </c>
      <c r="AN362" s="7">
        <f t="shared" si="158"/>
        <v>0.76851851851851849</v>
      </c>
      <c r="AO362">
        <f>step3_validation[[#This Row],[AI_OUT1]]</f>
        <v>6</v>
      </c>
      <c r="AP362">
        <f t="shared" si="159"/>
        <v>0.55555555555555558</v>
      </c>
      <c r="AQ362">
        <f>[1]!survey_responses[[#This Row],[Sau khi xem xét các quyền lợi và nghĩa vụ, bạn có ủng hộ và tuân thủ chính sách mới hiện nay? - HUMAN-OUT1]]</f>
        <v>10</v>
      </c>
      <c r="AR362">
        <f t="shared" si="160"/>
        <v>1</v>
      </c>
      <c r="AS362" s="32">
        <f t="shared" si="161"/>
        <v>4</v>
      </c>
    </row>
    <row r="363" spans="1:45" x14ac:dyDescent="0.45">
      <c r="A363">
        <f>step3_validation[[#This Row],[AI_ENF1]]</f>
        <v>7</v>
      </c>
      <c r="B363">
        <f t="shared" si="135"/>
        <v>0.66666666666666663</v>
      </c>
      <c r="C363">
        <f>[1]!survey_responses[[#This Row],[Tôi tin rằng với các quy định quản lý thuế hiện nay, hành vi gian lận hoặc trốn thuế sẽ dễ dàng bị phát hiện và xử lý nghiêm. - HUMAN-ENF1]]</f>
        <v>3</v>
      </c>
      <c r="D363">
        <f t="shared" si="136"/>
        <v>0.22222222222222221</v>
      </c>
      <c r="E363">
        <f>step3_validation[[#This Row],[AI_ENF2]]</f>
        <v>9</v>
      </c>
      <c r="F363">
        <f t="shared" si="137"/>
        <v>0.88888888888888884</v>
      </c>
      <c r="G363">
        <f>[1]!survey_responses[[#This Row],[Tôi tin rằng Nhà nước, cơ quan thuế có đủ khả năng và công nghệ để phát hiện, xử lý nghiêm các hành vi trốn thuế. - HUMAN-ENF2]]</f>
        <v>3</v>
      </c>
      <c r="H363">
        <f t="shared" si="138"/>
        <v>0.22222222222222221</v>
      </c>
      <c r="I363" s="32">
        <f t="shared" si="139"/>
        <v>0.77777777777777768</v>
      </c>
      <c r="J363" s="32">
        <f t="shared" si="140"/>
        <v>0.22222222222222221</v>
      </c>
      <c r="K363">
        <f>step3_validation[[#This Row],[AI_FAC1]]</f>
        <v>8</v>
      </c>
      <c r="L363">
        <f t="shared" si="141"/>
        <v>0.77777777777777779</v>
      </c>
      <c r="M363">
        <f>[1]!survey_responses[[#This Row],[Các thủ tục khai báo thuế VÀ/HOẶC quy trình làm việc với cơ quan thuế đơn giản, tiện lợi, nhanh chóng hơn so với trước đây. - HUMAN-FAC1]]</f>
        <v>5</v>
      </c>
      <c r="N363">
        <f t="shared" si="142"/>
        <v>0.44444444444444442</v>
      </c>
      <c r="O363">
        <f>step3_validation[[#This Row],[AI_FAC2]]</f>
        <v>9</v>
      </c>
      <c r="P363">
        <f t="shared" si="143"/>
        <v>0.88888888888888884</v>
      </c>
      <c r="Q363">
        <f>[1]!survey_responses[[#This Row],[So với trước đây, tôi thấy cách tính thuế và các bậc thuế trong phương án mới đơn giản, dễ hiểu và dễ thực hiện hơn. - HUMAN-FAC2]]</f>
        <v>6</v>
      </c>
      <c r="R363">
        <f t="shared" si="144"/>
        <v>0.55555555555555558</v>
      </c>
      <c r="S363" s="32">
        <f t="shared" si="145"/>
        <v>0.83333333333333326</v>
      </c>
      <c r="T363" s="32">
        <f t="shared" si="146"/>
        <v>0.5</v>
      </c>
      <c r="U363">
        <f>step3_validation[[#This Row],[AI_TRU1]]</f>
        <v>8</v>
      </c>
      <c r="V363">
        <f t="shared" si="147"/>
        <v>0.77777777777777779</v>
      </c>
      <c r="W363">
        <f>[1]!survey_responses[[#This Row],[Tôi tin rằng Nhà nước, cơ quan thuế sẽ thực thi chính sách mới một cách khách quan, công tâm và đối xử bình đẳng với mọi người nộp thuế.  - HUMAN-TRU1]]</f>
        <v>5</v>
      </c>
      <c r="X363">
        <f t="shared" si="148"/>
        <v>0.44444444444444442</v>
      </c>
      <c r="Y363">
        <f>step3_validation[[#This Row],[AI_TRU2]]</f>
        <v>9</v>
      </c>
      <c r="Z363">
        <f t="shared" si="149"/>
        <v>0.88888888888888884</v>
      </c>
      <c r="AA363">
        <f>[1]!survey_responses[[#This Row],[Tôi thấy mức thuế tôi phải đóng theo phương án mới là công bằng (người thu nhập như tôi đóng mức này là hợp lý). - HUMAN-TRU2]]</f>
        <v>6</v>
      </c>
      <c r="AB363">
        <f t="shared" si="150"/>
        <v>0.55555555555555558</v>
      </c>
      <c r="AC363">
        <f>step3_validation[[#This Row],[AI_TRU3]]</f>
        <v>7</v>
      </c>
      <c r="AD363">
        <f t="shared" si="151"/>
        <v>0.66666666666666663</v>
      </c>
      <c r="AE363">
        <f>[1]!survey_responses[[#This Row],[Tôi tin tưởng số tiền thuế tôi đóng sẽ được Nhà nước sử dụng hiệu quả để cải thiện dịch vụ công (y tế, đường xá...). - HUMAN-TRU3]]</f>
        <v>4</v>
      </c>
      <c r="AF363">
        <f t="shared" si="152"/>
        <v>0.33333333333333331</v>
      </c>
      <c r="AG363">
        <f>step3_validation[[#This Row],[AI_TRU4]]</f>
        <v>8</v>
      </c>
      <c r="AH363">
        <f t="shared" si="153"/>
        <v>0.77777777777777779</v>
      </c>
      <c r="AI363">
        <f>[1]!survey_responses[[#This Row],[Tôi thấy Nhà nước đã giải thích rõ ràng, minh bạch về lý do và mục tiêu của việc sửa đổi thuế lần này. - HUMAN-TRU4]]</f>
        <v>6</v>
      </c>
      <c r="AJ363">
        <f t="shared" si="154"/>
        <v>0.55555555555555558</v>
      </c>
      <c r="AK363" s="32">
        <f t="shared" si="155"/>
        <v>0.77777777777777768</v>
      </c>
      <c r="AL363" s="32">
        <f t="shared" si="156"/>
        <v>0.47222222222222221</v>
      </c>
      <c r="AM363" s="7">
        <f t="shared" si="157"/>
        <v>0.79629629629629617</v>
      </c>
      <c r="AN363" s="7">
        <f t="shared" si="158"/>
        <v>0.39814814814814814</v>
      </c>
      <c r="AO363">
        <f>step3_validation[[#This Row],[AI_OUT1]]</f>
        <v>8</v>
      </c>
      <c r="AP363">
        <f t="shared" si="159"/>
        <v>0.77777777777777779</v>
      </c>
      <c r="AQ363">
        <f>[1]!survey_responses[[#This Row],[Sau khi xem xét các quyền lợi và nghĩa vụ, bạn có ủng hộ và tuân thủ chính sách mới hiện nay? - HUMAN-OUT1]]</f>
        <v>6</v>
      </c>
      <c r="AR363">
        <f t="shared" si="160"/>
        <v>0.55555555555555558</v>
      </c>
      <c r="AS363" s="32">
        <f t="shared" si="161"/>
        <v>2</v>
      </c>
    </row>
    <row r="364" spans="1:45" x14ac:dyDescent="0.45">
      <c r="A364">
        <f>step3_validation[[#This Row],[AI_ENF1]]</f>
        <v>7</v>
      </c>
      <c r="B364">
        <f t="shared" si="135"/>
        <v>0.66666666666666663</v>
      </c>
      <c r="C364">
        <f>[1]!survey_responses[[#This Row],[Tôi tin rằng với các quy định quản lý thuế hiện nay, hành vi gian lận hoặc trốn thuế sẽ dễ dàng bị phát hiện và xử lý nghiêm. - HUMAN-ENF1]]</f>
        <v>8</v>
      </c>
      <c r="D364">
        <f t="shared" si="136"/>
        <v>0.77777777777777779</v>
      </c>
      <c r="E364">
        <f>step3_validation[[#This Row],[AI_ENF2]]</f>
        <v>8</v>
      </c>
      <c r="F364">
        <f t="shared" si="137"/>
        <v>0.77777777777777779</v>
      </c>
      <c r="G364">
        <f>[1]!survey_responses[[#This Row],[Tôi tin rằng Nhà nước, cơ quan thuế có đủ khả năng và công nghệ để phát hiện, xử lý nghiêm các hành vi trốn thuế. - HUMAN-ENF2]]</f>
        <v>8</v>
      </c>
      <c r="H364">
        <f t="shared" si="138"/>
        <v>0.77777777777777779</v>
      </c>
      <c r="I364" s="32">
        <f t="shared" si="139"/>
        <v>0.72222222222222221</v>
      </c>
      <c r="J364" s="32">
        <f t="shared" si="140"/>
        <v>0.77777777777777779</v>
      </c>
      <c r="K364">
        <f>step3_validation[[#This Row],[AI_FAC1]]</f>
        <v>9</v>
      </c>
      <c r="L364">
        <f t="shared" si="141"/>
        <v>0.88888888888888884</v>
      </c>
      <c r="M364">
        <f>[1]!survey_responses[[#This Row],[Các thủ tục khai báo thuế VÀ/HOẶC quy trình làm việc với cơ quan thuế đơn giản, tiện lợi, nhanh chóng hơn so với trước đây. - HUMAN-FAC1]]</f>
        <v>5</v>
      </c>
      <c r="N364">
        <f t="shared" si="142"/>
        <v>0.44444444444444442</v>
      </c>
      <c r="O364">
        <f>step3_validation[[#This Row],[AI_FAC2]]</f>
        <v>7</v>
      </c>
      <c r="P364">
        <f t="shared" si="143"/>
        <v>0.66666666666666663</v>
      </c>
      <c r="Q364">
        <f>[1]!survey_responses[[#This Row],[So với trước đây, tôi thấy cách tính thuế và các bậc thuế trong phương án mới đơn giản, dễ hiểu và dễ thực hiện hơn. - HUMAN-FAC2]]</f>
        <v>7</v>
      </c>
      <c r="R364">
        <f t="shared" si="144"/>
        <v>0.66666666666666663</v>
      </c>
      <c r="S364" s="32">
        <f t="shared" si="145"/>
        <v>0.77777777777777768</v>
      </c>
      <c r="T364" s="32">
        <f t="shared" si="146"/>
        <v>0.55555555555555558</v>
      </c>
      <c r="U364">
        <f>step3_validation[[#This Row],[AI_TRU1]]</f>
        <v>8</v>
      </c>
      <c r="V364">
        <f t="shared" si="147"/>
        <v>0.77777777777777779</v>
      </c>
      <c r="W364">
        <f>[1]!survey_responses[[#This Row],[Tôi tin rằng Nhà nước, cơ quan thuế sẽ thực thi chính sách mới một cách khách quan, công tâm và đối xử bình đẳng với mọi người nộp thuế.  - HUMAN-TRU1]]</f>
        <v>5</v>
      </c>
      <c r="X364">
        <f t="shared" si="148"/>
        <v>0.44444444444444442</v>
      </c>
      <c r="Y364">
        <f>step3_validation[[#This Row],[AI_TRU2]]</f>
        <v>6</v>
      </c>
      <c r="Z364">
        <f t="shared" si="149"/>
        <v>0.55555555555555558</v>
      </c>
      <c r="AA364">
        <f>[1]!survey_responses[[#This Row],[Tôi thấy mức thuế tôi phải đóng theo phương án mới là công bằng (người thu nhập như tôi đóng mức này là hợp lý). - HUMAN-TRU2]]</f>
        <v>8</v>
      </c>
      <c r="AB364">
        <f t="shared" si="150"/>
        <v>0.77777777777777779</v>
      </c>
      <c r="AC364">
        <f>step3_validation[[#This Row],[AI_TRU3]]</f>
        <v>9</v>
      </c>
      <c r="AD364">
        <f t="shared" si="151"/>
        <v>0.88888888888888884</v>
      </c>
      <c r="AE364">
        <f>[1]!survey_responses[[#This Row],[Tôi tin tưởng số tiền thuế tôi đóng sẽ được Nhà nước sử dụng hiệu quả để cải thiện dịch vụ công (y tế, đường xá...). - HUMAN-TRU3]]</f>
        <v>5</v>
      </c>
      <c r="AF364">
        <f t="shared" si="152"/>
        <v>0.44444444444444442</v>
      </c>
      <c r="AG364">
        <f>step3_validation[[#This Row],[AI_TRU4]]</f>
        <v>7</v>
      </c>
      <c r="AH364">
        <f t="shared" si="153"/>
        <v>0.66666666666666663</v>
      </c>
      <c r="AI364">
        <f>[1]!survey_responses[[#This Row],[Tôi thấy Nhà nước đã giải thích rõ ràng, minh bạch về lý do và mục tiêu của việc sửa đổi thuế lần này. - HUMAN-TRU4]]</f>
        <v>7</v>
      </c>
      <c r="AJ364">
        <f t="shared" si="154"/>
        <v>0.66666666666666663</v>
      </c>
      <c r="AK364" s="32">
        <f t="shared" si="155"/>
        <v>0.72222222222222221</v>
      </c>
      <c r="AL364" s="32">
        <f t="shared" si="156"/>
        <v>0.58333333333333337</v>
      </c>
      <c r="AM364" s="7">
        <f t="shared" si="157"/>
        <v>0.74074074074074081</v>
      </c>
      <c r="AN364" s="7">
        <f t="shared" si="158"/>
        <v>0.63888888888888895</v>
      </c>
      <c r="AO364">
        <f>step3_validation[[#This Row],[AI_OUT1]]</f>
        <v>8</v>
      </c>
      <c r="AP364">
        <f t="shared" si="159"/>
        <v>0.77777777777777779</v>
      </c>
      <c r="AQ364">
        <f>[1]!survey_responses[[#This Row],[Sau khi xem xét các quyền lợi và nghĩa vụ, bạn có ủng hộ và tuân thủ chính sách mới hiện nay? - HUMAN-OUT1]]</f>
        <v>8</v>
      </c>
      <c r="AR364">
        <f t="shared" si="160"/>
        <v>0.77777777777777779</v>
      </c>
      <c r="AS364" s="32">
        <f t="shared" si="161"/>
        <v>0</v>
      </c>
    </row>
    <row r="365" spans="1:45" x14ac:dyDescent="0.45">
      <c r="A365">
        <f>step3_validation[[#This Row],[AI_ENF1]]</f>
        <v>8</v>
      </c>
      <c r="B365">
        <f t="shared" si="135"/>
        <v>0.77777777777777779</v>
      </c>
      <c r="C365">
        <f>[1]!survey_responses[[#This Row],[Tôi tin rằng với các quy định quản lý thuế hiện nay, hành vi gian lận hoặc trốn thuế sẽ dễ dàng bị phát hiện và xử lý nghiêm. - HUMAN-ENF1]]</f>
        <v>4</v>
      </c>
      <c r="D365">
        <f t="shared" si="136"/>
        <v>0.33333333333333331</v>
      </c>
      <c r="E365">
        <f>step3_validation[[#This Row],[AI_ENF2]]</f>
        <v>9</v>
      </c>
      <c r="F365">
        <f t="shared" si="137"/>
        <v>0.88888888888888884</v>
      </c>
      <c r="G365">
        <f>[1]!survey_responses[[#This Row],[Tôi tin rằng Nhà nước, cơ quan thuế có đủ khả năng và công nghệ để phát hiện, xử lý nghiêm các hành vi trốn thuế. - HUMAN-ENF2]]</f>
        <v>5</v>
      </c>
      <c r="H365">
        <f t="shared" si="138"/>
        <v>0.44444444444444442</v>
      </c>
      <c r="I365" s="32">
        <f t="shared" si="139"/>
        <v>0.83333333333333326</v>
      </c>
      <c r="J365" s="32">
        <f t="shared" si="140"/>
        <v>0.38888888888888884</v>
      </c>
      <c r="K365">
        <f>step3_validation[[#This Row],[AI_FAC1]]</f>
        <v>7</v>
      </c>
      <c r="L365">
        <f t="shared" si="141"/>
        <v>0.66666666666666663</v>
      </c>
      <c r="M365">
        <f>[1]!survey_responses[[#This Row],[Các thủ tục khai báo thuế VÀ/HOẶC quy trình làm việc với cơ quan thuế đơn giản, tiện lợi, nhanh chóng hơn so với trước đây. - HUMAN-FAC1]]</f>
        <v>5</v>
      </c>
      <c r="N365">
        <f t="shared" si="142"/>
        <v>0.44444444444444442</v>
      </c>
      <c r="O365">
        <f>step3_validation[[#This Row],[AI_FAC2]]</f>
        <v>8</v>
      </c>
      <c r="P365">
        <f t="shared" si="143"/>
        <v>0.77777777777777779</v>
      </c>
      <c r="Q365">
        <f>[1]!survey_responses[[#This Row],[So với trước đây, tôi thấy cách tính thuế và các bậc thuế trong phương án mới đơn giản, dễ hiểu và dễ thực hiện hơn. - HUMAN-FAC2]]</f>
        <v>7</v>
      </c>
      <c r="R365">
        <f t="shared" si="144"/>
        <v>0.66666666666666663</v>
      </c>
      <c r="S365" s="32">
        <f t="shared" si="145"/>
        <v>0.72222222222222221</v>
      </c>
      <c r="T365" s="32">
        <f t="shared" si="146"/>
        <v>0.55555555555555558</v>
      </c>
      <c r="U365">
        <f>step3_validation[[#This Row],[AI_TRU1]]</f>
        <v>7</v>
      </c>
      <c r="V365">
        <f t="shared" si="147"/>
        <v>0.66666666666666663</v>
      </c>
      <c r="W365">
        <f>[1]!survey_responses[[#This Row],[Tôi tin rằng Nhà nước, cơ quan thuế sẽ thực thi chính sách mới một cách khách quan, công tâm và đối xử bình đẳng với mọi người nộp thuế.  - HUMAN-TRU1]]</f>
        <v>5</v>
      </c>
      <c r="X365">
        <f t="shared" si="148"/>
        <v>0.44444444444444442</v>
      </c>
      <c r="Y365">
        <f>step3_validation[[#This Row],[AI_TRU2]]</f>
        <v>8</v>
      </c>
      <c r="Z365">
        <f t="shared" si="149"/>
        <v>0.77777777777777779</v>
      </c>
      <c r="AA365">
        <f>[1]!survey_responses[[#This Row],[Tôi thấy mức thuế tôi phải đóng theo phương án mới là công bằng (người thu nhập như tôi đóng mức này là hợp lý). - HUMAN-TRU2]]</f>
        <v>7</v>
      </c>
      <c r="AB365">
        <f t="shared" si="150"/>
        <v>0.66666666666666663</v>
      </c>
      <c r="AC365">
        <f>step3_validation[[#This Row],[AI_TRU3]]</f>
        <v>7</v>
      </c>
      <c r="AD365">
        <f t="shared" si="151"/>
        <v>0.66666666666666663</v>
      </c>
      <c r="AE365">
        <f>[1]!survey_responses[[#This Row],[Tôi tin tưởng số tiền thuế tôi đóng sẽ được Nhà nước sử dụng hiệu quả để cải thiện dịch vụ công (y tế, đường xá...). - HUMAN-TRU3]]</f>
        <v>5</v>
      </c>
      <c r="AF365">
        <f t="shared" si="152"/>
        <v>0.44444444444444442</v>
      </c>
      <c r="AG365">
        <f>step3_validation[[#This Row],[AI_TRU4]]</f>
        <v>6</v>
      </c>
      <c r="AH365">
        <f t="shared" si="153"/>
        <v>0.55555555555555558</v>
      </c>
      <c r="AI365">
        <f>[1]!survey_responses[[#This Row],[Tôi thấy Nhà nước đã giải thích rõ ràng, minh bạch về lý do và mục tiêu của việc sửa đổi thuế lần này. - HUMAN-TRU4]]</f>
        <v>6</v>
      </c>
      <c r="AJ365">
        <f t="shared" si="154"/>
        <v>0.55555555555555558</v>
      </c>
      <c r="AK365" s="32">
        <f t="shared" si="155"/>
        <v>0.66666666666666674</v>
      </c>
      <c r="AL365" s="32">
        <f t="shared" si="156"/>
        <v>0.52777777777777779</v>
      </c>
      <c r="AM365" s="7">
        <f t="shared" si="157"/>
        <v>0.74074074074074081</v>
      </c>
      <c r="AN365" s="7">
        <f t="shared" si="158"/>
        <v>0.49074074074074076</v>
      </c>
      <c r="AO365">
        <f>step3_validation[[#This Row],[AI_OUT1]]</f>
        <v>7</v>
      </c>
      <c r="AP365">
        <f t="shared" si="159"/>
        <v>0.66666666666666663</v>
      </c>
      <c r="AQ365">
        <f>[1]!survey_responses[[#This Row],[Sau khi xem xét các quyền lợi và nghĩa vụ, bạn có ủng hộ và tuân thủ chính sách mới hiện nay? - HUMAN-OUT1]]</f>
        <v>7</v>
      </c>
      <c r="AR365">
        <f t="shared" si="160"/>
        <v>0.66666666666666663</v>
      </c>
      <c r="AS365" s="32">
        <f t="shared" si="161"/>
        <v>0</v>
      </c>
    </row>
    <row r="366" spans="1:45" x14ac:dyDescent="0.45">
      <c r="A366">
        <f>step3_validation[[#This Row],[AI_ENF1]]</f>
        <v>6</v>
      </c>
      <c r="B366">
        <f t="shared" si="135"/>
        <v>0.55555555555555558</v>
      </c>
      <c r="C366">
        <f>[1]!survey_responses[[#This Row],[Tôi tin rằng với các quy định quản lý thuế hiện nay, hành vi gian lận hoặc trốn thuế sẽ dễ dàng bị phát hiện và xử lý nghiêm. - HUMAN-ENF1]]</f>
        <v>9</v>
      </c>
      <c r="D366">
        <f t="shared" si="136"/>
        <v>0.88888888888888884</v>
      </c>
      <c r="E366">
        <f>step3_validation[[#This Row],[AI_ENF2]]</f>
        <v>7</v>
      </c>
      <c r="F366">
        <f t="shared" si="137"/>
        <v>0.66666666666666663</v>
      </c>
      <c r="G366">
        <f>[1]!survey_responses[[#This Row],[Tôi tin rằng Nhà nước, cơ quan thuế có đủ khả năng và công nghệ để phát hiện, xử lý nghiêm các hành vi trốn thuế. - HUMAN-ENF2]]</f>
        <v>9</v>
      </c>
      <c r="H366">
        <f t="shared" si="138"/>
        <v>0.88888888888888884</v>
      </c>
      <c r="I366" s="32">
        <f t="shared" si="139"/>
        <v>0.61111111111111116</v>
      </c>
      <c r="J366" s="32">
        <f t="shared" si="140"/>
        <v>0.88888888888888884</v>
      </c>
      <c r="K366">
        <f>step3_validation[[#This Row],[AI_FAC1]]</f>
        <v>6</v>
      </c>
      <c r="L366">
        <f t="shared" si="141"/>
        <v>0.55555555555555558</v>
      </c>
      <c r="M366">
        <f>[1]!survey_responses[[#This Row],[Các thủ tục khai báo thuế VÀ/HOẶC quy trình làm việc với cơ quan thuế đơn giản, tiện lợi, nhanh chóng hơn so với trước đây. - HUMAN-FAC1]]</f>
        <v>8</v>
      </c>
      <c r="N366">
        <f t="shared" si="142"/>
        <v>0.77777777777777779</v>
      </c>
      <c r="O366">
        <f>step3_validation[[#This Row],[AI_FAC2]]</f>
        <v>7</v>
      </c>
      <c r="P366">
        <f t="shared" si="143"/>
        <v>0.66666666666666663</v>
      </c>
      <c r="Q366">
        <f>[1]!survey_responses[[#This Row],[So với trước đây, tôi thấy cách tính thuế và các bậc thuế trong phương án mới đơn giản, dễ hiểu và dễ thực hiện hơn. - HUMAN-FAC2]]</f>
        <v>9</v>
      </c>
      <c r="R366">
        <f t="shared" si="144"/>
        <v>0.88888888888888884</v>
      </c>
      <c r="S366" s="32">
        <f t="shared" si="145"/>
        <v>0.61111111111111116</v>
      </c>
      <c r="T366" s="32">
        <f t="shared" si="146"/>
        <v>0.83333333333333326</v>
      </c>
      <c r="U366">
        <f>step3_validation[[#This Row],[AI_TRU1]]</f>
        <v>6</v>
      </c>
      <c r="V366">
        <f t="shared" si="147"/>
        <v>0.55555555555555558</v>
      </c>
      <c r="W366">
        <f>[1]!survey_responses[[#This Row],[Tôi tin rằng Nhà nước, cơ quan thuế sẽ thực thi chính sách mới một cách khách quan, công tâm và đối xử bình đẳng với mọi người nộp thuế.  - HUMAN-TRU1]]</f>
        <v>9</v>
      </c>
      <c r="X366">
        <f t="shared" si="148"/>
        <v>0.88888888888888884</v>
      </c>
      <c r="Y366">
        <f>step3_validation[[#This Row],[AI_TRU2]]</f>
        <v>8</v>
      </c>
      <c r="Z366">
        <f t="shared" si="149"/>
        <v>0.77777777777777779</v>
      </c>
      <c r="AA366">
        <f>[1]!survey_responses[[#This Row],[Tôi thấy mức thuế tôi phải đóng theo phương án mới là công bằng (người thu nhập như tôi đóng mức này là hợp lý). - HUMAN-TRU2]]</f>
        <v>7</v>
      </c>
      <c r="AB366">
        <f t="shared" si="150"/>
        <v>0.66666666666666663</v>
      </c>
      <c r="AC366">
        <f>step3_validation[[#This Row],[AI_TRU3]]</f>
        <v>7</v>
      </c>
      <c r="AD366">
        <f t="shared" si="151"/>
        <v>0.66666666666666663</v>
      </c>
      <c r="AE366">
        <f>[1]!survey_responses[[#This Row],[Tôi tin tưởng số tiền thuế tôi đóng sẽ được Nhà nước sử dụng hiệu quả để cải thiện dịch vụ công (y tế, đường xá...). - HUMAN-TRU3]]</f>
        <v>7</v>
      </c>
      <c r="AF366">
        <f t="shared" si="152"/>
        <v>0.66666666666666663</v>
      </c>
      <c r="AG366">
        <f>step3_validation[[#This Row],[AI_TRU4]]</f>
        <v>5</v>
      </c>
      <c r="AH366">
        <f t="shared" si="153"/>
        <v>0.44444444444444442</v>
      </c>
      <c r="AI366">
        <f>[1]!survey_responses[[#This Row],[Tôi thấy Nhà nước đã giải thích rõ ràng, minh bạch về lý do và mục tiêu của việc sửa đổi thuế lần này. - HUMAN-TRU4]]</f>
        <v>7</v>
      </c>
      <c r="AJ366">
        <f t="shared" si="154"/>
        <v>0.66666666666666663</v>
      </c>
      <c r="AK366" s="32">
        <f t="shared" si="155"/>
        <v>0.61111111111111116</v>
      </c>
      <c r="AL366" s="32">
        <f t="shared" si="156"/>
        <v>0.7222222222222221</v>
      </c>
      <c r="AM366" s="7">
        <f t="shared" si="157"/>
        <v>0.61111111111111116</v>
      </c>
      <c r="AN366" s="7">
        <f t="shared" si="158"/>
        <v>0.81481481481481477</v>
      </c>
      <c r="AO366">
        <f>step3_validation[[#This Row],[AI_OUT1]]</f>
        <v>7</v>
      </c>
      <c r="AP366">
        <f t="shared" si="159"/>
        <v>0.66666666666666663</v>
      </c>
      <c r="AQ366">
        <f>[1]!survey_responses[[#This Row],[Sau khi xem xét các quyền lợi và nghĩa vụ, bạn có ủng hộ và tuân thủ chính sách mới hiện nay? - HUMAN-OUT1]]</f>
        <v>7</v>
      </c>
      <c r="AR366">
        <f t="shared" si="160"/>
        <v>0.66666666666666663</v>
      </c>
      <c r="AS366" s="32">
        <f t="shared" si="161"/>
        <v>0</v>
      </c>
    </row>
    <row r="367" spans="1:45" x14ac:dyDescent="0.45">
      <c r="A367">
        <f>step3_validation[[#This Row],[AI_ENF1]]</f>
        <v>7</v>
      </c>
      <c r="B367">
        <f t="shared" si="135"/>
        <v>0.66666666666666663</v>
      </c>
      <c r="C367">
        <f>[1]!survey_responses[[#This Row],[Tôi tin rằng với các quy định quản lý thuế hiện nay, hành vi gian lận hoặc trốn thuế sẽ dễ dàng bị phát hiện và xử lý nghiêm. - HUMAN-ENF1]]</f>
        <v>7</v>
      </c>
      <c r="D367">
        <f t="shared" si="136"/>
        <v>0.66666666666666663</v>
      </c>
      <c r="E367">
        <f>step3_validation[[#This Row],[AI_ENF2]]</f>
        <v>8</v>
      </c>
      <c r="F367">
        <f t="shared" si="137"/>
        <v>0.77777777777777779</v>
      </c>
      <c r="G367">
        <f>[1]!survey_responses[[#This Row],[Tôi tin rằng Nhà nước, cơ quan thuế có đủ khả năng và công nghệ để phát hiện, xử lý nghiêm các hành vi trốn thuế. - HUMAN-ENF2]]</f>
        <v>8</v>
      </c>
      <c r="H367">
        <f t="shared" si="138"/>
        <v>0.77777777777777779</v>
      </c>
      <c r="I367" s="32">
        <f t="shared" si="139"/>
        <v>0.72222222222222221</v>
      </c>
      <c r="J367" s="32">
        <f t="shared" si="140"/>
        <v>0.72222222222222221</v>
      </c>
      <c r="K367">
        <f>step3_validation[[#This Row],[AI_FAC1]]</f>
        <v>6</v>
      </c>
      <c r="L367">
        <f t="shared" si="141"/>
        <v>0.55555555555555558</v>
      </c>
      <c r="M367">
        <f>[1]!survey_responses[[#This Row],[Các thủ tục khai báo thuế VÀ/HOẶC quy trình làm việc với cơ quan thuế đơn giản, tiện lợi, nhanh chóng hơn so với trước đây. - HUMAN-FAC1]]</f>
        <v>8</v>
      </c>
      <c r="N367">
        <f t="shared" si="142"/>
        <v>0.77777777777777779</v>
      </c>
      <c r="O367">
        <f>step3_validation[[#This Row],[AI_FAC2]]</f>
        <v>9</v>
      </c>
      <c r="P367">
        <f t="shared" si="143"/>
        <v>0.88888888888888884</v>
      </c>
      <c r="Q367">
        <f>[1]!survey_responses[[#This Row],[So với trước đây, tôi thấy cách tính thuế và các bậc thuế trong phương án mới đơn giản, dễ hiểu và dễ thực hiện hơn. - HUMAN-FAC2]]</f>
        <v>8</v>
      </c>
      <c r="R367">
        <f t="shared" si="144"/>
        <v>0.77777777777777779</v>
      </c>
      <c r="S367" s="32">
        <f t="shared" si="145"/>
        <v>0.72222222222222221</v>
      </c>
      <c r="T367" s="32">
        <f t="shared" si="146"/>
        <v>0.77777777777777779</v>
      </c>
      <c r="U367">
        <f>step3_validation[[#This Row],[AI_TRU1]]</f>
        <v>7</v>
      </c>
      <c r="V367">
        <f t="shared" si="147"/>
        <v>0.66666666666666663</v>
      </c>
      <c r="W367">
        <f>[1]!survey_responses[[#This Row],[Tôi tin rằng Nhà nước, cơ quan thuế sẽ thực thi chính sách mới một cách khách quan, công tâm và đối xử bình đẳng với mọi người nộp thuế.  - HUMAN-TRU1]]</f>
        <v>5</v>
      </c>
      <c r="X367">
        <f t="shared" si="148"/>
        <v>0.44444444444444442</v>
      </c>
      <c r="Y367">
        <f>step3_validation[[#This Row],[AI_TRU2]]</f>
        <v>6</v>
      </c>
      <c r="Z367">
        <f t="shared" si="149"/>
        <v>0.55555555555555558</v>
      </c>
      <c r="AA367">
        <f>[1]!survey_responses[[#This Row],[Tôi thấy mức thuế tôi phải đóng theo phương án mới là công bằng (người thu nhập như tôi đóng mức này là hợp lý). - HUMAN-TRU2]]</f>
        <v>6</v>
      </c>
      <c r="AB367">
        <f t="shared" si="150"/>
        <v>0.55555555555555558</v>
      </c>
      <c r="AC367">
        <f>step3_validation[[#This Row],[AI_TRU3]]</f>
        <v>7</v>
      </c>
      <c r="AD367">
        <f t="shared" si="151"/>
        <v>0.66666666666666663</v>
      </c>
      <c r="AE367">
        <f>[1]!survey_responses[[#This Row],[Tôi tin tưởng số tiền thuế tôi đóng sẽ được Nhà nước sử dụng hiệu quả để cải thiện dịch vụ công (y tế, đường xá...). - HUMAN-TRU3]]</f>
        <v>5</v>
      </c>
      <c r="AF367">
        <f t="shared" si="152"/>
        <v>0.44444444444444442</v>
      </c>
      <c r="AG367">
        <f>step3_validation[[#This Row],[AI_TRU4]]</f>
        <v>6</v>
      </c>
      <c r="AH367">
        <f t="shared" si="153"/>
        <v>0.55555555555555558</v>
      </c>
      <c r="AI367">
        <f>[1]!survey_responses[[#This Row],[Tôi thấy Nhà nước đã giải thích rõ ràng, minh bạch về lý do và mục tiêu của việc sửa đổi thuế lần này. - HUMAN-TRU4]]</f>
        <v>6</v>
      </c>
      <c r="AJ367">
        <f t="shared" si="154"/>
        <v>0.55555555555555558</v>
      </c>
      <c r="AK367" s="32">
        <f t="shared" si="155"/>
        <v>0.61111111111111116</v>
      </c>
      <c r="AL367" s="32">
        <f t="shared" si="156"/>
        <v>0.5</v>
      </c>
      <c r="AM367" s="7">
        <f t="shared" si="157"/>
        <v>0.68518518518518512</v>
      </c>
      <c r="AN367" s="7">
        <f t="shared" si="158"/>
        <v>0.66666666666666663</v>
      </c>
      <c r="AO367">
        <f>step3_validation[[#This Row],[AI_OUT1]]</f>
        <v>5</v>
      </c>
      <c r="AP367">
        <f t="shared" si="159"/>
        <v>0.44444444444444442</v>
      </c>
      <c r="AQ367">
        <f>[1]!survey_responses[[#This Row],[Sau khi xem xét các quyền lợi và nghĩa vụ, bạn có ủng hộ và tuân thủ chính sách mới hiện nay? - HUMAN-OUT1]]</f>
        <v>6</v>
      </c>
      <c r="AR367">
        <f t="shared" si="160"/>
        <v>0.55555555555555558</v>
      </c>
      <c r="AS367" s="32">
        <f t="shared" si="161"/>
        <v>1</v>
      </c>
    </row>
    <row r="368" spans="1:45" x14ac:dyDescent="0.45">
      <c r="A368">
        <f>step3_validation[[#This Row],[AI_ENF1]]</f>
        <v>6</v>
      </c>
      <c r="B368">
        <f t="shared" si="135"/>
        <v>0.55555555555555558</v>
      </c>
      <c r="C368">
        <f>[1]!survey_responses[[#This Row],[Tôi tin rằng với các quy định quản lý thuế hiện nay, hành vi gian lận hoặc trốn thuế sẽ dễ dàng bị phát hiện và xử lý nghiêm. - HUMAN-ENF1]]</f>
        <v>8</v>
      </c>
      <c r="D368">
        <f t="shared" si="136"/>
        <v>0.77777777777777779</v>
      </c>
      <c r="E368">
        <f>step3_validation[[#This Row],[AI_ENF2]]</f>
        <v>6</v>
      </c>
      <c r="F368">
        <f t="shared" si="137"/>
        <v>0.55555555555555558</v>
      </c>
      <c r="G368">
        <f>[1]!survey_responses[[#This Row],[Tôi tin rằng Nhà nước, cơ quan thuế có đủ khả năng và công nghệ để phát hiện, xử lý nghiêm các hành vi trốn thuế. - HUMAN-ENF2]]</f>
        <v>9</v>
      </c>
      <c r="H368">
        <f t="shared" si="138"/>
        <v>0.88888888888888884</v>
      </c>
      <c r="I368" s="32">
        <f t="shared" si="139"/>
        <v>0.55555555555555558</v>
      </c>
      <c r="J368" s="32">
        <f t="shared" si="140"/>
        <v>0.83333333333333326</v>
      </c>
      <c r="K368">
        <f>step3_validation[[#This Row],[AI_FAC1]]</f>
        <v>7</v>
      </c>
      <c r="L368">
        <f t="shared" si="141"/>
        <v>0.66666666666666663</v>
      </c>
      <c r="M368">
        <f>[1]!survey_responses[[#This Row],[Các thủ tục khai báo thuế VÀ/HOẶC quy trình làm việc với cơ quan thuế đơn giản, tiện lợi, nhanh chóng hơn so với trước đây. - HUMAN-FAC1]]</f>
        <v>8</v>
      </c>
      <c r="N368">
        <f t="shared" si="142"/>
        <v>0.77777777777777779</v>
      </c>
      <c r="O368">
        <f>step3_validation[[#This Row],[AI_FAC2]]</f>
        <v>8</v>
      </c>
      <c r="P368">
        <f t="shared" si="143"/>
        <v>0.77777777777777779</v>
      </c>
      <c r="Q368">
        <f>[1]!survey_responses[[#This Row],[So với trước đây, tôi thấy cách tính thuế và các bậc thuế trong phương án mới đơn giản, dễ hiểu và dễ thực hiện hơn. - HUMAN-FAC2]]</f>
        <v>8</v>
      </c>
      <c r="R368">
        <f t="shared" si="144"/>
        <v>0.77777777777777779</v>
      </c>
      <c r="S368" s="32">
        <f t="shared" si="145"/>
        <v>0.72222222222222221</v>
      </c>
      <c r="T368" s="32">
        <f t="shared" si="146"/>
        <v>0.77777777777777779</v>
      </c>
      <c r="U368">
        <f>step3_validation[[#This Row],[AI_TRU1]]</f>
        <v>5</v>
      </c>
      <c r="V368">
        <f t="shared" si="147"/>
        <v>0.44444444444444442</v>
      </c>
      <c r="W368">
        <f>[1]!survey_responses[[#This Row],[Tôi tin rằng Nhà nước, cơ quan thuế sẽ thực thi chính sách mới một cách khách quan, công tâm và đối xử bình đẳng với mọi người nộp thuế.  - HUMAN-TRU1]]</f>
        <v>9</v>
      </c>
      <c r="X368">
        <f t="shared" si="148"/>
        <v>0.88888888888888884</v>
      </c>
      <c r="Y368">
        <f>step3_validation[[#This Row],[AI_TRU2]]</f>
        <v>8</v>
      </c>
      <c r="Z368">
        <f t="shared" si="149"/>
        <v>0.77777777777777779</v>
      </c>
      <c r="AA368">
        <f>[1]!survey_responses[[#This Row],[Tôi thấy mức thuế tôi phải đóng theo phương án mới là công bằng (người thu nhập như tôi đóng mức này là hợp lý). - HUMAN-TRU2]]</f>
        <v>10</v>
      </c>
      <c r="AB368">
        <f t="shared" si="150"/>
        <v>1</v>
      </c>
      <c r="AC368">
        <f>step3_validation[[#This Row],[AI_TRU3]]</f>
        <v>6</v>
      </c>
      <c r="AD368">
        <f t="shared" si="151"/>
        <v>0.55555555555555558</v>
      </c>
      <c r="AE368">
        <f>[1]!survey_responses[[#This Row],[Tôi tin tưởng số tiền thuế tôi đóng sẽ được Nhà nước sử dụng hiệu quả để cải thiện dịch vụ công (y tế, đường xá...). - HUMAN-TRU3]]</f>
        <v>10</v>
      </c>
      <c r="AF368">
        <f t="shared" si="152"/>
        <v>1</v>
      </c>
      <c r="AG368">
        <f>step3_validation[[#This Row],[AI_TRU4]]</f>
        <v>7</v>
      </c>
      <c r="AH368">
        <f t="shared" si="153"/>
        <v>0.66666666666666663</v>
      </c>
      <c r="AI368">
        <f>[1]!survey_responses[[#This Row],[Tôi thấy Nhà nước đã giải thích rõ ràng, minh bạch về lý do và mục tiêu của việc sửa đổi thuế lần này. - HUMAN-TRU4]]</f>
        <v>9</v>
      </c>
      <c r="AJ368">
        <f t="shared" si="154"/>
        <v>0.88888888888888884</v>
      </c>
      <c r="AK368" s="32">
        <f t="shared" si="155"/>
        <v>0.61111111111111116</v>
      </c>
      <c r="AL368" s="32">
        <f t="shared" si="156"/>
        <v>0.94444444444444442</v>
      </c>
      <c r="AM368" s="7">
        <f t="shared" si="157"/>
        <v>0.62962962962962965</v>
      </c>
      <c r="AN368" s="7">
        <f t="shared" si="158"/>
        <v>0.85185185185185175</v>
      </c>
      <c r="AO368">
        <f>step3_validation[[#This Row],[AI_OUT1]]</f>
        <v>6</v>
      </c>
      <c r="AP368">
        <f t="shared" si="159"/>
        <v>0.55555555555555558</v>
      </c>
      <c r="AQ368">
        <f>[1]!survey_responses[[#This Row],[Sau khi xem xét các quyền lợi và nghĩa vụ, bạn có ủng hộ và tuân thủ chính sách mới hiện nay? - HUMAN-OUT1]]</f>
        <v>10</v>
      </c>
      <c r="AR368">
        <f t="shared" si="160"/>
        <v>1</v>
      </c>
      <c r="AS368" s="32">
        <f t="shared" si="161"/>
        <v>4</v>
      </c>
    </row>
    <row r="369" spans="1:45" x14ac:dyDescent="0.45">
      <c r="A369">
        <f>step3_validation[[#This Row],[AI_ENF1]]</f>
        <v>8</v>
      </c>
      <c r="B369">
        <f t="shared" si="135"/>
        <v>0.77777777777777779</v>
      </c>
      <c r="C369">
        <f>[1]!survey_responses[[#This Row],[Tôi tin rằng với các quy định quản lý thuế hiện nay, hành vi gian lận hoặc trốn thuế sẽ dễ dàng bị phát hiện và xử lý nghiêm. - HUMAN-ENF1]]</f>
        <v>7</v>
      </c>
      <c r="D369">
        <f t="shared" si="136"/>
        <v>0.66666666666666663</v>
      </c>
      <c r="E369">
        <f>step3_validation[[#This Row],[AI_ENF2]]</f>
        <v>7</v>
      </c>
      <c r="F369">
        <f t="shared" si="137"/>
        <v>0.66666666666666663</v>
      </c>
      <c r="G369">
        <f>[1]!survey_responses[[#This Row],[Tôi tin rằng Nhà nước, cơ quan thuế có đủ khả năng và công nghệ để phát hiện, xử lý nghiêm các hành vi trốn thuế. - HUMAN-ENF2]]</f>
        <v>7</v>
      </c>
      <c r="H369">
        <f t="shared" si="138"/>
        <v>0.66666666666666663</v>
      </c>
      <c r="I369" s="32">
        <f t="shared" si="139"/>
        <v>0.72222222222222221</v>
      </c>
      <c r="J369" s="32">
        <f t="shared" si="140"/>
        <v>0.66666666666666663</v>
      </c>
      <c r="K369">
        <f>step3_validation[[#This Row],[AI_FAC1]]</f>
        <v>9</v>
      </c>
      <c r="L369">
        <f t="shared" si="141"/>
        <v>0.88888888888888884</v>
      </c>
      <c r="M369">
        <f>[1]!survey_responses[[#This Row],[Các thủ tục khai báo thuế VÀ/HOẶC quy trình làm việc với cơ quan thuế đơn giản, tiện lợi, nhanh chóng hơn so với trước đây. - HUMAN-FAC1]]</f>
        <v>8</v>
      </c>
      <c r="N369">
        <f t="shared" si="142"/>
        <v>0.77777777777777779</v>
      </c>
      <c r="O369">
        <f>step3_validation[[#This Row],[AI_FAC2]]</f>
        <v>8</v>
      </c>
      <c r="P369">
        <f t="shared" si="143"/>
        <v>0.77777777777777779</v>
      </c>
      <c r="Q369">
        <f>[1]!survey_responses[[#This Row],[So với trước đây, tôi thấy cách tính thuế và các bậc thuế trong phương án mới đơn giản, dễ hiểu và dễ thực hiện hơn. - HUMAN-FAC2]]</f>
        <v>8</v>
      </c>
      <c r="R369">
        <f t="shared" si="144"/>
        <v>0.77777777777777779</v>
      </c>
      <c r="S369" s="32">
        <f t="shared" si="145"/>
        <v>0.83333333333333326</v>
      </c>
      <c r="T369" s="32">
        <f t="shared" si="146"/>
        <v>0.77777777777777779</v>
      </c>
      <c r="U369">
        <f>step3_validation[[#This Row],[AI_TRU1]]</f>
        <v>6</v>
      </c>
      <c r="V369">
        <f t="shared" si="147"/>
        <v>0.55555555555555558</v>
      </c>
      <c r="W369">
        <f>[1]!survey_responses[[#This Row],[Tôi tin rằng Nhà nước, cơ quan thuế sẽ thực thi chính sách mới một cách khách quan, công tâm và đối xử bình đẳng với mọi người nộp thuế.  - HUMAN-TRU1]]</f>
        <v>6</v>
      </c>
      <c r="X369">
        <f t="shared" si="148"/>
        <v>0.55555555555555558</v>
      </c>
      <c r="Y369">
        <f>step3_validation[[#This Row],[AI_TRU2]]</f>
        <v>5</v>
      </c>
      <c r="Z369">
        <f t="shared" si="149"/>
        <v>0.44444444444444442</v>
      </c>
      <c r="AA369">
        <f>[1]!survey_responses[[#This Row],[Tôi thấy mức thuế tôi phải đóng theo phương án mới là công bằng (người thu nhập như tôi đóng mức này là hợp lý). - HUMAN-TRU2]]</f>
        <v>8</v>
      </c>
      <c r="AB369">
        <f t="shared" si="150"/>
        <v>0.77777777777777779</v>
      </c>
      <c r="AC369">
        <f>step3_validation[[#This Row],[AI_TRU3]]</f>
        <v>4</v>
      </c>
      <c r="AD369">
        <f t="shared" si="151"/>
        <v>0.33333333333333331</v>
      </c>
      <c r="AE369">
        <f>[1]!survey_responses[[#This Row],[Tôi tin tưởng số tiền thuế tôi đóng sẽ được Nhà nước sử dụng hiệu quả để cải thiện dịch vụ công (y tế, đường xá...). - HUMAN-TRU3]]</f>
        <v>6</v>
      </c>
      <c r="AF369">
        <f t="shared" si="152"/>
        <v>0.55555555555555558</v>
      </c>
      <c r="AG369">
        <f>step3_validation[[#This Row],[AI_TRU4]]</f>
        <v>5</v>
      </c>
      <c r="AH369">
        <f t="shared" si="153"/>
        <v>0.44444444444444442</v>
      </c>
      <c r="AI369">
        <f>[1]!survey_responses[[#This Row],[Tôi thấy Nhà nước đã giải thích rõ ràng, minh bạch về lý do và mục tiêu của việc sửa đổi thuế lần này. - HUMAN-TRU4]]</f>
        <v>7</v>
      </c>
      <c r="AJ369">
        <f t="shared" si="154"/>
        <v>0.66666666666666663</v>
      </c>
      <c r="AK369" s="32">
        <f t="shared" si="155"/>
        <v>0.44444444444444442</v>
      </c>
      <c r="AL369" s="32">
        <f t="shared" si="156"/>
        <v>0.63888888888888895</v>
      </c>
      <c r="AM369" s="7">
        <f t="shared" si="157"/>
        <v>0.66666666666666663</v>
      </c>
      <c r="AN369" s="7">
        <f t="shared" si="158"/>
        <v>0.69444444444444453</v>
      </c>
      <c r="AO369">
        <f>step3_validation[[#This Row],[AI_OUT1]]</f>
        <v>8</v>
      </c>
      <c r="AP369">
        <f t="shared" si="159"/>
        <v>0.77777777777777779</v>
      </c>
      <c r="AQ369">
        <f>[1]!survey_responses[[#This Row],[Sau khi xem xét các quyền lợi và nghĩa vụ, bạn có ủng hộ và tuân thủ chính sách mới hiện nay? - HUMAN-OUT1]]</f>
        <v>8</v>
      </c>
      <c r="AR369">
        <f t="shared" si="160"/>
        <v>0.77777777777777779</v>
      </c>
      <c r="AS369" s="32">
        <f t="shared" si="161"/>
        <v>0</v>
      </c>
    </row>
    <row r="370" spans="1:45" x14ac:dyDescent="0.45">
      <c r="A370">
        <f>step3_validation[[#This Row],[AI_ENF1]]</f>
        <v>8</v>
      </c>
      <c r="B370">
        <f t="shared" si="135"/>
        <v>0.77777777777777779</v>
      </c>
      <c r="C370">
        <f>[1]!survey_responses[[#This Row],[Tôi tin rằng với các quy định quản lý thuế hiện nay, hành vi gian lận hoặc trốn thuế sẽ dễ dàng bị phát hiện và xử lý nghiêm. - HUMAN-ENF1]]</f>
        <v>6</v>
      </c>
      <c r="D370">
        <f t="shared" si="136"/>
        <v>0.55555555555555558</v>
      </c>
      <c r="E370">
        <f>step3_validation[[#This Row],[AI_ENF2]]</f>
        <v>7</v>
      </c>
      <c r="F370">
        <f t="shared" si="137"/>
        <v>0.66666666666666663</v>
      </c>
      <c r="G370">
        <f>[1]!survey_responses[[#This Row],[Tôi tin rằng Nhà nước, cơ quan thuế có đủ khả năng và công nghệ để phát hiện, xử lý nghiêm các hành vi trốn thuế. - HUMAN-ENF2]]</f>
        <v>6</v>
      </c>
      <c r="H370">
        <f t="shared" si="138"/>
        <v>0.55555555555555558</v>
      </c>
      <c r="I370" s="32">
        <f t="shared" si="139"/>
        <v>0.72222222222222221</v>
      </c>
      <c r="J370" s="32">
        <f t="shared" si="140"/>
        <v>0.55555555555555558</v>
      </c>
      <c r="K370">
        <f>step3_validation[[#This Row],[AI_FAC1]]</f>
        <v>6</v>
      </c>
      <c r="L370">
        <f t="shared" si="141"/>
        <v>0.55555555555555558</v>
      </c>
      <c r="M370">
        <f>[1]!survey_responses[[#This Row],[Các thủ tục khai báo thuế VÀ/HOẶC quy trình làm việc với cơ quan thuế đơn giản, tiện lợi, nhanh chóng hơn so với trước đây. - HUMAN-FAC1]]</f>
        <v>8</v>
      </c>
      <c r="N370">
        <f t="shared" si="142"/>
        <v>0.77777777777777779</v>
      </c>
      <c r="O370">
        <f>step3_validation[[#This Row],[AI_FAC2]]</f>
        <v>8</v>
      </c>
      <c r="P370">
        <f t="shared" si="143"/>
        <v>0.77777777777777779</v>
      </c>
      <c r="Q370">
        <f>[1]!survey_responses[[#This Row],[So với trước đây, tôi thấy cách tính thuế và các bậc thuế trong phương án mới đơn giản, dễ hiểu và dễ thực hiện hơn. - HUMAN-FAC2]]</f>
        <v>9</v>
      </c>
      <c r="R370">
        <f t="shared" si="144"/>
        <v>0.88888888888888884</v>
      </c>
      <c r="S370" s="32">
        <f t="shared" si="145"/>
        <v>0.66666666666666674</v>
      </c>
      <c r="T370" s="32">
        <f t="shared" si="146"/>
        <v>0.83333333333333326</v>
      </c>
      <c r="U370">
        <f>step3_validation[[#This Row],[AI_TRU1]]</f>
        <v>7</v>
      </c>
      <c r="V370">
        <f t="shared" si="147"/>
        <v>0.66666666666666663</v>
      </c>
      <c r="W370">
        <f>[1]!survey_responses[[#This Row],[Tôi tin rằng Nhà nước, cơ quan thuế sẽ thực thi chính sách mới một cách khách quan, công tâm và đối xử bình đẳng với mọi người nộp thuế.  - HUMAN-TRU1]]</f>
        <v>8</v>
      </c>
      <c r="X370">
        <f t="shared" si="148"/>
        <v>0.77777777777777779</v>
      </c>
      <c r="Y370">
        <f>step3_validation[[#This Row],[AI_TRU2]]</f>
        <v>7</v>
      </c>
      <c r="Z370">
        <f t="shared" si="149"/>
        <v>0.66666666666666663</v>
      </c>
      <c r="AA370">
        <f>[1]!survey_responses[[#This Row],[Tôi thấy mức thuế tôi phải đóng theo phương án mới là công bằng (người thu nhập như tôi đóng mức này là hợp lý). - HUMAN-TRU2]]</f>
        <v>8</v>
      </c>
      <c r="AB370">
        <f t="shared" si="150"/>
        <v>0.77777777777777779</v>
      </c>
      <c r="AC370">
        <f>step3_validation[[#This Row],[AI_TRU3]]</f>
        <v>6</v>
      </c>
      <c r="AD370">
        <f t="shared" si="151"/>
        <v>0.55555555555555558</v>
      </c>
      <c r="AE370">
        <f>[1]!survey_responses[[#This Row],[Tôi tin tưởng số tiền thuế tôi đóng sẽ được Nhà nước sử dụng hiệu quả để cải thiện dịch vụ công (y tế, đường xá...). - HUMAN-TRU3]]</f>
        <v>5</v>
      </c>
      <c r="AF370">
        <f t="shared" si="152"/>
        <v>0.44444444444444442</v>
      </c>
      <c r="AG370">
        <f>step3_validation[[#This Row],[AI_TRU4]]</f>
        <v>5</v>
      </c>
      <c r="AH370">
        <f t="shared" si="153"/>
        <v>0.44444444444444442</v>
      </c>
      <c r="AI370">
        <f>[1]!survey_responses[[#This Row],[Tôi thấy Nhà nước đã giải thích rõ ràng, minh bạch về lý do và mục tiêu của việc sửa đổi thuế lần này. - HUMAN-TRU4]]</f>
        <v>7</v>
      </c>
      <c r="AJ370">
        <f t="shared" si="154"/>
        <v>0.66666666666666663</v>
      </c>
      <c r="AK370" s="32">
        <f t="shared" si="155"/>
        <v>0.58333333333333326</v>
      </c>
      <c r="AL370" s="32">
        <f t="shared" si="156"/>
        <v>0.66666666666666663</v>
      </c>
      <c r="AM370" s="7">
        <f t="shared" si="157"/>
        <v>0.65740740740740733</v>
      </c>
      <c r="AN370" s="7">
        <f t="shared" si="158"/>
        <v>0.68518518518518512</v>
      </c>
      <c r="AO370">
        <f>step3_validation[[#This Row],[AI_OUT1]]</f>
        <v>7</v>
      </c>
      <c r="AP370">
        <f t="shared" si="159"/>
        <v>0.66666666666666663</v>
      </c>
      <c r="AQ370">
        <f>[1]!survey_responses[[#This Row],[Sau khi xem xét các quyền lợi và nghĩa vụ, bạn có ủng hộ và tuân thủ chính sách mới hiện nay? - HUMAN-OUT1]]</f>
        <v>8</v>
      </c>
      <c r="AR370">
        <f t="shared" si="160"/>
        <v>0.77777777777777779</v>
      </c>
      <c r="AS370" s="32">
        <f t="shared" si="161"/>
        <v>1</v>
      </c>
    </row>
    <row r="371" spans="1:45" x14ac:dyDescent="0.45">
      <c r="A371">
        <f>step3_validation[[#This Row],[AI_ENF1]]</f>
        <v>8</v>
      </c>
      <c r="B371">
        <f t="shared" si="135"/>
        <v>0.77777777777777779</v>
      </c>
      <c r="C371">
        <f>[1]!survey_responses[[#This Row],[Tôi tin rằng với các quy định quản lý thuế hiện nay, hành vi gian lận hoặc trốn thuế sẽ dễ dàng bị phát hiện và xử lý nghiêm. - HUMAN-ENF1]]</f>
        <v>6</v>
      </c>
      <c r="D371">
        <f t="shared" si="136"/>
        <v>0.55555555555555558</v>
      </c>
      <c r="E371">
        <f>step3_validation[[#This Row],[AI_ENF2]]</f>
        <v>9</v>
      </c>
      <c r="F371">
        <f t="shared" si="137"/>
        <v>0.88888888888888884</v>
      </c>
      <c r="G371">
        <f>[1]!survey_responses[[#This Row],[Tôi tin rằng Nhà nước, cơ quan thuế có đủ khả năng và công nghệ để phát hiện, xử lý nghiêm các hành vi trốn thuế. - HUMAN-ENF2]]</f>
        <v>7</v>
      </c>
      <c r="H371">
        <f t="shared" si="138"/>
        <v>0.66666666666666663</v>
      </c>
      <c r="I371" s="32">
        <f t="shared" si="139"/>
        <v>0.83333333333333326</v>
      </c>
      <c r="J371" s="32">
        <f t="shared" si="140"/>
        <v>0.61111111111111116</v>
      </c>
      <c r="K371">
        <f>step3_validation[[#This Row],[AI_FAC1]]</f>
        <v>8</v>
      </c>
      <c r="L371">
        <f t="shared" si="141"/>
        <v>0.77777777777777779</v>
      </c>
      <c r="M371">
        <f>[1]!survey_responses[[#This Row],[Các thủ tục khai báo thuế VÀ/HOẶC quy trình làm việc với cơ quan thuế đơn giản, tiện lợi, nhanh chóng hơn so với trước đây. - HUMAN-FAC1]]</f>
        <v>7</v>
      </c>
      <c r="N371">
        <f t="shared" si="142"/>
        <v>0.66666666666666663</v>
      </c>
      <c r="O371">
        <f>step3_validation[[#This Row],[AI_FAC2]]</f>
        <v>7</v>
      </c>
      <c r="P371">
        <f t="shared" si="143"/>
        <v>0.66666666666666663</v>
      </c>
      <c r="Q371">
        <f>[1]!survey_responses[[#This Row],[So với trước đây, tôi thấy cách tính thuế và các bậc thuế trong phương án mới đơn giản, dễ hiểu và dễ thực hiện hơn. - HUMAN-FAC2]]</f>
        <v>9</v>
      </c>
      <c r="R371">
        <f t="shared" si="144"/>
        <v>0.88888888888888884</v>
      </c>
      <c r="S371" s="32">
        <f t="shared" si="145"/>
        <v>0.72222222222222221</v>
      </c>
      <c r="T371" s="32">
        <f t="shared" si="146"/>
        <v>0.77777777777777768</v>
      </c>
      <c r="U371">
        <f>step3_validation[[#This Row],[AI_TRU1]]</f>
        <v>8</v>
      </c>
      <c r="V371">
        <f t="shared" si="147"/>
        <v>0.77777777777777779</v>
      </c>
      <c r="W371">
        <f>[1]!survey_responses[[#This Row],[Tôi tin rằng Nhà nước, cơ quan thuế sẽ thực thi chính sách mới một cách khách quan, công tâm và đối xử bình đẳng với mọi người nộp thuế.  - HUMAN-TRU1]]</f>
        <v>7</v>
      </c>
      <c r="X371">
        <f t="shared" si="148"/>
        <v>0.66666666666666663</v>
      </c>
      <c r="Y371">
        <f>step3_validation[[#This Row],[AI_TRU2]]</f>
        <v>9</v>
      </c>
      <c r="Z371">
        <f t="shared" si="149"/>
        <v>0.88888888888888884</v>
      </c>
      <c r="AA371">
        <f>[1]!survey_responses[[#This Row],[Tôi thấy mức thuế tôi phải đóng theo phương án mới là công bằng (người thu nhập như tôi đóng mức này là hợp lý). - HUMAN-TRU2]]</f>
        <v>9</v>
      </c>
      <c r="AB371">
        <f t="shared" si="150"/>
        <v>0.88888888888888884</v>
      </c>
      <c r="AC371">
        <f>step3_validation[[#This Row],[AI_TRU3]]</f>
        <v>8</v>
      </c>
      <c r="AD371">
        <f t="shared" si="151"/>
        <v>0.77777777777777779</v>
      </c>
      <c r="AE371">
        <f>[1]!survey_responses[[#This Row],[Tôi tin tưởng số tiền thuế tôi đóng sẽ được Nhà nước sử dụng hiệu quả để cải thiện dịch vụ công (y tế, đường xá...). - HUMAN-TRU3]]</f>
        <v>9</v>
      </c>
      <c r="AF371">
        <f t="shared" si="152"/>
        <v>0.88888888888888884</v>
      </c>
      <c r="AG371">
        <f>step3_validation[[#This Row],[AI_TRU4]]</f>
        <v>7</v>
      </c>
      <c r="AH371">
        <f t="shared" si="153"/>
        <v>0.66666666666666663</v>
      </c>
      <c r="AI371">
        <f>[1]!survey_responses[[#This Row],[Tôi thấy Nhà nước đã giải thích rõ ràng, minh bạch về lý do và mục tiêu của việc sửa đổi thuế lần này. - HUMAN-TRU4]]</f>
        <v>9</v>
      </c>
      <c r="AJ371">
        <f t="shared" si="154"/>
        <v>0.88888888888888884</v>
      </c>
      <c r="AK371" s="32">
        <f t="shared" si="155"/>
        <v>0.77777777777777768</v>
      </c>
      <c r="AL371" s="32">
        <f t="shared" si="156"/>
        <v>0.83333333333333326</v>
      </c>
      <c r="AM371" s="7">
        <f t="shared" si="157"/>
        <v>0.77777777777777768</v>
      </c>
      <c r="AN371" s="7">
        <f t="shared" si="158"/>
        <v>0.74074074074074081</v>
      </c>
      <c r="AO371">
        <f>step3_validation[[#This Row],[AI_OUT1]]</f>
        <v>9</v>
      </c>
      <c r="AP371">
        <f t="shared" si="159"/>
        <v>0.88888888888888884</v>
      </c>
      <c r="AQ371">
        <f>[1]!survey_responses[[#This Row],[Sau khi xem xét các quyền lợi và nghĩa vụ, bạn có ủng hộ và tuân thủ chính sách mới hiện nay? - HUMAN-OUT1]]</f>
        <v>9</v>
      </c>
      <c r="AR371">
        <f t="shared" si="160"/>
        <v>0.88888888888888884</v>
      </c>
      <c r="AS371" s="32">
        <f t="shared" si="161"/>
        <v>0</v>
      </c>
    </row>
    <row r="372" spans="1:45" x14ac:dyDescent="0.45">
      <c r="A372">
        <f>step3_validation[[#This Row],[AI_ENF1]]</f>
        <v>7</v>
      </c>
      <c r="B372">
        <f t="shared" si="135"/>
        <v>0.66666666666666663</v>
      </c>
      <c r="C372">
        <f>[1]!survey_responses[[#This Row],[Tôi tin rằng với các quy định quản lý thuế hiện nay, hành vi gian lận hoặc trốn thuế sẽ dễ dàng bị phát hiện và xử lý nghiêm. - HUMAN-ENF1]]</f>
        <v>4</v>
      </c>
      <c r="D372">
        <f t="shared" si="136"/>
        <v>0.33333333333333331</v>
      </c>
      <c r="E372">
        <f>step3_validation[[#This Row],[AI_ENF2]]</f>
        <v>8</v>
      </c>
      <c r="F372">
        <f t="shared" si="137"/>
        <v>0.77777777777777779</v>
      </c>
      <c r="G372">
        <f>[1]!survey_responses[[#This Row],[Tôi tin rằng Nhà nước, cơ quan thuế có đủ khả năng và công nghệ để phát hiện, xử lý nghiêm các hành vi trốn thuế. - HUMAN-ENF2]]</f>
        <v>4</v>
      </c>
      <c r="H372">
        <f t="shared" si="138"/>
        <v>0.33333333333333331</v>
      </c>
      <c r="I372" s="32">
        <f t="shared" si="139"/>
        <v>0.72222222222222221</v>
      </c>
      <c r="J372" s="32">
        <f t="shared" si="140"/>
        <v>0.33333333333333331</v>
      </c>
      <c r="K372">
        <f>step3_validation[[#This Row],[AI_FAC1]]</f>
        <v>6</v>
      </c>
      <c r="L372">
        <f t="shared" si="141"/>
        <v>0.55555555555555558</v>
      </c>
      <c r="M372">
        <f>[1]!survey_responses[[#This Row],[Các thủ tục khai báo thuế VÀ/HOẶC quy trình làm việc với cơ quan thuế đơn giản, tiện lợi, nhanh chóng hơn so với trước đây. - HUMAN-FAC1]]</f>
        <v>5</v>
      </c>
      <c r="N372">
        <f t="shared" si="142"/>
        <v>0.44444444444444442</v>
      </c>
      <c r="O372">
        <f>step3_validation[[#This Row],[AI_FAC2]]</f>
        <v>7</v>
      </c>
      <c r="P372">
        <f t="shared" si="143"/>
        <v>0.66666666666666663</v>
      </c>
      <c r="Q372">
        <f>[1]!survey_responses[[#This Row],[So với trước đây, tôi thấy cách tính thuế và các bậc thuế trong phương án mới đơn giản, dễ hiểu và dễ thực hiện hơn. - HUMAN-FAC2]]</f>
        <v>5</v>
      </c>
      <c r="R372">
        <f t="shared" si="144"/>
        <v>0.44444444444444442</v>
      </c>
      <c r="S372" s="32">
        <f t="shared" si="145"/>
        <v>0.61111111111111116</v>
      </c>
      <c r="T372" s="32">
        <f t="shared" si="146"/>
        <v>0.44444444444444442</v>
      </c>
      <c r="U372">
        <f>step3_validation[[#This Row],[AI_TRU1]]</f>
        <v>8</v>
      </c>
      <c r="V372">
        <f t="shared" si="147"/>
        <v>0.77777777777777779</v>
      </c>
      <c r="W372">
        <f>[1]!survey_responses[[#This Row],[Tôi tin rằng Nhà nước, cơ quan thuế sẽ thực thi chính sách mới một cách khách quan, công tâm và đối xử bình đẳng với mọi người nộp thuế.  - HUMAN-TRU1]]</f>
        <v>5</v>
      </c>
      <c r="X372">
        <f t="shared" si="148"/>
        <v>0.44444444444444442</v>
      </c>
      <c r="Y372">
        <f>step3_validation[[#This Row],[AI_TRU2]]</f>
        <v>7</v>
      </c>
      <c r="Z372">
        <f t="shared" si="149"/>
        <v>0.66666666666666663</v>
      </c>
      <c r="AA372">
        <f>[1]!survey_responses[[#This Row],[Tôi thấy mức thuế tôi phải đóng theo phương án mới là công bằng (người thu nhập như tôi đóng mức này là hợp lý). - HUMAN-TRU2]]</f>
        <v>4</v>
      </c>
      <c r="AB372">
        <f t="shared" si="150"/>
        <v>0.33333333333333331</v>
      </c>
      <c r="AC372">
        <f>step3_validation[[#This Row],[AI_TRU3]]</f>
        <v>8</v>
      </c>
      <c r="AD372">
        <f t="shared" si="151"/>
        <v>0.77777777777777779</v>
      </c>
      <c r="AE372">
        <f>[1]!survey_responses[[#This Row],[Tôi tin tưởng số tiền thuế tôi đóng sẽ được Nhà nước sử dụng hiệu quả để cải thiện dịch vụ công (y tế, đường xá...). - HUMAN-TRU3]]</f>
        <v>5</v>
      </c>
      <c r="AF372">
        <f t="shared" si="152"/>
        <v>0.44444444444444442</v>
      </c>
      <c r="AG372">
        <f>step3_validation[[#This Row],[AI_TRU4]]</f>
        <v>7</v>
      </c>
      <c r="AH372">
        <f t="shared" si="153"/>
        <v>0.66666666666666663</v>
      </c>
      <c r="AI372">
        <f>[1]!survey_responses[[#This Row],[Tôi thấy Nhà nước đã giải thích rõ ràng, minh bạch về lý do và mục tiêu của việc sửa đổi thuế lần này. - HUMAN-TRU4]]</f>
        <v>6</v>
      </c>
      <c r="AJ372">
        <f t="shared" si="154"/>
        <v>0.55555555555555558</v>
      </c>
      <c r="AK372" s="32">
        <f t="shared" si="155"/>
        <v>0.72222222222222221</v>
      </c>
      <c r="AL372" s="32">
        <f t="shared" si="156"/>
        <v>0.44444444444444442</v>
      </c>
      <c r="AM372" s="7">
        <f t="shared" si="157"/>
        <v>0.68518518518518523</v>
      </c>
      <c r="AN372" s="7">
        <f t="shared" si="158"/>
        <v>0.40740740740740738</v>
      </c>
      <c r="AO372">
        <f>step3_validation[[#This Row],[AI_OUT1]]</f>
        <v>6</v>
      </c>
      <c r="AP372">
        <f t="shared" si="159"/>
        <v>0.55555555555555558</v>
      </c>
      <c r="AQ372">
        <f>[1]!survey_responses[[#This Row],[Sau khi xem xét các quyền lợi và nghĩa vụ, bạn có ủng hộ và tuân thủ chính sách mới hiện nay? - HUMAN-OUT1]]</f>
        <v>5</v>
      </c>
      <c r="AR372">
        <f t="shared" si="160"/>
        <v>0.44444444444444442</v>
      </c>
      <c r="AS372" s="32">
        <f t="shared" si="161"/>
        <v>1</v>
      </c>
    </row>
    <row r="373" spans="1:45" x14ac:dyDescent="0.45">
      <c r="A373">
        <f>step3_validation[[#This Row],[AI_ENF1]]</f>
        <v>8</v>
      </c>
      <c r="B373">
        <f t="shared" si="135"/>
        <v>0.77777777777777779</v>
      </c>
      <c r="C373">
        <f>[1]!survey_responses[[#This Row],[Tôi tin rằng với các quy định quản lý thuế hiện nay, hành vi gian lận hoặc trốn thuế sẽ dễ dàng bị phát hiện và xử lý nghiêm. - HUMAN-ENF1]]</f>
        <v>6</v>
      </c>
      <c r="D373">
        <f t="shared" si="136"/>
        <v>0.55555555555555558</v>
      </c>
      <c r="E373">
        <f>step3_validation[[#This Row],[AI_ENF2]]</f>
        <v>9</v>
      </c>
      <c r="F373">
        <f t="shared" si="137"/>
        <v>0.88888888888888884</v>
      </c>
      <c r="G373">
        <f>[1]!survey_responses[[#This Row],[Tôi tin rằng Nhà nước, cơ quan thuế có đủ khả năng và công nghệ để phát hiện, xử lý nghiêm các hành vi trốn thuế. - HUMAN-ENF2]]</f>
        <v>6</v>
      </c>
      <c r="H373">
        <f t="shared" si="138"/>
        <v>0.55555555555555558</v>
      </c>
      <c r="I373" s="32">
        <f t="shared" si="139"/>
        <v>0.83333333333333326</v>
      </c>
      <c r="J373" s="32">
        <f t="shared" si="140"/>
        <v>0.55555555555555558</v>
      </c>
      <c r="K373">
        <f>step3_validation[[#This Row],[AI_FAC1]]</f>
        <v>8</v>
      </c>
      <c r="L373">
        <f t="shared" si="141"/>
        <v>0.77777777777777779</v>
      </c>
      <c r="M373">
        <f>[1]!survey_responses[[#This Row],[Các thủ tục khai báo thuế VÀ/HOẶC quy trình làm việc với cơ quan thuế đơn giản, tiện lợi, nhanh chóng hơn so với trước đây. - HUMAN-FAC1]]</f>
        <v>8</v>
      </c>
      <c r="N373">
        <f t="shared" si="142"/>
        <v>0.77777777777777779</v>
      </c>
      <c r="O373">
        <f>step3_validation[[#This Row],[AI_FAC2]]</f>
        <v>9</v>
      </c>
      <c r="P373">
        <f t="shared" si="143"/>
        <v>0.88888888888888884</v>
      </c>
      <c r="Q373">
        <f>[1]!survey_responses[[#This Row],[So với trước đây, tôi thấy cách tính thuế và các bậc thuế trong phương án mới đơn giản, dễ hiểu và dễ thực hiện hơn. - HUMAN-FAC2]]</f>
        <v>8</v>
      </c>
      <c r="R373">
        <f t="shared" si="144"/>
        <v>0.77777777777777779</v>
      </c>
      <c r="S373" s="32">
        <f t="shared" si="145"/>
        <v>0.83333333333333326</v>
      </c>
      <c r="T373" s="32">
        <f t="shared" si="146"/>
        <v>0.77777777777777779</v>
      </c>
      <c r="U373">
        <f>step3_validation[[#This Row],[AI_TRU1]]</f>
        <v>7</v>
      </c>
      <c r="V373">
        <f t="shared" si="147"/>
        <v>0.66666666666666663</v>
      </c>
      <c r="W373">
        <f>[1]!survey_responses[[#This Row],[Tôi tin rằng Nhà nước, cơ quan thuế sẽ thực thi chính sách mới một cách khách quan, công tâm và đối xử bình đẳng với mọi người nộp thuế.  - HUMAN-TRU1]]</f>
        <v>6</v>
      </c>
      <c r="X373">
        <f t="shared" si="148"/>
        <v>0.55555555555555558</v>
      </c>
      <c r="Y373">
        <f>step3_validation[[#This Row],[AI_TRU2]]</f>
        <v>8</v>
      </c>
      <c r="Z373">
        <f t="shared" si="149"/>
        <v>0.77777777777777779</v>
      </c>
      <c r="AA373">
        <f>[1]!survey_responses[[#This Row],[Tôi thấy mức thuế tôi phải đóng theo phương án mới là công bằng (người thu nhập như tôi đóng mức này là hợp lý). - HUMAN-TRU2]]</f>
        <v>7</v>
      </c>
      <c r="AB373">
        <f t="shared" si="150"/>
        <v>0.66666666666666663</v>
      </c>
      <c r="AC373">
        <f>step3_validation[[#This Row],[AI_TRU3]]</f>
        <v>7</v>
      </c>
      <c r="AD373">
        <f t="shared" si="151"/>
        <v>0.66666666666666663</v>
      </c>
      <c r="AE373">
        <f>[1]!survey_responses[[#This Row],[Tôi tin tưởng số tiền thuế tôi đóng sẽ được Nhà nước sử dụng hiệu quả để cải thiện dịch vụ công (y tế, đường xá...). - HUMAN-TRU3]]</f>
        <v>5</v>
      </c>
      <c r="AF373">
        <f t="shared" si="152"/>
        <v>0.44444444444444442</v>
      </c>
      <c r="AG373">
        <f>step3_validation[[#This Row],[AI_TRU4]]</f>
        <v>8</v>
      </c>
      <c r="AH373">
        <f t="shared" si="153"/>
        <v>0.77777777777777779</v>
      </c>
      <c r="AI373">
        <f>[1]!survey_responses[[#This Row],[Tôi thấy Nhà nước đã giải thích rõ ràng, minh bạch về lý do và mục tiêu của việc sửa đổi thuế lần này. - HUMAN-TRU4]]</f>
        <v>6</v>
      </c>
      <c r="AJ373">
        <f t="shared" si="154"/>
        <v>0.55555555555555558</v>
      </c>
      <c r="AK373" s="32">
        <f t="shared" si="155"/>
        <v>0.72222222222222221</v>
      </c>
      <c r="AL373" s="32">
        <f t="shared" si="156"/>
        <v>0.55555555555555558</v>
      </c>
      <c r="AM373" s="7">
        <f t="shared" si="157"/>
        <v>0.79629629629629628</v>
      </c>
      <c r="AN373" s="7">
        <f t="shared" si="158"/>
        <v>0.62962962962962965</v>
      </c>
      <c r="AO373">
        <f>step3_validation[[#This Row],[AI_OUT1]]</f>
        <v>7</v>
      </c>
      <c r="AP373">
        <f t="shared" si="159"/>
        <v>0.66666666666666663</v>
      </c>
      <c r="AQ373">
        <f>[1]!survey_responses[[#This Row],[Sau khi xem xét các quyền lợi và nghĩa vụ, bạn có ủng hộ và tuân thủ chính sách mới hiện nay? - HUMAN-OUT1]]</f>
        <v>6</v>
      </c>
      <c r="AR373">
        <f t="shared" si="160"/>
        <v>0.55555555555555558</v>
      </c>
      <c r="AS373" s="32">
        <f t="shared" si="161"/>
        <v>1</v>
      </c>
    </row>
    <row r="374" spans="1:45" x14ac:dyDescent="0.45">
      <c r="A374">
        <f>step3_validation[[#This Row],[AI_ENF1]]</f>
        <v>7</v>
      </c>
      <c r="B374">
        <f t="shared" si="135"/>
        <v>0.66666666666666663</v>
      </c>
      <c r="C374">
        <f>[1]!survey_responses[[#This Row],[Tôi tin rằng với các quy định quản lý thuế hiện nay, hành vi gian lận hoặc trốn thuế sẽ dễ dàng bị phát hiện và xử lý nghiêm. - HUMAN-ENF1]]</f>
        <v>8</v>
      </c>
      <c r="D374">
        <f t="shared" si="136"/>
        <v>0.77777777777777779</v>
      </c>
      <c r="E374">
        <f>step3_validation[[#This Row],[AI_ENF2]]</f>
        <v>8</v>
      </c>
      <c r="F374">
        <f t="shared" si="137"/>
        <v>0.77777777777777779</v>
      </c>
      <c r="G374">
        <f>[1]!survey_responses[[#This Row],[Tôi tin rằng Nhà nước, cơ quan thuế có đủ khả năng và công nghệ để phát hiện, xử lý nghiêm các hành vi trốn thuế. - HUMAN-ENF2]]</f>
        <v>8</v>
      </c>
      <c r="H374">
        <f t="shared" si="138"/>
        <v>0.77777777777777779</v>
      </c>
      <c r="I374" s="32">
        <f t="shared" si="139"/>
        <v>0.72222222222222221</v>
      </c>
      <c r="J374" s="32">
        <f t="shared" si="140"/>
        <v>0.77777777777777779</v>
      </c>
      <c r="K374">
        <f>step3_validation[[#This Row],[AI_FAC1]]</f>
        <v>6</v>
      </c>
      <c r="L374">
        <f t="shared" si="141"/>
        <v>0.55555555555555558</v>
      </c>
      <c r="M374">
        <f>[1]!survey_responses[[#This Row],[Các thủ tục khai báo thuế VÀ/HOẶC quy trình làm việc với cơ quan thuế đơn giản, tiện lợi, nhanh chóng hơn so với trước đây. - HUMAN-FAC1]]</f>
        <v>9</v>
      </c>
      <c r="N374">
        <f t="shared" si="142"/>
        <v>0.88888888888888884</v>
      </c>
      <c r="O374">
        <f>step3_validation[[#This Row],[AI_FAC2]]</f>
        <v>7</v>
      </c>
      <c r="P374">
        <f t="shared" si="143"/>
        <v>0.66666666666666663</v>
      </c>
      <c r="Q374">
        <f>[1]!survey_responses[[#This Row],[So với trước đây, tôi thấy cách tính thuế và các bậc thuế trong phương án mới đơn giản, dễ hiểu và dễ thực hiện hơn. - HUMAN-FAC2]]</f>
        <v>9</v>
      </c>
      <c r="R374">
        <f t="shared" si="144"/>
        <v>0.88888888888888884</v>
      </c>
      <c r="S374" s="32">
        <f t="shared" si="145"/>
        <v>0.61111111111111116</v>
      </c>
      <c r="T374" s="32">
        <f t="shared" si="146"/>
        <v>0.88888888888888884</v>
      </c>
      <c r="U374">
        <f>step3_validation[[#This Row],[AI_TRU1]]</f>
        <v>8</v>
      </c>
      <c r="V374">
        <f t="shared" si="147"/>
        <v>0.77777777777777779</v>
      </c>
      <c r="W374">
        <f>[1]!survey_responses[[#This Row],[Tôi tin rằng Nhà nước, cơ quan thuế sẽ thực thi chính sách mới một cách khách quan, công tâm và đối xử bình đẳng với mọi người nộp thuế.  - HUMAN-TRU1]]</f>
        <v>5</v>
      </c>
      <c r="X374">
        <f t="shared" si="148"/>
        <v>0.44444444444444442</v>
      </c>
      <c r="Y374">
        <f>step3_validation[[#This Row],[AI_TRU2]]</f>
        <v>7</v>
      </c>
      <c r="Z374">
        <f t="shared" si="149"/>
        <v>0.66666666666666663</v>
      </c>
      <c r="AA374">
        <f>[1]!survey_responses[[#This Row],[Tôi thấy mức thuế tôi phải đóng theo phương án mới là công bằng (người thu nhập như tôi đóng mức này là hợp lý). - HUMAN-TRU2]]</f>
        <v>5</v>
      </c>
      <c r="AB374">
        <f t="shared" si="150"/>
        <v>0.44444444444444442</v>
      </c>
      <c r="AC374">
        <f>step3_validation[[#This Row],[AI_TRU3]]</f>
        <v>6</v>
      </c>
      <c r="AD374">
        <f t="shared" si="151"/>
        <v>0.55555555555555558</v>
      </c>
      <c r="AE374">
        <f>[1]!survey_responses[[#This Row],[Tôi tin tưởng số tiền thuế tôi đóng sẽ được Nhà nước sử dụng hiệu quả để cải thiện dịch vụ công (y tế, đường xá...). - HUMAN-TRU3]]</f>
        <v>5</v>
      </c>
      <c r="AF374">
        <f t="shared" si="152"/>
        <v>0.44444444444444442</v>
      </c>
      <c r="AG374">
        <f>step3_validation[[#This Row],[AI_TRU4]]</f>
        <v>5</v>
      </c>
      <c r="AH374">
        <f t="shared" si="153"/>
        <v>0.44444444444444442</v>
      </c>
      <c r="AI374">
        <f>[1]!survey_responses[[#This Row],[Tôi thấy Nhà nước đã giải thích rõ ràng, minh bạch về lý do và mục tiêu của việc sửa đổi thuế lần này. - HUMAN-TRU4]]</f>
        <v>6</v>
      </c>
      <c r="AJ374">
        <f t="shared" si="154"/>
        <v>0.55555555555555558</v>
      </c>
      <c r="AK374" s="32">
        <f t="shared" si="155"/>
        <v>0.61111111111111116</v>
      </c>
      <c r="AL374" s="32">
        <f t="shared" si="156"/>
        <v>0.47222222222222221</v>
      </c>
      <c r="AM374" s="7">
        <f t="shared" si="157"/>
        <v>0.64814814814814825</v>
      </c>
      <c r="AN374" s="7">
        <f t="shared" si="158"/>
        <v>0.71296296296296291</v>
      </c>
      <c r="AO374">
        <f>step3_validation[[#This Row],[AI_OUT1]]</f>
        <v>7</v>
      </c>
      <c r="AP374">
        <f t="shared" si="159"/>
        <v>0.66666666666666663</v>
      </c>
      <c r="AQ374">
        <f>[1]!survey_responses[[#This Row],[Sau khi xem xét các quyền lợi và nghĩa vụ, bạn có ủng hộ và tuân thủ chính sách mới hiện nay? - HUMAN-OUT1]]</f>
        <v>5</v>
      </c>
      <c r="AR374">
        <f t="shared" si="160"/>
        <v>0.44444444444444442</v>
      </c>
      <c r="AS374" s="32">
        <f t="shared" si="161"/>
        <v>2</v>
      </c>
    </row>
    <row r="375" spans="1:45" x14ac:dyDescent="0.45">
      <c r="A375">
        <f>step3_validation[[#This Row],[AI_ENF1]]</f>
        <v>7</v>
      </c>
      <c r="B375">
        <f t="shared" si="135"/>
        <v>0.66666666666666663</v>
      </c>
      <c r="C375">
        <f>[1]!survey_responses[[#This Row],[Tôi tin rằng với các quy định quản lý thuế hiện nay, hành vi gian lận hoặc trốn thuế sẽ dễ dàng bị phát hiện và xử lý nghiêm. - HUMAN-ENF1]]</f>
        <v>6</v>
      </c>
      <c r="D375">
        <f t="shared" si="136"/>
        <v>0.55555555555555558</v>
      </c>
      <c r="E375">
        <f>step3_validation[[#This Row],[AI_ENF2]]</f>
        <v>8</v>
      </c>
      <c r="F375">
        <f t="shared" si="137"/>
        <v>0.77777777777777779</v>
      </c>
      <c r="G375">
        <f>[1]!survey_responses[[#This Row],[Tôi tin rằng Nhà nước, cơ quan thuế có đủ khả năng và công nghệ để phát hiện, xử lý nghiêm các hành vi trốn thuế. - HUMAN-ENF2]]</f>
        <v>6</v>
      </c>
      <c r="H375">
        <f t="shared" si="138"/>
        <v>0.55555555555555558</v>
      </c>
      <c r="I375" s="32">
        <f t="shared" si="139"/>
        <v>0.72222222222222221</v>
      </c>
      <c r="J375" s="32">
        <f t="shared" si="140"/>
        <v>0.55555555555555558</v>
      </c>
      <c r="K375">
        <f>step3_validation[[#This Row],[AI_FAC1]]</f>
        <v>6</v>
      </c>
      <c r="L375">
        <f t="shared" si="141"/>
        <v>0.55555555555555558</v>
      </c>
      <c r="M375">
        <f>[1]!survey_responses[[#This Row],[Các thủ tục khai báo thuế VÀ/HOẶC quy trình làm việc với cơ quan thuế đơn giản, tiện lợi, nhanh chóng hơn so với trước đây. - HUMAN-FAC1]]</f>
        <v>7</v>
      </c>
      <c r="N375">
        <f t="shared" si="142"/>
        <v>0.66666666666666663</v>
      </c>
      <c r="O375">
        <f>step3_validation[[#This Row],[AI_FAC2]]</f>
        <v>8</v>
      </c>
      <c r="P375">
        <f t="shared" si="143"/>
        <v>0.77777777777777779</v>
      </c>
      <c r="Q375">
        <f>[1]!survey_responses[[#This Row],[So với trước đây, tôi thấy cách tính thuế và các bậc thuế trong phương án mới đơn giản, dễ hiểu và dễ thực hiện hơn. - HUMAN-FAC2]]</f>
        <v>7</v>
      </c>
      <c r="R375">
        <f t="shared" si="144"/>
        <v>0.66666666666666663</v>
      </c>
      <c r="S375" s="32">
        <f t="shared" si="145"/>
        <v>0.66666666666666674</v>
      </c>
      <c r="T375" s="32">
        <f t="shared" si="146"/>
        <v>0.66666666666666663</v>
      </c>
      <c r="U375">
        <f>step3_validation[[#This Row],[AI_TRU1]]</f>
        <v>7</v>
      </c>
      <c r="V375">
        <f t="shared" si="147"/>
        <v>0.66666666666666663</v>
      </c>
      <c r="W375">
        <f>[1]!survey_responses[[#This Row],[Tôi tin rằng Nhà nước, cơ quan thuế sẽ thực thi chính sách mới một cách khách quan, công tâm và đối xử bình đẳng với mọi người nộp thuế.  - HUMAN-TRU1]]</f>
        <v>6</v>
      </c>
      <c r="X375">
        <f t="shared" si="148"/>
        <v>0.55555555555555558</v>
      </c>
      <c r="Y375">
        <f>step3_validation[[#This Row],[AI_TRU2]]</f>
        <v>6</v>
      </c>
      <c r="Z375">
        <f t="shared" si="149"/>
        <v>0.55555555555555558</v>
      </c>
      <c r="AA375">
        <f>[1]!survey_responses[[#This Row],[Tôi thấy mức thuế tôi phải đóng theo phương án mới là công bằng (người thu nhập như tôi đóng mức này là hợp lý). - HUMAN-TRU2]]</f>
        <v>6</v>
      </c>
      <c r="AB375">
        <f t="shared" si="150"/>
        <v>0.55555555555555558</v>
      </c>
      <c r="AC375">
        <f>step3_validation[[#This Row],[AI_TRU3]]</f>
        <v>7</v>
      </c>
      <c r="AD375">
        <f t="shared" si="151"/>
        <v>0.66666666666666663</v>
      </c>
      <c r="AE375">
        <f>[1]!survey_responses[[#This Row],[Tôi tin tưởng số tiền thuế tôi đóng sẽ được Nhà nước sử dụng hiệu quả để cải thiện dịch vụ công (y tế, đường xá...). - HUMAN-TRU3]]</f>
        <v>6</v>
      </c>
      <c r="AF375">
        <f t="shared" si="152"/>
        <v>0.55555555555555558</v>
      </c>
      <c r="AG375">
        <f>step3_validation[[#This Row],[AI_TRU4]]</f>
        <v>5</v>
      </c>
      <c r="AH375">
        <f t="shared" si="153"/>
        <v>0.44444444444444442</v>
      </c>
      <c r="AI375">
        <f>[1]!survey_responses[[#This Row],[Tôi thấy Nhà nước đã giải thích rõ ràng, minh bạch về lý do và mục tiêu của việc sửa đổi thuế lần này. - HUMAN-TRU4]]</f>
        <v>6</v>
      </c>
      <c r="AJ375">
        <f t="shared" si="154"/>
        <v>0.55555555555555558</v>
      </c>
      <c r="AK375" s="32">
        <f t="shared" si="155"/>
        <v>0.58333333333333326</v>
      </c>
      <c r="AL375" s="32">
        <f t="shared" si="156"/>
        <v>0.55555555555555558</v>
      </c>
      <c r="AM375" s="7">
        <f t="shared" si="157"/>
        <v>0.65740740740740733</v>
      </c>
      <c r="AN375" s="7">
        <f t="shared" si="158"/>
        <v>0.59259259259259267</v>
      </c>
      <c r="AO375">
        <f>step3_validation[[#This Row],[AI_OUT1]]</f>
        <v>8</v>
      </c>
      <c r="AP375">
        <f t="shared" si="159"/>
        <v>0.77777777777777779</v>
      </c>
      <c r="AQ375">
        <f>[1]!survey_responses[[#This Row],[Sau khi xem xét các quyền lợi và nghĩa vụ, bạn có ủng hộ và tuân thủ chính sách mới hiện nay? - HUMAN-OUT1]]</f>
        <v>6</v>
      </c>
      <c r="AR375">
        <f t="shared" si="160"/>
        <v>0.55555555555555558</v>
      </c>
      <c r="AS375" s="32">
        <f t="shared" si="161"/>
        <v>2</v>
      </c>
    </row>
    <row r="376" spans="1:45" x14ac:dyDescent="0.45">
      <c r="A376">
        <f>step3_validation[[#This Row],[AI_ENF1]]</f>
        <v>8</v>
      </c>
      <c r="B376">
        <f t="shared" si="135"/>
        <v>0.77777777777777779</v>
      </c>
      <c r="C376">
        <f>[1]!survey_responses[[#This Row],[Tôi tin rằng với các quy định quản lý thuế hiện nay, hành vi gian lận hoặc trốn thuế sẽ dễ dàng bị phát hiện và xử lý nghiêm. - HUMAN-ENF1]]</f>
        <v>8</v>
      </c>
      <c r="D376">
        <f t="shared" si="136"/>
        <v>0.77777777777777779</v>
      </c>
      <c r="E376">
        <f>step3_validation[[#This Row],[AI_ENF2]]</f>
        <v>7</v>
      </c>
      <c r="F376">
        <f t="shared" si="137"/>
        <v>0.66666666666666663</v>
      </c>
      <c r="G376">
        <f>[1]!survey_responses[[#This Row],[Tôi tin rằng Nhà nước, cơ quan thuế có đủ khả năng và công nghệ để phát hiện, xử lý nghiêm các hành vi trốn thuế. - HUMAN-ENF2]]</f>
        <v>8</v>
      </c>
      <c r="H376">
        <f t="shared" si="138"/>
        <v>0.77777777777777779</v>
      </c>
      <c r="I376" s="32">
        <f t="shared" si="139"/>
        <v>0.72222222222222221</v>
      </c>
      <c r="J376" s="32">
        <f t="shared" si="140"/>
        <v>0.77777777777777779</v>
      </c>
      <c r="K376">
        <f>step3_validation[[#This Row],[AI_FAC1]]</f>
        <v>9</v>
      </c>
      <c r="L376">
        <f t="shared" si="141"/>
        <v>0.88888888888888884</v>
      </c>
      <c r="M376">
        <f>[1]!survey_responses[[#This Row],[Các thủ tục khai báo thuế VÀ/HOẶC quy trình làm việc với cơ quan thuế đơn giản, tiện lợi, nhanh chóng hơn so với trước đây. - HUMAN-FAC1]]</f>
        <v>8</v>
      </c>
      <c r="N376">
        <f t="shared" si="142"/>
        <v>0.77777777777777779</v>
      </c>
      <c r="O376">
        <f>step3_validation[[#This Row],[AI_FAC2]]</f>
        <v>8</v>
      </c>
      <c r="P376">
        <f t="shared" si="143"/>
        <v>0.77777777777777779</v>
      </c>
      <c r="Q376">
        <f>[1]!survey_responses[[#This Row],[So với trước đây, tôi thấy cách tính thuế và các bậc thuế trong phương án mới đơn giản, dễ hiểu và dễ thực hiện hơn. - HUMAN-FAC2]]</f>
        <v>8</v>
      </c>
      <c r="R376">
        <f t="shared" si="144"/>
        <v>0.77777777777777779</v>
      </c>
      <c r="S376" s="32">
        <f t="shared" si="145"/>
        <v>0.83333333333333326</v>
      </c>
      <c r="T376" s="32">
        <f t="shared" si="146"/>
        <v>0.77777777777777779</v>
      </c>
      <c r="U376">
        <f>step3_validation[[#This Row],[AI_TRU1]]</f>
        <v>9</v>
      </c>
      <c r="V376">
        <f t="shared" si="147"/>
        <v>0.88888888888888884</v>
      </c>
      <c r="W376">
        <f>[1]!survey_responses[[#This Row],[Tôi tin rằng Nhà nước, cơ quan thuế sẽ thực thi chính sách mới một cách khách quan, công tâm và đối xử bình đẳng với mọi người nộp thuế.  - HUMAN-TRU1]]</f>
        <v>7</v>
      </c>
      <c r="X376">
        <f t="shared" si="148"/>
        <v>0.66666666666666663</v>
      </c>
      <c r="Y376">
        <f>step3_validation[[#This Row],[AI_TRU2]]</f>
        <v>7</v>
      </c>
      <c r="Z376">
        <f t="shared" si="149"/>
        <v>0.66666666666666663</v>
      </c>
      <c r="AA376">
        <f>[1]!survey_responses[[#This Row],[Tôi thấy mức thuế tôi phải đóng theo phương án mới là công bằng (người thu nhập như tôi đóng mức này là hợp lý). - HUMAN-TRU2]]</f>
        <v>6</v>
      </c>
      <c r="AB376">
        <f t="shared" si="150"/>
        <v>0.55555555555555558</v>
      </c>
      <c r="AC376">
        <f>step3_validation[[#This Row],[AI_TRU3]]</f>
        <v>6</v>
      </c>
      <c r="AD376">
        <f t="shared" si="151"/>
        <v>0.55555555555555558</v>
      </c>
      <c r="AE376">
        <f>[1]!survey_responses[[#This Row],[Tôi tin tưởng số tiền thuế tôi đóng sẽ được Nhà nước sử dụng hiệu quả để cải thiện dịch vụ công (y tế, đường xá...). - HUMAN-TRU3]]</f>
        <v>6</v>
      </c>
      <c r="AF376">
        <f t="shared" si="152"/>
        <v>0.55555555555555558</v>
      </c>
      <c r="AG376">
        <f>step3_validation[[#This Row],[AI_TRU4]]</f>
        <v>5</v>
      </c>
      <c r="AH376">
        <f t="shared" si="153"/>
        <v>0.44444444444444442</v>
      </c>
      <c r="AI376">
        <f>[1]!survey_responses[[#This Row],[Tôi thấy Nhà nước đã giải thích rõ ràng, minh bạch về lý do và mục tiêu của việc sửa đổi thuế lần này. - HUMAN-TRU4]]</f>
        <v>5</v>
      </c>
      <c r="AJ376">
        <f t="shared" si="154"/>
        <v>0.44444444444444442</v>
      </c>
      <c r="AK376" s="32">
        <f t="shared" si="155"/>
        <v>0.63888888888888884</v>
      </c>
      <c r="AL376" s="32">
        <f t="shared" si="156"/>
        <v>0.55555555555555558</v>
      </c>
      <c r="AM376" s="7">
        <f t="shared" si="157"/>
        <v>0.7314814814814814</v>
      </c>
      <c r="AN376" s="7">
        <f t="shared" si="158"/>
        <v>0.70370370370370372</v>
      </c>
      <c r="AO376">
        <f>step3_validation[[#This Row],[AI_OUT1]]</f>
        <v>8</v>
      </c>
      <c r="AP376">
        <f t="shared" si="159"/>
        <v>0.77777777777777779</v>
      </c>
      <c r="AQ376">
        <f>[1]!survey_responses[[#This Row],[Sau khi xem xét các quyền lợi và nghĩa vụ, bạn có ủng hộ và tuân thủ chính sách mới hiện nay? - HUMAN-OUT1]]</f>
        <v>7</v>
      </c>
      <c r="AR376">
        <f t="shared" si="160"/>
        <v>0.66666666666666663</v>
      </c>
      <c r="AS376" s="32">
        <f t="shared" si="161"/>
        <v>1</v>
      </c>
    </row>
    <row r="377" spans="1:45" x14ac:dyDescent="0.45">
      <c r="A377">
        <f>step3_validation[[#This Row],[AI_ENF1]]</f>
        <v>8</v>
      </c>
      <c r="B377">
        <f t="shared" si="135"/>
        <v>0.77777777777777779</v>
      </c>
      <c r="C377">
        <f>[1]!survey_responses[[#This Row],[Tôi tin rằng với các quy định quản lý thuế hiện nay, hành vi gian lận hoặc trốn thuế sẽ dễ dàng bị phát hiện và xử lý nghiêm. - HUMAN-ENF1]]</f>
        <v>6</v>
      </c>
      <c r="D377">
        <f t="shared" si="136"/>
        <v>0.55555555555555558</v>
      </c>
      <c r="E377">
        <f>step3_validation[[#This Row],[AI_ENF2]]</f>
        <v>7</v>
      </c>
      <c r="F377">
        <f t="shared" si="137"/>
        <v>0.66666666666666663</v>
      </c>
      <c r="G377">
        <f>[1]!survey_responses[[#This Row],[Tôi tin rằng Nhà nước, cơ quan thuế có đủ khả năng và công nghệ để phát hiện, xử lý nghiêm các hành vi trốn thuế. - HUMAN-ENF2]]</f>
        <v>6</v>
      </c>
      <c r="H377">
        <f t="shared" si="138"/>
        <v>0.55555555555555558</v>
      </c>
      <c r="I377" s="32">
        <f t="shared" si="139"/>
        <v>0.72222222222222221</v>
      </c>
      <c r="J377" s="32">
        <f t="shared" si="140"/>
        <v>0.55555555555555558</v>
      </c>
      <c r="K377">
        <f>step3_validation[[#This Row],[AI_FAC1]]</f>
        <v>9</v>
      </c>
      <c r="L377">
        <f t="shared" si="141"/>
        <v>0.88888888888888884</v>
      </c>
      <c r="M377">
        <f>[1]!survey_responses[[#This Row],[Các thủ tục khai báo thuế VÀ/HOẶC quy trình làm việc với cơ quan thuế đơn giản, tiện lợi, nhanh chóng hơn so với trước đây. - HUMAN-FAC1]]</f>
        <v>5</v>
      </c>
      <c r="N377">
        <f t="shared" si="142"/>
        <v>0.44444444444444442</v>
      </c>
      <c r="O377">
        <f>step3_validation[[#This Row],[AI_FAC2]]</f>
        <v>8</v>
      </c>
      <c r="P377">
        <f t="shared" si="143"/>
        <v>0.77777777777777779</v>
      </c>
      <c r="Q377">
        <f>[1]!survey_responses[[#This Row],[So với trước đây, tôi thấy cách tính thuế và các bậc thuế trong phương án mới đơn giản, dễ hiểu và dễ thực hiện hơn. - HUMAN-FAC2]]</f>
        <v>7</v>
      </c>
      <c r="R377">
        <f t="shared" si="144"/>
        <v>0.66666666666666663</v>
      </c>
      <c r="S377" s="32">
        <f t="shared" si="145"/>
        <v>0.83333333333333326</v>
      </c>
      <c r="T377" s="32">
        <f t="shared" si="146"/>
        <v>0.55555555555555558</v>
      </c>
      <c r="U377">
        <f>step3_validation[[#This Row],[AI_TRU1]]</f>
        <v>9</v>
      </c>
      <c r="V377">
        <f t="shared" si="147"/>
        <v>0.88888888888888884</v>
      </c>
      <c r="W377">
        <f>[1]!survey_responses[[#This Row],[Tôi tin rằng Nhà nước, cơ quan thuế sẽ thực thi chính sách mới một cách khách quan, công tâm và đối xử bình đẳng với mọi người nộp thuế.  - HUMAN-TRU1]]</f>
        <v>6</v>
      </c>
      <c r="X377">
        <f t="shared" si="148"/>
        <v>0.55555555555555558</v>
      </c>
      <c r="Y377">
        <f>step3_validation[[#This Row],[AI_TRU2]]</f>
        <v>7</v>
      </c>
      <c r="Z377">
        <f t="shared" si="149"/>
        <v>0.66666666666666663</v>
      </c>
      <c r="AA377">
        <f>[1]!survey_responses[[#This Row],[Tôi thấy mức thuế tôi phải đóng theo phương án mới là công bằng (người thu nhập như tôi đóng mức này là hợp lý). - HUMAN-TRU2]]</f>
        <v>7</v>
      </c>
      <c r="AB377">
        <f t="shared" si="150"/>
        <v>0.66666666666666663</v>
      </c>
      <c r="AC377">
        <f>step3_validation[[#This Row],[AI_TRU3]]</f>
        <v>8</v>
      </c>
      <c r="AD377">
        <f t="shared" si="151"/>
        <v>0.77777777777777779</v>
      </c>
      <c r="AE377">
        <f>[1]!survey_responses[[#This Row],[Tôi tin tưởng số tiền thuế tôi đóng sẽ được Nhà nước sử dụng hiệu quả để cải thiện dịch vụ công (y tế, đường xá...). - HUMAN-TRU3]]</f>
        <v>5</v>
      </c>
      <c r="AF377">
        <f t="shared" si="152"/>
        <v>0.44444444444444442</v>
      </c>
      <c r="AG377">
        <f>step3_validation[[#This Row],[AI_TRU4]]</f>
        <v>6</v>
      </c>
      <c r="AH377">
        <f t="shared" si="153"/>
        <v>0.55555555555555558</v>
      </c>
      <c r="AI377">
        <f>[1]!survey_responses[[#This Row],[Tôi thấy Nhà nước đã giải thích rõ ràng, minh bạch về lý do và mục tiêu của việc sửa đổi thuế lần này. - HUMAN-TRU4]]</f>
        <v>6</v>
      </c>
      <c r="AJ377">
        <f t="shared" si="154"/>
        <v>0.55555555555555558</v>
      </c>
      <c r="AK377" s="32">
        <f t="shared" si="155"/>
        <v>0.7222222222222221</v>
      </c>
      <c r="AL377" s="32">
        <f t="shared" si="156"/>
        <v>0.55555555555555558</v>
      </c>
      <c r="AM377" s="7">
        <f t="shared" si="157"/>
        <v>0.75925925925925919</v>
      </c>
      <c r="AN377" s="7">
        <f t="shared" si="158"/>
        <v>0.55555555555555558</v>
      </c>
      <c r="AO377">
        <f>step3_validation[[#This Row],[AI_OUT1]]</f>
        <v>8</v>
      </c>
      <c r="AP377">
        <f t="shared" si="159"/>
        <v>0.77777777777777779</v>
      </c>
      <c r="AQ377">
        <f>[1]!survey_responses[[#This Row],[Sau khi xem xét các quyền lợi và nghĩa vụ, bạn có ủng hộ và tuân thủ chính sách mới hiện nay? - HUMAN-OUT1]]</f>
        <v>7</v>
      </c>
      <c r="AR377">
        <f t="shared" si="160"/>
        <v>0.66666666666666663</v>
      </c>
      <c r="AS377" s="32">
        <f t="shared" si="161"/>
        <v>1</v>
      </c>
    </row>
    <row r="378" spans="1:45" x14ac:dyDescent="0.45">
      <c r="A378">
        <f>step3_validation[[#This Row],[AI_ENF1]]</f>
        <v>7</v>
      </c>
      <c r="B378">
        <f t="shared" si="135"/>
        <v>0.66666666666666663</v>
      </c>
      <c r="C378">
        <f>[1]!survey_responses[[#This Row],[Tôi tin rằng với các quy định quản lý thuế hiện nay, hành vi gian lận hoặc trốn thuế sẽ dễ dàng bị phát hiện và xử lý nghiêm. - HUMAN-ENF1]]</f>
        <v>7</v>
      </c>
      <c r="D378">
        <f t="shared" si="136"/>
        <v>0.66666666666666663</v>
      </c>
      <c r="E378">
        <f>step3_validation[[#This Row],[AI_ENF2]]</f>
        <v>6</v>
      </c>
      <c r="F378">
        <f t="shared" si="137"/>
        <v>0.55555555555555558</v>
      </c>
      <c r="G378">
        <f>[1]!survey_responses[[#This Row],[Tôi tin rằng Nhà nước, cơ quan thuế có đủ khả năng và công nghệ để phát hiện, xử lý nghiêm các hành vi trốn thuế. - HUMAN-ENF2]]</f>
        <v>8</v>
      </c>
      <c r="H378">
        <f t="shared" si="138"/>
        <v>0.77777777777777779</v>
      </c>
      <c r="I378" s="32">
        <f t="shared" si="139"/>
        <v>0.61111111111111116</v>
      </c>
      <c r="J378" s="32">
        <f t="shared" si="140"/>
        <v>0.72222222222222221</v>
      </c>
      <c r="K378">
        <f>step3_validation[[#This Row],[AI_FAC1]]</f>
        <v>8</v>
      </c>
      <c r="L378">
        <f t="shared" si="141"/>
        <v>0.77777777777777779</v>
      </c>
      <c r="M378">
        <f>[1]!survey_responses[[#This Row],[Các thủ tục khai báo thuế VÀ/HOẶC quy trình làm việc với cơ quan thuế đơn giản, tiện lợi, nhanh chóng hơn so với trước đây. - HUMAN-FAC1]]</f>
        <v>7</v>
      </c>
      <c r="N378">
        <f t="shared" si="142"/>
        <v>0.66666666666666663</v>
      </c>
      <c r="O378">
        <f>step3_validation[[#This Row],[AI_FAC2]]</f>
        <v>9</v>
      </c>
      <c r="P378">
        <f t="shared" si="143"/>
        <v>0.88888888888888884</v>
      </c>
      <c r="Q378">
        <f>[1]!survey_responses[[#This Row],[So với trước đây, tôi thấy cách tính thuế và các bậc thuế trong phương án mới đơn giản, dễ hiểu và dễ thực hiện hơn. - HUMAN-FAC2]]</f>
        <v>7</v>
      </c>
      <c r="R378">
        <f t="shared" si="144"/>
        <v>0.66666666666666663</v>
      </c>
      <c r="S378" s="32">
        <f t="shared" si="145"/>
        <v>0.83333333333333326</v>
      </c>
      <c r="T378" s="32">
        <f t="shared" si="146"/>
        <v>0.66666666666666663</v>
      </c>
      <c r="U378">
        <f>step3_validation[[#This Row],[AI_TRU1]]</f>
        <v>6</v>
      </c>
      <c r="V378">
        <f t="shared" si="147"/>
        <v>0.55555555555555558</v>
      </c>
      <c r="W378">
        <f>[1]!survey_responses[[#This Row],[Tôi tin rằng Nhà nước, cơ quan thuế sẽ thực thi chính sách mới một cách khách quan, công tâm và đối xử bình đẳng với mọi người nộp thuế.  - HUMAN-TRU1]]</f>
        <v>8</v>
      </c>
      <c r="X378">
        <f t="shared" si="148"/>
        <v>0.77777777777777779</v>
      </c>
      <c r="Y378">
        <f>step3_validation[[#This Row],[AI_TRU2]]</f>
        <v>7</v>
      </c>
      <c r="Z378">
        <f t="shared" si="149"/>
        <v>0.66666666666666663</v>
      </c>
      <c r="AA378">
        <f>[1]!survey_responses[[#This Row],[Tôi thấy mức thuế tôi phải đóng theo phương án mới là công bằng (người thu nhập như tôi đóng mức này là hợp lý). - HUMAN-TRU2]]</f>
        <v>9</v>
      </c>
      <c r="AB378">
        <f t="shared" si="150"/>
        <v>0.88888888888888884</v>
      </c>
      <c r="AC378">
        <f>step3_validation[[#This Row],[AI_TRU3]]</f>
        <v>5</v>
      </c>
      <c r="AD378">
        <f t="shared" si="151"/>
        <v>0.44444444444444442</v>
      </c>
      <c r="AE378">
        <f>[1]!survey_responses[[#This Row],[Tôi tin tưởng số tiền thuế tôi đóng sẽ được Nhà nước sử dụng hiệu quả để cải thiện dịch vụ công (y tế, đường xá...). - HUMAN-TRU3]]</f>
        <v>7</v>
      </c>
      <c r="AF378">
        <f t="shared" si="152"/>
        <v>0.66666666666666663</v>
      </c>
      <c r="AG378">
        <f>step3_validation[[#This Row],[AI_TRU4]]</f>
        <v>6</v>
      </c>
      <c r="AH378">
        <f t="shared" si="153"/>
        <v>0.55555555555555558</v>
      </c>
      <c r="AI378">
        <f>[1]!survey_responses[[#This Row],[Tôi thấy Nhà nước đã giải thích rõ ràng, minh bạch về lý do và mục tiêu của việc sửa đổi thuế lần này. - HUMAN-TRU4]]</f>
        <v>7</v>
      </c>
      <c r="AJ378">
        <f t="shared" si="154"/>
        <v>0.66666666666666663</v>
      </c>
      <c r="AK378" s="32">
        <f t="shared" si="155"/>
        <v>0.55555555555555558</v>
      </c>
      <c r="AL378" s="32">
        <f t="shared" si="156"/>
        <v>0.74999999999999989</v>
      </c>
      <c r="AM378" s="7">
        <f t="shared" si="157"/>
        <v>0.66666666666666663</v>
      </c>
      <c r="AN378" s="7">
        <f t="shared" si="158"/>
        <v>0.71296296296296291</v>
      </c>
      <c r="AO378">
        <f>step3_validation[[#This Row],[AI_OUT1]]</f>
        <v>7</v>
      </c>
      <c r="AP378">
        <f t="shared" si="159"/>
        <v>0.66666666666666663</v>
      </c>
      <c r="AQ378">
        <f>[1]!survey_responses[[#This Row],[Sau khi xem xét các quyền lợi và nghĩa vụ, bạn có ủng hộ và tuân thủ chính sách mới hiện nay? - HUMAN-OUT1]]</f>
        <v>8</v>
      </c>
      <c r="AR378">
        <f t="shared" si="160"/>
        <v>0.77777777777777779</v>
      </c>
      <c r="AS378" s="32">
        <f t="shared" si="161"/>
        <v>1</v>
      </c>
    </row>
    <row r="379" spans="1:45" x14ac:dyDescent="0.45">
      <c r="A379">
        <f>step3_validation[[#This Row],[AI_ENF1]]</f>
        <v>8</v>
      </c>
      <c r="B379">
        <f t="shared" si="135"/>
        <v>0.77777777777777779</v>
      </c>
      <c r="C379">
        <f>[1]!survey_responses[[#This Row],[Tôi tin rằng với các quy định quản lý thuế hiện nay, hành vi gian lận hoặc trốn thuế sẽ dễ dàng bị phát hiện và xử lý nghiêm. - HUMAN-ENF1]]</f>
        <v>6</v>
      </c>
      <c r="D379">
        <f t="shared" si="136"/>
        <v>0.55555555555555558</v>
      </c>
      <c r="E379">
        <f>step3_validation[[#This Row],[AI_ENF2]]</f>
        <v>9</v>
      </c>
      <c r="F379">
        <f t="shared" si="137"/>
        <v>0.88888888888888884</v>
      </c>
      <c r="G379">
        <f>[1]!survey_responses[[#This Row],[Tôi tin rằng Nhà nước, cơ quan thuế có đủ khả năng và công nghệ để phát hiện, xử lý nghiêm các hành vi trốn thuế. - HUMAN-ENF2]]</f>
        <v>7</v>
      </c>
      <c r="H379">
        <f t="shared" si="138"/>
        <v>0.66666666666666663</v>
      </c>
      <c r="I379" s="32">
        <f t="shared" si="139"/>
        <v>0.83333333333333326</v>
      </c>
      <c r="J379" s="32">
        <f t="shared" si="140"/>
        <v>0.61111111111111116</v>
      </c>
      <c r="K379">
        <f>step3_validation[[#This Row],[AI_FAC1]]</f>
        <v>7</v>
      </c>
      <c r="L379">
        <f t="shared" si="141"/>
        <v>0.66666666666666663</v>
      </c>
      <c r="M379">
        <f>[1]!survey_responses[[#This Row],[Các thủ tục khai báo thuế VÀ/HOẶC quy trình làm việc với cơ quan thuế đơn giản, tiện lợi, nhanh chóng hơn so với trước đây. - HUMAN-FAC1]]</f>
        <v>5</v>
      </c>
      <c r="N379">
        <f t="shared" si="142"/>
        <v>0.44444444444444442</v>
      </c>
      <c r="O379">
        <f>step3_validation[[#This Row],[AI_FAC2]]</f>
        <v>8</v>
      </c>
      <c r="P379">
        <f t="shared" si="143"/>
        <v>0.77777777777777779</v>
      </c>
      <c r="Q379">
        <f>[1]!survey_responses[[#This Row],[So với trước đây, tôi thấy cách tính thuế và các bậc thuế trong phương án mới đơn giản, dễ hiểu và dễ thực hiện hơn. - HUMAN-FAC2]]</f>
        <v>8</v>
      </c>
      <c r="R379">
        <f t="shared" si="144"/>
        <v>0.77777777777777779</v>
      </c>
      <c r="S379" s="32">
        <f t="shared" si="145"/>
        <v>0.72222222222222221</v>
      </c>
      <c r="T379" s="32">
        <f t="shared" si="146"/>
        <v>0.61111111111111116</v>
      </c>
      <c r="U379">
        <f>step3_validation[[#This Row],[AI_TRU1]]</f>
        <v>9</v>
      </c>
      <c r="V379">
        <f t="shared" si="147"/>
        <v>0.88888888888888884</v>
      </c>
      <c r="W379">
        <f>[1]!survey_responses[[#This Row],[Tôi tin rằng Nhà nước, cơ quan thuế sẽ thực thi chính sách mới một cách khách quan, công tâm và đối xử bình đẳng với mọi người nộp thuế.  - HUMAN-TRU1]]</f>
        <v>7</v>
      </c>
      <c r="X379">
        <f t="shared" si="148"/>
        <v>0.66666666666666663</v>
      </c>
      <c r="Y379">
        <f>step3_validation[[#This Row],[AI_TRU2]]</f>
        <v>7</v>
      </c>
      <c r="Z379">
        <f t="shared" si="149"/>
        <v>0.66666666666666663</v>
      </c>
      <c r="AA379">
        <f>[1]!survey_responses[[#This Row],[Tôi thấy mức thuế tôi phải đóng theo phương án mới là công bằng (người thu nhập như tôi đóng mức này là hợp lý). - HUMAN-TRU2]]</f>
        <v>7</v>
      </c>
      <c r="AB379">
        <f t="shared" si="150"/>
        <v>0.66666666666666663</v>
      </c>
      <c r="AC379">
        <f>step3_validation[[#This Row],[AI_TRU3]]</f>
        <v>8</v>
      </c>
      <c r="AD379">
        <f t="shared" si="151"/>
        <v>0.77777777777777779</v>
      </c>
      <c r="AE379">
        <f>[1]!survey_responses[[#This Row],[Tôi tin tưởng số tiền thuế tôi đóng sẽ được Nhà nước sử dụng hiệu quả để cải thiện dịch vụ công (y tế, đường xá...). - HUMAN-TRU3]]</f>
        <v>7</v>
      </c>
      <c r="AF379">
        <f t="shared" si="152"/>
        <v>0.66666666666666663</v>
      </c>
      <c r="AG379">
        <f>step3_validation[[#This Row],[AI_TRU4]]</f>
        <v>6</v>
      </c>
      <c r="AH379">
        <f t="shared" si="153"/>
        <v>0.55555555555555558</v>
      </c>
      <c r="AI379">
        <f>[1]!survey_responses[[#This Row],[Tôi thấy Nhà nước đã giải thích rõ ràng, minh bạch về lý do và mục tiêu của việc sửa đổi thuế lần này. - HUMAN-TRU4]]</f>
        <v>7</v>
      </c>
      <c r="AJ379">
        <f t="shared" si="154"/>
        <v>0.66666666666666663</v>
      </c>
      <c r="AK379" s="32">
        <f t="shared" si="155"/>
        <v>0.7222222222222221</v>
      </c>
      <c r="AL379" s="32">
        <f t="shared" si="156"/>
        <v>0.66666666666666663</v>
      </c>
      <c r="AM379" s="7">
        <f t="shared" si="157"/>
        <v>0.75925925925925919</v>
      </c>
      <c r="AN379" s="7">
        <f t="shared" si="158"/>
        <v>0.62962962962962965</v>
      </c>
      <c r="AO379">
        <f>step3_validation[[#This Row],[AI_OUT1]]</f>
        <v>7</v>
      </c>
      <c r="AP379">
        <f t="shared" si="159"/>
        <v>0.66666666666666663</v>
      </c>
      <c r="AQ379">
        <f>[1]!survey_responses[[#This Row],[Sau khi xem xét các quyền lợi và nghĩa vụ, bạn có ủng hộ và tuân thủ chính sách mới hiện nay? - HUMAN-OUT1]]</f>
        <v>8</v>
      </c>
      <c r="AR379">
        <f t="shared" si="160"/>
        <v>0.77777777777777779</v>
      </c>
      <c r="AS379" s="32">
        <f t="shared" si="161"/>
        <v>1</v>
      </c>
    </row>
    <row r="380" spans="1:45" x14ac:dyDescent="0.45">
      <c r="A380">
        <f>step3_validation[[#This Row],[AI_ENF1]]</f>
        <v>7</v>
      </c>
      <c r="B380">
        <f t="shared" si="135"/>
        <v>0.66666666666666663</v>
      </c>
      <c r="C380">
        <f>[1]!survey_responses[[#This Row],[Tôi tin rằng với các quy định quản lý thuế hiện nay, hành vi gian lận hoặc trốn thuế sẽ dễ dàng bị phát hiện và xử lý nghiêm. - HUMAN-ENF1]]</f>
        <v>8</v>
      </c>
      <c r="D380">
        <f t="shared" si="136"/>
        <v>0.77777777777777779</v>
      </c>
      <c r="E380">
        <f>step3_validation[[#This Row],[AI_ENF2]]</f>
        <v>8</v>
      </c>
      <c r="F380">
        <f t="shared" si="137"/>
        <v>0.77777777777777779</v>
      </c>
      <c r="G380">
        <f>[1]!survey_responses[[#This Row],[Tôi tin rằng Nhà nước, cơ quan thuế có đủ khả năng và công nghệ để phát hiện, xử lý nghiêm các hành vi trốn thuế. - HUMAN-ENF2]]</f>
        <v>8</v>
      </c>
      <c r="H380">
        <f t="shared" si="138"/>
        <v>0.77777777777777779</v>
      </c>
      <c r="I380" s="32">
        <f t="shared" si="139"/>
        <v>0.72222222222222221</v>
      </c>
      <c r="J380" s="32">
        <f t="shared" si="140"/>
        <v>0.77777777777777779</v>
      </c>
      <c r="K380">
        <f>step3_validation[[#This Row],[AI_FAC1]]</f>
        <v>9</v>
      </c>
      <c r="L380">
        <f t="shared" si="141"/>
        <v>0.88888888888888884</v>
      </c>
      <c r="M380">
        <f>[1]!survey_responses[[#This Row],[Các thủ tục khai báo thuế VÀ/HOẶC quy trình làm việc với cơ quan thuế đơn giản, tiện lợi, nhanh chóng hơn so với trước đây. - HUMAN-FAC1]]</f>
        <v>9</v>
      </c>
      <c r="N380">
        <f t="shared" si="142"/>
        <v>0.88888888888888884</v>
      </c>
      <c r="O380">
        <f>step3_validation[[#This Row],[AI_FAC2]]</f>
        <v>8</v>
      </c>
      <c r="P380">
        <f t="shared" si="143"/>
        <v>0.77777777777777779</v>
      </c>
      <c r="Q380">
        <f>[1]!survey_responses[[#This Row],[So với trước đây, tôi thấy cách tính thuế và các bậc thuế trong phương án mới đơn giản, dễ hiểu và dễ thực hiện hơn. - HUMAN-FAC2]]</f>
        <v>9</v>
      </c>
      <c r="R380">
        <f t="shared" si="144"/>
        <v>0.88888888888888884</v>
      </c>
      <c r="S380" s="32">
        <f t="shared" si="145"/>
        <v>0.83333333333333326</v>
      </c>
      <c r="T380" s="32">
        <f t="shared" si="146"/>
        <v>0.88888888888888884</v>
      </c>
      <c r="U380">
        <f>step3_validation[[#This Row],[AI_TRU1]]</f>
        <v>7</v>
      </c>
      <c r="V380">
        <f t="shared" si="147"/>
        <v>0.66666666666666663</v>
      </c>
      <c r="W380">
        <f>[1]!survey_responses[[#This Row],[Tôi tin rằng Nhà nước, cơ quan thuế sẽ thực thi chính sách mới một cách khách quan, công tâm và đối xử bình đẳng với mọi người nộp thuế.  - HUMAN-TRU1]]</f>
        <v>7</v>
      </c>
      <c r="X380">
        <f t="shared" si="148"/>
        <v>0.66666666666666663</v>
      </c>
      <c r="Y380">
        <f>step3_validation[[#This Row],[AI_TRU2]]</f>
        <v>8</v>
      </c>
      <c r="Z380">
        <f t="shared" si="149"/>
        <v>0.77777777777777779</v>
      </c>
      <c r="AA380">
        <f>[1]!survey_responses[[#This Row],[Tôi thấy mức thuế tôi phải đóng theo phương án mới là công bằng (người thu nhập như tôi đóng mức này là hợp lý). - HUMAN-TRU2]]</f>
        <v>9</v>
      </c>
      <c r="AB380">
        <f t="shared" si="150"/>
        <v>0.88888888888888884</v>
      </c>
      <c r="AC380">
        <f>step3_validation[[#This Row],[AI_TRU3]]</f>
        <v>7</v>
      </c>
      <c r="AD380">
        <f t="shared" si="151"/>
        <v>0.66666666666666663</v>
      </c>
      <c r="AE380">
        <f>[1]!survey_responses[[#This Row],[Tôi tin tưởng số tiền thuế tôi đóng sẽ được Nhà nước sử dụng hiệu quả để cải thiện dịch vụ công (y tế, đường xá...). - HUMAN-TRU3]]</f>
        <v>7</v>
      </c>
      <c r="AF380">
        <f t="shared" si="152"/>
        <v>0.66666666666666663</v>
      </c>
      <c r="AG380">
        <f>step3_validation[[#This Row],[AI_TRU4]]</f>
        <v>6</v>
      </c>
      <c r="AH380">
        <f t="shared" si="153"/>
        <v>0.55555555555555558</v>
      </c>
      <c r="AI380">
        <f>[1]!survey_responses[[#This Row],[Tôi thấy Nhà nước đã giải thích rõ ràng, minh bạch về lý do và mục tiêu của việc sửa đổi thuế lần này. - HUMAN-TRU4]]</f>
        <v>7</v>
      </c>
      <c r="AJ380">
        <f t="shared" si="154"/>
        <v>0.66666666666666663</v>
      </c>
      <c r="AK380" s="32">
        <f t="shared" si="155"/>
        <v>0.66666666666666674</v>
      </c>
      <c r="AL380" s="32">
        <f t="shared" si="156"/>
        <v>0.7222222222222221</v>
      </c>
      <c r="AM380" s="7">
        <f t="shared" si="157"/>
        <v>0.74074074074074081</v>
      </c>
      <c r="AN380" s="7">
        <f t="shared" si="158"/>
        <v>0.79629629629629617</v>
      </c>
      <c r="AO380">
        <f>step3_validation[[#This Row],[AI_OUT1]]</f>
        <v>8</v>
      </c>
      <c r="AP380">
        <f t="shared" si="159"/>
        <v>0.77777777777777779</v>
      </c>
      <c r="AQ380">
        <f>[1]!survey_responses[[#This Row],[Sau khi xem xét các quyền lợi và nghĩa vụ, bạn có ủng hộ và tuân thủ chính sách mới hiện nay? - HUMAN-OUT1]]</f>
        <v>9</v>
      </c>
      <c r="AR380">
        <f t="shared" si="160"/>
        <v>0.88888888888888884</v>
      </c>
      <c r="AS380" s="32">
        <f t="shared" si="161"/>
        <v>1</v>
      </c>
    </row>
    <row r="381" spans="1:45" x14ac:dyDescent="0.45">
      <c r="A381">
        <f>step3_validation[[#This Row],[AI_ENF1]]</f>
        <v>7</v>
      </c>
      <c r="B381">
        <f t="shared" si="135"/>
        <v>0.66666666666666663</v>
      </c>
      <c r="C381">
        <f>[1]!survey_responses[[#This Row],[Tôi tin rằng với các quy định quản lý thuế hiện nay, hành vi gian lận hoặc trốn thuế sẽ dễ dàng bị phát hiện và xử lý nghiêm. - HUMAN-ENF1]]</f>
        <v>8</v>
      </c>
      <c r="D381">
        <f t="shared" si="136"/>
        <v>0.77777777777777779</v>
      </c>
      <c r="E381">
        <f>step3_validation[[#This Row],[AI_ENF2]]</f>
        <v>8</v>
      </c>
      <c r="F381">
        <f t="shared" si="137"/>
        <v>0.77777777777777779</v>
      </c>
      <c r="G381">
        <f>[1]!survey_responses[[#This Row],[Tôi tin rằng Nhà nước, cơ quan thuế có đủ khả năng và công nghệ để phát hiện, xử lý nghiêm các hành vi trốn thuế. - HUMAN-ENF2]]</f>
        <v>8</v>
      </c>
      <c r="H381">
        <f t="shared" si="138"/>
        <v>0.77777777777777779</v>
      </c>
      <c r="I381" s="32">
        <f t="shared" si="139"/>
        <v>0.72222222222222221</v>
      </c>
      <c r="J381" s="32">
        <f t="shared" si="140"/>
        <v>0.77777777777777779</v>
      </c>
      <c r="K381">
        <f>step3_validation[[#This Row],[AI_FAC1]]</f>
        <v>9</v>
      </c>
      <c r="L381">
        <f t="shared" si="141"/>
        <v>0.88888888888888884</v>
      </c>
      <c r="M381">
        <f>[1]!survey_responses[[#This Row],[Các thủ tục khai báo thuế VÀ/HOẶC quy trình làm việc với cơ quan thuế đơn giản, tiện lợi, nhanh chóng hơn so với trước đây. - HUMAN-FAC1]]</f>
        <v>5</v>
      </c>
      <c r="N381">
        <f t="shared" si="142"/>
        <v>0.44444444444444442</v>
      </c>
      <c r="O381">
        <f>step3_validation[[#This Row],[AI_FAC2]]</f>
        <v>7</v>
      </c>
      <c r="P381">
        <f t="shared" si="143"/>
        <v>0.66666666666666663</v>
      </c>
      <c r="Q381">
        <f>[1]!survey_responses[[#This Row],[So với trước đây, tôi thấy cách tính thuế và các bậc thuế trong phương án mới đơn giản, dễ hiểu và dễ thực hiện hơn. - HUMAN-FAC2]]</f>
        <v>8</v>
      </c>
      <c r="R381">
        <f t="shared" si="144"/>
        <v>0.77777777777777779</v>
      </c>
      <c r="S381" s="32">
        <f t="shared" si="145"/>
        <v>0.77777777777777768</v>
      </c>
      <c r="T381" s="32">
        <f t="shared" si="146"/>
        <v>0.61111111111111116</v>
      </c>
      <c r="U381">
        <f>step3_validation[[#This Row],[AI_TRU1]]</f>
        <v>8</v>
      </c>
      <c r="V381">
        <f t="shared" si="147"/>
        <v>0.77777777777777779</v>
      </c>
      <c r="W381">
        <f>[1]!survey_responses[[#This Row],[Tôi tin rằng Nhà nước, cơ quan thuế sẽ thực thi chính sách mới một cách khách quan, công tâm và đối xử bình đẳng với mọi người nộp thuế.  - HUMAN-TRU1]]</f>
        <v>6</v>
      </c>
      <c r="X381">
        <f t="shared" si="148"/>
        <v>0.55555555555555558</v>
      </c>
      <c r="Y381">
        <f>step3_validation[[#This Row],[AI_TRU2]]</f>
        <v>7</v>
      </c>
      <c r="Z381">
        <f t="shared" si="149"/>
        <v>0.66666666666666663</v>
      </c>
      <c r="AA381">
        <f>[1]!survey_responses[[#This Row],[Tôi thấy mức thuế tôi phải đóng theo phương án mới là công bằng (người thu nhập như tôi đóng mức này là hợp lý). - HUMAN-TRU2]]</f>
        <v>9</v>
      </c>
      <c r="AB381">
        <f t="shared" si="150"/>
        <v>0.88888888888888884</v>
      </c>
      <c r="AC381">
        <f>step3_validation[[#This Row],[AI_TRU3]]</f>
        <v>6</v>
      </c>
      <c r="AD381">
        <f t="shared" si="151"/>
        <v>0.55555555555555558</v>
      </c>
      <c r="AE381">
        <f>[1]!survey_responses[[#This Row],[Tôi tin tưởng số tiền thuế tôi đóng sẽ được Nhà nước sử dụng hiệu quả để cải thiện dịch vụ công (y tế, đường xá...). - HUMAN-TRU3]]</f>
        <v>5</v>
      </c>
      <c r="AF381">
        <f t="shared" si="152"/>
        <v>0.44444444444444442</v>
      </c>
      <c r="AG381">
        <f>step3_validation[[#This Row],[AI_TRU4]]</f>
        <v>5</v>
      </c>
      <c r="AH381">
        <f t="shared" si="153"/>
        <v>0.44444444444444442</v>
      </c>
      <c r="AI381">
        <f>[1]!survey_responses[[#This Row],[Tôi thấy Nhà nước đã giải thích rõ ràng, minh bạch về lý do và mục tiêu của việc sửa đổi thuế lần này. - HUMAN-TRU4]]</f>
        <v>7</v>
      </c>
      <c r="AJ381">
        <f t="shared" si="154"/>
        <v>0.66666666666666663</v>
      </c>
      <c r="AK381" s="32">
        <f t="shared" si="155"/>
        <v>0.61111111111111116</v>
      </c>
      <c r="AL381" s="32">
        <f t="shared" si="156"/>
        <v>0.63888888888888884</v>
      </c>
      <c r="AM381" s="7">
        <f t="shared" si="157"/>
        <v>0.70370370370370372</v>
      </c>
      <c r="AN381" s="7">
        <f t="shared" si="158"/>
        <v>0.67592592592592593</v>
      </c>
      <c r="AO381">
        <f>step3_validation[[#This Row],[AI_OUT1]]</f>
        <v>6</v>
      </c>
      <c r="AP381">
        <f t="shared" si="159"/>
        <v>0.55555555555555558</v>
      </c>
      <c r="AQ381">
        <f>[1]!survey_responses[[#This Row],[Sau khi xem xét các quyền lợi và nghĩa vụ, bạn có ủng hộ và tuân thủ chính sách mới hiện nay? - HUMAN-OUT1]]</f>
        <v>8</v>
      </c>
      <c r="AR381">
        <f t="shared" si="160"/>
        <v>0.77777777777777779</v>
      </c>
      <c r="AS381" s="32">
        <f t="shared" si="161"/>
        <v>2</v>
      </c>
    </row>
    <row r="382" spans="1:45" x14ac:dyDescent="0.45">
      <c r="A382">
        <f>step3_validation[[#This Row],[AI_ENF1]]</f>
        <v>7</v>
      </c>
      <c r="B382">
        <f t="shared" si="135"/>
        <v>0.66666666666666663</v>
      </c>
      <c r="C382">
        <f>[1]!survey_responses[[#This Row],[Tôi tin rằng với các quy định quản lý thuế hiện nay, hành vi gian lận hoặc trốn thuế sẽ dễ dàng bị phát hiện và xử lý nghiêm. - HUMAN-ENF1]]</f>
        <v>9</v>
      </c>
      <c r="D382">
        <f t="shared" si="136"/>
        <v>0.88888888888888884</v>
      </c>
      <c r="E382">
        <f>step3_validation[[#This Row],[AI_ENF2]]</f>
        <v>8</v>
      </c>
      <c r="F382">
        <f t="shared" si="137"/>
        <v>0.77777777777777779</v>
      </c>
      <c r="G382">
        <f>[1]!survey_responses[[#This Row],[Tôi tin rằng Nhà nước, cơ quan thuế có đủ khả năng và công nghệ để phát hiện, xử lý nghiêm các hành vi trốn thuế. - HUMAN-ENF2]]</f>
        <v>9</v>
      </c>
      <c r="H382">
        <f t="shared" si="138"/>
        <v>0.88888888888888884</v>
      </c>
      <c r="I382" s="32">
        <f t="shared" si="139"/>
        <v>0.72222222222222221</v>
      </c>
      <c r="J382" s="32">
        <f t="shared" si="140"/>
        <v>0.88888888888888884</v>
      </c>
      <c r="K382">
        <f>step3_validation[[#This Row],[AI_FAC1]]</f>
        <v>6</v>
      </c>
      <c r="L382">
        <f t="shared" si="141"/>
        <v>0.55555555555555558</v>
      </c>
      <c r="M382">
        <f>[1]!survey_responses[[#This Row],[Các thủ tục khai báo thuế VÀ/HOẶC quy trình làm việc với cơ quan thuế đơn giản, tiện lợi, nhanh chóng hơn so với trước đây. - HUMAN-FAC1]]</f>
        <v>8</v>
      </c>
      <c r="N382">
        <f t="shared" si="142"/>
        <v>0.77777777777777779</v>
      </c>
      <c r="O382">
        <f>step3_validation[[#This Row],[AI_FAC2]]</f>
        <v>9</v>
      </c>
      <c r="P382">
        <f t="shared" si="143"/>
        <v>0.88888888888888884</v>
      </c>
      <c r="Q382">
        <f>[1]!survey_responses[[#This Row],[So với trước đây, tôi thấy cách tính thuế và các bậc thuế trong phương án mới đơn giản, dễ hiểu và dễ thực hiện hơn. - HUMAN-FAC2]]</f>
        <v>9</v>
      </c>
      <c r="R382">
        <f t="shared" si="144"/>
        <v>0.88888888888888884</v>
      </c>
      <c r="S382" s="32">
        <f t="shared" si="145"/>
        <v>0.72222222222222221</v>
      </c>
      <c r="T382" s="32">
        <f t="shared" si="146"/>
        <v>0.83333333333333326</v>
      </c>
      <c r="U382">
        <f>step3_validation[[#This Row],[AI_TRU1]]</f>
        <v>7</v>
      </c>
      <c r="V382">
        <f t="shared" si="147"/>
        <v>0.66666666666666663</v>
      </c>
      <c r="W382">
        <f>[1]!survey_responses[[#This Row],[Tôi tin rằng Nhà nước, cơ quan thuế sẽ thực thi chính sách mới một cách khách quan, công tâm và đối xử bình đẳng với mọi người nộp thuế.  - HUMAN-TRU1]]</f>
        <v>8</v>
      </c>
      <c r="X382">
        <f t="shared" si="148"/>
        <v>0.77777777777777779</v>
      </c>
      <c r="Y382">
        <f>step3_validation[[#This Row],[AI_TRU2]]</f>
        <v>8</v>
      </c>
      <c r="Z382">
        <f t="shared" si="149"/>
        <v>0.77777777777777779</v>
      </c>
      <c r="AA382">
        <f>[1]!survey_responses[[#This Row],[Tôi thấy mức thuế tôi phải đóng theo phương án mới là công bằng (người thu nhập như tôi đóng mức này là hợp lý). - HUMAN-TRU2]]</f>
        <v>10</v>
      </c>
      <c r="AB382">
        <f t="shared" si="150"/>
        <v>1</v>
      </c>
      <c r="AC382">
        <f>step3_validation[[#This Row],[AI_TRU3]]</f>
        <v>6</v>
      </c>
      <c r="AD382">
        <f t="shared" si="151"/>
        <v>0.55555555555555558</v>
      </c>
      <c r="AE382">
        <f>[1]!survey_responses[[#This Row],[Tôi tin tưởng số tiền thuế tôi đóng sẽ được Nhà nước sử dụng hiệu quả để cải thiện dịch vụ công (y tế, đường xá...). - HUMAN-TRU3]]</f>
        <v>8</v>
      </c>
      <c r="AF382">
        <f t="shared" si="152"/>
        <v>0.77777777777777779</v>
      </c>
      <c r="AG382">
        <f>step3_validation[[#This Row],[AI_TRU4]]</f>
        <v>5</v>
      </c>
      <c r="AH382">
        <f t="shared" si="153"/>
        <v>0.44444444444444442</v>
      </c>
      <c r="AI382">
        <f>[1]!survey_responses[[#This Row],[Tôi thấy Nhà nước đã giải thích rõ ràng, minh bạch về lý do và mục tiêu của việc sửa đổi thuế lần này. - HUMAN-TRU4]]</f>
        <v>8</v>
      </c>
      <c r="AJ382">
        <f t="shared" si="154"/>
        <v>0.77777777777777779</v>
      </c>
      <c r="AK382" s="32">
        <f t="shared" si="155"/>
        <v>0.61111111111111116</v>
      </c>
      <c r="AL382" s="32">
        <f t="shared" si="156"/>
        <v>0.83333333333333326</v>
      </c>
      <c r="AM382" s="7">
        <f t="shared" si="157"/>
        <v>0.68518518518518512</v>
      </c>
      <c r="AN382" s="7">
        <f t="shared" si="158"/>
        <v>0.85185185185185175</v>
      </c>
      <c r="AO382">
        <f>step3_validation[[#This Row],[AI_OUT1]]</f>
        <v>7</v>
      </c>
      <c r="AP382">
        <f t="shared" si="159"/>
        <v>0.66666666666666663</v>
      </c>
      <c r="AQ382">
        <f>[1]!survey_responses[[#This Row],[Sau khi xem xét các quyền lợi và nghĩa vụ, bạn có ủng hộ và tuân thủ chính sách mới hiện nay? - HUMAN-OUT1]]</f>
        <v>10</v>
      </c>
      <c r="AR382">
        <f t="shared" si="160"/>
        <v>1</v>
      </c>
      <c r="AS382" s="32">
        <f t="shared" si="161"/>
        <v>3</v>
      </c>
    </row>
    <row r="383" spans="1:45" x14ac:dyDescent="0.45">
      <c r="A383">
        <f>step3_validation[[#This Row],[AI_ENF1]]</f>
        <v>9</v>
      </c>
      <c r="B383">
        <f t="shared" si="135"/>
        <v>0.88888888888888884</v>
      </c>
      <c r="C383">
        <f>[1]!survey_responses[[#This Row],[Tôi tin rằng với các quy định quản lý thuế hiện nay, hành vi gian lận hoặc trốn thuế sẽ dễ dàng bị phát hiện và xử lý nghiêm. - HUMAN-ENF1]]</f>
        <v>5</v>
      </c>
      <c r="D383">
        <f t="shared" si="136"/>
        <v>0.44444444444444442</v>
      </c>
      <c r="E383">
        <f>step3_validation[[#This Row],[AI_ENF2]]</f>
        <v>8</v>
      </c>
      <c r="F383">
        <f t="shared" si="137"/>
        <v>0.77777777777777779</v>
      </c>
      <c r="G383">
        <f>[1]!survey_responses[[#This Row],[Tôi tin rằng Nhà nước, cơ quan thuế có đủ khả năng và công nghệ để phát hiện, xử lý nghiêm các hành vi trốn thuế. - HUMAN-ENF2]]</f>
        <v>5</v>
      </c>
      <c r="H383">
        <f t="shared" si="138"/>
        <v>0.44444444444444442</v>
      </c>
      <c r="I383" s="32">
        <f t="shared" si="139"/>
        <v>0.83333333333333326</v>
      </c>
      <c r="J383" s="32">
        <f t="shared" si="140"/>
        <v>0.44444444444444442</v>
      </c>
      <c r="K383">
        <f>step3_validation[[#This Row],[AI_FAC1]]</f>
        <v>7</v>
      </c>
      <c r="L383">
        <f t="shared" si="141"/>
        <v>0.66666666666666663</v>
      </c>
      <c r="M383">
        <f>[1]!survey_responses[[#This Row],[Các thủ tục khai báo thuế VÀ/HOẶC quy trình làm việc với cơ quan thuế đơn giản, tiện lợi, nhanh chóng hơn so với trước đây. - HUMAN-FAC1]]</f>
        <v>4</v>
      </c>
      <c r="N383">
        <f t="shared" si="142"/>
        <v>0.33333333333333331</v>
      </c>
      <c r="O383">
        <f>step3_validation[[#This Row],[AI_FAC2]]</f>
        <v>8</v>
      </c>
      <c r="P383">
        <f t="shared" si="143"/>
        <v>0.77777777777777779</v>
      </c>
      <c r="Q383">
        <f>[1]!survey_responses[[#This Row],[So với trước đây, tôi thấy cách tính thuế và các bậc thuế trong phương án mới đơn giản, dễ hiểu và dễ thực hiện hơn. - HUMAN-FAC2]]</f>
        <v>8</v>
      </c>
      <c r="R383">
        <f t="shared" si="144"/>
        <v>0.77777777777777779</v>
      </c>
      <c r="S383" s="32">
        <f t="shared" si="145"/>
        <v>0.72222222222222221</v>
      </c>
      <c r="T383" s="32">
        <f t="shared" si="146"/>
        <v>0.55555555555555558</v>
      </c>
      <c r="U383">
        <f>step3_validation[[#This Row],[AI_TRU1]]</f>
        <v>7</v>
      </c>
      <c r="V383">
        <f t="shared" si="147"/>
        <v>0.66666666666666663</v>
      </c>
      <c r="W383">
        <f>[1]!survey_responses[[#This Row],[Tôi tin rằng Nhà nước, cơ quan thuế sẽ thực thi chính sách mới một cách khách quan, công tâm và đối xử bình đẳng với mọi người nộp thuế.  - HUMAN-TRU1]]</f>
        <v>4</v>
      </c>
      <c r="X383">
        <f t="shared" si="148"/>
        <v>0.33333333333333331</v>
      </c>
      <c r="Y383">
        <f>step3_validation[[#This Row],[AI_TRU2]]</f>
        <v>6</v>
      </c>
      <c r="Z383">
        <f t="shared" si="149"/>
        <v>0.55555555555555558</v>
      </c>
      <c r="AA383">
        <f>[1]!survey_responses[[#This Row],[Tôi thấy mức thuế tôi phải đóng theo phương án mới là công bằng (người thu nhập như tôi đóng mức này là hợp lý). - HUMAN-TRU2]]</f>
        <v>8</v>
      </c>
      <c r="AB383">
        <f t="shared" si="150"/>
        <v>0.77777777777777779</v>
      </c>
      <c r="AC383">
        <f>step3_validation[[#This Row],[AI_TRU3]]</f>
        <v>7</v>
      </c>
      <c r="AD383">
        <f t="shared" si="151"/>
        <v>0.66666666666666663</v>
      </c>
      <c r="AE383">
        <f>[1]!survey_responses[[#This Row],[Tôi tin tưởng số tiền thuế tôi đóng sẽ được Nhà nước sử dụng hiệu quả để cải thiện dịch vụ công (y tế, đường xá...). - HUMAN-TRU3]]</f>
        <v>4</v>
      </c>
      <c r="AF383">
        <f t="shared" si="152"/>
        <v>0.33333333333333331</v>
      </c>
      <c r="AG383">
        <f>step3_validation[[#This Row],[AI_TRU4]]</f>
        <v>6</v>
      </c>
      <c r="AH383">
        <f t="shared" si="153"/>
        <v>0.55555555555555558</v>
      </c>
      <c r="AI383">
        <f>[1]!survey_responses[[#This Row],[Tôi thấy Nhà nước đã giải thích rõ ràng, minh bạch về lý do và mục tiêu của việc sửa đổi thuế lần này. - HUMAN-TRU4]]</f>
        <v>5</v>
      </c>
      <c r="AJ383">
        <f t="shared" si="154"/>
        <v>0.44444444444444442</v>
      </c>
      <c r="AK383" s="32">
        <f t="shared" si="155"/>
        <v>0.61111111111111116</v>
      </c>
      <c r="AL383" s="32">
        <f t="shared" si="156"/>
        <v>0.47222222222222221</v>
      </c>
      <c r="AM383" s="7">
        <f t="shared" si="157"/>
        <v>0.72222222222222221</v>
      </c>
      <c r="AN383" s="7">
        <f t="shared" si="158"/>
        <v>0.49074074074074076</v>
      </c>
      <c r="AO383">
        <f>step3_validation[[#This Row],[AI_OUT1]]</f>
        <v>8</v>
      </c>
      <c r="AP383">
        <f t="shared" si="159"/>
        <v>0.77777777777777779</v>
      </c>
      <c r="AQ383">
        <f>[1]!survey_responses[[#This Row],[Sau khi xem xét các quyền lợi và nghĩa vụ, bạn có ủng hộ và tuân thủ chính sách mới hiện nay? - HUMAN-OUT1]]</f>
        <v>7</v>
      </c>
      <c r="AR383">
        <f t="shared" si="160"/>
        <v>0.66666666666666663</v>
      </c>
      <c r="AS383" s="32">
        <f t="shared" si="161"/>
        <v>1</v>
      </c>
    </row>
    <row r="384" spans="1:45" x14ac:dyDescent="0.45">
      <c r="A384">
        <f>step3_validation[[#This Row],[AI_ENF1]]</f>
        <v>9</v>
      </c>
      <c r="B384">
        <f t="shared" si="135"/>
        <v>0.88888888888888884</v>
      </c>
      <c r="C384">
        <f>[1]!survey_responses[[#This Row],[Tôi tin rằng với các quy định quản lý thuế hiện nay, hành vi gian lận hoặc trốn thuế sẽ dễ dàng bị phát hiện và xử lý nghiêm. - HUMAN-ENF1]]</f>
        <v>1</v>
      </c>
      <c r="D384">
        <f t="shared" si="136"/>
        <v>0</v>
      </c>
      <c r="E384">
        <f>step3_validation[[#This Row],[AI_ENF2]]</f>
        <v>8</v>
      </c>
      <c r="F384">
        <f t="shared" si="137"/>
        <v>0.77777777777777779</v>
      </c>
      <c r="G384">
        <f>[1]!survey_responses[[#This Row],[Tôi tin rằng Nhà nước, cơ quan thuế có đủ khả năng và công nghệ để phát hiện, xử lý nghiêm các hành vi trốn thuế. - HUMAN-ENF2]]</f>
        <v>1</v>
      </c>
      <c r="H384">
        <f t="shared" si="138"/>
        <v>0</v>
      </c>
      <c r="I384" s="32">
        <f t="shared" si="139"/>
        <v>0.83333333333333326</v>
      </c>
      <c r="J384" s="32">
        <f t="shared" si="140"/>
        <v>0</v>
      </c>
      <c r="K384">
        <f>step3_validation[[#This Row],[AI_FAC1]]</f>
        <v>7</v>
      </c>
      <c r="L384">
        <f t="shared" si="141"/>
        <v>0.66666666666666663</v>
      </c>
      <c r="M384">
        <f>[1]!survey_responses[[#This Row],[Các thủ tục khai báo thuế VÀ/HOẶC quy trình làm việc với cơ quan thuế đơn giản, tiện lợi, nhanh chóng hơn so với trước đây. - HUMAN-FAC1]]</f>
        <v>4</v>
      </c>
      <c r="N384">
        <f t="shared" si="142"/>
        <v>0.33333333333333331</v>
      </c>
      <c r="O384">
        <f>step3_validation[[#This Row],[AI_FAC2]]</f>
        <v>8</v>
      </c>
      <c r="P384">
        <f t="shared" si="143"/>
        <v>0.77777777777777779</v>
      </c>
      <c r="Q384">
        <f>[1]!survey_responses[[#This Row],[So với trước đây, tôi thấy cách tính thuế và các bậc thuế trong phương án mới đơn giản, dễ hiểu và dễ thực hiện hơn. - HUMAN-FAC2]]</f>
        <v>5</v>
      </c>
      <c r="R384">
        <f t="shared" si="144"/>
        <v>0.44444444444444442</v>
      </c>
      <c r="S384" s="32">
        <f t="shared" si="145"/>
        <v>0.72222222222222221</v>
      </c>
      <c r="T384" s="32">
        <f t="shared" si="146"/>
        <v>0.38888888888888884</v>
      </c>
      <c r="U384">
        <f>step3_validation[[#This Row],[AI_TRU1]]</f>
        <v>7</v>
      </c>
      <c r="V384">
        <f t="shared" si="147"/>
        <v>0.66666666666666663</v>
      </c>
      <c r="W384">
        <f>[1]!survey_responses[[#This Row],[Tôi tin rằng Nhà nước, cơ quan thuế sẽ thực thi chính sách mới một cách khách quan, công tâm và đối xử bình đẳng với mọi người nộp thuế.  - HUMAN-TRU1]]</f>
        <v>5</v>
      </c>
      <c r="X384">
        <f t="shared" si="148"/>
        <v>0.44444444444444442</v>
      </c>
      <c r="Y384">
        <f>step3_validation[[#This Row],[AI_TRU2]]</f>
        <v>8</v>
      </c>
      <c r="Z384">
        <f t="shared" si="149"/>
        <v>0.77777777777777779</v>
      </c>
      <c r="AA384">
        <f>[1]!survey_responses[[#This Row],[Tôi thấy mức thuế tôi phải đóng theo phương án mới là công bằng (người thu nhập như tôi đóng mức này là hợp lý). - HUMAN-TRU2]]</f>
        <v>4</v>
      </c>
      <c r="AB384">
        <f t="shared" si="150"/>
        <v>0.33333333333333331</v>
      </c>
      <c r="AC384">
        <f>step3_validation[[#This Row],[AI_TRU3]]</f>
        <v>7</v>
      </c>
      <c r="AD384">
        <f t="shared" si="151"/>
        <v>0.66666666666666663</v>
      </c>
      <c r="AE384">
        <f>[1]!survey_responses[[#This Row],[Tôi tin tưởng số tiền thuế tôi đóng sẽ được Nhà nước sử dụng hiệu quả để cải thiện dịch vụ công (y tế, đường xá...). - HUMAN-TRU3]]</f>
        <v>4</v>
      </c>
      <c r="AF384">
        <f t="shared" si="152"/>
        <v>0.33333333333333331</v>
      </c>
      <c r="AG384">
        <f>step3_validation[[#This Row],[AI_TRU4]]</f>
        <v>8</v>
      </c>
      <c r="AH384">
        <f t="shared" si="153"/>
        <v>0.77777777777777779</v>
      </c>
      <c r="AI384">
        <f>[1]!survey_responses[[#This Row],[Tôi thấy Nhà nước đã giải thích rõ ràng, minh bạch về lý do và mục tiêu của việc sửa đổi thuế lần này. - HUMAN-TRU4]]</f>
        <v>5</v>
      </c>
      <c r="AJ384">
        <f t="shared" si="154"/>
        <v>0.44444444444444442</v>
      </c>
      <c r="AK384" s="32">
        <f t="shared" si="155"/>
        <v>0.72222222222222221</v>
      </c>
      <c r="AL384" s="32">
        <f t="shared" si="156"/>
        <v>0.38888888888888884</v>
      </c>
      <c r="AM384" s="7">
        <f t="shared" si="157"/>
        <v>0.75925925925925919</v>
      </c>
      <c r="AN384" s="7">
        <f t="shared" si="158"/>
        <v>0.25925925925925924</v>
      </c>
      <c r="AO384">
        <f>step3_validation[[#This Row],[AI_OUT1]]</f>
        <v>6</v>
      </c>
      <c r="AP384">
        <f t="shared" si="159"/>
        <v>0.55555555555555558</v>
      </c>
      <c r="AQ384">
        <f>[1]!survey_responses[[#This Row],[Sau khi xem xét các quyền lợi và nghĩa vụ, bạn có ủng hộ và tuân thủ chính sách mới hiện nay? - HUMAN-OUT1]]</f>
        <v>3</v>
      </c>
      <c r="AR384">
        <f t="shared" si="160"/>
        <v>0.22222222222222221</v>
      </c>
      <c r="AS384" s="32">
        <f t="shared" si="161"/>
        <v>3</v>
      </c>
    </row>
    <row r="385" spans="1:45" x14ac:dyDescent="0.45">
      <c r="A385">
        <f>step3_validation[[#This Row],[AI_ENF1]]</f>
        <v>7</v>
      </c>
      <c r="B385">
        <f t="shared" si="135"/>
        <v>0.66666666666666663</v>
      </c>
      <c r="C385">
        <f>[1]!survey_responses[[#This Row],[Tôi tin rằng với các quy định quản lý thuế hiện nay, hành vi gian lận hoặc trốn thuế sẽ dễ dàng bị phát hiện và xử lý nghiêm. - HUMAN-ENF1]]</f>
        <v>7</v>
      </c>
      <c r="D385">
        <f t="shared" si="136"/>
        <v>0.66666666666666663</v>
      </c>
      <c r="E385">
        <f>step3_validation[[#This Row],[AI_ENF2]]</f>
        <v>6</v>
      </c>
      <c r="F385">
        <f t="shared" si="137"/>
        <v>0.55555555555555558</v>
      </c>
      <c r="G385">
        <f>[1]!survey_responses[[#This Row],[Tôi tin rằng Nhà nước, cơ quan thuế có đủ khả năng và công nghệ để phát hiện, xử lý nghiêm các hành vi trốn thuế. - HUMAN-ENF2]]</f>
        <v>7</v>
      </c>
      <c r="H385">
        <f t="shared" si="138"/>
        <v>0.66666666666666663</v>
      </c>
      <c r="I385" s="32">
        <f t="shared" si="139"/>
        <v>0.61111111111111116</v>
      </c>
      <c r="J385" s="32">
        <f t="shared" si="140"/>
        <v>0.66666666666666663</v>
      </c>
      <c r="K385">
        <f>step3_validation[[#This Row],[AI_FAC1]]</f>
        <v>8</v>
      </c>
      <c r="L385">
        <f t="shared" si="141"/>
        <v>0.77777777777777779</v>
      </c>
      <c r="M385">
        <f>[1]!survey_responses[[#This Row],[Các thủ tục khai báo thuế VÀ/HOẶC quy trình làm việc với cơ quan thuế đơn giản, tiện lợi, nhanh chóng hơn so với trước đây. - HUMAN-FAC1]]</f>
        <v>7</v>
      </c>
      <c r="N385">
        <f t="shared" si="142"/>
        <v>0.66666666666666663</v>
      </c>
      <c r="O385">
        <f>step3_validation[[#This Row],[AI_FAC2]]</f>
        <v>9</v>
      </c>
      <c r="P385">
        <f t="shared" si="143"/>
        <v>0.88888888888888884</v>
      </c>
      <c r="Q385">
        <f>[1]!survey_responses[[#This Row],[So với trước đây, tôi thấy cách tính thuế và các bậc thuế trong phương án mới đơn giản, dễ hiểu và dễ thực hiện hơn. - HUMAN-FAC2]]</f>
        <v>9</v>
      </c>
      <c r="R385">
        <f t="shared" si="144"/>
        <v>0.88888888888888884</v>
      </c>
      <c r="S385" s="32">
        <f t="shared" si="145"/>
        <v>0.83333333333333326</v>
      </c>
      <c r="T385" s="32">
        <f t="shared" si="146"/>
        <v>0.77777777777777768</v>
      </c>
      <c r="U385">
        <f>step3_validation[[#This Row],[AI_TRU1]]</f>
        <v>7</v>
      </c>
      <c r="V385">
        <f t="shared" si="147"/>
        <v>0.66666666666666663</v>
      </c>
      <c r="W385">
        <f>[1]!survey_responses[[#This Row],[Tôi tin rằng Nhà nước, cơ quan thuế sẽ thực thi chính sách mới một cách khách quan, công tâm và đối xử bình đẳng với mọi người nộp thuế.  - HUMAN-TRU1]]</f>
        <v>8</v>
      </c>
      <c r="X385">
        <f t="shared" si="148"/>
        <v>0.77777777777777779</v>
      </c>
      <c r="Y385">
        <f>step3_validation[[#This Row],[AI_TRU2]]</f>
        <v>8</v>
      </c>
      <c r="Z385">
        <f t="shared" si="149"/>
        <v>0.77777777777777779</v>
      </c>
      <c r="AA385">
        <f>[1]!survey_responses[[#This Row],[Tôi thấy mức thuế tôi phải đóng theo phương án mới là công bằng (người thu nhập như tôi đóng mức này là hợp lý). - HUMAN-TRU2]]</f>
        <v>10</v>
      </c>
      <c r="AB385">
        <f t="shared" si="150"/>
        <v>1</v>
      </c>
      <c r="AC385">
        <f>step3_validation[[#This Row],[AI_TRU3]]</f>
        <v>7</v>
      </c>
      <c r="AD385">
        <f t="shared" si="151"/>
        <v>0.66666666666666663</v>
      </c>
      <c r="AE385">
        <f>[1]!survey_responses[[#This Row],[Tôi tin tưởng số tiền thuế tôi đóng sẽ được Nhà nước sử dụng hiệu quả để cải thiện dịch vụ công (y tế, đường xá...). - HUMAN-TRU3]]</f>
        <v>8</v>
      </c>
      <c r="AF385">
        <f t="shared" si="152"/>
        <v>0.77777777777777779</v>
      </c>
      <c r="AG385">
        <f>step3_validation[[#This Row],[AI_TRU4]]</f>
        <v>6</v>
      </c>
      <c r="AH385">
        <f t="shared" si="153"/>
        <v>0.55555555555555558</v>
      </c>
      <c r="AI385">
        <f>[1]!survey_responses[[#This Row],[Tôi thấy Nhà nước đã giải thích rõ ràng, minh bạch về lý do và mục tiêu của việc sửa đổi thuế lần này. - HUMAN-TRU4]]</f>
        <v>7</v>
      </c>
      <c r="AJ385">
        <f t="shared" si="154"/>
        <v>0.66666666666666663</v>
      </c>
      <c r="AK385" s="32">
        <f t="shared" si="155"/>
        <v>0.66666666666666674</v>
      </c>
      <c r="AL385" s="32">
        <f t="shared" si="156"/>
        <v>0.80555555555555547</v>
      </c>
      <c r="AM385" s="7">
        <f t="shared" si="157"/>
        <v>0.70370370370370372</v>
      </c>
      <c r="AN385" s="7">
        <f t="shared" si="158"/>
        <v>0.74999999999999989</v>
      </c>
      <c r="AO385">
        <f>step3_validation[[#This Row],[AI_OUT1]]</f>
        <v>8</v>
      </c>
      <c r="AP385">
        <f t="shared" si="159"/>
        <v>0.77777777777777779</v>
      </c>
      <c r="AQ385">
        <f>[1]!survey_responses[[#This Row],[Sau khi xem xét các quyền lợi và nghĩa vụ, bạn có ủng hộ và tuân thủ chính sách mới hiện nay? - HUMAN-OUT1]]</f>
        <v>10</v>
      </c>
      <c r="AR385">
        <f t="shared" si="160"/>
        <v>1</v>
      </c>
      <c r="AS385" s="32">
        <f t="shared" si="161"/>
        <v>2</v>
      </c>
    </row>
    <row r="386" spans="1:45" x14ac:dyDescent="0.45">
      <c r="A386">
        <f>step3_validation[[#This Row],[AI_ENF1]]</f>
        <v>7</v>
      </c>
      <c r="B386">
        <f t="shared" si="135"/>
        <v>0.66666666666666663</v>
      </c>
      <c r="C386">
        <f>[1]!survey_responses[[#This Row],[Tôi tin rằng với các quy định quản lý thuế hiện nay, hành vi gian lận hoặc trốn thuế sẽ dễ dàng bị phát hiện và xử lý nghiêm. - HUMAN-ENF1]]</f>
        <v>3</v>
      </c>
      <c r="D386">
        <f t="shared" si="136"/>
        <v>0.22222222222222221</v>
      </c>
      <c r="E386">
        <f>step3_validation[[#This Row],[AI_ENF2]]</f>
        <v>6</v>
      </c>
      <c r="F386">
        <f t="shared" si="137"/>
        <v>0.55555555555555558</v>
      </c>
      <c r="G386">
        <f>[1]!survey_responses[[#This Row],[Tôi tin rằng Nhà nước, cơ quan thuế có đủ khả năng và công nghệ để phát hiện, xử lý nghiêm các hành vi trốn thuế. - HUMAN-ENF2]]</f>
        <v>3</v>
      </c>
      <c r="H386">
        <f t="shared" si="138"/>
        <v>0.22222222222222221</v>
      </c>
      <c r="I386" s="32">
        <f t="shared" si="139"/>
        <v>0.61111111111111116</v>
      </c>
      <c r="J386" s="32">
        <f t="shared" si="140"/>
        <v>0.22222222222222221</v>
      </c>
      <c r="K386">
        <f>step3_validation[[#This Row],[AI_FAC1]]</f>
        <v>8</v>
      </c>
      <c r="L386">
        <f t="shared" si="141"/>
        <v>0.77777777777777779</v>
      </c>
      <c r="M386">
        <f>[1]!survey_responses[[#This Row],[Các thủ tục khai báo thuế VÀ/HOẶC quy trình làm việc với cơ quan thuế đơn giản, tiện lợi, nhanh chóng hơn so với trước đây. - HUMAN-FAC1]]</f>
        <v>4</v>
      </c>
      <c r="N386">
        <f t="shared" si="142"/>
        <v>0.33333333333333331</v>
      </c>
      <c r="O386">
        <f>step3_validation[[#This Row],[AI_FAC2]]</f>
        <v>9</v>
      </c>
      <c r="P386">
        <f t="shared" si="143"/>
        <v>0.88888888888888884</v>
      </c>
      <c r="Q386">
        <f>[1]!survey_responses[[#This Row],[So với trước đây, tôi thấy cách tính thuế và các bậc thuế trong phương án mới đơn giản, dễ hiểu và dễ thực hiện hơn. - HUMAN-FAC2]]</f>
        <v>6</v>
      </c>
      <c r="R386">
        <f t="shared" si="144"/>
        <v>0.55555555555555558</v>
      </c>
      <c r="S386" s="32">
        <f t="shared" si="145"/>
        <v>0.83333333333333326</v>
      </c>
      <c r="T386" s="32">
        <f t="shared" si="146"/>
        <v>0.44444444444444442</v>
      </c>
      <c r="U386">
        <f>step3_validation[[#This Row],[AI_TRU1]]</f>
        <v>7</v>
      </c>
      <c r="V386">
        <f t="shared" si="147"/>
        <v>0.66666666666666663</v>
      </c>
      <c r="W386">
        <f>[1]!survey_responses[[#This Row],[Tôi tin rằng Nhà nước, cơ quan thuế sẽ thực thi chính sách mới một cách khách quan, công tâm và đối xử bình đẳng với mọi người nộp thuế.  - HUMAN-TRU1]]</f>
        <v>4</v>
      </c>
      <c r="X386">
        <f t="shared" si="148"/>
        <v>0.33333333333333331</v>
      </c>
      <c r="Y386">
        <f>step3_validation[[#This Row],[AI_TRU2]]</f>
        <v>6</v>
      </c>
      <c r="Z386">
        <f t="shared" si="149"/>
        <v>0.55555555555555558</v>
      </c>
      <c r="AA386">
        <f>[1]!survey_responses[[#This Row],[Tôi thấy mức thuế tôi phải đóng theo phương án mới là công bằng (người thu nhập như tôi đóng mức này là hợp lý). - HUMAN-TRU2]]</f>
        <v>5</v>
      </c>
      <c r="AB386">
        <f t="shared" si="150"/>
        <v>0.44444444444444442</v>
      </c>
      <c r="AC386">
        <f>step3_validation[[#This Row],[AI_TRU3]]</f>
        <v>7</v>
      </c>
      <c r="AD386">
        <f t="shared" si="151"/>
        <v>0.66666666666666663</v>
      </c>
      <c r="AE386">
        <f>[1]!survey_responses[[#This Row],[Tôi tin tưởng số tiền thuế tôi đóng sẽ được Nhà nước sử dụng hiệu quả để cải thiện dịch vụ công (y tế, đường xá...). - HUMAN-TRU3]]</f>
        <v>4</v>
      </c>
      <c r="AF386">
        <f t="shared" si="152"/>
        <v>0.33333333333333331</v>
      </c>
      <c r="AG386">
        <f>step3_validation[[#This Row],[AI_TRU4]]</f>
        <v>5</v>
      </c>
      <c r="AH386">
        <f t="shared" si="153"/>
        <v>0.44444444444444442</v>
      </c>
      <c r="AI386">
        <f>[1]!survey_responses[[#This Row],[Tôi thấy Nhà nước đã giải thích rõ ràng, minh bạch về lý do và mục tiêu của việc sửa đổi thuế lần này. - HUMAN-TRU4]]</f>
        <v>5</v>
      </c>
      <c r="AJ386">
        <f t="shared" si="154"/>
        <v>0.44444444444444442</v>
      </c>
      <c r="AK386" s="32">
        <f t="shared" si="155"/>
        <v>0.58333333333333326</v>
      </c>
      <c r="AL386" s="32">
        <f t="shared" si="156"/>
        <v>0.38888888888888884</v>
      </c>
      <c r="AM386" s="7">
        <f t="shared" si="157"/>
        <v>0.67592592592592593</v>
      </c>
      <c r="AN386" s="7">
        <f t="shared" si="158"/>
        <v>0.3518518518518518</v>
      </c>
      <c r="AO386">
        <f>step3_validation[[#This Row],[AI_OUT1]]</f>
        <v>6</v>
      </c>
      <c r="AP386">
        <f t="shared" si="159"/>
        <v>0.55555555555555558</v>
      </c>
      <c r="AQ386">
        <f>[1]!survey_responses[[#This Row],[Sau khi xem xét các quyền lợi và nghĩa vụ, bạn có ủng hộ và tuân thủ chính sách mới hiện nay? - HUMAN-OUT1]]</f>
        <v>5</v>
      </c>
      <c r="AR386">
        <f t="shared" si="160"/>
        <v>0.44444444444444442</v>
      </c>
      <c r="AS386" s="32">
        <f t="shared" si="161"/>
        <v>1</v>
      </c>
    </row>
    <row r="387" spans="1:45" x14ac:dyDescent="0.45">
      <c r="A387">
        <f>step3_validation[[#This Row],[AI_ENF1]]</f>
        <v>7</v>
      </c>
      <c r="B387">
        <f t="shared" ref="B387:B404" si="162">(A387-1)/9</f>
        <v>0.66666666666666663</v>
      </c>
      <c r="C387">
        <f>[1]!survey_responses[[#This Row],[Tôi tin rằng với các quy định quản lý thuế hiện nay, hành vi gian lận hoặc trốn thuế sẽ dễ dàng bị phát hiện và xử lý nghiêm. - HUMAN-ENF1]]</f>
        <v>8</v>
      </c>
      <c r="D387">
        <f t="shared" ref="D387:D404" si="163">(C387-1)/9</f>
        <v>0.77777777777777779</v>
      </c>
      <c r="E387">
        <f>step3_validation[[#This Row],[AI_ENF2]]</f>
        <v>6</v>
      </c>
      <c r="F387">
        <f t="shared" ref="F387:F404" si="164">(E387-1)/9</f>
        <v>0.55555555555555558</v>
      </c>
      <c r="G387">
        <f>[1]!survey_responses[[#This Row],[Tôi tin rằng Nhà nước, cơ quan thuế có đủ khả năng và công nghệ để phát hiện, xử lý nghiêm các hành vi trốn thuế. - HUMAN-ENF2]]</f>
        <v>8</v>
      </c>
      <c r="H387">
        <f t="shared" ref="H387:H404" si="165">(G387-1)/9</f>
        <v>0.77777777777777779</v>
      </c>
      <c r="I387" s="32">
        <f t="shared" ref="I387:I404" si="166">AVERAGE(B387,F387)</f>
        <v>0.61111111111111116</v>
      </c>
      <c r="J387" s="32">
        <f t="shared" ref="J387:J404" si="167">AVERAGE(D387,H387)</f>
        <v>0.77777777777777779</v>
      </c>
      <c r="K387">
        <f>step3_validation[[#This Row],[AI_FAC1]]</f>
        <v>7</v>
      </c>
      <c r="L387">
        <f t="shared" ref="L387:L404" si="168">(K387-1)/9</f>
        <v>0.66666666666666663</v>
      </c>
      <c r="M387">
        <f>[1]!survey_responses[[#This Row],[Các thủ tục khai báo thuế VÀ/HOẶC quy trình làm việc với cơ quan thuế đơn giản, tiện lợi, nhanh chóng hơn so với trước đây. - HUMAN-FAC1]]</f>
        <v>9</v>
      </c>
      <c r="N387">
        <f t="shared" ref="N387:N404" si="169">(M387-1)/9</f>
        <v>0.88888888888888884</v>
      </c>
      <c r="O387">
        <f>step3_validation[[#This Row],[AI_FAC2]]</f>
        <v>5</v>
      </c>
      <c r="P387">
        <f t="shared" ref="P387:P404" si="170">(O387-1)/9</f>
        <v>0.44444444444444442</v>
      </c>
      <c r="Q387">
        <f>[1]!survey_responses[[#This Row],[So với trước đây, tôi thấy cách tính thuế và các bậc thuế trong phương án mới đơn giản, dễ hiểu và dễ thực hiện hơn. - HUMAN-FAC2]]</f>
        <v>8</v>
      </c>
      <c r="R387">
        <f t="shared" ref="R387:R404" si="171">(Q387-1)/9</f>
        <v>0.77777777777777779</v>
      </c>
      <c r="S387" s="32">
        <f t="shared" ref="S387:S404" si="172">AVERAGE(L387,P387)</f>
        <v>0.55555555555555558</v>
      </c>
      <c r="T387" s="32">
        <f t="shared" ref="T387:T404" si="173">AVERAGE(N387,R387)</f>
        <v>0.83333333333333326</v>
      </c>
      <c r="U387">
        <f>step3_validation[[#This Row],[AI_TRU1]]</f>
        <v>8</v>
      </c>
      <c r="V387">
        <f t="shared" ref="V387:V404" si="174">(U387-1)/9</f>
        <v>0.77777777777777779</v>
      </c>
      <c r="W387">
        <f>[1]!survey_responses[[#This Row],[Tôi tin rằng Nhà nước, cơ quan thuế sẽ thực thi chính sách mới một cách khách quan, công tâm và đối xử bình đẳng với mọi người nộp thuế.  - HUMAN-TRU1]]</f>
        <v>7</v>
      </c>
      <c r="X387">
        <f t="shared" ref="X387:X404" si="175">(W387-1)/9</f>
        <v>0.66666666666666663</v>
      </c>
      <c r="Y387">
        <f>step3_validation[[#This Row],[AI_TRU2]]</f>
        <v>4</v>
      </c>
      <c r="Z387">
        <f t="shared" ref="Z387:Z404" si="176">(Y387-1)/9</f>
        <v>0.33333333333333331</v>
      </c>
      <c r="AA387">
        <f>[1]!survey_responses[[#This Row],[Tôi thấy mức thuế tôi phải đóng theo phương án mới là công bằng (người thu nhập như tôi đóng mức này là hợp lý). - HUMAN-TRU2]]</f>
        <v>8</v>
      </c>
      <c r="AB387">
        <f t="shared" ref="AB387:AB404" si="177">(AA387-1)/9</f>
        <v>0.77777777777777779</v>
      </c>
      <c r="AC387">
        <f>step3_validation[[#This Row],[AI_TRU3]]</f>
        <v>6</v>
      </c>
      <c r="AD387">
        <f t="shared" ref="AD387:AD404" si="178">(AC387-1)/9</f>
        <v>0.55555555555555558</v>
      </c>
      <c r="AE387">
        <f>[1]!survey_responses[[#This Row],[Tôi tin tưởng số tiền thuế tôi đóng sẽ được Nhà nước sử dụng hiệu quả để cải thiện dịch vụ công (y tế, đường xá...). - HUMAN-TRU3]]</f>
        <v>7</v>
      </c>
      <c r="AF387">
        <f t="shared" ref="AF387:AF404" si="179">(AE387-1)/9</f>
        <v>0.66666666666666663</v>
      </c>
      <c r="AG387">
        <f>step3_validation[[#This Row],[AI_TRU4]]</f>
        <v>5</v>
      </c>
      <c r="AH387">
        <f t="shared" ref="AH387:AH404" si="180">(AG387-1)/9</f>
        <v>0.44444444444444442</v>
      </c>
      <c r="AI387">
        <f>[1]!survey_responses[[#This Row],[Tôi thấy Nhà nước đã giải thích rõ ràng, minh bạch về lý do và mục tiêu của việc sửa đổi thuế lần này. - HUMAN-TRU4]]</f>
        <v>7</v>
      </c>
      <c r="AJ387">
        <f t="shared" ref="AJ387:AJ404" si="181">(AI387-1)/9</f>
        <v>0.66666666666666663</v>
      </c>
      <c r="AK387" s="32">
        <f t="shared" ref="AK387:AK404" si="182">AVERAGE(V387,Z387,AD387,AH387)</f>
        <v>0.52777777777777779</v>
      </c>
      <c r="AL387" s="32">
        <f t="shared" ref="AL387:AL404" si="183">AVERAGE(X387,AB387,AF387,AJ387)</f>
        <v>0.69444444444444442</v>
      </c>
      <c r="AM387" s="7">
        <f t="shared" ref="AM387:AM404" si="184">(I387+S387+AK387)/3</f>
        <v>0.56481481481481488</v>
      </c>
      <c r="AN387" s="7">
        <f t="shared" ref="AN387:AN404" si="185">(J387+T387+AL387)/3</f>
        <v>0.76851851851851849</v>
      </c>
      <c r="AO387">
        <f>step3_validation[[#This Row],[AI_OUT1]]</f>
        <v>7</v>
      </c>
      <c r="AP387">
        <f t="shared" ref="AP387:AP404" si="186">(AO387-1)/9</f>
        <v>0.66666666666666663</v>
      </c>
      <c r="AQ387">
        <f>[1]!survey_responses[[#This Row],[Sau khi xem xét các quyền lợi và nghĩa vụ, bạn có ủng hộ và tuân thủ chính sách mới hiện nay? - HUMAN-OUT1]]</f>
        <v>8</v>
      </c>
      <c r="AR387">
        <f t="shared" ref="AR387:AR404" si="187">(AQ387-1)/9</f>
        <v>0.77777777777777779</v>
      </c>
      <c r="AS387" s="32">
        <f t="shared" ref="AS387:AS404" si="188">ABS(AQ387-AO387)</f>
        <v>1</v>
      </c>
    </row>
    <row r="388" spans="1:45" x14ac:dyDescent="0.45">
      <c r="A388">
        <f>step3_validation[[#This Row],[AI_ENF1]]</f>
        <v>7</v>
      </c>
      <c r="B388">
        <f t="shared" si="162"/>
        <v>0.66666666666666663</v>
      </c>
      <c r="C388">
        <f>[1]!survey_responses[[#This Row],[Tôi tin rằng với các quy định quản lý thuế hiện nay, hành vi gian lận hoặc trốn thuế sẽ dễ dàng bị phát hiện và xử lý nghiêm. - HUMAN-ENF1]]</f>
        <v>5</v>
      </c>
      <c r="D388">
        <f t="shared" si="163"/>
        <v>0.44444444444444442</v>
      </c>
      <c r="E388">
        <f>step3_validation[[#This Row],[AI_ENF2]]</f>
        <v>8</v>
      </c>
      <c r="F388">
        <f t="shared" si="164"/>
        <v>0.77777777777777779</v>
      </c>
      <c r="G388">
        <f>[1]!survey_responses[[#This Row],[Tôi tin rằng Nhà nước, cơ quan thuế có đủ khả năng và công nghệ để phát hiện, xử lý nghiêm các hành vi trốn thuế. - HUMAN-ENF2]]</f>
        <v>5</v>
      </c>
      <c r="H388">
        <f t="shared" si="165"/>
        <v>0.44444444444444442</v>
      </c>
      <c r="I388" s="32">
        <f t="shared" si="166"/>
        <v>0.72222222222222221</v>
      </c>
      <c r="J388" s="32">
        <f t="shared" si="167"/>
        <v>0.44444444444444442</v>
      </c>
      <c r="K388">
        <f>step3_validation[[#This Row],[AI_FAC1]]</f>
        <v>9</v>
      </c>
      <c r="L388">
        <f t="shared" si="168"/>
        <v>0.88888888888888884</v>
      </c>
      <c r="M388">
        <f>[1]!survey_responses[[#This Row],[Các thủ tục khai báo thuế VÀ/HOẶC quy trình làm việc với cơ quan thuế đơn giản, tiện lợi, nhanh chóng hơn so với trước đây. - HUMAN-FAC1]]</f>
        <v>5</v>
      </c>
      <c r="N388">
        <f t="shared" si="169"/>
        <v>0.44444444444444442</v>
      </c>
      <c r="O388">
        <f>step3_validation[[#This Row],[AI_FAC2]]</f>
        <v>8</v>
      </c>
      <c r="P388">
        <f t="shared" si="170"/>
        <v>0.77777777777777779</v>
      </c>
      <c r="Q388">
        <f>[1]!survey_responses[[#This Row],[So với trước đây, tôi thấy cách tính thuế và các bậc thuế trong phương án mới đơn giản, dễ hiểu và dễ thực hiện hơn. - HUMAN-FAC2]]</f>
        <v>5</v>
      </c>
      <c r="R388">
        <f t="shared" si="171"/>
        <v>0.44444444444444442</v>
      </c>
      <c r="S388" s="32">
        <f t="shared" si="172"/>
        <v>0.83333333333333326</v>
      </c>
      <c r="T388" s="32">
        <f t="shared" si="173"/>
        <v>0.44444444444444442</v>
      </c>
      <c r="U388">
        <f>step3_validation[[#This Row],[AI_TRU1]]</f>
        <v>9</v>
      </c>
      <c r="V388">
        <f t="shared" si="174"/>
        <v>0.88888888888888884</v>
      </c>
      <c r="W388">
        <f>[1]!survey_responses[[#This Row],[Tôi tin rằng Nhà nước, cơ quan thuế sẽ thực thi chính sách mới một cách khách quan, công tâm và đối xử bình đẳng với mọi người nộp thuế.  - HUMAN-TRU1]]</f>
        <v>5</v>
      </c>
      <c r="X388">
        <f t="shared" si="175"/>
        <v>0.44444444444444442</v>
      </c>
      <c r="Y388">
        <f>step3_validation[[#This Row],[AI_TRU2]]</f>
        <v>8</v>
      </c>
      <c r="Z388">
        <f t="shared" si="176"/>
        <v>0.77777777777777779</v>
      </c>
      <c r="AA388">
        <f>[1]!survey_responses[[#This Row],[Tôi thấy mức thuế tôi phải đóng theo phương án mới là công bằng (người thu nhập như tôi đóng mức này là hợp lý). - HUMAN-TRU2]]</f>
        <v>5</v>
      </c>
      <c r="AB388">
        <f t="shared" si="177"/>
        <v>0.44444444444444442</v>
      </c>
      <c r="AC388">
        <f>step3_validation[[#This Row],[AI_TRU3]]</f>
        <v>7</v>
      </c>
      <c r="AD388">
        <f t="shared" si="178"/>
        <v>0.66666666666666663</v>
      </c>
      <c r="AE388">
        <f>[1]!survey_responses[[#This Row],[Tôi tin tưởng số tiền thuế tôi đóng sẽ được Nhà nước sử dụng hiệu quả để cải thiện dịch vụ công (y tế, đường xá...). - HUMAN-TRU3]]</f>
        <v>5</v>
      </c>
      <c r="AF388">
        <f t="shared" si="179"/>
        <v>0.44444444444444442</v>
      </c>
      <c r="AG388">
        <f>step3_validation[[#This Row],[AI_TRU4]]</f>
        <v>8</v>
      </c>
      <c r="AH388">
        <f t="shared" si="180"/>
        <v>0.77777777777777779</v>
      </c>
      <c r="AI388">
        <f>[1]!survey_responses[[#This Row],[Tôi thấy Nhà nước đã giải thích rõ ràng, minh bạch về lý do và mục tiêu của việc sửa đổi thuế lần này. - HUMAN-TRU4]]</f>
        <v>5</v>
      </c>
      <c r="AJ388">
        <f t="shared" si="181"/>
        <v>0.44444444444444442</v>
      </c>
      <c r="AK388" s="32">
        <f t="shared" si="182"/>
        <v>0.77777777777777768</v>
      </c>
      <c r="AL388" s="32">
        <f t="shared" si="183"/>
        <v>0.44444444444444442</v>
      </c>
      <c r="AM388" s="7">
        <f t="shared" si="184"/>
        <v>0.77777777777777768</v>
      </c>
      <c r="AN388" s="7">
        <f t="shared" si="185"/>
        <v>0.44444444444444442</v>
      </c>
      <c r="AO388">
        <f>step3_validation[[#This Row],[AI_OUT1]]</f>
        <v>9</v>
      </c>
      <c r="AP388">
        <f t="shared" si="186"/>
        <v>0.88888888888888884</v>
      </c>
      <c r="AQ388">
        <f>[1]!survey_responses[[#This Row],[Sau khi xem xét các quyền lợi và nghĩa vụ, bạn có ủng hộ và tuân thủ chính sách mới hiện nay? - HUMAN-OUT1]]</f>
        <v>5</v>
      </c>
      <c r="AR388">
        <f t="shared" si="187"/>
        <v>0.44444444444444442</v>
      </c>
      <c r="AS388" s="32">
        <f t="shared" si="188"/>
        <v>4</v>
      </c>
    </row>
    <row r="389" spans="1:45" x14ac:dyDescent="0.45">
      <c r="A389">
        <f>step3_validation[[#This Row],[AI_ENF1]]</f>
        <v>6</v>
      </c>
      <c r="B389">
        <f t="shared" si="162"/>
        <v>0.55555555555555558</v>
      </c>
      <c r="C389">
        <f>[1]!survey_responses[[#This Row],[Tôi tin rằng với các quy định quản lý thuế hiện nay, hành vi gian lận hoặc trốn thuế sẽ dễ dàng bị phát hiện và xử lý nghiêm. - HUMAN-ENF1]]</f>
        <v>7</v>
      </c>
      <c r="D389">
        <f t="shared" si="163"/>
        <v>0.66666666666666663</v>
      </c>
      <c r="E389">
        <f>step3_validation[[#This Row],[AI_ENF2]]</f>
        <v>7</v>
      </c>
      <c r="F389">
        <f t="shared" si="164"/>
        <v>0.66666666666666663</v>
      </c>
      <c r="G389">
        <f>[1]!survey_responses[[#This Row],[Tôi tin rằng Nhà nước, cơ quan thuế có đủ khả năng và công nghệ để phát hiện, xử lý nghiêm các hành vi trốn thuế. - HUMAN-ENF2]]</f>
        <v>7</v>
      </c>
      <c r="H389">
        <f t="shared" si="165"/>
        <v>0.66666666666666663</v>
      </c>
      <c r="I389" s="32">
        <f t="shared" si="166"/>
        <v>0.61111111111111116</v>
      </c>
      <c r="J389" s="32">
        <f t="shared" si="167"/>
        <v>0.66666666666666663</v>
      </c>
      <c r="K389">
        <f>step3_validation[[#This Row],[AI_FAC1]]</f>
        <v>8</v>
      </c>
      <c r="L389">
        <f t="shared" si="168"/>
        <v>0.77777777777777779</v>
      </c>
      <c r="M389">
        <f>[1]!survey_responses[[#This Row],[Các thủ tục khai báo thuế VÀ/HOẶC quy trình làm việc với cơ quan thuế đơn giản, tiện lợi, nhanh chóng hơn so với trước đây. - HUMAN-FAC1]]</f>
        <v>5</v>
      </c>
      <c r="N389">
        <f t="shared" si="169"/>
        <v>0.44444444444444442</v>
      </c>
      <c r="O389">
        <f>step3_validation[[#This Row],[AI_FAC2]]</f>
        <v>9</v>
      </c>
      <c r="P389">
        <f t="shared" si="170"/>
        <v>0.88888888888888884</v>
      </c>
      <c r="Q389">
        <f>[1]!survey_responses[[#This Row],[So với trước đây, tôi thấy cách tính thuế và các bậc thuế trong phương án mới đơn giản, dễ hiểu và dễ thực hiện hơn. - HUMAN-FAC2]]</f>
        <v>8</v>
      </c>
      <c r="R389">
        <f t="shared" si="171"/>
        <v>0.77777777777777779</v>
      </c>
      <c r="S389" s="32">
        <f t="shared" si="172"/>
        <v>0.83333333333333326</v>
      </c>
      <c r="T389" s="32">
        <f t="shared" si="173"/>
        <v>0.61111111111111116</v>
      </c>
      <c r="U389">
        <f>step3_validation[[#This Row],[AI_TRU1]]</f>
        <v>7</v>
      </c>
      <c r="V389">
        <f t="shared" si="174"/>
        <v>0.66666666666666663</v>
      </c>
      <c r="W389">
        <f>[1]!survey_responses[[#This Row],[Tôi tin rằng Nhà nước, cơ quan thuế sẽ thực thi chính sách mới một cách khách quan, công tâm và đối xử bình đẳng với mọi người nộp thuế.  - HUMAN-TRU1]]</f>
        <v>6</v>
      </c>
      <c r="X389">
        <f t="shared" si="175"/>
        <v>0.55555555555555558</v>
      </c>
      <c r="Y389">
        <f>step3_validation[[#This Row],[AI_TRU2]]</f>
        <v>8</v>
      </c>
      <c r="Z389">
        <f t="shared" si="176"/>
        <v>0.77777777777777779</v>
      </c>
      <c r="AA389">
        <f>[1]!survey_responses[[#This Row],[Tôi thấy mức thuế tôi phải đóng theo phương án mới là công bằng (người thu nhập như tôi đóng mức này là hợp lý). - HUMAN-TRU2]]</f>
        <v>8</v>
      </c>
      <c r="AB389">
        <f t="shared" si="177"/>
        <v>0.77777777777777779</v>
      </c>
      <c r="AC389">
        <f>step3_validation[[#This Row],[AI_TRU3]]</f>
        <v>6</v>
      </c>
      <c r="AD389">
        <f t="shared" si="178"/>
        <v>0.55555555555555558</v>
      </c>
      <c r="AE389">
        <f>[1]!survey_responses[[#This Row],[Tôi tin tưởng số tiền thuế tôi đóng sẽ được Nhà nước sử dụng hiệu quả để cải thiện dịch vụ công (y tế, đường xá...). - HUMAN-TRU3]]</f>
        <v>5</v>
      </c>
      <c r="AF389">
        <f t="shared" si="179"/>
        <v>0.44444444444444442</v>
      </c>
      <c r="AG389">
        <f>step3_validation[[#This Row],[AI_TRU4]]</f>
        <v>5</v>
      </c>
      <c r="AH389">
        <f t="shared" si="180"/>
        <v>0.44444444444444442</v>
      </c>
      <c r="AI389">
        <f>[1]!survey_responses[[#This Row],[Tôi thấy Nhà nước đã giải thích rõ ràng, minh bạch về lý do và mục tiêu của việc sửa đổi thuế lần này. - HUMAN-TRU4]]</f>
        <v>5</v>
      </c>
      <c r="AJ389">
        <f t="shared" si="181"/>
        <v>0.44444444444444442</v>
      </c>
      <c r="AK389" s="32">
        <f t="shared" si="182"/>
        <v>0.61111111111111116</v>
      </c>
      <c r="AL389" s="32">
        <f t="shared" si="183"/>
        <v>0.55555555555555558</v>
      </c>
      <c r="AM389" s="7">
        <f t="shared" si="184"/>
        <v>0.68518518518518512</v>
      </c>
      <c r="AN389" s="7">
        <f t="shared" si="185"/>
        <v>0.61111111111111105</v>
      </c>
      <c r="AO389">
        <f>step3_validation[[#This Row],[AI_OUT1]]</f>
        <v>7</v>
      </c>
      <c r="AP389">
        <f t="shared" si="186"/>
        <v>0.66666666666666663</v>
      </c>
      <c r="AQ389">
        <f>[1]!survey_responses[[#This Row],[Sau khi xem xét các quyền lợi và nghĩa vụ, bạn có ủng hộ và tuân thủ chính sách mới hiện nay? - HUMAN-OUT1]]</f>
        <v>8</v>
      </c>
      <c r="AR389">
        <f t="shared" si="187"/>
        <v>0.77777777777777779</v>
      </c>
      <c r="AS389" s="32">
        <f t="shared" si="188"/>
        <v>1</v>
      </c>
    </row>
    <row r="390" spans="1:45" x14ac:dyDescent="0.45">
      <c r="A390">
        <f>step3_validation[[#This Row],[AI_ENF1]]</f>
        <v>8</v>
      </c>
      <c r="B390">
        <f t="shared" si="162"/>
        <v>0.77777777777777779</v>
      </c>
      <c r="C390">
        <f>[1]!survey_responses[[#This Row],[Tôi tin rằng với các quy định quản lý thuế hiện nay, hành vi gian lận hoặc trốn thuế sẽ dễ dàng bị phát hiện và xử lý nghiêm. - HUMAN-ENF1]]</f>
        <v>6</v>
      </c>
      <c r="D390">
        <f t="shared" si="163"/>
        <v>0.55555555555555558</v>
      </c>
      <c r="E390">
        <f>step3_validation[[#This Row],[AI_ENF2]]</f>
        <v>7</v>
      </c>
      <c r="F390">
        <f t="shared" si="164"/>
        <v>0.66666666666666663</v>
      </c>
      <c r="G390">
        <f>[1]!survey_responses[[#This Row],[Tôi tin rằng Nhà nước, cơ quan thuế có đủ khả năng và công nghệ để phát hiện, xử lý nghiêm các hành vi trốn thuế. - HUMAN-ENF2]]</f>
        <v>8</v>
      </c>
      <c r="H390">
        <f t="shared" si="165"/>
        <v>0.77777777777777779</v>
      </c>
      <c r="I390" s="32">
        <f t="shared" si="166"/>
        <v>0.72222222222222221</v>
      </c>
      <c r="J390" s="32">
        <f t="shared" si="167"/>
        <v>0.66666666666666674</v>
      </c>
      <c r="K390">
        <f>step3_validation[[#This Row],[AI_FAC1]]</f>
        <v>6</v>
      </c>
      <c r="L390">
        <f t="shared" si="168"/>
        <v>0.55555555555555558</v>
      </c>
      <c r="M390">
        <f>[1]!survey_responses[[#This Row],[Các thủ tục khai báo thuế VÀ/HOẶC quy trình làm việc với cơ quan thuế đơn giản, tiện lợi, nhanh chóng hơn so với trước đây. - HUMAN-FAC1]]</f>
        <v>7</v>
      </c>
      <c r="N390">
        <f t="shared" si="169"/>
        <v>0.66666666666666663</v>
      </c>
      <c r="O390">
        <f>step3_validation[[#This Row],[AI_FAC2]]</f>
        <v>7</v>
      </c>
      <c r="P390">
        <f t="shared" si="170"/>
        <v>0.66666666666666663</v>
      </c>
      <c r="Q390">
        <f>[1]!survey_responses[[#This Row],[So với trước đây, tôi thấy cách tính thuế và các bậc thuế trong phương án mới đơn giản, dễ hiểu và dễ thực hiện hơn. - HUMAN-FAC2]]</f>
        <v>8</v>
      </c>
      <c r="R390">
        <f t="shared" si="171"/>
        <v>0.77777777777777779</v>
      </c>
      <c r="S390" s="32">
        <f t="shared" si="172"/>
        <v>0.61111111111111116</v>
      </c>
      <c r="T390" s="32">
        <f t="shared" si="173"/>
        <v>0.72222222222222221</v>
      </c>
      <c r="U390">
        <f>step3_validation[[#This Row],[AI_TRU1]]</f>
        <v>8</v>
      </c>
      <c r="V390">
        <f t="shared" si="174"/>
        <v>0.77777777777777779</v>
      </c>
      <c r="W390">
        <f>[1]!survey_responses[[#This Row],[Tôi tin rằng Nhà nước, cơ quan thuế sẽ thực thi chính sách mới một cách khách quan, công tâm và đối xử bình đẳng với mọi người nộp thuế.  - HUMAN-TRU1]]</f>
        <v>6</v>
      </c>
      <c r="X390">
        <f t="shared" si="175"/>
        <v>0.55555555555555558</v>
      </c>
      <c r="Y390">
        <f>step3_validation[[#This Row],[AI_TRU2]]</f>
        <v>6</v>
      </c>
      <c r="Z390">
        <f t="shared" si="176"/>
        <v>0.55555555555555558</v>
      </c>
      <c r="AA390">
        <f>[1]!survey_responses[[#This Row],[Tôi thấy mức thuế tôi phải đóng theo phương án mới là công bằng (người thu nhập như tôi đóng mức này là hợp lý). - HUMAN-TRU2]]</f>
        <v>8</v>
      </c>
      <c r="AB390">
        <f t="shared" si="177"/>
        <v>0.77777777777777779</v>
      </c>
      <c r="AC390">
        <f>step3_validation[[#This Row],[AI_TRU3]]</f>
        <v>7</v>
      </c>
      <c r="AD390">
        <f t="shared" si="178"/>
        <v>0.66666666666666663</v>
      </c>
      <c r="AE390">
        <f>[1]!survey_responses[[#This Row],[Tôi tin tưởng số tiền thuế tôi đóng sẽ được Nhà nước sử dụng hiệu quả để cải thiện dịch vụ công (y tế, đường xá...). - HUMAN-TRU3]]</f>
        <v>5</v>
      </c>
      <c r="AF390">
        <f t="shared" si="179"/>
        <v>0.44444444444444442</v>
      </c>
      <c r="AG390">
        <f>step3_validation[[#This Row],[AI_TRU4]]</f>
        <v>5</v>
      </c>
      <c r="AH390">
        <f t="shared" si="180"/>
        <v>0.44444444444444442</v>
      </c>
      <c r="AI390">
        <f>[1]!survey_responses[[#This Row],[Tôi thấy Nhà nước đã giải thích rõ ràng, minh bạch về lý do và mục tiêu của việc sửa đổi thuế lần này. - HUMAN-TRU4]]</f>
        <v>5</v>
      </c>
      <c r="AJ390">
        <f t="shared" si="181"/>
        <v>0.44444444444444442</v>
      </c>
      <c r="AK390" s="32">
        <f t="shared" si="182"/>
        <v>0.61111111111111116</v>
      </c>
      <c r="AL390" s="32">
        <f t="shared" si="183"/>
        <v>0.55555555555555558</v>
      </c>
      <c r="AM390" s="7">
        <f t="shared" si="184"/>
        <v>0.64814814814814825</v>
      </c>
      <c r="AN390" s="7">
        <f t="shared" si="185"/>
        <v>0.64814814814814814</v>
      </c>
      <c r="AO390">
        <f>step3_validation[[#This Row],[AI_OUT1]]</f>
        <v>6</v>
      </c>
      <c r="AP390">
        <f t="shared" si="186"/>
        <v>0.55555555555555558</v>
      </c>
      <c r="AQ390">
        <f>[1]!survey_responses[[#This Row],[Sau khi xem xét các quyền lợi và nghĩa vụ, bạn có ủng hộ và tuân thủ chính sách mới hiện nay? - HUMAN-OUT1]]</f>
        <v>8</v>
      </c>
      <c r="AR390">
        <f t="shared" si="187"/>
        <v>0.77777777777777779</v>
      </c>
      <c r="AS390" s="32">
        <f t="shared" si="188"/>
        <v>2</v>
      </c>
    </row>
    <row r="391" spans="1:45" x14ac:dyDescent="0.45">
      <c r="A391">
        <f>step3_validation[[#This Row],[AI_ENF1]]</f>
        <v>7</v>
      </c>
      <c r="B391">
        <f t="shared" si="162"/>
        <v>0.66666666666666663</v>
      </c>
      <c r="C391">
        <f>[1]!survey_responses[[#This Row],[Tôi tin rằng với các quy định quản lý thuế hiện nay, hành vi gian lận hoặc trốn thuế sẽ dễ dàng bị phát hiện và xử lý nghiêm. - HUMAN-ENF1]]</f>
        <v>10</v>
      </c>
      <c r="D391">
        <f t="shared" si="163"/>
        <v>1</v>
      </c>
      <c r="E391">
        <f>step3_validation[[#This Row],[AI_ENF2]]</f>
        <v>6</v>
      </c>
      <c r="F391">
        <f t="shared" si="164"/>
        <v>0.55555555555555558</v>
      </c>
      <c r="G391">
        <f>[1]!survey_responses[[#This Row],[Tôi tin rằng Nhà nước, cơ quan thuế có đủ khả năng và công nghệ để phát hiện, xử lý nghiêm các hành vi trốn thuế. - HUMAN-ENF2]]</f>
        <v>10</v>
      </c>
      <c r="H391">
        <f t="shared" si="165"/>
        <v>1</v>
      </c>
      <c r="I391" s="32">
        <f t="shared" si="166"/>
        <v>0.61111111111111116</v>
      </c>
      <c r="J391" s="32">
        <f t="shared" si="167"/>
        <v>1</v>
      </c>
      <c r="K391">
        <f>step3_validation[[#This Row],[AI_FAC1]]</f>
        <v>4</v>
      </c>
      <c r="L391">
        <f t="shared" si="168"/>
        <v>0.33333333333333331</v>
      </c>
      <c r="M391">
        <f>[1]!survey_responses[[#This Row],[Các thủ tục khai báo thuế VÀ/HOẶC quy trình làm việc với cơ quan thuế đơn giản, tiện lợi, nhanh chóng hơn so với trước đây. - HUMAN-FAC1]]</f>
        <v>5</v>
      </c>
      <c r="N391">
        <f t="shared" si="169"/>
        <v>0.44444444444444442</v>
      </c>
      <c r="O391">
        <f>step3_validation[[#This Row],[AI_FAC2]]</f>
        <v>8</v>
      </c>
      <c r="P391">
        <f t="shared" si="170"/>
        <v>0.77777777777777779</v>
      </c>
      <c r="Q391">
        <f>[1]!survey_responses[[#This Row],[So với trước đây, tôi thấy cách tính thuế và các bậc thuế trong phương án mới đơn giản, dễ hiểu và dễ thực hiện hơn. - HUMAN-FAC2]]</f>
        <v>9</v>
      </c>
      <c r="R391">
        <f t="shared" si="171"/>
        <v>0.88888888888888884</v>
      </c>
      <c r="S391" s="32">
        <f t="shared" si="172"/>
        <v>0.55555555555555558</v>
      </c>
      <c r="T391" s="32">
        <f t="shared" si="173"/>
        <v>0.66666666666666663</v>
      </c>
      <c r="U391">
        <f>step3_validation[[#This Row],[AI_TRU1]]</f>
        <v>7</v>
      </c>
      <c r="V391">
        <f t="shared" si="174"/>
        <v>0.66666666666666663</v>
      </c>
      <c r="W391">
        <f>[1]!survey_responses[[#This Row],[Tôi tin rằng Nhà nước, cơ quan thuế sẽ thực thi chính sách mới một cách khách quan, công tâm và đối xử bình đẳng với mọi người nộp thuế.  - HUMAN-TRU1]]</f>
        <v>7</v>
      </c>
      <c r="X391">
        <f t="shared" si="175"/>
        <v>0.66666666666666663</v>
      </c>
      <c r="Y391">
        <f>step3_validation[[#This Row],[AI_TRU2]]</f>
        <v>6</v>
      </c>
      <c r="Z391">
        <f t="shared" si="176"/>
        <v>0.55555555555555558</v>
      </c>
      <c r="AA391">
        <f>[1]!survey_responses[[#This Row],[Tôi thấy mức thuế tôi phải đóng theo phương án mới là công bằng (người thu nhập như tôi đóng mức này là hợp lý). - HUMAN-TRU2]]</f>
        <v>8</v>
      </c>
      <c r="AB391">
        <f t="shared" si="177"/>
        <v>0.77777777777777779</v>
      </c>
      <c r="AC391">
        <f>step3_validation[[#This Row],[AI_TRU3]]</f>
        <v>7</v>
      </c>
      <c r="AD391">
        <f t="shared" si="178"/>
        <v>0.66666666666666663</v>
      </c>
      <c r="AE391">
        <f>[1]!survey_responses[[#This Row],[Tôi tin tưởng số tiền thuế tôi đóng sẽ được Nhà nước sử dụng hiệu quả để cải thiện dịch vụ công (y tế, đường xá...). - HUMAN-TRU3]]</f>
        <v>5</v>
      </c>
      <c r="AF391">
        <f t="shared" si="179"/>
        <v>0.44444444444444442</v>
      </c>
      <c r="AG391">
        <f>step3_validation[[#This Row],[AI_TRU4]]</f>
        <v>6</v>
      </c>
      <c r="AH391">
        <f t="shared" si="180"/>
        <v>0.55555555555555558</v>
      </c>
      <c r="AI391">
        <f>[1]!survey_responses[[#This Row],[Tôi thấy Nhà nước đã giải thích rõ ràng, minh bạch về lý do và mục tiêu của việc sửa đổi thuế lần này. - HUMAN-TRU4]]</f>
        <v>5</v>
      </c>
      <c r="AJ391">
        <f t="shared" si="181"/>
        <v>0.44444444444444442</v>
      </c>
      <c r="AK391" s="32">
        <f t="shared" si="182"/>
        <v>0.61111111111111116</v>
      </c>
      <c r="AL391" s="32">
        <f t="shared" si="183"/>
        <v>0.58333333333333326</v>
      </c>
      <c r="AM391" s="7">
        <f t="shared" si="184"/>
        <v>0.59259259259259267</v>
      </c>
      <c r="AN391" s="7">
        <f t="shared" si="185"/>
        <v>0.75</v>
      </c>
      <c r="AO391">
        <f>step3_validation[[#This Row],[AI_OUT1]]</f>
        <v>6</v>
      </c>
      <c r="AP391">
        <f t="shared" si="186"/>
        <v>0.55555555555555558</v>
      </c>
      <c r="AQ391">
        <f>[1]!survey_responses[[#This Row],[Sau khi xem xét các quyền lợi và nghĩa vụ, bạn có ủng hộ và tuân thủ chính sách mới hiện nay? - HUMAN-OUT1]]</f>
        <v>8</v>
      </c>
      <c r="AR391">
        <f t="shared" si="187"/>
        <v>0.77777777777777779</v>
      </c>
      <c r="AS391" s="32">
        <f t="shared" si="188"/>
        <v>2</v>
      </c>
    </row>
    <row r="392" spans="1:45" x14ac:dyDescent="0.45">
      <c r="A392">
        <f>step3_validation[[#This Row],[AI_ENF1]]</f>
        <v>7</v>
      </c>
      <c r="B392">
        <f t="shared" si="162"/>
        <v>0.66666666666666663</v>
      </c>
      <c r="C392">
        <f>[1]!survey_responses[[#This Row],[Tôi tin rằng với các quy định quản lý thuế hiện nay, hành vi gian lận hoặc trốn thuế sẽ dễ dàng bị phát hiện và xử lý nghiêm. - HUMAN-ENF1]]</f>
        <v>4</v>
      </c>
      <c r="D392">
        <f t="shared" si="163"/>
        <v>0.33333333333333331</v>
      </c>
      <c r="E392">
        <f>step3_validation[[#This Row],[AI_ENF2]]</f>
        <v>6</v>
      </c>
      <c r="F392">
        <f t="shared" si="164"/>
        <v>0.55555555555555558</v>
      </c>
      <c r="G392">
        <f>[1]!survey_responses[[#This Row],[Tôi tin rằng Nhà nước, cơ quan thuế có đủ khả năng và công nghệ để phát hiện, xử lý nghiêm các hành vi trốn thuế. - HUMAN-ENF2]]</f>
        <v>5</v>
      </c>
      <c r="H392">
        <f t="shared" si="165"/>
        <v>0.44444444444444442</v>
      </c>
      <c r="I392" s="32">
        <f t="shared" si="166"/>
        <v>0.61111111111111116</v>
      </c>
      <c r="J392" s="32">
        <f t="shared" si="167"/>
        <v>0.38888888888888884</v>
      </c>
      <c r="K392">
        <f>step3_validation[[#This Row],[AI_FAC1]]</f>
        <v>8</v>
      </c>
      <c r="L392">
        <f t="shared" si="168"/>
        <v>0.77777777777777779</v>
      </c>
      <c r="M392">
        <f>[1]!survey_responses[[#This Row],[Các thủ tục khai báo thuế VÀ/HOẶC quy trình làm việc với cơ quan thuế đơn giản, tiện lợi, nhanh chóng hơn so với trước đây. - HUMAN-FAC1]]</f>
        <v>7</v>
      </c>
      <c r="N392">
        <f t="shared" si="169"/>
        <v>0.66666666666666663</v>
      </c>
      <c r="O392">
        <f>step3_validation[[#This Row],[AI_FAC2]]</f>
        <v>7</v>
      </c>
      <c r="P392">
        <f t="shared" si="170"/>
        <v>0.66666666666666663</v>
      </c>
      <c r="Q392">
        <f>[1]!survey_responses[[#This Row],[So với trước đây, tôi thấy cách tính thuế và các bậc thuế trong phương án mới đơn giản, dễ hiểu và dễ thực hiện hơn. - HUMAN-FAC2]]</f>
        <v>7</v>
      </c>
      <c r="R392">
        <f t="shared" si="171"/>
        <v>0.66666666666666663</v>
      </c>
      <c r="S392" s="32">
        <f t="shared" si="172"/>
        <v>0.72222222222222221</v>
      </c>
      <c r="T392" s="32">
        <f t="shared" si="173"/>
        <v>0.66666666666666663</v>
      </c>
      <c r="U392">
        <f>step3_validation[[#This Row],[AI_TRU1]]</f>
        <v>6</v>
      </c>
      <c r="V392">
        <f t="shared" si="174"/>
        <v>0.55555555555555558</v>
      </c>
      <c r="W392">
        <f>[1]!survey_responses[[#This Row],[Tôi tin rằng Nhà nước, cơ quan thuế sẽ thực thi chính sách mới một cách khách quan, công tâm và đối xử bình đẳng với mọi người nộp thuế.  - HUMAN-TRU1]]</f>
        <v>5</v>
      </c>
      <c r="X392">
        <f t="shared" si="175"/>
        <v>0.44444444444444442</v>
      </c>
      <c r="Y392">
        <f>step3_validation[[#This Row],[AI_TRU2]]</f>
        <v>5</v>
      </c>
      <c r="Z392">
        <f t="shared" si="176"/>
        <v>0.44444444444444442</v>
      </c>
      <c r="AA392">
        <f>[1]!survey_responses[[#This Row],[Tôi thấy mức thuế tôi phải đóng theo phương án mới là công bằng (người thu nhập như tôi đóng mức này là hợp lý). - HUMAN-TRU2]]</f>
        <v>7</v>
      </c>
      <c r="AB392">
        <f t="shared" si="177"/>
        <v>0.66666666666666663</v>
      </c>
      <c r="AC392">
        <f>step3_validation[[#This Row],[AI_TRU3]]</f>
        <v>6</v>
      </c>
      <c r="AD392">
        <f t="shared" si="178"/>
        <v>0.55555555555555558</v>
      </c>
      <c r="AE392">
        <f>[1]!survey_responses[[#This Row],[Tôi tin tưởng số tiền thuế tôi đóng sẽ được Nhà nước sử dụng hiệu quả để cải thiện dịch vụ công (y tế, đường xá...). - HUMAN-TRU3]]</f>
        <v>5</v>
      </c>
      <c r="AF392">
        <f t="shared" si="179"/>
        <v>0.44444444444444442</v>
      </c>
      <c r="AG392">
        <f>step3_validation[[#This Row],[AI_TRU4]]</f>
        <v>5</v>
      </c>
      <c r="AH392">
        <f t="shared" si="180"/>
        <v>0.44444444444444442</v>
      </c>
      <c r="AI392">
        <f>[1]!survey_responses[[#This Row],[Tôi thấy Nhà nước đã giải thích rõ ràng, minh bạch về lý do và mục tiêu của việc sửa đổi thuế lần này. - HUMAN-TRU4]]</f>
        <v>5</v>
      </c>
      <c r="AJ392">
        <f t="shared" si="181"/>
        <v>0.44444444444444442</v>
      </c>
      <c r="AK392" s="32">
        <f t="shared" si="182"/>
        <v>0.5</v>
      </c>
      <c r="AL392" s="32">
        <f t="shared" si="183"/>
        <v>0.5</v>
      </c>
      <c r="AM392" s="7">
        <f t="shared" si="184"/>
        <v>0.61111111111111116</v>
      </c>
      <c r="AN392" s="7">
        <f t="shared" si="185"/>
        <v>0.51851851851851849</v>
      </c>
      <c r="AO392">
        <f>step3_validation[[#This Row],[AI_OUT1]]</f>
        <v>7</v>
      </c>
      <c r="AP392">
        <f t="shared" si="186"/>
        <v>0.66666666666666663</v>
      </c>
      <c r="AQ392">
        <f>[1]!survey_responses[[#This Row],[Sau khi xem xét các quyền lợi và nghĩa vụ, bạn có ủng hộ và tuân thủ chính sách mới hiện nay? - HUMAN-OUT1]]</f>
        <v>7</v>
      </c>
      <c r="AR392">
        <f t="shared" si="187"/>
        <v>0.66666666666666663</v>
      </c>
      <c r="AS392" s="32">
        <f t="shared" si="188"/>
        <v>0</v>
      </c>
    </row>
    <row r="393" spans="1:45" x14ac:dyDescent="0.45">
      <c r="A393">
        <f>step3_validation[[#This Row],[AI_ENF1]]</f>
        <v>8</v>
      </c>
      <c r="B393">
        <f t="shared" si="162"/>
        <v>0.77777777777777779</v>
      </c>
      <c r="C393">
        <f>[1]!survey_responses[[#This Row],[Tôi tin rằng với các quy định quản lý thuế hiện nay, hành vi gian lận hoặc trốn thuế sẽ dễ dàng bị phát hiện và xử lý nghiêm. - HUMAN-ENF1]]</f>
        <v>2</v>
      </c>
      <c r="D393">
        <f t="shared" si="163"/>
        <v>0.1111111111111111</v>
      </c>
      <c r="E393">
        <f>step3_validation[[#This Row],[AI_ENF2]]</f>
        <v>9</v>
      </c>
      <c r="F393">
        <f t="shared" si="164"/>
        <v>0.88888888888888884</v>
      </c>
      <c r="G393">
        <f>[1]!survey_responses[[#This Row],[Tôi tin rằng Nhà nước, cơ quan thuế có đủ khả năng và công nghệ để phát hiện, xử lý nghiêm các hành vi trốn thuế. - HUMAN-ENF2]]</f>
        <v>3</v>
      </c>
      <c r="H393">
        <f t="shared" si="165"/>
        <v>0.22222222222222221</v>
      </c>
      <c r="I393" s="32">
        <f t="shared" si="166"/>
        <v>0.83333333333333326</v>
      </c>
      <c r="J393" s="32">
        <f t="shared" si="167"/>
        <v>0.16666666666666666</v>
      </c>
      <c r="K393">
        <f>step3_validation[[#This Row],[AI_FAC1]]</f>
        <v>7</v>
      </c>
      <c r="L393">
        <f t="shared" si="168"/>
        <v>0.66666666666666663</v>
      </c>
      <c r="M393">
        <f>[1]!survey_responses[[#This Row],[Các thủ tục khai báo thuế VÀ/HOẶC quy trình làm việc với cơ quan thuế đơn giản, tiện lợi, nhanh chóng hơn so với trước đây. - HUMAN-FAC1]]</f>
        <v>3</v>
      </c>
      <c r="N393">
        <f t="shared" si="169"/>
        <v>0.22222222222222221</v>
      </c>
      <c r="O393">
        <f>step3_validation[[#This Row],[AI_FAC2]]</f>
        <v>8</v>
      </c>
      <c r="P393">
        <f t="shared" si="170"/>
        <v>0.77777777777777779</v>
      </c>
      <c r="Q393">
        <f>[1]!survey_responses[[#This Row],[So với trước đây, tôi thấy cách tính thuế và các bậc thuế trong phương án mới đơn giản, dễ hiểu và dễ thực hiện hơn. - HUMAN-FAC2]]</f>
        <v>6</v>
      </c>
      <c r="R393">
        <f t="shared" si="171"/>
        <v>0.55555555555555558</v>
      </c>
      <c r="S393" s="32">
        <f t="shared" si="172"/>
        <v>0.72222222222222221</v>
      </c>
      <c r="T393" s="32">
        <f t="shared" si="173"/>
        <v>0.3888888888888889</v>
      </c>
      <c r="U393">
        <f>step3_validation[[#This Row],[AI_TRU1]]</f>
        <v>9</v>
      </c>
      <c r="V393">
        <f t="shared" si="174"/>
        <v>0.88888888888888884</v>
      </c>
      <c r="W393">
        <f>[1]!survey_responses[[#This Row],[Tôi tin rằng Nhà nước, cơ quan thuế sẽ thực thi chính sách mới một cách khách quan, công tâm và đối xử bình đẳng với mọi người nộp thuế.  - HUMAN-TRU1]]</f>
        <v>5</v>
      </c>
      <c r="X393">
        <f t="shared" si="175"/>
        <v>0.44444444444444442</v>
      </c>
      <c r="Y393">
        <f>step3_validation[[#This Row],[AI_TRU2]]</f>
        <v>7</v>
      </c>
      <c r="Z393">
        <f t="shared" si="176"/>
        <v>0.66666666666666663</v>
      </c>
      <c r="AA393">
        <f>[1]!survey_responses[[#This Row],[Tôi thấy mức thuế tôi phải đóng theo phương án mới là công bằng (người thu nhập như tôi đóng mức này là hợp lý). - HUMAN-TRU2]]</f>
        <v>5</v>
      </c>
      <c r="AB393">
        <f t="shared" si="177"/>
        <v>0.44444444444444442</v>
      </c>
      <c r="AC393">
        <f>step3_validation[[#This Row],[AI_TRU3]]</f>
        <v>6</v>
      </c>
      <c r="AD393">
        <f t="shared" si="178"/>
        <v>0.55555555555555558</v>
      </c>
      <c r="AE393">
        <f>[1]!survey_responses[[#This Row],[Tôi tin tưởng số tiền thuế tôi đóng sẽ được Nhà nước sử dụng hiệu quả để cải thiện dịch vụ công (y tế, đường xá...). - HUMAN-TRU3]]</f>
        <v>5</v>
      </c>
      <c r="AF393">
        <f t="shared" si="179"/>
        <v>0.44444444444444442</v>
      </c>
      <c r="AG393">
        <f>step3_validation[[#This Row],[AI_TRU4]]</f>
        <v>7</v>
      </c>
      <c r="AH393">
        <f t="shared" si="180"/>
        <v>0.66666666666666663</v>
      </c>
      <c r="AI393">
        <f>[1]!survey_responses[[#This Row],[Tôi thấy Nhà nước đã giải thích rõ ràng, minh bạch về lý do và mục tiêu của việc sửa đổi thuế lần này. - HUMAN-TRU4]]</f>
        <v>5</v>
      </c>
      <c r="AJ393">
        <f t="shared" si="181"/>
        <v>0.44444444444444442</v>
      </c>
      <c r="AK393" s="32">
        <f t="shared" si="182"/>
        <v>0.69444444444444431</v>
      </c>
      <c r="AL393" s="32">
        <f t="shared" si="183"/>
        <v>0.44444444444444442</v>
      </c>
      <c r="AM393" s="7">
        <f t="shared" si="184"/>
        <v>0.74999999999999989</v>
      </c>
      <c r="AN393" s="7">
        <f t="shared" si="185"/>
        <v>0.33333333333333331</v>
      </c>
      <c r="AO393">
        <f>step3_validation[[#This Row],[AI_OUT1]]</f>
        <v>8</v>
      </c>
      <c r="AP393">
        <f t="shared" si="186"/>
        <v>0.77777777777777779</v>
      </c>
      <c r="AQ393">
        <f>[1]!survey_responses[[#This Row],[Sau khi xem xét các quyền lợi và nghĩa vụ, bạn có ủng hộ và tuân thủ chính sách mới hiện nay? - HUMAN-OUT1]]</f>
        <v>5</v>
      </c>
      <c r="AR393">
        <f t="shared" si="187"/>
        <v>0.44444444444444442</v>
      </c>
      <c r="AS393" s="32">
        <f t="shared" si="188"/>
        <v>3</v>
      </c>
    </row>
    <row r="394" spans="1:45" x14ac:dyDescent="0.45">
      <c r="A394">
        <f>step3_validation[[#This Row],[AI_ENF1]]</f>
        <v>8</v>
      </c>
      <c r="B394">
        <f t="shared" si="162"/>
        <v>0.77777777777777779</v>
      </c>
      <c r="C394">
        <f>[1]!survey_responses[[#This Row],[Tôi tin rằng với các quy định quản lý thuế hiện nay, hành vi gian lận hoặc trốn thuế sẽ dễ dàng bị phát hiện và xử lý nghiêm. - HUMAN-ENF1]]</f>
        <v>7</v>
      </c>
      <c r="D394">
        <f t="shared" si="163"/>
        <v>0.66666666666666663</v>
      </c>
      <c r="E394">
        <f>step3_validation[[#This Row],[AI_ENF2]]</f>
        <v>8</v>
      </c>
      <c r="F394">
        <f t="shared" si="164"/>
        <v>0.77777777777777779</v>
      </c>
      <c r="G394">
        <f>[1]!survey_responses[[#This Row],[Tôi tin rằng Nhà nước, cơ quan thuế có đủ khả năng và công nghệ để phát hiện, xử lý nghiêm các hành vi trốn thuế. - HUMAN-ENF2]]</f>
        <v>7</v>
      </c>
      <c r="H394">
        <f t="shared" si="165"/>
        <v>0.66666666666666663</v>
      </c>
      <c r="I394" s="32">
        <f t="shared" si="166"/>
        <v>0.77777777777777779</v>
      </c>
      <c r="J394" s="32">
        <f t="shared" si="167"/>
        <v>0.66666666666666663</v>
      </c>
      <c r="K394">
        <f>step3_validation[[#This Row],[AI_FAC1]]</f>
        <v>8</v>
      </c>
      <c r="L394">
        <f t="shared" si="168"/>
        <v>0.77777777777777779</v>
      </c>
      <c r="M394">
        <f>[1]!survey_responses[[#This Row],[Các thủ tục khai báo thuế VÀ/HOẶC quy trình làm việc với cơ quan thuế đơn giản, tiện lợi, nhanh chóng hơn so với trước đây. - HUMAN-FAC1]]</f>
        <v>5</v>
      </c>
      <c r="N394">
        <f t="shared" si="169"/>
        <v>0.44444444444444442</v>
      </c>
      <c r="O394">
        <f>step3_validation[[#This Row],[AI_FAC2]]</f>
        <v>7</v>
      </c>
      <c r="P394">
        <f t="shared" si="170"/>
        <v>0.66666666666666663</v>
      </c>
      <c r="Q394">
        <f>[1]!survey_responses[[#This Row],[So với trước đây, tôi thấy cách tính thuế và các bậc thuế trong phương án mới đơn giản, dễ hiểu và dễ thực hiện hơn. - HUMAN-FAC2]]</f>
        <v>8</v>
      </c>
      <c r="R394">
        <f t="shared" si="171"/>
        <v>0.77777777777777779</v>
      </c>
      <c r="S394" s="32">
        <f t="shared" si="172"/>
        <v>0.72222222222222221</v>
      </c>
      <c r="T394" s="32">
        <f t="shared" si="173"/>
        <v>0.61111111111111116</v>
      </c>
      <c r="U394">
        <f>step3_validation[[#This Row],[AI_TRU1]]</f>
        <v>7</v>
      </c>
      <c r="V394">
        <f t="shared" si="174"/>
        <v>0.66666666666666663</v>
      </c>
      <c r="W394">
        <f>[1]!survey_responses[[#This Row],[Tôi tin rằng Nhà nước, cơ quan thuế sẽ thực thi chính sách mới một cách khách quan, công tâm và đối xử bình đẳng với mọi người nộp thuế.  - HUMAN-TRU1]]</f>
        <v>7</v>
      </c>
      <c r="X394">
        <f t="shared" si="175"/>
        <v>0.66666666666666663</v>
      </c>
      <c r="Y394">
        <f>step3_validation[[#This Row],[AI_TRU2]]</f>
        <v>6</v>
      </c>
      <c r="Z394">
        <f t="shared" si="176"/>
        <v>0.55555555555555558</v>
      </c>
      <c r="AA394">
        <f>[1]!survey_responses[[#This Row],[Tôi thấy mức thuế tôi phải đóng theo phương án mới là công bằng (người thu nhập như tôi đóng mức này là hợp lý). - HUMAN-TRU2]]</f>
        <v>7</v>
      </c>
      <c r="AB394">
        <f t="shared" si="177"/>
        <v>0.66666666666666663</v>
      </c>
      <c r="AC394">
        <f>step3_validation[[#This Row],[AI_TRU3]]</f>
        <v>6</v>
      </c>
      <c r="AD394">
        <f t="shared" si="178"/>
        <v>0.55555555555555558</v>
      </c>
      <c r="AE394">
        <f>[1]!survey_responses[[#This Row],[Tôi tin tưởng số tiền thuế tôi đóng sẽ được Nhà nước sử dụng hiệu quả để cải thiện dịch vụ công (y tế, đường xá...). - HUMAN-TRU3]]</f>
        <v>5</v>
      </c>
      <c r="AF394">
        <f t="shared" si="179"/>
        <v>0.44444444444444442</v>
      </c>
      <c r="AG394">
        <f>step3_validation[[#This Row],[AI_TRU4]]</f>
        <v>5</v>
      </c>
      <c r="AH394">
        <f t="shared" si="180"/>
        <v>0.44444444444444442</v>
      </c>
      <c r="AI394">
        <f>[1]!survey_responses[[#This Row],[Tôi thấy Nhà nước đã giải thích rõ ràng, minh bạch về lý do và mục tiêu của việc sửa đổi thuế lần này. - HUMAN-TRU4]]</f>
        <v>6</v>
      </c>
      <c r="AJ394">
        <f t="shared" si="181"/>
        <v>0.55555555555555558</v>
      </c>
      <c r="AK394" s="32">
        <f t="shared" si="182"/>
        <v>0.55555555555555558</v>
      </c>
      <c r="AL394" s="32">
        <f t="shared" si="183"/>
        <v>0.58333333333333326</v>
      </c>
      <c r="AM394" s="7">
        <f t="shared" si="184"/>
        <v>0.68518518518518512</v>
      </c>
      <c r="AN394" s="7">
        <f t="shared" si="185"/>
        <v>0.62037037037037035</v>
      </c>
      <c r="AO394">
        <f>step3_validation[[#This Row],[AI_OUT1]]</f>
        <v>7</v>
      </c>
      <c r="AP394">
        <f t="shared" si="186"/>
        <v>0.66666666666666663</v>
      </c>
      <c r="AQ394">
        <f>[1]!survey_responses[[#This Row],[Sau khi xem xét các quyền lợi và nghĩa vụ, bạn có ủng hộ và tuân thủ chính sách mới hiện nay? - HUMAN-OUT1]]</f>
        <v>7</v>
      </c>
      <c r="AR394">
        <f t="shared" si="187"/>
        <v>0.66666666666666663</v>
      </c>
      <c r="AS394" s="32">
        <f t="shared" si="188"/>
        <v>0</v>
      </c>
    </row>
    <row r="395" spans="1:45" x14ac:dyDescent="0.45">
      <c r="A395">
        <f>step3_validation[[#This Row],[AI_ENF1]]</f>
        <v>7</v>
      </c>
      <c r="B395">
        <f t="shared" si="162"/>
        <v>0.66666666666666663</v>
      </c>
      <c r="C395">
        <f>[1]!survey_responses[[#This Row],[Tôi tin rằng với các quy định quản lý thuế hiện nay, hành vi gian lận hoặc trốn thuế sẽ dễ dàng bị phát hiện và xử lý nghiêm. - HUMAN-ENF1]]</f>
        <v>9</v>
      </c>
      <c r="D395">
        <f t="shared" si="163"/>
        <v>0.88888888888888884</v>
      </c>
      <c r="E395">
        <f>step3_validation[[#This Row],[AI_ENF2]]</f>
        <v>8</v>
      </c>
      <c r="F395">
        <f t="shared" si="164"/>
        <v>0.77777777777777779</v>
      </c>
      <c r="G395">
        <f>[1]!survey_responses[[#This Row],[Tôi tin rằng Nhà nước, cơ quan thuế có đủ khả năng và công nghệ để phát hiện, xử lý nghiêm các hành vi trốn thuế. - HUMAN-ENF2]]</f>
        <v>9</v>
      </c>
      <c r="H395">
        <f t="shared" si="165"/>
        <v>0.88888888888888884</v>
      </c>
      <c r="I395" s="32">
        <f t="shared" si="166"/>
        <v>0.72222222222222221</v>
      </c>
      <c r="J395" s="32">
        <f t="shared" si="167"/>
        <v>0.88888888888888884</v>
      </c>
      <c r="K395">
        <f>step3_validation[[#This Row],[AI_FAC1]]</f>
        <v>9</v>
      </c>
      <c r="L395">
        <f t="shared" si="168"/>
        <v>0.88888888888888884</v>
      </c>
      <c r="M395">
        <f>[1]!survey_responses[[#This Row],[Các thủ tục khai báo thuế VÀ/HOẶC quy trình làm việc với cơ quan thuế đơn giản, tiện lợi, nhanh chóng hơn so với trước đây. - HUMAN-FAC1]]</f>
        <v>9</v>
      </c>
      <c r="N395">
        <f t="shared" si="169"/>
        <v>0.88888888888888884</v>
      </c>
      <c r="O395">
        <f>step3_validation[[#This Row],[AI_FAC2]]</f>
        <v>7</v>
      </c>
      <c r="P395">
        <f t="shared" si="170"/>
        <v>0.66666666666666663</v>
      </c>
      <c r="Q395">
        <f>[1]!survey_responses[[#This Row],[So với trước đây, tôi thấy cách tính thuế và các bậc thuế trong phương án mới đơn giản, dễ hiểu và dễ thực hiện hơn. - HUMAN-FAC2]]</f>
        <v>7</v>
      </c>
      <c r="R395">
        <f t="shared" si="171"/>
        <v>0.66666666666666663</v>
      </c>
      <c r="S395" s="32">
        <f t="shared" si="172"/>
        <v>0.77777777777777768</v>
      </c>
      <c r="T395" s="32">
        <f t="shared" si="173"/>
        <v>0.77777777777777768</v>
      </c>
      <c r="U395">
        <f>step3_validation[[#This Row],[AI_TRU1]]</f>
        <v>8</v>
      </c>
      <c r="V395">
        <f t="shared" si="174"/>
        <v>0.77777777777777779</v>
      </c>
      <c r="W395">
        <f>[1]!survey_responses[[#This Row],[Tôi tin rằng Nhà nước, cơ quan thuế sẽ thực thi chính sách mới một cách khách quan, công tâm và đối xử bình đẳng với mọi người nộp thuế.  - HUMAN-TRU1]]</f>
        <v>8</v>
      </c>
      <c r="X395">
        <f t="shared" si="175"/>
        <v>0.77777777777777779</v>
      </c>
      <c r="Y395">
        <f>step3_validation[[#This Row],[AI_TRU2]]</f>
        <v>6</v>
      </c>
      <c r="Z395">
        <f t="shared" si="176"/>
        <v>0.55555555555555558</v>
      </c>
      <c r="AA395">
        <f>[1]!survey_responses[[#This Row],[Tôi thấy mức thuế tôi phải đóng theo phương án mới là công bằng (người thu nhập như tôi đóng mức này là hợp lý). - HUMAN-TRU2]]</f>
        <v>6</v>
      </c>
      <c r="AB395">
        <f t="shared" si="177"/>
        <v>0.55555555555555558</v>
      </c>
      <c r="AC395">
        <f>step3_validation[[#This Row],[AI_TRU3]]</f>
        <v>7</v>
      </c>
      <c r="AD395">
        <f t="shared" si="178"/>
        <v>0.66666666666666663</v>
      </c>
      <c r="AE395">
        <f>[1]!survey_responses[[#This Row],[Tôi tin tưởng số tiền thuế tôi đóng sẽ được Nhà nước sử dụng hiệu quả để cải thiện dịch vụ công (y tế, đường xá...). - HUMAN-TRU3]]</f>
        <v>8</v>
      </c>
      <c r="AF395">
        <f t="shared" si="179"/>
        <v>0.77777777777777779</v>
      </c>
      <c r="AG395">
        <f>step3_validation[[#This Row],[AI_TRU4]]</f>
        <v>6</v>
      </c>
      <c r="AH395">
        <f t="shared" si="180"/>
        <v>0.55555555555555558</v>
      </c>
      <c r="AI395">
        <f>[1]!survey_responses[[#This Row],[Tôi thấy Nhà nước đã giải thích rõ ràng, minh bạch về lý do và mục tiêu của việc sửa đổi thuế lần này. - HUMAN-TRU4]]</f>
        <v>10</v>
      </c>
      <c r="AJ395">
        <f t="shared" si="181"/>
        <v>1</v>
      </c>
      <c r="AK395" s="32">
        <f t="shared" si="182"/>
        <v>0.63888888888888884</v>
      </c>
      <c r="AL395" s="32">
        <f t="shared" si="183"/>
        <v>0.77777777777777779</v>
      </c>
      <c r="AM395" s="7">
        <f t="shared" si="184"/>
        <v>0.71296296296296291</v>
      </c>
      <c r="AN395" s="7">
        <f t="shared" si="185"/>
        <v>0.81481481481481477</v>
      </c>
      <c r="AO395">
        <f>step3_validation[[#This Row],[AI_OUT1]]</f>
        <v>8</v>
      </c>
      <c r="AP395">
        <f t="shared" si="186"/>
        <v>0.77777777777777779</v>
      </c>
      <c r="AQ395">
        <f>[1]!survey_responses[[#This Row],[Sau khi xem xét các quyền lợi và nghĩa vụ, bạn có ủng hộ và tuân thủ chính sách mới hiện nay? - HUMAN-OUT1]]</f>
        <v>10</v>
      </c>
      <c r="AR395">
        <f t="shared" si="187"/>
        <v>1</v>
      </c>
      <c r="AS395" s="32">
        <f t="shared" si="188"/>
        <v>2</v>
      </c>
    </row>
    <row r="396" spans="1:45" x14ac:dyDescent="0.45">
      <c r="A396">
        <f>step3_validation[[#This Row],[AI_ENF1]]</f>
        <v>7</v>
      </c>
      <c r="B396">
        <f t="shared" si="162"/>
        <v>0.66666666666666663</v>
      </c>
      <c r="C396">
        <f>[1]!survey_responses[[#This Row],[Tôi tin rằng với các quy định quản lý thuế hiện nay, hành vi gian lận hoặc trốn thuế sẽ dễ dàng bị phát hiện và xử lý nghiêm. - HUMAN-ENF1]]</f>
        <v>7</v>
      </c>
      <c r="D396">
        <f t="shared" si="163"/>
        <v>0.66666666666666663</v>
      </c>
      <c r="E396">
        <f>step3_validation[[#This Row],[AI_ENF2]]</f>
        <v>8</v>
      </c>
      <c r="F396">
        <f t="shared" si="164"/>
        <v>0.77777777777777779</v>
      </c>
      <c r="G396">
        <f>[1]!survey_responses[[#This Row],[Tôi tin rằng Nhà nước, cơ quan thuế có đủ khả năng và công nghệ để phát hiện, xử lý nghiêm các hành vi trốn thuế. - HUMAN-ENF2]]</f>
        <v>7</v>
      </c>
      <c r="H396">
        <f t="shared" si="165"/>
        <v>0.66666666666666663</v>
      </c>
      <c r="I396" s="32">
        <f t="shared" si="166"/>
        <v>0.72222222222222221</v>
      </c>
      <c r="J396" s="32">
        <f t="shared" si="167"/>
        <v>0.66666666666666663</v>
      </c>
      <c r="K396">
        <f>step3_validation[[#This Row],[AI_FAC1]]</f>
        <v>6</v>
      </c>
      <c r="L396">
        <f t="shared" si="168"/>
        <v>0.55555555555555558</v>
      </c>
      <c r="M396">
        <f>[1]!survey_responses[[#This Row],[Các thủ tục khai báo thuế VÀ/HOẶC quy trình làm việc với cơ quan thuế đơn giản, tiện lợi, nhanh chóng hơn so với trước đây. - HUMAN-FAC1]]</f>
        <v>5</v>
      </c>
      <c r="N396">
        <f t="shared" si="169"/>
        <v>0.44444444444444442</v>
      </c>
      <c r="O396">
        <f>step3_validation[[#This Row],[AI_FAC2]]</f>
        <v>8</v>
      </c>
      <c r="P396">
        <f t="shared" si="170"/>
        <v>0.77777777777777779</v>
      </c>
      <c r="Q396">
        <f>[1]!survey_responses[[#This Row],[So với trước đây, tôi thấy cách tính thuế và các bậc thuế trong phương án mới đơn giản, dễ hiểu và dễ thực hiện hơn. - HUMAN-FAC2]]</f>
        <v>7</v>
      </c>
      <c r="R396">
        <f t="shared" si="171"/>
        <v>0.66666666666666663</v>
      </c>
      <c r="S396" s="32">
        <f t="shared" si="172"/>
        <v>0.66666666666666674</v>
      </c>
      <c r="T396" s="32">
        <f t="shared" si="173"/>
        <v>0.55555555555555558</v>
      </c>
      <c r="U396">
        <f>step3_validation[[#This Row],[AI_TRU1]]</f>
        <v>7</v>
      </c>
      <c r="V396">
        <f t="shared" si="174"/>
        <v>0.66666666666666663</v>
      </c>
      <c r="W396">
        <f>[1]!survey_responses[[#This Row],[Tôi tin rằng Nhà nước, cơ quan thuế sẽ thực thi chính sách mới một cách khách quan, công tâm và đối xử bình đẳng với mọi người nộp thuế.  - HUMAN-TRU1]]</f>
        <v>5</v>
      </c>
      <c r="X396">
        <f t="shared" si="175"/>
        <v>0.44444444444444442</v>
      </c>
      <c r="Y396">
        <f>step3_validation[[#This Row],[AI_TRU2]]</f>
        <v>6</v>
      </c>
      <c r="Z396">
        <f t="shared" si="176"/>
        <v>0.55555555555555558</v>
      </c>
      <c r="AA396">
        <f>[1]!survey_responses[[#This Row],[Tôi thấy mức thuế tôi phải đóng theo phương án mới là công bằng (người thu nhập như tôi đóng mức này là hợp lý). - HUMAN-TRU2]]</f>
        <v>6</v>
      </c>
      <c r="AB396">
        <f t="shared" si="177"/>
        <v>0.55555555555555558</v>
      </c>
      <c r="AC396">
        <f>step3_validation[[#This Row],[AI_TRU3]]</f>
        <v>5</v>
      </c>
      <c r="AD396">
        <f t="shared" si="178"/>
        <v>0.44444444444444442</v>
      </c>
      <c r="AE396">
        <f>[1]!survey_responses[[#This Row],[Tôi tin tưởng số tiền thuế tôi đóng sẽ được Nhà nước sử dụng hiệu quả để cải thiện dịch vụ công (y tế, đường xá...). - HUMAN-TRU3]]</f>
        <v>5</v>
      </c>
      <c r="AF396">
        <f t="shared" si="179"/>
        <v>0.44444444444444442</v>
      </c>
      <c r="AG396">
        <f>step3_validation[[#This Row],[AI_TRU4]]</f>
        <v>4</v>
      </c>
      <c r="AH396">
        <f t="shared" si="180"/>
        <v>0.33333333333333331</v>
      </c>
      <c r="AI396">
        <f>[1]!survey_responses[[#This Row],[Tôi thấy Nhà nước đã giải thích rõ ràng, minh bạch về lý do và mục tiêu của việc sửa đổi thuế lần này. - HUMAN-TRU4]]</f>
        <v>6</v>
      </c>
      <c r="AJ396">
        <f t="shared" si="181"/>
        <v>0.55555555555555558</v>
      </c>
      <c r="AK396" s="32">
        <f t="shared" si="182"/>
        <v>0.5</v>
      </c>
      <c r="AL396" s="32">
        <f t="shared" si="183"/>
        <v>0.5</v>
      </c>
      <c r="AM396" s="7">
        <f t="shared" si="184"/>
        <v>0.62962962962962965</v>
      </c>
      <c r="AN396" s="7">
        <f t="shared" si="185"/>
        <v>0.57407407407407407</v>
      </c>
      <c r="AO396">
        <f>step3_validation[[#This Row],[AI_OUT1]]</f>
        <v>6</v>
      </c>
      <c r="AP396">
        <f t="shared" si="186"/>
        <v>0.55555555555555558</v>
      </c>
      <c r="AQ396">
        <f>[1]!survey_responses[[#This Row],[Sau khi xem xét các quyền lợi và nghĩa vụ, bạn có ủng hộ và tuân thủ chính sách mới hiện nay? - HUMAN-OUT1]]</f>
        <v>6</v>
      </c>
      <c r="AR396">
        <f t="shared" si="187"/>
        <v>0.55555555555555558</v>
      </c>
      <c r="AS396" s="32">
        <f t="shared" si="188"/>
        <v>0</v>
      </c>
    </row>
    <row r="397" spans="1:45" x14ac:dyDescent="0.45">
      <c r="A397">
        <f>step3_validation[[#This Row],[AI_ENF1]]</f>
        <v>8</v>
      </c>
      <c r="B397">
        <f t="shared" si="162"/>
        <v>0.77777777777777779</v>
      </c>
      <c r="C397">
        <f>[1]!survey_responses[[#This Row],[Tôi tin rằng với các quy định quản lý thuế hiện nay, hành vi gian lận hoặc trốn thuế sẽ dễ dàng bị phát hiện và xử lý nghiêm. - HUMAN-ENF1]]</f>
        <v>2</v>
      </c>
      <c r="D397">
        <f t="shared" si="163"/>
        <v>0.1111111111111111</v>
      </c>
      <c r="E397">
        <f>step3_validation[[#This Row],[AI_ENF2]]</f>
        <v>9</v>
      </c>
      <c r="F397">
        <f t="shared" si="164"/>
        <v>0.88888888888888884</v>
      </c>
      <c r="G397">
        <f>[1]!survey_responses[[#This Row],[Tôi tin rằng Nhà nước, cơ quan thuế có đủ khả năng và công nghệ để phát hiện, xử lý nghiêm các hành vi trốn thuế. - HUMAN-ENF2]]</f>
        <v>2</v>
      </c>
      <c r="H397">
        <f t="shared" si="165"/>
        <v>0.1111111111111111</v>
      </c>
      <c r="I397" s="32">
        <f t="shared" si="166"/>
        <v>0.83333333333333326</v>
      </c>
      <c r="J397" s="32">
        <f t="shared" si="167"/>
        <v>0.1111111111111111</v>
      </c>
      <c r="K397">
        <f>step3_validation[[#This Row],[AI_FAC1]]</f>
        <v>7</v>
      </c>
      <c r="L397">
        <f t="shared" si="168"/>
        <v>0.66666666666666663</v>
      </c>
      <c r="M397">
        <f>[1]!survey_responses[[#This Row],[Các thủ tục khai báo thuế VÀ/HOẶC quy trình làm việc với cơ quan thuế đơn giản, tiện lợi, nhanh chóng hơn so với trước đây. - HUMAN-FAC1]]</f>
        <v>4</v>
      </c>
      <c r="N397">
        <f t="shared" si="169"/>
        <v>0.33333333333333331</v>
      </c>
      <c r="O397">
        <f>step3_validation[[#This Row],[AI_FAC2]]</f>
        <v>8</v>
      </c>
      <c r="P397">
        <f t="shared" si="170"/>
        <v>0.77777777777777779</v>
      </c>
      <c r="Q397">
        <f>[1]!survey_responses[[#This Row],[So với trước đây, tôi thấy cách tính thuế và các bậc thuế trong phương án mới đơn giản, dễ hiểu và dễ thực hiện hơn. - HUMAN-FAC2]]</f>
        <v>5</v>
      </c>
      <c r="R397">
        <f t="shared" si="171"/>
        <v>0.44444444444444442</v>
      </c>
      <c r="S397" s="32">
        <f t="shared" si="172"/>
        <v>0.72222222222222221</v>
      </c>
      <c r="T397" s="32">
        <f t="shared" si="173"/>
        <v>0.38888888888888884</v>
      </c>
      <c r="U397">
        <f>step3_validation[[#This Row],[AI_TRU1]]</f>
        <v>9</v>
      </c>
      <c r="V397">
        <f t="shared" si="174"/>
        <v>0.88888888888888884</v>
      </c>
      <c r="W397">
        <f>[1]!survey_responses[[#This Row],[Tôi tin rằng Nhà nước, cơ quan thuế sẽ thực thi chính sách mới một cách khách quan, công tâm và đối xử bình đẳng với mọi người nộp thuế.  - HUMAN-TRU1]]</f>
        <v>5</v>
      </c>
      <c r="X397">
        <f t="shared" si="175"/>
        <v>0.44444444444444442</v>
      </c>
      <c r="Y397">
        <f>step3_validation[[#This Row],[AI_TRU2]]</f>
        <v>8</v>
      </c>
      <c r="Z397">
        <f t="shared" si="176"/>
        <v>0.77777777777777779</v>
      </c>
      <c r="AA397">
        <f>[1]!survey_responses[[#This Row],[Tôi thấy mức thuế tôi phải đóng theo phương án mới là công bằng (người thu nhập như tôi đóng mức này là hợp lý). - HUMAN-TRU2]]</f>
        <v>3</v>
      </c>
      <c r="AB397">
        <f t="shared" si="177"/>
        <v>0.22222222222222221</v>
      </c>
      <c r="AC397">
        <f>step3_validation[[#This Row],[AI_TRU3]]</f>
        <v>7</v>
      </c>
      <c r="AD397">
        <f t="shared" si="178"/>
        <v>0.66666666666666663</v>
      </c>
      <c r="AE397">
        <f>[1]!survey_responses[[#This Row],[Tôi tin tưởng số tiền thuế tôi đóng sẽ được Nhà nước sử dụng hiệu quả để cải thiện dịch vụ công (y tế, đường xá...). - HUMAN-TRU3]]</f>
        <v>5</v>
      </c>
      <c r="AF397">
        <f t="shared" si="179"/>
        <v>0.44444444444444442</v>
      </c>
      <c r="AG397">
        <f>step3_validation[[#This Row],[AI_TRU4]]</f>
        <v>9</v>
      </c>
      <c r="AH397">
        <f t="shared" si="180"/>
        <v>0.88888888888888884</v>
      </c>
      <c r="AI397">
        <f>[1]!survey_responses[[#This Row],[Tôi thấy Nhà nước đã giải thích rõ ràng, minh bạch về lý do và mục tiêu của việc sửa đổi thuế lần này. - HUMAN-TRU4]]</f>
        <v>5</v>
      </c>
      <c r="AJ397">
        <f t="shared" si="181"/>
        <v>0.44444444444444442</v>
      </c>
      <c r="AK397" s="32">
        <f t="shared" si="182"/>
        <v>0.80555555555555547</v>
      </c>
      <c r="AL397" s="32">
        <f t="shared" si="183"/>
        <v>0.3888888888888889</v>
      </c>
      <c r="AM397" s="7">
        <f t="shared" si="184"/>
        <v>0.78703703703703687</v>
      </c>
      <c r="AN397" s="7">
        <f t="shared" si="185"/>
        <v>0.29629629629629628</v>
      </c>
      <c r="AO397">
        <f>step3_validation[[#This Row],[AI_OUT1]]</f>
        <v>8</v>
      </c>
      <c r="AP397">
        <f t="shared" si="186"/>
        <v>0.77777777777777779</v>
      </c>
      <c r="AQ397">
        <f>[1]!survey_responses[[#This Row],[Sau khi xem xét các quyền lợi và nghĩa vụ, bạn có ủng hộ và tuân thủ chính sách mới hiện nay? - HUMAN-OUT1]]</f>
        <v>5</v>
      </c>
      <c r="AR397">
        <f t="shared" si="187"/>
        <v>0.44444444444444442</v>
      </c>
      <c r="AS397" s="32">
        <f t="shared" si="188"/>
        <v>3</v>
      </c>
    </row>
    <row r="398" spans="1:45" x14ac:dyDescent="0.45">
      <c r="A398">
        <f>step3_validation[[#This Row],[AI_ENF1]]</f>
        <v>8</v>
      </c>
      <c r="B398">
        <f t="shared" si="162"/>
        <v>0.77777777777777779</v>
      </c>
      <c r="C398">
        <f>[1]!survey_responses[[#This Row],[Tôi tin rằng với các quy định quản lý thuế hiện nay, hành vi gian lận hoặc trốn thuế sẽ dễ dàng bị phát hiện và xử lý nghiêm. - HUMAN-ENF1]]</f>
        <v>8</v>
      </c>
      <c r="D398">
        <f t="shared" si="163"/>
        <v>0.77777777777777779</v>
      </c>
      <c r="E398">
        <f>step3_validation[[#This Row],[AI_ENF2]]</f>
        <v>7</v>
      </c>
      <c r="F398">
        <f t="shared" si="164"/>
        <v>0.66666666666666663</v>
      </c>
      <c r="G398">
        <f>[1]!survey_responses[[#This Row],[Tôi tin rằng Nhà nước, cơ quan thuế có đủ khả năng và công nghệ để phát hiện, xử lý nghiêm các hành vi trốn thuế. - HUMAN-ENF2]]</f>
        <v>8</v>
      </c>
      <c r="H398">
        <f t="shared" si="165"/>
        <v>0.77777777777777779</v>
      </c>
      <c r="I398" s="32">
        <f t="shared" si="166"/>
        <v>0.72222222222222221</v>
      </c>
      <c r="J398" s="32">
        <f t="shared" si="167"/>
        <v>0.77777777777777779</v>
      </c>
      <c r="K398">
        <f>step3_validation[[#This Row],[AI_FAC1]]</f>
        <v>6</v>
      </c>
      <c r="L398">
        <f t="shared" si="168"/>
        <v>0.55555555555555558</v>
      </c>
      <c r="M398">
        <f>[1]!survey_responses[[#This Row],[Các thủ tục khai báo thuế VÀ/HOẶC quy trình làm việc với cơ quan thuế đơn giản, tiện lợi, nhanh chóng hơn so với trước đây. - HUMAN-FAC1]]</f>
        <v>7</v>
      </c>
      <c r="N398">
        <f t="shared" si="169"/>
        <v>0.66666666666666663</v>
      </c>
      <c r="O398">
        <f>step3_validation[[#This Row],[AI_FAC2]]</f>
        <v>7</v>
      </c>
      <c r="P398">
        <f t="shared" si="170"/>
        <v>0.66666666666666663</v>
      </c>
      <c r="Q398">
        <f>[1]!survey_responses[[#This Row],[So với trước đây, tôi thấy cách tính thuế và các bậc thuế trong phương án mới đơn giản, dễ hiểu và dễ thực hiện hơn. - HUMAN-FAC2]]</f>
        <v>7</v>
      </c>
      <c r="R398">
        <f t="shared" si="171"/>
        <v>0.66666666666666663</v>
      </c>
      <c r="S398" s="32">
        <f t="shared" si="172"/>
        <v>0.61111111111111116</v>
      </c>
      <c r="T398" s="32">
        <f t="shared" si="173"/>
        <v>0.66666666666666663</v>
      </c>
      <c r="U398">
        <f>step3_validation[[#This Row],[AI_TRU1]]</f>
        <v>8</v>
      </c>
      <c r="V398">
        <f t="shared" si="174"/>
        <v>0.77777777777777779</v>
      </c>
      <c r="W398">
        <f>[1]!survey_responses[[#This Row],[Tôi tin rằng Nhà nước, cơ quan thuế sẽ thực thi chính sách mới một cách khách quan, công tâm và đối xử bình đẳng với mọi người nộp thuế.  - HUMAN-TRU1]]</f>
        <v>7</v>
      </c>
      <c r="X398">
        <f t="shared" si="175"/>
        <v>0.66666666666666663</v>
      </c>
      <c r="Y398">
        <f>step3_validation[[#This Row],[AI_TRU2]]</f>
        <v>5</v>
      </c>
      <c r="Z398">
        <f t="shared" si="176"/>
        <v>0.44444444444444442</v>
      </c>
      <c r="AA398">
        <f>[1]!survey_responses[[#This Row],[Tôi thấy mức thuế tôi phải đóng theo phương án mới là công bằng (người thu nhập như tôi đóng mức này là hợp lý). - HUMAN-TRU2]]</f>
        <v>8</v>
      </c>
      <c r="AB398">
        <f t="shared" si="177"/>
        <v>0.77777777777777779</v>
      </c>
      <c r="AC398">
        <f>step3_validation[[#This Row],[AI_TRU3]]</f>
        <v>7</v>
      </c>
      <c r="AD398">
        <f t="shared" si="178"/>
        <v>0.66666666666666663</v>
      </c>
      <c r="AE398">
        <f>[1]!survey_responses[[#This Row],[Tôi tin tưởng số tiền thuế tôi đóng sẽ được Nhà nước sử dụng hiệu quả để cải thiện dịch vụ công (y tế, đường xá...). - HUMAN-TRU3]]</f>
        <v>7</v>
      </c>
      <c r="AF398">
        <f t="shared" si="179"/>
        <v>0.66666666666666663</v>
      </c>
      <c r="AG398">
        <f>step3_validation[[#This Row],[AI_TRU4]]</f>
        <v>5</v>
      </c>
      <c r="AH398">
        <f t="shared" si="180"/>
        <v>0.44444444444444442</v>
      </c>
      <c r="AI398">
        <f>[1]!survey_responses[[#This Row],[Tôi thấy Nhà nước đã giải thích rõ ràng, minh bạch về lý do và mục tiêu của việc sửa đổi thuế lần này. - HUMAN-TRU4]]</f>
        <v>8</v>
      </c>
      <c r="AJ398">
        <f t="shared" si="181"/>
        <v>0.77777777777777779</v>
      </c>
      <c r="AK398" s="32">
        <f t="shared" si="182"/>
        <v>0.58333333333333326</v>
      </c>
      <c r="AL398" s="32">
        <f t="shared" si="183"/>
        <v>0.72222222222222221</v>
      </c>
      <c r="AM398" s="7">
        <f t="shared" si="184"/>
        <v>0.63888888888888895</v>
      </c>
      <c r="AN398" s="7">
        <f t="shared" si="185"/>
        <v>0.72222222222222221</v>
      </c>
      <c r="AO398">
        <f>step3_validation[[#This Row],[AI_OUT1]]</f>
        <v>7</v>
      </c>
      <c r="AP398">
        <f t="shared" si="186"/>
        <v>0.66666666666666663</v>
      </c>
      <c r="AQ398">
        <f>[1]!survey_responses[[#This Row],[Sau khi xem xét các quyền lợi và nghĩa vụ, bạn có ủng hộ và tuân thủ chính sách mới hiện nay? - HUMAN-OUT1]]</f>
        <v>8</v>
      </c>
      <c r="AR398">
        <f t="shared" si="187"/>
        <v>0.77777777777777779</v>
      </c>
      <c r="AS398" s="32">
        <f t="shared" si="188"/>
        <v>1</v>
      </c>
    </row>
    <row r="399" spans="1:45" x14ac:dyDescent="0.45">
      <c r="A399">
        <f>step3_validation[[#This Row],[AI_ENF1]]</f>
        <v>7</v>
      </c>
      <c r="B399">
        <f t="shared" si="162"/>
        <v>0.66666666666666663</v>
      </c>
      <c r="C399">
        <f>[1]!survey_responses[[#This Row],[Tôi tin rằng với các quy định quản lý thuế hiện nay, hành vi gian lận hoặc trốn thuế sẽ dễ dàng bị phát hiện và xử lý nghiêm. - HUMAN-ENF1]]</f>
        <v>9</v>
      </c>
      <c r="D399">
        <f t="shared" si="163"/>
        <v>0.88888888888888884</v>
      </c>
      <c r="E399">
        <f>step3_validation[[#This Row],[AI_ENF2]]</f>
        <v>8</v>
      </c>
      <c r="F399">
        <f t="shared" si="164"/>
        <v>0.77777777777777779</v>
      </c>
      <c r="G399">
        <f>[1]!survey_responses[[#This Row],[Tôi tin rằng Nhà nước, cơ quan thuế có đủ khả năng và công nghệ để phát hiện, xử lý nghiêm các hành vi trốn thuế. - HUMAN-ENF2]]</f>
        <v>9</v>
      </c>
      <c r="H399">
        <f t="shared" si="165"/>
        <v>0.88888888888888884</v>
      </c>
      <c r="I399" s="32">
        <f t="shared" si="166"/>
        <v>0.72222222222222221</v>
      </c>
      <c r="J399" s="32">
        <f t="shared" si="167"/>
        <v>0.88888888888888884</v>
      </c>
      <c r="K399">
        <f>step3_validation[[#This Row],[AI_FAC1]]</f>
        <v>6</v>
      </c>
      <c r="L399">
        <f t="shared" si="168"/>
        <v>0.55555555555555558</v>
      </c>
      <c r="M399">
        <f>[1]!survey_responses[[#This Row],[Các thủ tục khai báo thuế VÀ/HOẶC quy trình làm việc với cơ quan thuế đơn giản, tiện lợi, nhanh chóng hơn so với trước đây. - HUMAN-FAC1]]</f>
        <v>8</v>
      </c>
      <c r="N399">
        <f t="shared" si="169"/>
        <v>0.77777777777777779</v>
      </c>
      <c r="O399">
        <f>step3_validation[[#This Row],[AI_FAC2]]</f>
        <v>8</v>
      </c>
      <c r="P399">
        <f t="shared" si="170"/>
        <v>0.77777777777777779</v>
      </c>
      <c r="Q399">
        <f>[1]!survey_responses[[#This Row],[So với trước đây, tôi thấy cách tính thuế và các bậc thuế trong phương án mới đơn giản, dễ hiểu và dễ thực hiện hơn. - HUMAN-FAC2]]</f>
        <v>9</v>
      </c>
      <c r="R399">
        <f t="shared" si="171"/>
        <v>0.88888888888888884</v>
      </c>
      <c r="S399" s="32">
        <f t="shared" si="172"/>
        <v>0.66666666666666674</v>
      </c>
      <c r="T399" s="32">
        <f t="shared" si="173"/>
        <v>0.83333333333333326</v>
      </c>
      <c r="U399">
        <f>step3_validation[[#This Row],[AI_TRU1]]</f>
        <v>9</v>
      </c>
      <c r="V399">
        <f t="shared" si="174"/>
        <v>0.88888888888888884</v>
      </c>
      <c r="W399">
        <f>[1]!survey_responses[[#This Row],[Tôi tin rằng Nhà nước, cơ quan thuế sẽ thực thi chính sách mới một cách khách quan, công tâm và đối xử bình đẳng với mọi người nộp thuế.  - HUMAN-TRU1]]</f>
        <v>7</v>
      </c>
      <c r="X399">
        <f t="shared" si="175"/>
        <v>0.66666666666666663</v>
      </c>
      <c r="Y399">
        <f>step3_validation[[#This Row],[AI_TRU2]]</f>
        <v>7</v>
      </c>
      <c r="Z399">
        <f t="shared" si="176"/>
        <v>0.66666666666666663</v>
      </c>
      <c r="AA399">
        <f>[1]!survey_responses[[#This Row],[Tôi thấy mức thuế tôi phải đóng theo phương án mới là công bằng (người thu nhập như tôi đóng mức này là hợp lý). - HUMAN-TRU2]]</f>
        <v>9</v>
      </c>
      <c r="AB399">
        <f t="shared" si="177"/>
        <v>0.88888888888888884</v>
      </c>
      <c r="AC399">
        <f>step3_validation[[#This Row],[AI_TRU3]]</f>
        <v>6</v>
      </c>
      <c r="AD399">
        <f t="shared" si="178"/>
        <v>0.55555555555555558</v>
      </c>
      <c r="AE399">
        <f>[1]!survey_responses[[#This Row],[Tôi tin tưởng số tiền thuế tôi đóng sẽ được Nhà nước sử dụng hiệu quả để cải thiện dịch vụ công (y tế, đường xá...). - HUMAN-TRU3]]</f>
        <v>8</v>
      </c>
      <c r="AF399">
        <f t="shared" si="179"/>
        <v>0.77777777777777779</v>
      </c>
      <c r="AG399">
        <f>step3_validation[[#This Row],[AI_TRU4]]</f>
        <v>5</v>
      </c>
      <c r="AH399">
        <f t="shared" si="180"/>
        <v>0.44444444444444442</v>
      </c>
      <c r="AI399">
        <f>[1]!survey_responses[[#This Row],[Tôi thấy Nhà nước đã giải thích rõ ràng, minh bạch về lý do và mục tiêu của việc sửa đổi thuế lần này. - HUMAN-TRU4]]</f>
        <v>8</v>
      </c>
      <c r="AJ399">
        <f t="shared" si="181"/>
        <v>0.77777777777777779</v>
      </c>
      <c r="AK399" s="32">
        <f t="shared" si="182"/>
        <v>0.63888888888888884</v>
      </c>
      <c r="AL399" s="32">
        <f t="shared" si="183"/>
        <v>0.77777777777777768</v>
      </c>
      <c r="AM399" s="7">
        <f t="shared" si="184"/>
        <v>0.67592592592592593</v>
      </c>
      <c r="AN399" s="7">
        <f t="shared" si="185"/>
        <v>0.83333333333333337</v>
      </c>
      <c r="AO399">
        <f>step3_validation[[#This Row],[AI_OUT1]]</f>
        <v>3</v>
      </c>
      <c r="AP399">
        <f t="shared" si="186"/>
        <v>0.22222222222222221</v>
      </c>
      <c r="AQ399">
        <f>[1]!survey_responses[[#This Row],[Sau khi xem xét các quyền lợi và nghĩa vụ, bạn có ủng hộ và tuân thủ chính sách mới hiện nay? - HUMAN-OUT1]]</f>
        <v>8</v>
      </c>
      <c r="AR399">
        <f t="shared" si="187"/>
        <v>0.77777777777777779</v>
      </c>
      <c r="AS399" s="32">
        <f t="shared" si="188"/>
        <v>5</v>
      </c>
    </row>
    <row r="400" spans="1:45" x14ac:dyDescent="0.45">
      <c r="A400">
        <f>step3_validation[[#This Row],[AI_ENF1]]</f>
        <v>5</v>
      </c>
      <c r="B400">
        <f t="shared" si="162"/>
        <v>0.44444444444444442</v>
      </c>
      <c r="C400">
        <f>[1]!survey_responses[[#This Row],[Tôi tin rằng với các quy định quản lý thuế hiện nay, hành vi gian lận hoặc trốn thuế sẽ dễ dàng bị phát hiện và xử lý nghiêm. - HUMAN-ENF1]]</f>
        <v>7</v>
      </c>
      <c r="D400">
        <f t="shared" si="163"/>
        <v>0.66666666666666663</v>
      </c>
      <c r="E400">
        <f>step3_validation[[#This Row],[AI_ENF2]]</f>
        <v>6</v>
      </c>
      <c r="F400">
        <f t="shared" si="164"/>
        <v>0.55555555555555558</v>
      </c>
      <c r="G400">
        <f>[1]!survey_responses[[#This Row],[Tôi tin rằng Nhà nước, cơ quan thuế có đủ khả năng và công nghệ để phát hiện, xử lý nghiêm các hành vi trốn thuế. - HUMAN-ENF2]]</f>
        <v>7</v>
      </c>
      <c r="H400">
        <f t="shared" si="165"/>
        <v>0.66666666666666663</v>
      </c>
      <c r="I400" s="32">
        <f t="shared" si="166"/>
        <v>0.5</v>
      </c>
      <c r="J400" s="32">
        <f t="shared" si="167"/>
        <v>0.66666666666666663</v>
      </c>
      <c r="K400">
        <f>step3_validation[[#This Row],[AI_FAC1]]</f>
        <v>7</v>
      </c>
      <c r="L400">
        <f t="shared" si="168"/>
        <v>0.66666666666666663</v>
      </c>
      <c r="M400">
        <f>[1]!survey_responses[[#This Row],[Các thủ tục khai báo thuế VÀ/HOẶC quy trình làm việc với cơ quan thuế đơn giản, tiện lợi, nhanh chóng hơn so với trước đây. - HUMAN-FAC1]]</f>
        <v>5</v>
      </c>
      <c r="N400">
        <f t="shared" si="169"/>
        <v>0.44444444444444442</v>
      </c>
      <c r="O400">
        <f>step3_validation[[#This Row],[AI_FAC2]]</f>
        <v>0</v>
      </c>
      <c r="P400">
        <f t="shared" si="170"/>
        <v>-0.1111111111111111</v>
      </c>
      <c r="Q400">
        <f>[1]!survey_responses[[#This Row],[So với trước đây, tôi thấy cách tính thuế và các bậc thuế trong phương án mới đơn giản, dễ hiểu và dễ thực hiện hơn. - HUMAN-FAC2]]</f>
        <v>8</v>
      </c>
      <c r="R400">
        <f t="shared" si="171"/>
        <v>0.77777777777777779</v>
      </c>
      <c r="S400" s="32">
        <f t="shared" si="172"/>
        <v>0.27777777777777779</v>
      </c>
      <c r="T400" s="32">
        <f t="shared" si="173"/>
        <v>0.61111111111111116</v>
      </c>
      <c r="U400">
        <f>step3_validation[[#This Row],[AI_TRU1]]</f>
        <v>0</v>
      </c>
      <c r="V400">
        <f t="shared" si="174"/>
        <v>-0.1111111111111111</v>
      </c>
      <c r="W400">
        <f>[1]!survey_responses[[#This Row],[Tôi tin rằng Nhà nước, cơ quan thuế sẽ thực thi chính sách mới một cách khách quan, công tâm và đối xử bình đẳng với mọi người nộp thuế.  - HUMAN-TRU1]]</f>
        <v>7</v>
      </c>
      <c r="X400">
        <f t="shared" si="175"/>
        <v>0.66666666666666663</v>
      </c>
      <c r="Y400">
        <f>step3_validation[[#This Row],[AI_TRU2]]</f>
        <v>0</v>
      </c>
      <c r="Z400">
        <f t="shared" si="176"/>
        <v>-0.1111111111111111</v>
      </c>
      <c r="AA400">
        <f>[1]!survey_responses[[#This Row],[Tôi thấy mức thuế tôi phải đóng theo phương án mới là công bằng (người thu nhập như tôi đóng mức này là hợp lý). - HUMAN-TRU2]]</f>
        <v>8</v>
      </c>
      <c r="AB400">
        <f t="shared" si="177"/>
        <v>0.77777777777777779</v>
      </c>
      <c r="AC400">
        <f>step3_validation[[#This Row],[AI_TRU3]]</f>
        <v>0</v>
      </c>
      <c r="AD400">
        <f t="shared" si="178"/>
        <v>-0.1111111111111111</v>
      </c>
      <c r="AE400">
        <f>[1]!survey_responses[[#This Row],[Tôi tin tưởng số tiền thuế tôi đóng sẽ được Nhà nước sử dụng hiệu quả để cải thiện dịch vụ công (y tế, đường xá...). - HUMAN-TRU3]]</f>
        <v>6</v>
      </c>
      <c r="AF400">
        <f t="shared" si="179"/>
        <v>0.55555555555555558</v>
      </c>
      <c r="AG400">
        <f>step3_validation[[#This Row],[AI_TRU4]]</f>
        <v>0</v>
      </c>
      <c r="AH400">
        <f t="shared" si="180"/>
        <v>-0.1111111111111111</v>
      </c>
      <c r="AI400">
        <f>[1]!survey_responses[[#This Row],[Tôi thấy Nhà nước đã giải thích rõ ràng, minh bạch về lý do và mục tiêu của việc sửa đổi thuế lần này. - HUMAN-TRU4]]</f>
        <v>6</v>
      </c>
      <c r="AJ400">
        <f t="shared" si="181"/>
        <v>0.55555555555555558</v>
      </c>
      <c r="AK400" s="32">
        <f t="shared" si="182"/>
        <v>-0.1111111111111111</v>
      </c>
      <c r="AL400" s="32">
        <f t="shared" si="183"/>
        <v>0.63888888888888884</v>
      </c>
      <c r="AM400" s="7">
        <f t="shared" si="184"/>
        <v>0.22222222222222224</v>
      </c>
      <c r="AN400" s="7">
        <f t="shared" si="185"/>
        <v>0.63888888888888884</v>
      </c>
      <c r="AO400">
        <f>step3_validation[[#This Row],[AI_OUT1]]</f>
        <v>0</v>
      </c>
      <c r="AP400">
        <f t="shared" si="186"/>
        <v>-0.1111111111111111</v>
      </c>
      <c r="AQ400">
        <f>[1]!survey_responses[[#This Row],[Sau khi xem xét các quyền lợi và nghĩa vụ, bạn có ủng hộ và tuân thủ chính sách mới hiện nay? - HUMAN-OUT1]]</f>
        <v>8</v>
      </c>
      <c r="AR400">
        <f t="shared" si="187"/>
        <v>0.77777777777777779</v>
      </c>
      <c r="AS400" s="32">
        <f t="shared" si="188"/>
        <v>8</v>
      </c>
    </row>
    <row r="401" spans="1:45" x14ac:dyDescent="0.45">
      <c r="A401">
        <f>step3_validation[[#This Row],[AI_ENF1]]</f>
        <v>8</v>
      </c>
      <c r="B401">
        <f t="shared" si="162"/>
        <v>0.77777777777777779</v>
      </c>
      <c r="C401">
        <f>[1]!survey_responses[[#This Row],[Tôi tin rằng với các quy định quản lý thuế hiện nay, hành vi gian lận hoặc trốn thuế sẽ dễ dàng bị phát hiện và xử lý nghiêm. - HUMAN-ENF1]]</f>
        <v>8</v>
      </c>
      <c r="D401">
        <f t="shared" si="163"/>
        <v>0.77777777777777779</v>
      </c>
      <c r="E401">
        <f>step3_validation[[#This Row],[AI_ENF2]]</f>
        <v>9</v>
      </c>
      <c r="F401">
        <f t="shared" si="164"/>
        <v>0.88888888888888884</v>
      </c>
      <c r="G401">
        <f>[1]!survey_responses[[#This Row],[Tôi tin rằng Nhà nước, cơ quan thuế có đủ khả năng và công nghệ để phát hiện, xử lý nghiêm các hành vi trốn thuế. - HUMAN-ENF2]]</f>
        <v>9</v>
      </c>
      <c r="H401">
        <f t="shared" si="165"/>
        <v>0.88888888888888884</v>
      </c>
      <c r="I401" s="32">
        <f t="shared" si="166"/>
        <v>0.83333333333333326</v>
      </c>
      <c r="J401" s="32">
        <f t="shared" si="167"/>
        <v>0.83333333333333326</v>
      </c>
      <c r="K401">
        <f>step3_validation[[#This Row],[AI_FAC1]]</f>
        <v>7</v>
      </c>
      <c r="L401">
        <f t="shared" si="168"/>
        <v>0.66666666666666663</v>
      </c>
      <c r="M401">
        <f>[1]!survey_responses[[#This Row],[Các thủ tục khai báo thuế VÀ/HOẶC quy trình làm việc với cơ quan thuế đơn giản, tiện lợi, nhanh chóng hơn so với trước đây. - HUMAN-FAC1]]</f>
        <v>8</v>
      </c>
      <c r="N401">
        <f t="shared" si="169"/>
        <v>0.77777777777777779</v>
      </c>
      <c r="O401">
        <f>step3_validation[[#This Row],[AI_FAC2]]</f>
        <v>8</v>
      </c>
      <c r="P401">
        <f t="shared" si="170"/>
        <v>0.77777777777777779</v>
      </c>
      <c r="Q401">
        <f>[1]!survey_responses[[#This Row],[So với trước đây, tôi thấy cách tính thuế và các bậc thuế trong phương án mới đơn giản, dễ hiểu và dễ thực hiện hơn. - HUMAN-FAC2]]</f>
        <v>8</v>
      </c>
      <c r="R401">
        <f t="shared" si="171"/>
        <v>0.77777777777777779</v>
      </c>
      <c r="S401" s="32">
        <f t="shared" si="172"/>
        <v>0.72222222222222221</v>
      </c>
      <c r="T401" s="32">
        <f t="shared" si="173"/>
        <v>0.77777777777777779</v>
      </c>
      <c r="U401">
        <f>step3_validation[[#This Row],[AI_TRU1]]</f>
        <v>7</v>
      </c>
      <c r="V401">
        <f t="shared" si="174"/>
        <v>0.66666666666666663</v>
      </c>
      <c r="W401">
        <f>[1]!survey_responses[[#This Row],[Tôi tin rằng Nhà nước, cơ quan thuế sẽ thực thi chính sách mới một cách khách quan, công tâm và đối xử bình đẳng với mọi người nộp thuế.  - HUMAN-TRU1]]</f>
        <v>7</v>
      </c>
      <c r="X401">
        <f t="shared" si="175"/>
        <v>0.66666666666666663</v>
      </c>
      <c r="Y401">
        <f>step3_validation[[#This Row],[AI_TRU2]]</f>
        <v>8</v>
      </c>
      <c r="Z401">
        <f t="shared" si="176"/>
        <v>0.77777777777777779</v>
      </c>
      <c r="AA401">
        <f>[1]!survey_responses[[#This Row],[Tôi thấy mức thuế tôi phải đóng theo phương án mới là công bằng (người thu nhập như tôi đóng mức này là hợp lý). - HUMAN-TRU2]]</f>
        <v>7</v>
      </c>
      <c r="AB401">
        <f t="shared" si="177"/>
        <v>0.66666666666666663</v>
      </c>
      <c r="AC401">
        <f>step3_validation[[#This Row],[AI_TRU3]]</f>
        <v>7</v>
      </c>
      <c r="AD401">
        <f t="shared" si="178"/>
        <v>0.66666666666666663</v>
      </c>
      <c r="AE401">
        <f>[1]!survey_responses[[#This Row],[Tôi tin tưởng số tiền thuế tôi đóng sẽ được Nhà nước sử dụng hiệu quả để cải thiện dịch vụ công (y tế, đường xá...). - HUMAN-TRU3]]</f>
        <v>7</v>
      </c>
      <c r="AF401">
        <f t="shared" si="179"/>
        <v>0.66666666666666663</v>
      </c>
      <c r="AG401">
        <f>step3_validation[[#This Row],[AI_TRU4]]</f>
        <v>6</v>
      </c>
      <c r="AH401">
        <f t="shared" si="180"/>
        <v>0.55555555555555558</v>
      </c>
      <c r="AI401">
        <f>[1]!survey_responses[[#This Row],[Tôi thấy Nhà nước đã giải thích rõ ràng, minh bạch về lý do và mục tiêu của việc sửa đổi thuế lần này. - HUMAN-TRU4]]</f>
        <v>7</v>
      </c>
      <c r="AJ401">
        <f t="shared" si="181"/>
        <v>0.66666666666666663</v>
      </c>
      <c r="AK401" s="32">
        <f t="shared" si="182"/>
        <v>0.66666666666666674</v>
      </c>
      <c r="AL401" s="32">
        <f t="shared" si="183"/>
        <v>0.66666666666666663</v>
      </c>
      <c r="AM401" s="7">
        <f t="shared" si="184"/>
        <v>0.74074074074074081</v>
      </c>
      <c r="AN401" s="7">
        <f t="shared" si="185"/>
        <v>0.75925925925925919</v>
      </c>
      <c r="AO401">
        <f>step3_validation[[#This Row],[AI_OUT1]]</f>
        <v>8</v>
      </c>
      <c r="AP401">
        <f t="shared" si="186"/>
        <v>0.77777777777777779</v>
      </c>
      <c r="AQ401">
        <f>[1]!survey_responses[[#This Row],[Sau khi xem xét các quyền lợi và nghĩa vụ, bạn có ủng hộ và tuân thủ chính sách mới hiện nay? - HUMAN-OUT1]]</f>
        <v>8</v>
      </c>
      <c r="AR401">
        <f t="shared" si="187"/>
        <v>0.77777777777777779</v>
      </c>
      <c r="AS401" s="32">
        <f t="shared" si="188"/>
        <v>0</v>
      </c>
    </row>
    <row r="402" spans="1:45" x14ac:dyDescent="0.45">
      <c r="A402">
        <f>step3_validation[[#This Row],[AI_ENF1]]</f>
        <v>8</v>
      </c>
      <c r="B402">
        <f t="shared" si="162"/>
        <v>0.77777777777777779</v>
      </c>
      <c r="C402">
        <f>[1]!survey_responses[[#This Row],[Tôi tin rằng với các quy định quản lý thuế hiện nay, hành vi gian lận hoặc trốn thuế sẽ dễ dàng bị phát hiện và xử lý nghiêm. - HUMAN-ENF1]]</f>
        <v>4</v>
      </c>
      <c r="D402">
        <f t="shared" si="163"/>
        <v>0.33333333333333331</v>
      </c>
      <c r="E402">
        <f>step3_validation[[#This Row],[AI_ENF2]]</f>
        <v>9</v>
      </c>
      <c r="F402">
        <f t="shared" si="164"/>
        <v>0.88888888888888884</v>
      </c>
      <c r="G402">
        <f>[1]!survey_responses[[#This Row],[Tôi tin rằng Nhà nước, cơ quan thuế có đủ khả năng và công nghệ để phát hiện, xử lý nghiêm các hành vi trốn thuế. - HUMAN-ENF2]]</f>
        <v>4</v>
      </c>
      <c r="H402">
        <f t="shared" si="165"/>
        <v>0.33333333333333331</v>
      </c>
      <c r="I402" s="32">
        <f t="shared" si="166"/>
        <v>0.83333333333333326</v>
      </c>
      <c r="J402" s="32">
        <f t="shared" si="167"/>
        <v>0.33333333333333331</v>
      </c>
      <c r="K402">
        <f>step3_validation[[#This Row],[AI_FAC1]]</f>
        <v>8</v>
      </c>
      <c r="L402">
        <f t="shared" si="168"/>
        <v>0.77777777777777779</v>
      </c>
      <c r="M402">
        <f>[1]!survey_responses[[#This Row],[Các thủ tục khai báo thuế VÀ/HOẶC quy trình làm việc với cơ quan thuế đơn giản, tiện lợi, nhanh chóng hơn so với trước đây. - HUMAN-FAC1]]</f>
        <v>3</v>
      </c>
      <c r="N402">
        <f t="shared" si="169"/>
        <v>0.22222222222222221</v>
      </c>
      <c r="O402">
        <f>step3_validation[[#This Row],[AI_FAC2]]</f>
        <v>7</v>
      </c>
      <c r="P402">
        <f t="shared" si="170"/>
        <v>0.66666666666666663</v>
      </c>
      <c r="Q402">
        <f>[1]!survey_responses[[#This Row],[So với trước đây, tôi thấy cách tính thuế và các bậc thuế trong phương án mới đơn giản, dễ hiểu và dễ thực hiện hơn. - HUMAN-FAC2]]</f>
        <v>5</v>
      </c>
      <c r="R402">
        <f t="shared" si="171"/>
        <v>0.44444444444444442</v>
      </c>
      <c r="S402" s="32">
        <f t="shared" si="172"/>
        <v>0.72222222222222221</v>
      </c>
      <c r="T402" s="32">
        <f t="shared" si="173"/>
        <v>0.33333333333333331</v>
      </c>
      <c r="U402">
        <f>step3_validation[[#This Row],[AI_TRU1]]</f>
        <v>8</v>
      </c>
      <c r="V402">
        <f t="shared" si="174"/>
        <v>0.77777777777777779</v>
      </c>
      <c r="W402">
        <f>[1]!survey_responses[[#This Row],[Tôi tin rằng Nhà nước, cơ quan thuế sẽ thực thi chính sách mới một cách khách quan, công tâm và đối xử bình đẳng với mọi người nộp thuế.  - HUMAN-TRU1]]</f>
        <v>5</v>
      </c>
      <c r="X402">
        <f t="shared" si="175"/>
        <v>0.44444444444444442</v>
      </c>
      <c r="Y402">
        <f>step3_validation[[#This Row],[AI_TRU2]]</f>
        <v>6</v>
      </c>
      <c r="Z402">
        <f t="shared" si="176"/>
        <v>0.55555555555555558</v>
      </c>
      <c r="AA402">
        <f>[1]!survey_responses[[#This Row],[Tôi thấy mức thuế tôi phải đóng theo phương án mới là công bằng (người thu nhập như tôi đóng mức này là hợp lý). - HUMAN-TRU2]]</f>
        <v>2</v>
      </c>
      <c r="AB402">
        <f t="shared" si="177"/>
        <v>0.1111111111111111</v>
      </c>
      <c r="AC402">
        <f>step3_validation[[#This Row],[AI_TRU3]]</f>
        <v>7</v>
      </c>
      <c r="AD402">
        <f t="shared" si="178"/>
        <v>0.66666666666666663</v>
      </c>
      <c r="AE402">
        <f>[1]!survey_responses[[#This Row],[Tôi tin tưởng số tiền thuế tôi đóng sẽ được Nhà nước sử dụng hiệu quả để cải thiện dịch vụ công (y tế, đường xá...). - HUMAN-TRU3]]</f>
        <v>2</v>
      </c>
      <c r="AF402">
        <f t="shared" si="179"/>
        <v>0.1111111111111111</v>
      </c>
      <c r="AG402">
        <f>step3_validation[[#This Row],[AI_TRU4]]</f>
        <v>6</v>
      </c>
      <c r="AH402">
        <f t="shared" si="180"/>
        <v>0.55555555555555558</v>
      </c>
      <c r="AI402">
        <f>[1]!survey_responses[[#This Row],[Tôi thấy Nhà nước đã giải thích rõ ràng, minh bạch về lý do và mục tiêu của việc sửa đổi thuế lần này. - HUMAN-TRU4]]</f>
        <v>5</v>
      </c>
      <c r="AJ402">
        <f t="shared" si="181"/>
        <v>0.44444444444444442</v>
      </c>
      <c r="AK402" s="32">
        <f t="shared" si="182"/>
        <v>0.63888888888888884</v>
      </c>
      <c r="AL402" s="32">
        <f t="shared" si="183"/>
        <v>0.27777777777777779</v>
      </c>
      <c r="AM402" s="7">
        <f t="shared" si="184"/>
        <v>0.7314814814814814</v>
      </c>
      <c r="AN402" s="7">
        <f t="shared" si="185"/>
        <v>0.31481481481481483</v>
      </c>
      <c r="AO402">
        <f>step3_validation[[#This Row],[AI_OUT1]]</f>
        <v>7</v>
      </c>
      <c r="AP402">
        <f t="shared" si="186"/>
        <v>0.66666666666666663</v>
      </c>
      <c r="AQ402">
        <f>[1]!survey_responses[[#This Row],[Sau khi xem xét các quyền lợi và nghĩa vụ, bạn có ủng hộ và tuân thủ chính sách mới hiện nay? - HUMAN-OUT1]]</f>
        <v>2</v>
      </c>
      <c r="AR402">
        <f t="shared" si="187"/>
        <v>0.1111111111111111</v>
      </c>
      <c r="AS402" s="32">
        <f t="shared" si="188"/>
        <v>5</v>
      </c>
    </row>
    <row r="403" spans="1:45" x14ac:dyDescent="0.45">
      <c r="A403">
        <f>step3_validation[[#This Row],[AI_ENF1]]</f>
        <v>3</v>
      </c>
      <c r="B403">
        <f t="shared" si="162"/>
        <v>0.22222222222222221</v>
      </c>
      <c r="C403">
        <f>[1]!survey_responses[[#This Row],[Tôi tin rằng với các quy định quản lý thuế hiện nay, hành vi gian lận hoặc trốn thuế sẽ dễ dàng bị phát hiện và xử lý nghiêm. - HUMAN-ENF1]]</f>
        <v>7</v>
      </c>
      <c r="D403">
        <f t="shared" si="163"/>
        <v>0.66666666666666663</v>
      </c>
      <c r="E403">
        <f>step3_validation[[#This Row],[AI_ENF2]]</f>
        <v>4</v>
      </c>
      <c r="F403">
        <f t="shared" si="164"/>
        <v>0.33333333333333331</v>
      </c>
      <c r="G403">
        <f>[1]!survey_responses[[#This Row],[Tôi tin rằng Nhà nước, cơ quan thuế có đủ khả năng và công nghệ để phát hiện, xử lý nghiêm các hành vi trốn thuế. - HUMAN-ENF2]]</f>
        <v>7</v>
      </c>
      <c r="H403">
        <f t="shared" si="165"/>
        <v>0.66666666666666663</v>
      </c>
      <c r="I403" s="32">
        <f t="shared" si="166"/>
        <v>0.27777777777777779</v>
      </c>
      <c r="J403" s="32">
        <f t="shared" si="167"/>
        <v>0.66666666666666663</v>
      </c>
      <c r="K403">
        <f>step3_validation[[#This Row],[AI_FAC1]]</f>
        <v>5</v>
      </c>
      <c r="L403">
        <f t="shared" si="168"/>
        <v>0.44444444444444442</v>
      </c>
      <c r="M403">
        <f>[1]!survey_responses[[#This Row],[Các thủ tục khai báo thuế VÀ/HOẶC quy trình làm việc với cơ quan thuế đơn giản, tiện lợi, nhanh chóng hơn so với trước đây. - HUMAN-FAC1]]</f>
        <v>4</v>
      </c>
      <c r="N403">
        <f t="shared" si="169"/>
        <v>0.33333333333333331</v>
      </c>
      <c r="O403">
        <f>step3_validation[[#This Row],[AI_FAC2]]</f>
        <v>6</v>
      </c>
      <c r="P403">
        <f t="shared" si="170"/>
        <v>0.55555555555555558</v>
      </c>
      <c r="Q403">
        <f>[1]!survey_responses[[#This Row],[So với trước đây, tôi thấy cách tính thuế và các bậc thuế trong phương án mới đơn giản, dễ hiểu và dễ thực hiện hơn. - HUMAN-FAC2]]</f>
        <v>6</v>
      </c>
      <c r="R403">
        <f t="shared" si="171"/>
        <v>0.55555555555555558</v>
      </c>
      <c r="S403" s="32">
        <f t="shared" si="172"/>
        <v>0.5</v>
      </c>
      <c r="T403" s="32">
        <f t="shared" si="173"/>
        <v>0.44444444444444442</v>
      </c>
      <c r="U403">
        <f>step3_validation[[#This Row],[AI_TRU1]]</f>
        <v>4</v>
      </c>
      <c r="V403">
        <f t="shared" si="174"/>
        <v>0.33333333333333331</v>
      </c>
      <c r="W403">
        <f>[1]!survey_responses[[#This Row],[Tôi tin rằng Nhà nước, cơ quan thuế sẽ thực thi chính sách mới một cách khách quan, công tâm và đối xử bình đẳng với mọi người nộp thuế.  - HUMAN-TRU1]]</f>
        <v>5</v>
      </c>
      <c r="X403">
        <f t="shared" si="175"/>
        <v>0.44444444444444442</v>
      </c>
      <c r="Y403">
        <f>step3_validation[[#This Row],[AI_TRU2]]</f>
        <v>7</v>
      </c>
      <c r="Z403">
        <f t="shared" si="176"/>
        <v>0.66666666666666663</v>
      </c>
      <c r="AA403">
        <f>[1]!survey_responses[[#This Row],[Tôi thấy mức thuế tôi phải đóng theo phương án mới là công bằng (người thu nhập như tôi đóng mức này là hợp lý). - HUMAN-TRU2]]</f>
        <v>4</v>
      </c>
      <c r="AB403">
        <f t="shared" si="177"/>
        <v>0.33333333333333331</v>
      </c>
      <c r="AC403">
        <f>step3_validation[[#This Row],[AI_TRU3]]</f>
        <v>4</v>
      </c>
      <c r="AD403">
        <f t="shared" si="178"/>
        <v>0.33333333333333331</v>
      </c>
      <c r="AE403">
        <f>[1]!survey_responses[[#This Row],[Tôi tin tưởng số tiền thuế tôi đóng sẽ được Nhà nước sử dụng hiệu quả để cải thiện dịch vụ công (y tế, đường xá...). - HUMAN-TRU3]]</f>
        <v>5</v>
      </c>
      <c r="AF403">
        <f t="shared" si="179"/>
        <v>0.44444444444444442</v>
      </c>
      <c r="AG403">
        <f>step3_validation[[#This Row],[AI_TRU4]]</f>
        <v>5</v>
      </c>
      <c r="AH403">
        <f t="shared" si="180"/>
        <v>0.44444444444444442</v>
      </c>
      <c r="AI403">
        <f>[1]!survey_responses[[#This Row],[Tôi thấy Nhà nước đã giải thích rõ ràng, minh bạch về lý do và mục tiêu của việc sửa đổi thuế lần này. - HUMAN-TRU4]]</f>
        <v>5</v>
      </c>
      <c r="AJ403">
        <f t="shared" si="181"/>
        <v>0.44444444444444442</v>
      </c>
      <c r="AK403" s="32">
        <f t="shared" si="182"/>
        <v>0.44444444444444442</v>
      </c>
      <c r="AL403" s="32">
        <f t="shared" si="183"/>
        <v>0.41666666666666663</v>
      </c>
      <c r="AM403" s="7">
        <f t="shared" si="184"/>
        <v>0.40740740740740744</v>
      </c>
      <c r="AN403" s="7">
        <f t="shared" si="185"/>
        <v>0.50925925925925919</v>
      </c>
      <c r="AO403">
        <f>step3_validation[[#This Row],[AI_OUT1]]</f>
        <v>6</v>
      </c>
      <c r="AP403">
        <f t="shared" si="186"/>
        <v>0.55555555555555558</v>
      </c>
      <c r="AQ403">
        <f>[1]!survey_responses[[#This Row],[Sau khi xem xét các quyền lợi và nghĩa vụ, bạn có ủng hộ và tuân thủ chính sách mới hiện nay? - HUMAN-OUT1]]</f>
        <v>5</v>
      </c>
      <c r="AR403">
        <f t="shared" si="187"/>
        <v>0.44444444444444442</v>
      </c>
      <c r="AS403" s="32">
        <f t="shared" si="188"/>
        <v>1</v>
      </c>
    </row>
    <row r="404" spans="1:45" x14ac:dyDescent="0.45">
      <c r="A404">
        <f>step3_validation[[#This Row],[AI_ENF1]]</f>
        <v>8</v>
      </c>
      <c r="B404">
        <f t="shared" si="162"/>
        <v>0.77777777777777779</v>
      </c>
      <c r="C404">
        <f>[1]!survey_responses[[#This Row],[Tôi tin rằng với các quy định quản lý thuế hiện nay, hành vi gian lận hoặc trốn thuế sẽ dễ dàng bị phát hiện và xử lý nghiêm. - HUMAN-ENF1]]</f>
        <v>7</v>
      </c>
      <c r="D404">
        <f t="shared" si="163"/>
        <v>0.66666666666666663</v>
      </c>
      <c r="E404">
        <f>step3_validation[[#This Row],[AI_ENF2]]</f>
        <v>7</v>
      </c>
      <c r="F404">
        <f t="shared" si="164"/>
        <v>0.66666666666666663</v>
      </c>
      <c r="G404">
        <f>[1]!survey_responses[[#This Row],[Tôi tin rằng Nhà nước, cơ quan thuế có đủ khả năng và công nghệ để phát hiện, xử lý nghiêm các hành vi trốn thuế. - HUMAN-ENF2]]</f>
        <v>7</v>
      </c>
      <c r="H404">
        <f t="shared" si="165"/>
        <v>0.66666666666666663</v>
      </c>
      <c r="I404" s="32">
        <f t="shared" si="166"/>
        <v>0.72222222222222221</v>
      </c>
      <c r="J404" s="32">
        <f t="shared" si="167"/>
        <v>0.66666666666666663</v>
      </c>
      <c r="K404">
        <f>step3_validation[[#This Row],[AI_FAC1]]</f>
        <v>6</v>
      </c>
      <c r="L404">
        <f t="shared" si="168"/>
        <v>0.55555555555555558</v>
      </c>
      <c r="M404">
        <f>[1]!survey_responses[[#This Row],[Các thủ tục khai báo thuế VÀ/HOẶC quy trình làm việc với cơ quan thuế đơn giản, tiện lợi, nhanh chóng hơn so với trước đây. - HUMAN-FAC1]]</f>
        <v>7</v>
      </c>
      <c r="N404">
        <f t="shared" si="169"/>
        <v>0.66666666666666663</v>
      </c>
      <c r="O404">
        <f>step3_validation[[#This Row],[AI_FAC2]]</f>
        <v>5</v>
      </c>
      <c r="P404">
        <f t="shared" si="170"/>
        <v>0.44444444444444442</v>
      </c>
      <c r="Q404">
        <f>[1]!survey_responses[[#This Row],[So với trước đây, tôi thấy cách tính thuế và các bậc thuế trong phương án mới đơn giản, dễ hiểu và dễ thực hiện hơn. - HUMAN-FAC2]]</f>
        <v>7</v>
      </c>
      <c r="R404">
        <f t="shared" si="171"/>
        <v>0.66666666666666663</v>
      </c>
      <c r="S404" s="32">
        <f t="shared" si="172"/>
        <v>0.5</v>
      </c>
      <c r="T404" s="32">
        <f t="shared" si="173"/>
        <v>0.66666666666666663</v>
      </c>
      <c r="U404">
        <f>step3_validation[[#This Row],[AI_TRU1]]</f>
        <v>7</v>
      </c>
      <c r="V404">
        <f t="shared" si="174"/>
        <v>0.66666666666666663</v>
      </c>
      <c r="W404">
        <f>[1]!survey_responses[[#This Row],[Tôi tin rằng Nhà nước, cơ quan thuế sẽ thực thi chính sách mới một cách khách quan, công tâm và đối xử bình đẳng với mọi người nộp thuế.  - HUMAN-TRU1]]</f>
        <v>7</v>
      </c>
      <c r="X404">
        <f t="shared" si="175"/>
        <v>0.66666666666666663</v>
      </c>
      <c r="Y404">
        <f>step3_validation[[#This Row],[AI_TRU2]]</f>
        <v>8</v>
      </c>
      <c r="Z404">
        <f t="shared" si="176"/>
        <v>0.77777777777777779</v>
      </c>
      <c r="AA404">
        <f>[1]!survey_responses[[#This Row],[Tôi thấy mức thuế tôi phải đóng theo phương án mới là công bằng (người thu nhập như tôi đóng mức này là hợp lý). - HUMAN-TRU2]]</f>
        <v>7</v>
      </c>
      <c r="AB404">
        <f t="shared" si="177"/>
        <v>0.66666666666666663</v>
      </c>
      <c r="AC404">
        <f>step3_validation[[#This Row],[AI_TRU3]]</f>
        <v>6</v>
      </c>
      <c r="AD404">
        <f t="shared" si="178"/>
        <v>0.55555555555555558</v>
      </c>
      <c r="AE404">
        <f>[1]!survey_responses[[#This Row],[Tôi tin tưởng số tiền thuế tôi đóng sẽ được Nhà nước sử dụng hiệu quả để cải thiện dịch vụ công (y tế, đường xá...). - HUMAN-TRU3]]</f>
        <v>7</v>
      </c>
      <c r="AF404">
        <f t="shared" si="179"/>
        <v>0.66666666666666663</v>
      </c>
      <c r="AG404">
        <f>step3_validation[[#This Row],[AI_TRU4]]</f>
        <v>5</v>
      </c>
      <c r="AH404">
        <f t="shared" si="180"/>
        <v>0.44444444444444442</v>
      </c>
      <c r="AI404">
        <f>[1]!survey_responses[[#This Row],[Tôi thấy Nhà nước đã giải thích rõ ràng, minh bạch về lý do và mục tiêu của việc sửa đổi thuế lần này. - HUMAN-TRU4]]</f>
        <v>7</v>
      </c>
      <c r="AJ404">
        <f t="shared" si="181"/>
        <v>0.66666666666666663</v>
      </c>
      <c r="AK404" s="32">
        <f t="shared" si="182"/>
        <v>0.61111111111111116</v>
      </c>
      <c r="AL404" s="32">
        <f t="shared" si="183"/>
        <v>0.66666666666666663</v>
      </c>
      <c r="AM404" s="7">
        <f t="shared" si="184"/>
        <v>0.61111111111111116</v>
      </c>
      <c r="AN404" s="7">
        <f t="shared" si="185"/>
        <v>0.66666666666666663</v>
      </c>
      <c r="AO404">
        <f>step3_validation[[#This Row],[AI_OUT1]]</f>
        <v>7</v>
      </c>
      <c r="AP404">
        <f t="shared" si="186"/>
        <v>0.66666666666666663</v>
      </c>
      <c r="AQ404">
        <f>[1]!survey_responses[[#This Row],[Sau khi xem xét các quyền lợi và nghĩa vụ, bạn có ủng hộ và tuân thủ chính sách mới hiện nay? - HUMAN-OUT1]]</f>
        <v>7</v>
      </c>
      <c r="AR404">
        <f t="shared" si="187"/>
        <v>0.66666666666666663</v>
      </c>
      <c r="AS404" s="32">
        <f t="shared" si="188"/>
        <v>0</v>
      </c>
    </row>
    <row r="405" spans="1:45" x14ac:dyDescent="0.45">
      <c r="AM405" s="7">
        <f>AVERAGE(AM2:AM404)</f>
        <v>0.68268081977759398</v>
      </c>
      <c r="AN405" s="7">
        <f>AVERAGE(AN2:AN404)</f>
        <v>0.62937689550592735</v>
      </c>
      <c r="AP405" s="7">
        <f>AVERAGE(AP2:AP404)</f>
        <v>0.65811965811965456</v>
      </c>
      <c r="AR405" s="7">
        <f>AVERAGE(AR2:AR404)</f>
        <v>0.65977391783843187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773B-611D-4126-9F02-8E7B07BD07BC}">
  <dimension ref="A1:J79"/>
  <sheetViews>
    <sheetView topLeftCell="A55" workbookViewId="0">
      <selection sqref="A1:J79"/>
    </sheetView>
  </sheetViews>
  <sheetFormatPr defaultRowHeight="14.25" x14ac:dyDescent="0.45"/>
  <sheetData>
    <row r="1" spans="1:10" x14ac:dyDescent="0.45">
      <c r="A1" s="39" t="s">
        <v>13</v>
      </c>
      <c r="B1" s="39" t="s">
        <v>1</v>
      </c>
      <c r="C1" s="39" t="s">
        <v>2</v>
      </c>
      <c r="D1" s="39" t="s">
        <v>3</v>
      </c>
      <c r="E1" s="39">
        <f>SUM(E2:E3)</f>
        <v>403</v>
      </c>
      <c r="G1" s="39" t="s">
        <v>13</v>
      </c>
      <c r="H1" s="39" t="s">
        <v>1</v>
      </c>
      <c r="I1" s="39" t="s">
        <v>2</v>
      </c>
      <c r="J1" s="39" t="s">
        <v>3</v>
      </c>
    </row>
    <row r="2" spans="1:10" x14ac:dyDescent="0.45">
      <c r="A2" s="4" t="s">
        <v>76</v>
      </c>
      <c r="B2" s="4">
        <f>COUNTIFS(step3_combined_data!$R$2:$R$404,"Oppose", step3_combined_data!$K$2:$K$404,"Chính thức")</f>
        <v>3</v>
      </c>
      <c r="C2" s="4">
        <f>COUNTIFS(step3_combined_data!$R$2:$R$404,"Neutral", step3_combined_data!$K$2:$K$404,"Chính thức")</f>
        <v>259</v>
      </c>
      <c r="D2" s="4">
        <f>COUNTIFS(step3_combined_data!$R$2:$R$404,"Support", step3_combined_data!$K$2:$K$404,"Chính thức")</f>
        <v>115</v>
      </c>
      <c r="E2" s="4">
        <f>SUM(B2:D2)</f>
        <v>377</v>
      </c>
      <c r="G2" s="4" t="s">
        <v>76</v>
      </c>
      <c r="H2" s="40">
        <f>B2/E2</f>
        <v>7.9575596816976128E-3</v>
      </c>
      <c r="I2" s="40">
        <f>C2/E2</f>
        <v>0.6870026525198939</v>
      </c>
      <c r="J2" s="40">
        <f>D2/E2</f>
        <v>0.30503978779840851</v>
      </c>
    </row>
    <row r="3" spans="1:10" x14ac:dyDescent="0.45">
      <c r="A3" s="4" t="s">
        <v>161</v>
      </c>
      <c r="B3" s="4">
        <f>COUNTIFS(step3_combined_data!$R$2:$R$404,"Oppose", step3_combined_data!$K$2:$K$404,"Phi chính thức")</f>
        <v>0</v>
      </c>
      <c r="C3" s="4">
        <f>COUNTIFS(step3_combined_data!$R$2:$R$404,"Neutral", step3_combined_data!$K$2:$K$404,"Phi chính thức")</f>
        <v>12</v>
      </c>
      <c r="D3" s="4">
        <f>COUNTIFS(step3_combined_data!$R$2:$R$404,"Support", step3_combined_data!$K$2:$K$404,"Phi chính thức")</f>
        <v>14</v>
      </c>
      <c r="E3" s="4">
        <f>SUM(B3:D3)</f>
        <v>26</v>
      </c>
      <c r="G3" s="4" t="s">
        <v>161</v>
      </c>
      <c r="H3" s="40">
        <f>B3/E3</f>
        <v>0</v>
      </c>
      <c r="I3" s="40">
        <f>C3/E3</f>
        <v>0.46153846153846156</v>
      </c>
      <c r="J3" s="40">
        <f>D3/E3</f>
        <v>0.53846153846153844</v>
      </c>
    </row>
    <row r="5" spans="1:10" x14ac:dyDescent="0.45">
      <c r="A5" s="39" t="s">
        <v>14</v>
      </c>
      <c r="B5" s="39" t="s">
        <v>1</v>
      </c>
      <c r="C5" s="39" t="s">
        <v>2</v>
      </c>
      <c r="D5" s="39" t="s">
        <v>3</v>
      </c>
      <c r="E5" s="39">
        <f>SUM(E6:E7)</f>
        <v>403</v>
      </c>
      <c r="G5" s="39" t="s">
        <v>14</v>
      </c>
      <c r="H5" s="39" t="s">
        <v>1</v>
      </c>
      <c r="I5" s="39" t="s">
        <v>2</v>
      </c>
      <c r="J5" s="39" t="s">
        <v>3</v>
      </c>
    </row>
    <row r="6" spans="1:10" x14ac:dyDescent="0.45">
      <c r="A6" s="4" t="s">
        <v>76</v>
      </c>
      <c r="B6" s="4">
        <f>COUNTIFS(step3_combined_data!$W$2:$W$404,"Oppose", step3_combined_data!$K$2:$K$404,"Chính thức")</f>
        <v>1</v>
      </c>
      <c r="C6" s="4">
        <f>COUNTIFS(step3_combined_data!$W$2:$W$404,"Neutral", step3_combined_data!$K$2:$K$404,"Chính thức")</f>
        <v>183</v>
      </c>
      <c r="D6" s="4">
        <f>COUNTIFS(step3_combined_data!$W$2:$W$404,"Support", step3_combined_data!$K$2:$K$404,"Chính thức")</f>
        <v>193</v>
      </c>
      <c r="E6" s="4">
        <f>SUM(B6:D6)</f>
        <v>377</v>
      </c>
      <c r="G6" s="4" t="s">
        <v>76</v>
      </c>
      <c r="H6" s="40">
        <f>B6/E6</f>
        <v>2.6525198938992041E-3</v>
      </c>
      <c r="I6" s="40">
        <f>C6/E6</f>
        <v>0.48541114058355439</v>
      </c>
      <c r="J6" s="40">
        <f>D6/E6</f>
        <v>0.51193633952254647</v>
      </c>
    </row>
    <row r="7" spans="1:10" x14ac:dyDescent="0.45">
      <c r="A7" s="4" t="s">
        <v>161</v>
      </c>
      <c r="B7" s="4">
        <f>COUNTIFS(step3_combined_data!$W$2:$W$404,"Oppose", step3_combined_data!$K$2:$K$404,"Phi chính thức")</f>
        <v>0</v>
      </c>
      <c r="C7" s="4">
        <f>COUNTIFS(step3_combined_data!$W$2:$W$404,"Neutral", step3_combined_data!$K$2:$K$404,"Phi chính thức")</f>
        <v>16</v>
      </c>
      <c r="D7" s="4">
        <f>COUNTIFS(step3_combined_data!$W$2:$W$404,"Support", step3_combined_data!$K$2:$K$404,"Phi chính thức")</f>
        <v>10</v>
      </c>
      <c r="E7" s="4">
        <f>SUM(B7:D7)</f>
        <v>26</v>
      </c>
      <c r="G7" s="4" t="s">
        <v>161</v>
      </c>
      <c r="H7" s="40">
        <f>B7/E7</f>
        <v>0</v>
      </c>
      <c r="I7" s="40">
        <f>C7/E7</f>
        <v>0.61538461538461542</v>
      </c>
      <c r="J7" s="40">
        <f>D7/E7</f>
        <v>0.38461538461538464</v>
      </c>
    </row>
    <row r="9" spans="1:10" x14ac:dyDescent="0.45">
      <c r="A9" s="39" t="s">
        <v>15</v>
      </c>
      <c r="B9" s="39" t="s">
        <v>1</v>
      </c>
      <c r="C9" s="39" t="s">
        <v>2</v>
      </c>
      <c r="D9" s="39" t="s">
        <v>3</v>
      </c>
      <c r="E9" s="39">
        <f>SUM(E10:E11)</f>
        <v>403</v>
      </c>
      <c r="G9" s="39" t="s">
        <v>15</v>
      </c>
      <c r="H9" s="39" t="s">
        <v>1</v>
      </c>
      <c r="I9" s="39" t="s">
        <v>2</v>
      </c>
      <c r="J9" s="39" t="s">
        <v>3</v>
      </c>
    </row>
    <row r="10" spans="1:10" x14ac:dyDescent="0.45">
      <c r="A10" s="4" t="s">
        <v>76</v>
      </c>
      <c r="B10" s="4">
        <f>COUNTIFS(step3_combined_data!$AB$2:$AB$404,"Oppose", step3_combined_data!$K$2:$K$404,"Chính thức")</f>
        <v>5</v>
      </c>
      <c r="C10" s="4">
        <f>COUNTIFS(step3_combined_data!$AB$2:$AB$404,"Neutral", step3_combined_data!$K$2:$K$404,"Chính thức")</f>
        <v>171</v>
      </c>
      <c r="D10" s="4">
        <f>COUNTIFS(step3_combined_data!$AB$2:$AB$404,"Support", step3_combined_data!$K$2:$K$404,"Chính thức")</f>
        <v>201</v>
      </c>
      <c r="E10" s="4">
        <f>SUM(B10:D10)</f>
        <v>377</v>
      </c>
      <c r="G10" s="4" t="s">
        <v>76</v>
      </c>
      <c r="H10" s="40">
        <f>B10/E10</f>
        <v>1.3262599469496022E-2</v>
      </c>
      <c r="I10" s="40">
        <f>C10/E10</f>
        <v>0.45358090185676392</v>
      </c>
      <c r="J10" s="40">
        <f>D10/E10</f>
        <v>0.53315649867374004</v>
      </c>
    </row>
    <row r="11" spans="1:10" x14ac:dyDescent="0.45">
      <c r="A11" s="4" t="s">
        <v>161</v>
      </c>
      <c r="B11" s="4">
        <f>COUNTIFS(step3_combined_data!$AB$2:$AB$404,"Oppose", step3_combined_data!$K$2:$K$404,"Phi chính thức")</f>
        <v>0</v>
      </c>
      <c r="C11" s="4">
        <f>COUNTIFS(step3_combined_data!$AB$2:$AB$404,"Neutral", step3_combined_data!$K$2:$K$404,"Phi chính thức")</f>
        <v>12</v>
      </c>
      <c r="D11" s="4">
        <f>COUNTIFS(step3_combined_data!$AB$2:$AB$404,"Support", step3_combined_data!$K$2:$K$404,"Phi chính thức")</f>
        <v>14</v>
      </c>
      <c r="E11" s="4">
        <f>SUM(B11:D11)</f>
        <v>26</v>
      </c>
      <c r="G11" s="4" t="s">
        <v>161</v>
      </c>
      <c r="H11" s="40">
        <f>B11/E11</f>
        <v>0</v>
      </c>
      <c r="I11" s="40">
        <f>C11/E11</f>
        <v>0.46153846153846156</v>
      </c>
      <c r="J11" s="40">
        <f>D11/E11</f>
        <v>0.53846153846153844</v>
      </c>
    </row>
    <row r="13" spans="1:10" x14ac:dyDescent="0.45">
      <c r="A13" s="39" t="s">
        <v>16</v>
      </c>
      <c r="B13" s="39" t="s">
        <v>1</v>
      </c>
      <c r="C13" s="39" t="s">
        <v>2</v>
      </c>
      <c r="D13" s="39" t="s">
        <v>3</v>
      </c>
      <c r="E13" s="39">
        <f>SUM(E14:E19)</f>
        <v>402</v>
      </c>
      <c r="G13" s="39" t="s">
        <v>16</v>
      </c>
      <c r="H13" s="39" t="s">
        <v>1</v>
      </c>
      <c r="I13" s="39" t="s">
        <v>2</v>
      </c>
      <c r="J13" s="39" t="s">
        <v>3</v>
      </c>
    </row>
    <row r="14" spans="1:10" x14ac:dyDescent="0.45">
      <c r="A14" s="4" t="s">
        <v>188</v>
      </c>
      <c r="B14" s="4">
        <f>COUNTIFS(step3_combined_data!$AG$2:$AG$404,"Oppose", step3_combined_data!$E$2:$E$404,"18 - 24")</f>
        <v>0</v>
      </c>
      <c r="C14" s="4">
        <f>COUNTIFS(step3_combined_data!$AG$2:$AG$404,"Neutral", step3_combined_data!$E$2:$E$404,"18 - 24")</f>
        <v>15</v>
      </c>
      <c r="D14" s="4">
        <f>COUNTIFS(step3_combined_data!$AG$2:$AG$404,"Support", step3_combined_data!$E$2:$E$404,"18 - 24")</f>
        <v>40</v>
      </c>
      <c r="E14" s="4">
        <f>SUM(B14:D14)</f>
        <v>55</v>
      </c>
      <c r="G14" s="4" t="s">
        <v>188</v>
      </c>
      <c r="H14" s="41">
        <f t="shared" ref="H14:H19" si="0">B14/E14</f>
        <v>0</v>
      </c>
      <c r="I14" s="41">
        <f t="shared" ref="I14:I19" si="1">C14/E14</f>
        <v>0.27272727272727271</v>
      </c>
      <c r="J14" s="41">
        <f t="shared" ref="J14:J19" si="2">D14/E14</f>
        <v>0.72727272727272729</v>
      </c>
    </row>
    <row r="15" spans="1:10" x14ac:dyDescent="0.45">
      <c r="A15" s="4" t="s">
        <v>81</v>
      </c>
      <c r="B15" s="4">
        <f>COUNTIFS(step3_combined_data!$AG$2:$AG$404,"Oppose", step3_combined_data!$E$2:$E$404,"25 - 29")</f>
        <v>1</v>
      </c>
      <c r="C15" s="4">
        <f>COUNTIFS(step3_combined_data!$AG$2:$AG$404,"Neutral", step3_combined_data!$E$2:$E$404,"25 - 29")</f>
        <v>27</v>
      </c>
      <c r="D15" s="4">
        <f>COUNTIFS(step3_combined_data!$AG$2:$AG$404,"Support", step3_combined_data!$E$2:$E$404,"25 - 29")</f>
        <v>50</v>
      </c>
      <c r="E15" s="4">
        <f t="shared" ref="E15:E19" si="3">SUM(B15:D15)</f>
        <v>78</v>
      </c>
      <c r="G15" s="4" t="s">
        <v>81</v>
      </c>
      <c r="H15" s="41">
        <f t="shared" si="0"/>
        <v>1.282051282051282E-2</v>
      </c>
      <c r="I15" s="41">
        <f t="shared" si="1"/>
        <v>0.34615384615384615</v>
      </c>
      <c r="J15" s="41">
        <f t="shared" si="2"/>
        <v>0.64102564102564108</v>
      </c>
    </row>
    <row r="16" spans="1:10" x14ac:dyDescent="0.45">
      <c r="A16" s="4" t="s">
        <v>73</v>
      </c>
      <c r="B16" s="4">
        <f>COUNTIFS(step3_combined_data!$AG$2:$AG$404,"Oppose", step3_combined_data!$E$2:$E$404,"30 - 39")</f>
        <v>1</v>
      </c>
      <c r="C16" s="4">
        <f>COUNTIFS(step3_combined_data!$AG$2:$AG$404,"Neutral", step3_combined_data!$E$2:$E$404,"30 - 39")</f>
        <v>37</v>
      </c>
      <c r="D16" s="4">
        <f>COUNTIFS(step3_combined_data!$AG$2:$AG$404,"Support", step3_combined_data!$E$2:$E$404,"30 - 39")</f>
        <v>94</v>
      </c>
      <c r="E16" s="4">
        <f t="shared" si="3"/>
        <v>132</v>
      </c>
      <c r="G16" s="4" t="s">
        <v>73</v>
      </c>
      <c r="H16" s="41">
        <f t="shared" si="0"/>
        <v>7.575757575757576E-3</v>
      </c>
      <c r="I16" s="41">
        <f t="shared" si="1"/>
        <v>0.28030303030303028</v>
      </c>
      <c r="J16" s="41">
        <f t="shared" si="2"/>
        <v>0.71212121212121215</v>
      </c>
    </row>
    <row r="17" spans="1:10" x14ac:dyDescent="0.45">
      <c r="A17" s="4" t="s">
        <v>79</v>
      </c>
      <c r="B17" s="4">
        <f>COUNTIFS(step3_combined_data!$AG$2:$AG$404,"Oppose", step3_combined_data!$E$2:$E$404,"40 - 49")</f>
        <v>0</v>
      </c>
      <c r="C17" s="4">
        <f>COUNTIFS(step3_combined_data!$AG$2:$AG$404,"Neutral", step3_combined_data!$E$2:$E$404,"40 - 49")</f>
        <v>27</v>
      </c>
      <c r="D17" s="4">
        <f>COUNTIFS(step3_combined_data!$AG$2:$AG$404,"Support", step3_combined_data!$E$2:$E$404,"40 - 49")</f>
        <v>52</v>
      </c>
      <c r="E17" s="4">
        <f t="shared" si="3"/>
        <v>79</v>
      </c>
      <c r="G17" s="4" t="s">
        <v>79</v>
      </c>
      <c r="H17" s="41">
        <f t="shared" si="0"/>
        <v>0</v>
      </c>
      <c r="I17" s="41">
        <f t="shared" si="1"/>
        <v>0.34177215189873417</v>
      </c>
      <c r="J17" s="41">
        <f t="shared" si="2"/>
        <v>0.65822784810126578</v>
      </c>
    </row>
    <row r="18" spans="1:10" x14ac:dyDescent="0.45">
      <c r="A18" s="4" t="s">
        <v>190</v>
      </c>
      <c r="B18" s="4">
        <f>COUNTIFS(step3_combined_data!$AG$2:$AG$404,"Oppose", step3_combined_data!$E$2:$E$404,"50 - 54")</f>
        <v>1</v>
      </c>
      <c r="C18" s="4">
        <f>COUNTIFS(step3_combined_data!$AG$2:$AG$404,"Neutral", step3_combined_data!$E$2:$E$404,"50 - 54")</f>
        <v>5</v>
      </c>
      <c r="D18" s="4">
        <f>COUNTIFS(step3_combined_data!$AG$2:$AG$404,"Support", step3_combined_data!$E$2:$E$404,"50 - 54")</f>
        <v>25</v>
      </c>
      <c r="E18" s="4">
        <f t="shared" si="3"/>
        <v>31</v>
      </c>
      <c r="G18" s="4" t="s">
        <v>190</v>
      </c>
      <c r="H18" s="41">
        <f t="shared" si="0"/>
        <v>3.2258064516129031E-2</v>
      </c>
      <c r="I18" s="41">
        <f t="shared" si="1"/>
        <v>0.16129032258064516</v>
      </c>
      <c r="J18" s="41">
        <f t="shared" si="2"/>
        <v>0.80645161290322576</v>
      </c>
    </row>
    <row r="19" spans="1:10" x14ac:dyDescent="0.45">
      <c r="A19" s="4" t="s">
        <v>192</v>
      </c>
      <c r="B19" s="4">
        <f>COUNTIFS(step3_combined_data!$AG$2:$AG$404,"Oppose", step3_combined_data!$E$2:$E$404,"55 - 64")</f>
        <v>0</v>
      </c>
      <c r="C19" s="4">
        <f>COUNTIFS(step3_combined_data!$AG$2:$AG$404,"Neutral", step3_combined_data!$E$2:$E$404,"55 - 64")</f>
        <v>6</v>
      </c>
      <c r="D19" s="4">
        <f>COUNTIFS(step3_combined_data!$AG$2:$AG$404,"Support", step3_combined_data!$E$2:$E$404,"55 - 64")</f>
        <v>21</v>
      </c>
      <c r="E19" s="4">
        <f t="shared" si="3"/>
        <v>27</v>
      </c>
      <c r="G19" s="4" t="s">
        <v>192</v>
      </c>
      <c r="H19" s="41">
        <f t="shared" si="0"/>
        <v>0</v>
      </c>
      <c r="I19" s="41">
        <f t="shared" si="1"/>
        <v>0.22222222222222221</v>
      </c>
      <c r="J19" s="41">
        <f t="shared" si="2"/>
        <v>0.77777777777777779</v>
      </c>
    </row>
    <row r="21" spans="1:10" x14ac:dyDescent="0.45">
      <c r="A21" s="39" t="s">
        <v>17</v>
      </c>
      <c r="B21" s="39" t="s">
        <v>1</v>
      </c>
      <c r="C21" s="39" t="s">
        <v>2</v>
      </c>
      <c r="D21" s="39" t="s">
        <v>3</v>
      </c>
      <c r="E21" s="39">
        <f>SUM(E22:E27)</f>
        <v>402</v>
      </c>
      <c r="G21" s="39" t="s">
        <v>17</v>
      </c>
      <c r="H21" s="39" t="s">
        <v>1</v>
      </c>
      <c r="I21" s="39" t="s">
        <v>2</v>
      </c>
      <c r="J21" s="39" t="s">
        <v>3</v>
      </c>
    </row>
    <row r="22" spans="1:10" x14ac:dyDescent="0.45">
      <c r="A22" s="4" t="s">
        <v>188</v>
      </c>
      <c r="B22" s="4">
        <f>COUNTIFS(step3_combined_data!$AL$2:$AL$404,"Oppose", step3_combined_data!$E$2:$E$404,"18 - 24")</f>
        <v>0</v>
      </c>
      <c r="C22" s="4">
        <f>COUNTIFS(step3_combined_data!$AL$2:$AL$404,"Neutral", step3_combined_data!$E$2:$E$404,"18 - 24")</f>
        <v>37</v>
      </c>
      <c r="D22" s="4">
        <f>COUNTIFS(step3_combined_data!$AL$2:$AL$404,"Support", step3_combined_data!$E$2:$E$404,"18 - 24")</f>
        <v>18</v>
      </c>
      <c r="E22" s="4">
        <f>SUM(B22:D22)</f>
        <v>55</v>
      </c>
      <c r="G22" s="4" t="s">
        <v>188</v>
      </c>
      <c r="H22" s="41">
        <f t="shared" ref="H22:H27" si="4">B22/E22</f>
        <v>0</v>
      </c>
      <c r="I22" s="41">
        <f t="shared" ref="I22:I27" si="5">C22/E22</f>
        <v>0.67272727272727273</v>
      </c>
      <c r="J22" s="41">
        <f t="shared" ref="J22:J27" si="6">D22/E22</f>
        <v>0.32727272727272727</v>
      </c>
    </row>
    <row r="23" spans="1:10" x14ac:dyDescent="0.45">
      <c r="A23" s="4" t="s">
        <v>81</v>
      </c>
      <c r="B23" s="4">
        <f>COUNTIFS(step3_combined_data!$AL$2:$AL$404,"Oppose", step3_combined_data!$E$2:$E$404,"25 - 29")</f>
        <v>0</v>
      </c>
      <c r="C23" s="4">
        <f>COUNTIFS(step3_combined_data!$AL$2:$AL$404,"Neutral", step3_combined_data!$E$2:$E$404,"25 - 29")</f>
        <v>48</v>
      </c>
      <c r="D23" s="4">
        <f>COUNTIFS(step3_combined_data!$AL$2:$AL$404,"Support", step3_combined_data!$E$2:$E$404,"25 - 29")</f>
        <v>30</v>
      </c>
      <c r="E23" s="4">
        <f t="shared" ref="E23:E27" si="7">SUM(B23:D23)</f>
        <v>78</v>
      </c>
      <c r="G23" s="4" t="s">
        <v>81</v>
      </c>
      <c r="H23" s="41">
        <f t="shared" si="4"/>
        <v>0</v>
      </c>
      <c r="I23" s="41">
        <f t="shared" si="5"/>
        <v>0.61538461538461542</v>
      </c>
      <c r="J23" s="41">
        <f t="shared" si="6"/>
        <v>0.38461538461538464</v>
      </c>
    </row>
    <row r="24" spans="1:10" x14ac:dyDescent="0.45">
      <c r="A24" s="4" t="s">
        <v>73</v>
      </c>
      <c r="B24" s="4">
        <f>COUNTIFS(step3_combined_data!$AL$2:$AL$404,"Oppose", step3_combined_data!$E$2:$E$404,"30 - 39")</f>
        <v>2</v>
      </c>
      <c r="C24" s="4">
        <f>COUNTIFS(step3_combined_data!$AL$2:$AL$404,"Neutral", step3_combined_data!$E$2:$E$404,"30 - 39")</f>
        <v>86</v>
      </c>
      <c r="D24" s="4">
        <f>COUNTIFS(step3_combined_data!$AL$2:$AL$404,"Support", step3_combined_data!$E$2:$E$404,"30 - 39")</f>
        <v>44</v>
      </c>
      <c r="E24" s="4">
        <f t="shared" si="7"/>
        <v>132</v>
      </c>
      <c r="G24" s="4" t="s">
        <v>73</v>
      </c>
      <c r="H24" s="41">
        <f t="shared" si="4"/>
        <v>1.5151515151515152E-2</v>
      </c>
      <c r="I24" s="41">
        <f t="shared" si="5"/>
        <v>0.65151515151515149</v>
      </c>
      <c r="J24" s="41">
        <f t="shared" si="6"/>
        <v>0.33333333333333331</v>
      </c>
    </row>
    <row r="25" spans="1:10" x14ac:dyDescent="0.45">
      <c r="A25" s="4" t="s">
        <v>79</v>
      </c>
      <c r="B25" s="4">
        <f>COUNTIFS(step3_combined_data!$AL$2:$AL$404,"Oppose", step3_combined_data!$E$2:$E$404,"40 - 49")</f>
        <v>0</v>
      </c>
      <c r="C25" s="4">
        <f>COUNTIFS(step3_combined_data!$AL$2:$AL$404,"Neutral", step3_combined_data!$E$2:$E$404,"40 - 49")</f>
        <v>55</v>
      </c>
      <c r="D25" s="4">
        <f>COUNTIFS(step3_combined_data!$AL$2:$AL$404,"Support", step3_combined_data!$E$2:$E$404,"40 - 49")</f>
        <v>24</v>
      </c>
      <c r="E25" s="4">
        <f t="shared" si="7"/>
        <v>79</v>
      </c>
      <c r="G25" s="4" t="s">
        <v>79</v>
      </c>
      <c r="H25" s="41">
        <f t="shared" si="4"/>
        <v>0</v>
      </c>
      <c r="I25" s="41">
        <f t="shared" si="5"/>
        <v>0.69620253164556967</v>
      </c>
      <c r="J25" s="41">
        <f t="shared" si="6"/>
        <v>0.30379746835443039</v>
      </c>
    </row>
    <row r="26" spans="1:10" x14ac:dyDescent="0.45">
      <c r="A26" s="4" t="s">
        <v>190</v>
      </c>
      <c r="B26" s="4">
        <f>COUNTIFS(step3_combined_data!$AL$2:$AL$404,"Oppose", step3_combined_data!$E$2:$E$404,"50 - 54")</f>
        <v>0</v>
      </c>
      <c r="C26" s="4">
        <f>COUNTIFS(step3_combined_data!$AL$2:$AL$404,"Neutral", step3_combined_data!$E$2:$E$404,"50 - 54")</f>
        <v>26</v>
      </c>
      <c r="D26" s="4">
        <f>COUNTIFS(step3_combined_data!$AL$2:$AL$404,"Support", step3_combined_data!$E$2:$E$404,"50 - 54")</f>
        <v>5</v>
      </c>
      <c r="E26" s="4">
        <f t="shared" si="7"/>
        <v>31</v>
      </c>
      <c r="G26" s="4" t="s">
        <v>190</v>
      </c>
      <c r="H26" s="41">
        <f t="shared" si="4"/>
        <v>0</v>
      </c>
      <c r="I26" s="41">
        <f t="shared" si="5"/>
        <v>0.83870967741935487</v>
      </c>
      <c r="J26" s="41">
        <f t="shared" si="6"/>
        <v>0.16129032258064516</v>
      </c>
    </row>
    <row r="27" spans="1:10" x14ac:dyDescent="0.45">
      <c r="A27" s="4" t="s">
        <v>192</v>
      </c>
      <c r="B27" s="4">
        <f>COUNTIFS(step3_combined_data!$AL$2:$AL$404,"Oppose", step3_combined_data!$E$2:$E$404,"55 - 64")</f>
        <v>1</v>
      </c>
      <c r="C27" s="4">
        <f>COUNTIFS(step3_combined_data!$AL$2:$AL$404,"Neutral", step3_combined_data!$E$2:$E$404,"55 - 64")</f>
        <v>17</v>
      </c>
      <c r="D27" s="4">
        <f>COUNTIFS(step3_combined_data!$AL$2:$AL$404,"Support", step3_combined_data!$E$2:$E$404,"55 - 64")</f>
        <v>9</v>
      </c>
      <c r="E27" s="4">
        <f t="shared" si="7"/>
        <v>27</v>
      </c>
      <c r="G27" s="4" t="s">
        <v>192</v>
      </c>
      <c r="H27" s="41">
        <f t="shared" si="4"/>
        <v>3.7037037037037035E-2</v>
      </c>
      <c r="I27" s="41">
        <f t="shared" si="5"/>
        <v>0.62962962962962965</v>
      </c>
      <c r="J27" s="41">
        <f t="shared" si="6"/>
        <v>0.33333333333333331</v>
      </c>
    </row>
    <row r="29" spans="1:10" x14ac:dyDescent="0.45">
      <c r="A29" s="39" t="s">
        <v>18</v>
      </c>
      <c r="B29" s="39" t="s">
        <v>1</v>
      </c>
      <c r="C29" s="39" t="s">
        <v>2</v>
      </c>
      <c r="D29" s="39" t="s">
        <v>3</v>
      </c>
      <c r="E29" s="39">
        <f>SUM(E30:E35)</f>
        <v>402</v>
      </c>
      <c r="G29" s="39" t="s">
        <v>18</v>
      </c>
      <c r="H29" s="39" t="s">
        <v>1</v>
      </c>
      <c r="I29" s="39" t="s">
        <v>2</v>
      </c>
      <c r="J29" s="39" t="s">
        <v>3</v>
      </c>
    </row>
    <row r="30" spans="1:10" x14ac:dyDescent="0.45">
      <c r="A30" s="4" t="s">
        <v>188</v>
      </c>
      <c r="B30" s="4">
        <f>COUNTIFS(step3_combined_data!$AQ$2:$AQ$404,"Oppose", step3_combined_data!$E$2:$E$404,"18 - 24")</f>
        <v>0</v>
      </c>
      <c r="C30" s="4">
        <f>COUNTIFS(step3_combined_data!$AQ$2:$AQ$404,"Neutral", step3_combined_data!$E$2:$E$404,"18 - 24")</f>
        <v>35</v>
      </c>
      <c r="D30" s="4">
        <f>COUNTIFS(step3_combined_data!$AQ$2:$AQ$404,"Support", step3_combined_data!$E$2:$E$404,"18 - 24")</f>
        <v>20</v>
      </c>
      <c r="E30" s="4">
        <f>SUM(B30:D30)</f>
        <v>55</v>
      </c>
      <c r="G30" s="4" t="s">
        <v>188</v>
      </c>
      <c r="H30" s="41">
        <f t="shared" ref="H30:H35" si="8">B30/E30</f>
        <v>0</v>
      </c>
      <c r="I30" s="41">
        <f t="shared" ref="I30:I35" si="9">C30/E30</f>
        <v>0.63636363636363635</v>
      </c>
      <c r="J30" s="41">
        <f t="shared" ref="J30:J35" si="10">D30/E30</f>
        <v>0.36363636363636365</v>
      </c>
    </row>
    <row r="31" spans="1:10" x14ac:dyDescent="0.45">
      <c r="A31" s="4" t="s">
        <v>81</v>
      </c>
      <c r="B31" s="4">
        <f>COUNTIFS(step3_combined_data!$AQ$2:$AQ$404,"Oppose", step3_combined_data!$E$2:$E$404,"25 - 29")</f>
        <v>2</v>
      </c>
      <c r="C31" s="4">
        <f>COUNTIFS(step3_combined_data!$AQ$2:$AQ$404,"Neutral", step3_combined_data!$E$2:$E$404,"25 - 29")</f>
        <v>50</v>
      </c>
      <c r="D31" s="4">
        <f>COUNTIFS(step3_combined_data!$AQ$2:$AQ$404,"Support", step3_combined_data!$E$2:$E$404,"25 - 29")</f>
        <v>26</v>
      </c>
      <c r="E31" s="4">
        <f t="shared" ref="E31:E35" si="11">SUM(B31:D31)</f>
        <v>78</v>
      </c>
      <c r="G31" s="4" t="s">
        <v>81</v>
      </c>
      <c r="H31" s="41">
        <f t="shared" si="8"/>
        <v>2.564102564102564E-2</v>
      </c>
      <c r="I31" s="41">
        <f t="shared" si="9"/>
        <v>0.64102564102564108</v>
      </c>
      <c r="J31" s="41">
        <f t="shared" si="10"/>
        <v>0.33333333333333331</v>
      </c>
    </row>
    <row r="32" spans="1:10" x14ac:dyDescent="0.45">
      <c r="A32" s="4" t="s">
        <v>73</v>
      </c>
      <c r="B32" s="4">
        <f>COUNTIFS(step3_combined_data!$AQ$2:$AQ$404,"Oppose", step3_combined_data!$E$2:$E$404,"30 - 39")</f>
        <v>1</v>
      </c>
      <c r="C32" s="4">
        <f>COUNTIFS(step3_combined_data!$AQ$2:$AQ$404,"Neutral", step3_combined_data!$E$2:$E$404,"30 - 39")</f>
        <v>88</v>
      </c>
      <c r="D32" s="4">
        <f>COUNTIFS(step3_combined_data!$AQ$2:$AQ$404,"Support", step3_combined_data!$E$2:$E$404,"30 - 39")</f>
        <v>43</v>
      </c>
      <c r="E32" s="4">
        <f t="shared" si="11"/>
        <v>132</v>
      </c>
      <c r="G32" s="4" t="s">
        <v>73</v>
      </c>
      <c r="H32" s="41">
        <f t="shared" si="8"/>
        <v>7.575757575757576E-3</v>
      </c>
      <c r="I32" s="41">
        <f t="shared" si="9"/>
        <v>0.66666666666666663</v>
      </c>
      <c r="J32" s="41">
        <f t="shared" si="10"/>
        <v>0.32575757575757575</v>
      </c>
    </row>
    <row r="33" spans="1:10" x14ac:dyDescent="0.45">
      <c r="A33" s="4" t="s">
        <v>79</v>
      </c>
      <c r="B33" s="4">
        <f>COUNTIFS(step3_combined_data!$AQ$2:$AQ$404,"Oppose", step3_combined_data!$E$2:$E$404,"40 - 49")</f>
        <v>1</v>
      </c>
      <c r="C33" s="4">
        <f>COUNTIFS(step3_combined_data!$AQ$2:$AQ$404,"Neutral", step3_combined_data!$E$2:$E$404,"40 - 49")</f>
        <v>57</v>
      </c>
      <c r="D33" s="4">
        <f>COUNTIFS(step3_combined_data!$AQ$2:$AQ$404,"Support", step3_combined_data!$E$2:$E$404,"40 - 49")</f>
        <v>21</v>
      </c>
      <c r="E33" s="4">
        <f t="shared" si="11"/>
        <v>79</v>
      </c>
      <c r="G33" s="4" t="s">
        <v>79</v>
      </c>
      <c r="H33" s="41">
        <f t="shared" si="8"/>
        <v>1.2658227848101266E-2</v>
      </c>
      <c r="I33" s="41">
        <f t="shared" si="9"/>
        <v>0.72151898734177211</v>
      </c>
      <c r="J33" s="41">
        <f t="shared" si="10"/>
        <v>0.26582278481012656</v>
      </c>
    </row>
    <row r="34" spans="1:10" x14ac:dyDescent="0.45">
      <c r="A34" s="4" t="s">
        <v>190</v>
      </c>
      <c r="B34" s="4">
        <f>COUNTIFS(step3_combined_data!$AQ$2:$AQ$404,"Oppose", step3_combined_data!$E$2:$E$404,"50 - 54")</f>
        <v>0</v>
      </c>
      <c r="C34" s="4">
        <f>COUNTIFS(step3_combined_data!$AQ$2:$AQ$404,"Neutral", step3_combined_data!$E$2:$E$404,"50 - 54")</f>
        <v>17</v>
      </c>
      <c r="D34" s="4">
        <f>COUNTIFS(step3_combined_data!$AQ$2:$AQ$404,"Support", step3_combined_data!$E$2:$E$404,"50 - 54")</f>
        <v>14</v>
      </c>
      <c r="E34" s="4">
        <f t="shared" si="11"/>
        <v>31</v>
      </c>
      <c r="G34" s="4" t="s">
        <v>190</v>
      </c>
      <c r="H34" s="41">
        <f t="shared" si="8"/>
        <v>0</v>
      </c>
      <c r="I34" s="41">
        <f t="shared" si="9"/>
        <v>0.54838709677419351</v>
      </c>
      <c r="J34" s="41">
        <f t="shared" si="10"/>
        <v>0.45161290322580644</v>
      </c>
    </row>
    <row r="35" spans="1:10" x14ac:dyDescent="0.45">
      <c r="A35" s="4" t="s">
        <v>192</v>
      </c>
      <c r="B35" s="4">
        <f>COUNTIFS(step3_combined_data!$AQ$2:$AQ$404,"Oppose", step3_combined_data!$E$2:$E$404,"55 - 64")</f>
        <v>0</v>
      </c>
      <c r="C35" s="4">
        <f>COUNTIFS(step3_combined_data!$AQ$2:$AQ$404,"Neutral", step3_combined_data!$E$2:$E$404,"55 - 64")</f>
        <v>18</v>
      </c>
      <c r="D35" s="4">
        <f>COUNTIFS(step3_combined_data!$AQ$2:$AQ$404,"Support", step3_combined_data!$E$2:$E$404,"55 - 64")</f>
        <v>9</v>
      </c>
      <c r="E35" s="4">
        <f t="shared" si="11"/>
        <v>27</v>
      </c>
      <c r="G35" s="4" t="s">
        <v>192</v>
      </c>
      <c r="H35" s="41">
        <f t="shared" si="8"/>
        <v>0</v>
      </c>
      <c r="I35" s="41">
        <f t="shared" si="9"/>
        <v>0.66666666666666663</v>
      </c>
      <c r="J35" s="41">
        <f t="shared" si="10"/>
        <v>0.33333333333333331</v>
      </c>
    </row>
    <row r="37" spans="1:10" x14ac:dyDescent="0.45">
      <c r="A37" s="39" t="s">
        <v>19</v>
      </c>
      <c r="B37" s="39" t="s">
        <v>1</v>
      </c>
      <c r="C37" s="39" t="s">
        <v>2</v>
      </c>
      <c r="D37" s="39" t="s">
        <v>3</v>
      </c>
      <c r="E37" s="39">
        <f>SUM(E38:E43)</f>
        <v>401</v>
      </c>
      <c r="G37" s="39" t="s">
        <v>19</v>
      </c>
      <c r="H37" s="39" t="s">
        <v>1</v>
      </c>
      <c r="I37" s="39" t="s">
        <v>2</v>
      </c>
      <c r="J37" s="39" t="s">
        <v>3</v>
      </c>
    </row>
    <row r="38" spans="1:10" x14ac:dyDescent="0.45">
      <c r="A38" s="4" t="s">
        <v>188</v>
      </c>
      <c r="B38" s="4">
        <f>COUNTIFS(step3_combined_data!$AV$2:$AV$404,"Oppose", step3_combined_data!$E$2:$E$404,"18 - 24")</f>
        <v>3</v>
      </c>
      <c r="C38" s="4">
        <f>COUNTIFS(step3_combined_data!$AV$2:$AV$404,"Neutral", step3_combined_data!$E$2:$E$404,"18 - 24")</f>
        <v>38</v>
      </c>
      <c r="D38" s="4">
        <f>COUNTIFS(step3_combined_data!$AV$2:$AV$404,"Support", step3_combined_data!$E$2:$E$404,"18 - 24")</f>
        <v>13</v>
      </c>
      <c r="E38" s="4">
        <f>SUM(B38:D38)</f>
        <v>54</v>
      </c>
      <c r="G38" s="4" t="s">
        <v>188</v>
      </c>
      <c r="H38" s="41">
        <f t="shared" ref="H38:H43" si="12">B38/E38</f>
        <v>5.5555555555555552E-2</v>
      </c>
      <c r="I38" s="41">
        <f t="shared" ref="I38:I43" si="13">C38/E38</f>
        <v>0.70370370370370372</v>
      </c>
      <c r="J38" s="41">
        <f t="shared" ref="J38:J43" si="14">D38/E38</f>
        <v>0.24074074074074073</v>
      </c>
    </row>
    <row r="39" spans="1:10" x14ac:dyDescent="0.45">
      <c r="A39" s="4" t="s">
        <v>81</v>
      </c>
      <c r="B39" s="4">
        <f>COUNTIFS(step3_combined_data!$AV$2:$AV$404,"Oppose", step3_combined_data!$E$2:$E$404,"25 - 29")</f>
        <v>2</v>
      </c>
      <c r="C39" s="4">
        <f>COUNTIFS(step3_combined_data!$AV$2:$AV$404,"Neutral", step3_combined_data!$E$2:$E$404,"25 - 29")</f>
        <v>67</v>
      </c>
      <c r="D39" s="4">
        <f>COUNTIFS(step3_combined_data!$AV$2:$AV$404,"Support", step3_combined_data!$E$2:$E$404,"25 - 29")</f>
        <v>9</v>
      </c>
      <c r="E39" s="4">
        <f t="shared" ref="E39:E43" si="15">SUM(B39:D39)</f>
        <v>78</v>
      </c>
      <c r="G39" s="4" t="s">
        <v>81</v>
      </c>
      <c r="H39" s="41">
        <f t="shared" si="12"/>
        <v>2.564102564102564E-2</v>
      </c>
      <c r="I39" s="41">
        <f t="shared" si="13"/>
        <v>0.85897435897435892</v>
      </c>
      <c r="J39" s="41">
        <f t="shared" si="14"/>
        <v>0.11538461538461539</v>
      </c>
    </row>
    <row r="40" spans="1:10" x14ac:dyDescent="0.45">
      <c r="A40" s="4" t="s">
        <v>73</v>
      </c>
      <c r="B40" s="4">
        <f>COUNTIFS(step3_combined_data!$AV$2:$AV$404,"Oppose", step3_combined_data!$E$2:$E$404,"30 - 39")</f>
        <v>6</v>
      </c>
      <c r="C40" s="4">
        <f>COUNTIFS(step3_combined_data!$AV$2:$AV$404,"Neutral", step3_combined_data!$E$2:$E$404,"30 - 39")</f>
        <v>106</v>
      </c>
      <c r="D40" s="4">
        <f>COUNTIFS(step3_combined_data!$AV$2:$AV$404,"Support", step3_combined_data!$E$2:$E$404,"30 - 39")</f>
        <v>20</v>
      </c>
      <c r="E40" s="4">
        <f t="shared" si="15"/>
        <v>132</v>
      </c>
      <c r="G40" s="4" t="s">
        <v>73</v>
      </c>
      <c r="H40" s="41">
        <f t="shared" si="12"/>
        <v>4.5454545454545456E-2</v>
      </c>
      <c r="I40" s="41">
        <f t="shared" si="13"/>
        <v>0.80303030303030298</v>
      </c>
      <c r="J40" s="41">
        <f t="shared" si="14"/>
        <v>0.15151515151515152</v>
      </c>
    </row>
    <row r="41" spans="1:10" x14ac:dyDescent="0.45">
      <c r="A41" s="4" t="s">
        <v>79</v>
      </c>
      <c r="B41" s="4">
        <f>COUNTIFS(step3_combined_data!$AV$2:$AV$404,"Oppose", step3_combined_data!$E$2:$E$404,"40 - 49")</f>
        <v>6</v>
      </c>
      <c r="C41" s="4">
        <f>COUNTIFS(step3_combined_data!$AV$2:$AV$404,"Neutral", step3_combined_data!$E$2:$E$404,"40 - 49")</f>
        <v>60</v>
      </c>
      <c r="D41" s="4">
        <f>COUNTIFS(step3_combined_data!$AV$2:$AV$404,"Support", step3_combined_data!$E$2:$E$404,"40 - 49")</f>
        <v>13</v>
      </c>
      <c r="E41" s="4">
        <f t="shared" si="15"/>
        <v>79</v>
      </c>
      <c r="G41" s="4" t="s">
        <v>79</v>
      </c>
      <c r="H41" s="41">
        <f t="shared" si="12"/>
        <v>7.5949367088607597E-2</v>
      </c>
      <c r="I41" s="41">
        <f t="shared" si="13"/>
        <v>0.759493670886076</v>
      </c>
      <c r="J41" s="41">
        <f t="shared" si="14"/>
        <v>0.16455696202531644</v>
      </c>
    </row>
    <row r="42" spans="1:10" x14ac:dyDescent="0.45">
      <c r="A42" s="4" t="s">
        <v>190</v>
      </c>
      <c r="B42" s="4">
        <f>COUNTIFS(step3_combined_data!$AV$2:$AV$404,"Oppose", step3_combined_data!$E$2:$E$404,"50 - 54")</f>
        <v>0</v>
      </c>
      <c r="C42" s="4">
        <f>COUNTIFS(step3_combined_data!$AV$2:$AV$404,"Neutral", step3_combined_data!$E$2:$E$404,"50 - 54")</f>
        <v>28</v>
      </c>
      <c r="D42" s="4">
        <f>COUNTIFS(step3_combined_data!$AV$2:$AV$404,"Support", step3_combined_data!$E$2:$E$404,"50 - 54")</f>
        <v>3</v>
      </c>
      <c r="E42" s="4">
        <f t="shared" si="15"/>
        <v>31</v>
      </c>
      <c r="G42" s="4" t="s">
        <v>190</v>
      </c>
      <c r="H42" s="41">
        <f t="shared" si="12"/>
        <v>0</v>
      </c>
      <c r="I42" s="41">
        <f t="shared" si="13"/>
        <v>0.90322580645161288</v>
      </c>
      <c r="J42" s="41">
        <f t="shared" si="14"/>
        <v>9.6774193548387094E-2</v>
      </c>
    </row>
    <row r="43" spans="1:10" x14ac:dyDescent="0.45">
      <c r="A43" s="4" t="s">
        <v>192</v>
      </c>
      <c r="B43" s="4">
        <f>COUNTIFS(step3_combined_data!$AV$2:$AV$404,"Oppose", step3_combined_data!$E$2:$E$404,"55 - 64")</f>
        <v>1</v>
      </c>
      <c r="C43" s="4">
        <f>COUNTIFS(step3_combined_data!$AV$2:$AV$404,"Neutral", step3_combined_data!$E$2:$E$404,"55 - 64")</f>
        <v>22</v>
      </c>
      <c r="D43" s="4">
        <f>COUNTIFS(step3_combined_data!$AV$2:$AV$404,"Support", step3_combined_data!$E$2:$E$404,"55 - 64")</f>
        <v>4</v>
      </c>
      <c r="E43" s="4">
        <f t="shared" si="15"/>
        <v>27</v>
      </c>
      <c r="G43" s="4" t="s">
        <v>192</v>
      </c>
      <c r="H43" s="41">
        <f t="shared" si="12"/>
        <v>3.7037037037037035E-2</v>
      </c>
      <c r="I43" s="41">
        <f t="shared" si="13"/>
        <v>0.81481481481481477</v>
      </c>
      <c r="J43" s="41">
        <f t="shared" si="14"/>
        <v>0.14814814814814814</v>
      </c>
    </row>
    <row r="45" spans="1:10" x14ac:dyDescent="0.45">
      <c r="A45" s="39" t="s">
        <v>20</v>
      </c>
      <c r="B45" s="39" t="s">
        <v>1</v>
      </c>
      <c r="C45" s="39" t="s">
        <v>2</v>
      </c>
      <c r="D45" s="39" t="s">
        <v>3</v>
      </c>
      <c r="E45" s="39">
        <f>SUM(E46:E51)</f>
        <v>401</v>
      </c>
      <c r="G45" s="39" t="s">
        <v>20</v>
      </c>
      <c r="H45" s="39" t="s">
        <v>1</v>
      </c>
      <c r="I45" s="39" t="s">
        <v>2</v>
      </c>
      <c r="J45" s="39" t="s">
        <v>3</v>
      </c>
    </row>
    <row r="46" spans="1:10" x14ac:dyDescent="0.45">
      <c r="A46" s="4" t="s">
        <v>188</v>
      </c>
      <c r="B46" s="4">
        <f>COUNTIFS(step3_combined_data!$BA$2:$BA$404,"Oppose", step3_combined_data!$E$2:$E$404,"18 - 24")</f>
        <v>5</v>
      </c>
      <c r="C46" s="4">
        <f>COUNTIFS(step3_combined_data!$BA$2:$BA$404,"Neutral", step3_combined_data!$E$2:$E$404,"18 - 24")</f>
        <v>47</v>
      </c>
      <c r="D46" s="4">
        <f>COUNTIFS(step3_combined_data!$BA$2:$BA$404,"Support", step3_combined_data!$E$2:$E$404,"18 - 24")</f>
        <v>2</v>
      </c>
      <c r="E46" s="4">
        <f>SUM(B46:D46)</f>
        <v>54</v>
      </c>
      <c r="G46" s="4" t="s">
        <v>188</v>
      </c>
      <c r="H46" s="41">
        <f t="shared" ref="H46:H51" si="16">B46/E46</f>
        <v>9.2592592592592587E-2</v>
      </c>
      <c r="I46" s="41">
        <f t="shared" ref="I46:I51" si="17">C46/E46</f>
        <v>0.87037037037037035</v>
      </c>
      <c r="J46" s="41">
        <f t="shared" ref="J46:J51" si="18">D46/E46</f>
        <v>3.7037037037037035E-2</v>
      </c>
    </row>
    <row r="47" spans="1:10" x14ac:dyDescent="0.45">
      <c r="A47" s="4" t="s">
        <v>81</v>
      </c>
      <c r="B47" s="4">
        <f>COUNTIFS(step3_combined_data!$BA$2:$BA$404,"Oppose", step3_combined_data!$E$2:$E$404,"25 - 29")</f>
        <v>3</v>
      </c>
      <c r="C47" s="4">
        <f>COUNTIFS(step3_combined_data!$BA$2:$BA$404,"Neutral", step3_combined_data!$E$2:$E$404,"25 - 29")</f>
        <v>65</v>
      </c>
      <c r="D47" s="4">
        <f>COUNTIFS(step3_combined_data!$BA$2:$BA$404,"Support", step3_combined_data!$E$2:$E$404,"25 - 29")</f>
        <v>10</v>
      </c>
      <c r="E47" s="4">
        <f t="shared" ref="E47:E51" si="19">SUM(B47:D47)</f>
        <v>78</v>
      </c>
      <c r="G47" s="4" t="s">
        <v>81</v>
      </c>
      <c r="H47" s="41">
        <f t="shared" si="16"/>
        <v>3.8461538461538464E-2</v>
      </c>
      <c r="I47" s="41">
        <f t="shared" si="17"/>
        <v>0.83333333333333337</v>
      </c>
      <c r="J47" s="41">
        <f t="shared" si="18"/>
        <v>0.12820512820512819</v>
      </c>
    </row>
    <row r="48" spans="1:10" x14ac:dyDescent="0.45">
      <c r="A48" s="4" t="s">
        <v>73</v>
      </c>
      <c r="B48" s="4">
        <f>COUNTIFS(step3_combined_data!$BA$2:$BA$404,"Oppose", step3_combined_data!$E$2:$E$404,"30 - 39")</f>
        <v>7</v>
      </c>
      <c r="C48" s="4">
        <f>COUNTIFS(step3_combined_data!$BA$2:$BA$404,"Neutral", step3_combined_data!$E$2:$E$404,"30 - 39")</f>
        <v>115</v>
      </c>
      <c r="D48" s="4">
        <f>COUNTIFS(step3_combined_data!$BA$2:$BA$404,"Support", step3_combined_data!$E$2:$E$404,"30 - 39")</f>
        <v>10</v>
      </c>
      <c r="E48" s="4">
        <f t="shared" si="19"/>
        <v>132</v>
      </c>
      <c r="G48" s="4" t="s">
        <v>73</v>
      </c>
      <c r="H48" s="41">
        <f t="shared" si="16"/>
        <v>5.3030303030303032E-2</v>
      </c>
      <c r="I48" s="41">
        <f t="shared" si="17"/>
        <v>0.87121212121212122</v>
      </c>
      <c r="J48" s="41">
        <f t="shared" si="18"/>
        <v>7.575757575757576E-2</v>
      </c>
    </row>
    <row r="49" spans="1:10" x14ac:dyDescent="0.45">
      <c r="A49" s="4" t="s">
        <v>79</v>
      </c>
      <c r="B49" s="4">
        <f>COUNTIFS(step3_combined_data!$BA$2:$BA$404,"Oppose", step3_combined_data!$E$2:$E$404,"40 - 49")</f>
        <v>4</v>
      </c>
      <c r="C49" s="4">
        <f>COUNTIFS(step3_combined_data!$BA$2:$BA$404,"Neutral", step3_combined_data!$E$2:$E$404,"40 - 49")</f>
        <v>68</v>
      </c>
      <c r="D49" s="4">
        <f>COUNTIFS(step3_combined_data!$BA$2:$BA$404,"Support", step3_combined_data!$E$2:$E$404,"40 - 49")</f>
        <v>7</v>
      </c>
      <c r="E49" s="4">
        <f t="shared" si="19"/>
        <v>79</v>
      </c>
      <c r="G49" s="4" t="s">
        <v>79</v>
      </c>
      <c r="H49" s="41">
        <f t="shared" si="16"/>
        <v>5.0632911392405063E-2</v>
      </c>
      <c r="I49" s="41">
        <f t="shared" si="17"/>
        <v>0.86075949367088611</v>
      </c>
      <c r="J49" s="41">
        <f t="shared" si="18"/>
        <v>8.8607594936708861E-2</v>
      </c>
    </row>
    <row r="50" spans="1:10" x14ac:dyDescent="0.45">
      <c r="A50" s="4" t="s">
        <v>190</v>
      </c>
      <c r="B50" s="4">
        <f>COUNTIFS(step3_combined_data!$BA$2:$BA$404,"Oppose", step3_combined_data!$E$2:$E$404,"50 - 54")</f>
        <v>3</v>
      </c>
      <c r="C50" s="4">
        <f>COUNTIFS(step3_combined_data!$BA$2:$BA$404,"Neutral", step3_combined_data!$E$2:$E$404,"50 - 54")</f>
        <v>26</v>
      </c>
      <c r="D50" s="4">
        <f>COUNTIFS(step3_combined_data!$BA$2:$BA$404,"Support", step3_combined_data!$E$2:$E$404,"50 - 54")</f>
        <v>2</v>
      </c>
      <c r="E50" s="4">
        <f t="shared" si="19"/>
        <v>31</v>
      </c>
      <c r="G50" s="4" t="s">
        <v>190</v>
      </c>
      <c r="H50" s="41">
        <f t="shared" si="16"/>
        <v>9.6774193548387094E-2</v>
      </c>
      <c r="I50" s="41">
        <f t="shared" si="17"/>
        <v>0.83870967741935487</v>
      </c>
      <c r="J50" s="41">
        <f t="shared" si="18"/>
        <v>6.4516129032258063E-2</v>
      </c>
    </row>
    <row r="51" spans="1:10" x14ac:dyDescent="0.45">
      <c r="A51" s="4" t="s">
        <v>192</v>
      </c>
      <c r="B51" s="4">
        <f>COUNTIFS(step3_combined_data!$BA$2:$BA$404,"Oppose", step3_combined_data!$E$2:$E$404,"55 - 64")</f>
        <v>2</v>
      </c>
      <c r="C51" s="4">
        <f>COUNTIFS(step3_combined_data!$BA$2:$BA$404,"Neutral", step3_combined_data!$E$2:$E$404,"55 - 64")</f>
        <v>22</v>
      </c>
      <c r="D51" s="4">
        <f>COUNTIFS(step3_combined_data!$BA$2:$BA$404,"Support", step3_combined_data!$E$2:$E$404,"55 - 64")</f>
        <v>3</v>
      </c>
      <c r="E51" s="4">
        <f t="shared" si="19"/>
        <v>27</v>
      </c>
      <c r="G51" s="4" t="s">
        <v>192</v>
      </c>
      <c r="H51" s="41">
        <f t="shared" si="16"/>
        <v>7.407407407407407E-2</v>
      </c>
      <c r="I51" s="41">
        <f t="shared" si="17"/>
        <v>0.81481481481481477</v>
      </c>
      <c r="J51" s="41">
        <f t="shared" si="18"/>
        <v>0.1111111111111111</v>
      </c>
    </row>
    <row r="53" spans="1:10" x14ac:dyDescent="0.45">
      <c r="A53" s="39" t="s">
        <v>18</v>
      </c>
      <c r="B53" s="39" t="s">
        <v>1</v>
      </c>
      <c r="C53" s="39" t="s">
        <v>2</v>
      </c>
      <c r="D53" s="39" t="s">
        <v>3</v>
      </c>
      <c r="E53" s="39">
        <f>SUM(E54:E61)</f>
        <v>402</v>
      </c>
      <c r="G53" s="39" t="s">
        <v>18</v>
      </c>
      <c r="H53" s="39" t="s">
        <v>1</v>
      </c>
      <c r="I53" s="39" t="s">
        <v>2</v>
      </c>
      <c r="J53" s="39" t="s">
        <v>3</v>
      </c>
    </row>
    <row r="54" spans="1:10" x14ac:dyDescent="0.45">
      <c r="A54" s="4" t="s">
        <v>193</v>
      </c>
      <c r="B54" s="4">
        <f>COUNTIFS(step3_combined_data!$AQ$2:$AQ$404,"Oppose", step3_combined_data!$N$2:$N$404,"Dưới 12 triệu VNĐ")</f>
        <v>0</v>
      </c>
      <c r="C54" s="4">
        <f>COUNTIFS(step3_combined_data!$AQ$2:$AQ$404,"Neutral", step3_combined_data!$N$2:$N$404,"Dưới 12 triệu VNĐ")</f>
        <v>29</v>
      </c>
      <c r="D54" s="4">
        <f>COUNTIFS(step3_combined_data!$AQ$2:$AQ$404,"Support", step3_combined_data!$N$2:$N$404,"Dưới 12 triệu VNĐ")</f>
        <v>12</v>
      </c>
      <c r="E54" s="4">
        <f>SUM(B54:D54)</f>
        <v>41</v>
      </c>
      <c r="G54" s="4" t="s">
        <v>193</v>
      </c>
      <c r="H54" s="41">
        <f t="shared" ref="H54:H61" si="20">B54/E54</f>
        <v>0</v>
      </c>
      <c r="I54" s="41">
        <f t="shared" ref="I54:I61" si="21">C54/E54</f>
        <v>0.70731707317073167</v>
      </c>
      <c r="J54" s="41">
        <f t="shared" ref="J54:J61" si="22">D54/E54</f>
        <v>0.29268292682926828</v>
      </c>
    </row>
    <row r="55" spans="1:10" x14ac:dyDescent="0.45">
      <c r="A55" s="4" t="s">
        <v>103</v>
      </c>
      <c r="B55" s="4">
        <f>COUNTIFS(step3_combined_data!$AQ$2:$AQ$404,"Oppose", step3_combined_data!$N$2:$N$404,"Từ 12 - 18 triệu VNĐ")</f>
        <v>1</v>
      </c>
      <c r="C55" s="4">
        <f>COUNTIFS(step3_combined_data!$AQ$2:$AQ$404,"Neutral", step3_combined_data!$N$2:$N$404,"Từ 12 - 18 triệu VNĐ")</f>
        <v>47</v>
      </c>
      <c r="D55" s="4">
        <f>COUNTIFS(step3_combined_data!$AQ$2:$AQ$404,"Support", step3_combined_data!$N$2:$N$404,"Từ 12 - 18 triệu VNĐ")</f>
        <v>31</v>
      </c>
      <c r="E55" s="4">
        <f t="shared" ref="E55:E61" si="23">SUM(B55:D55)</f>
        <v>79</v>
      </c>
      <c r="G55" s="4" t="s">
        <v>103</v>
      </c>
      <c r="H55" s="41">
        <f t="shared" si="20"/>
        <v>1.2658227848101266E-2</v>
      </c>
      <c r="I55" s="41">
        <f t="shared" si="21"/>
        <v>0.59493670886075944</v>
      </c>
      <c r="J55" s="41">
        <f t="shared" si="22"/>
        <v>0.39240506329113922</v>
      </c>
    </row>
    <row r="56" spans="1:10" x14ac:dyDescent="0.45">
      <c r="A56" s="4" t="s">
        <v>195</v>
      </c>
      <c r="B56" s="4">
        <f>COUNTIFS(step3_combined_data!$AQ$2:$AQ$404,"Oppose", step3_combined_data!$N$2:$N$404,"Từ 18 - 23 triệu VNĐ")</f>
        <v>0</v>
      </c>
      <c r="C56" s="4">
        <f>COUNTIFS(step3_combined_data!$AQ$2:$AQ$404,"Neutral", step3_combined_data!$N$2:$N$404,"Từ 18 - 23 triệu VNĐ")</f>
        <v>30</v>
      </c>
      <c r="D56" s="4">
        <f>COUNTIFS(step3_combined_data!$AQ$2:$AQ$404,"Support", step3_combined_data!$N$2:$N$404,"Từ 18 - 23 triệu VNĐ")</f>
        <v>11</v>
      </c>
      <c r="E56" s="4">
        <f t="shared" si="23"/>
        <v>41</v>
      </c>
      <c r="G56" s="4" t="s">
        <v>195</v>
      </c>
      <c r="H56" s="41">
        <f t="shared" si="20"/>
        <v>0</v>
      </c>
      <c r="I56" s="41">
        <f t="shared" si="21"/>
        <v>0.73170731707317072</v>
      </c>
      <c r="J56" s="41">
        <f t="shared" si="22"/>
        <v>0.26829268292682928</v>
      </c>
    </row>
    <row r="57" spans="1:10" x14ac:dyDescent="0.45">
      <c r="A57" s="4" t="s">
        <v>100</v>
      </c>
      <c r="B57" s="4">
        <f>COUNTIFS(step3_combined_data!$AQ$2:$AQ$404,"Oppose", step3_combined_data!$N$2:$N$404,"Từ 23 - 32 triệu VNĐ")</f>
        <v>1</v>
      </c>
      <c r="C57" s="4">
        <f>COUNTIFS(step3_combined_data!$AQ$2:$AQ$404,"Neutral", step3_combined_data!$N$2:$N$404,"Từ 23 - 32 triệu VNĐ")</f>
        <v>34</v>
      </c>
      <c r="D57" s="4">
        <f>COUNTIFS(step3_combined_data!$AQ$2:$AQ$404,"Support", step3_combined_data!$N$2:$N$404,"Từ 23 - 32 triệu VNĐ")</f>
        <v>17</v>
      </c>
      <c r="E57" s="4">
        <f t="shared" si="23"/>
        <v>52</v>
      </c>
      <c r="G57" s="4" t="s">
        <v>100</v>
      </c>
      <c r="H57" s="41">
        <f t="shared" si="20"/>
        <v>1.9230769230769232E-2</v>
      </c>
      <c r="I57" s="41">
        <f t="shared" si="21"/>
        <v>0.65384615384615385</v>
      </c>
      <c r="J57" s="41">
        <f t="shared" si="22"/>
        <v>0.32692307692307693</v>
      </c>
    </row>
    <row r="58" spans="1:10" x14ac:dyDescent="0.45">
      <c r="A58" s="4" t="s">
        <v>108</v>
      </c>
      <c r="B58" s="4">
        <f>COUNTIFS(step3_combined_data!$AQ$2:$AQ$404,"Oppose", step3_combined_data!$N$2:$N$404,"Từ 32 - 48 triệu VNĐ")</f>
        <v>1</v>
      </c>
      <c r="C58" s="4">
        <f>COUNTIFS(step3_combined_data!$AQ$2:$AQ$404,"Neutral", step3_combined_data!$N$2:$N$404,"Từ 32 - 48 triệu VNĐ")</f>
        <v>35</v>
      </c>
      <c r="D58" s="4">
        <f>COUNTIFS(step3_combined_data!$AQ$2:$AQ$404,"Support", step3_combined_data!$N$2:$N$404,"Từ 32 - 48 triệu VNĐ")</f>
        <v>17</v>
      </c>
      <c r="E58" s="4">
        <f t="shared" si="23"/>
        <v>53</v>
      </c>
      <c r="G58" s="4" t="s">
        <v>108</v>
      </c>
      <c r="H58" s="41">
        <f t="shared" si="20"/>
        <v>1.8867924528301886E-2</v>
      </c>
      <c r="I58" s="41">
        <f t="shared" si="21"/>
        <v>0.660377358490566</v>
      </c>
      <c r="J58" s="41">
        <f t="shared" si="22"/>
        <v>0.32075471698113206</v>
      </c>
    </row>
    <row r="59" spans="1:10" x14ac:dyDescent="0.45">
      <c r="A59" s="4" t="s">
        <v>110</v>
      </c>
      <c r="B59" s="4">
        <f>COUNTIFS(step3_combined_data!$AQ$2:$AQ$404,"Oppose", step3_combined_data!$N$2:$N$404,"Từ 48 - 70 triệu VNĐ")</f>
        <v>1</v>
      </c>
      <c r="C59" s="4">
        <f>COUNTIFS(step3_combined_data!$AQ$2:$AQ$404,"Neutral", step3_combined_data!$N$2:$N$404,"Từ 48 - 70 triệu VNĐ")</f>
        <v>44</v>
      </c>
      <c r="D59" s="4">
        <f>COUNTIFS(step3_combined_data!$AQ$2:$AQ$404,"Support", step3_combined_data!$N$2:$N$404,"Từ 48 - 70 triệu VNĐ")</f>
        <v>17</v>
      </c>
      <c r="E59" s="4">
        <f t="shared" si="23"/>
        <v>62</v>
      </c>
      <c r="G59" s="4" t="s">
        <v>110</v>
      </c>
      <c r="H59" s="41">
        <f t="shared" si="20"/>
        <v>1.6129032258064516E-2</v>
      </c>
      <c r="I59" s="41">
        <f t="shared" si="21"/>
        <v>0.70967741935483875</v>
      </c>
      <c r="J59" s="41">
        <f t="shared" si="22"/>
        <v>0.27419354838709675</v>
      </c>
    </row>
    <row r="60" spans="1:10" x14ac:dyDescent="0.45">
      <c r="A60" s="4" t="s">
        <v>106</v>
      </c>
      <c r="B60" s="4">
        <f>COUNTIFS(step3_combined_data!$AQ$2:$AQ$404,"Oppose", step3_combined_data!$N$2:$N$404,"Từ 70 - 102 triệu VNĐ")</f>
        <v>0</v>
      </c>
      <c r="C60" s="4">
        <f>COUNTIFS(step3_combined_data!$AQ$2:$AQ$404,"Neutral", step3_combined_data!$N$2:$N$404,"Từ 70 - 102 triệu VNĐ")</f>
        <v>26</v>
      </c>
      <c r="D60" s="4">
        <f>COUNTIFS(step3_combined_data!$AQ$2:$AQ$404,"Support", step3_combined_data!$N$2:$N$404,"Từ 70 - 102 triệu VNĐ")</f>
        <v>13</v>
      </c>
      <c r="E60" s="4">
        <f t="shared" si="23"/>
        <v>39</v>
      </c>
      <c r="G60" s="4" t="s">
        <v>106</v>
      </c>
      <c r="H60" s="41">
        <f t="shared" si="20"/>
        <v>0</v>
      </c>
      <c r="I60" s="41">
        <f t="shared" si="21"/>
        <v>0.66666666666666663</v>
      </c>
      <c r="J60" s="41">
        <f t="shared" si="22"/>
        <v>0.33333333333333331</v>
      </c>
    </row>
    <row r="61" spans="1:10" x14ac:dyDescent="0.45">
      <c r="A61" s="4" t="s">
        <v>107</v>
      </c>
      <c r="B61" s="4">
        <f>COUNTIFS(step3_combined_data!$AQ$2:$AQ$404,"Oppose", step3_combined_data!$N$2:$N$404,"Trên 102 triệu VNĐ")</f>
        <v>0</v>
      </c>
      <c r="C61" s="4">
        <f>COUNTIFS(step3_combined_data!$AQ$2:$AQ$404,"Neutral", step3_combined_data!$N$2:$N$404,"Trên 102 triệu VNĐ")</f>
        <v>20</v>
      </c>
      <c r="D61" s="4">
        <f>COUNTIFS(step3_combined_data!$AQ$2:$AQ$404,"Support", step3_combined_data!$N$2:$N$404,"Trên 102 triệu VNĐ")</f>
        <v>15</v>
      </c>
      <c r="E61" s="4">
        <f t="shared" si="23"/>
        <v>35</v>
      </c>
      <c r="G61" s="4" t="s">
        <v>107</v>
      </c>
      <c r="H61" s="41">
        <f t="shared" si="20"/>
        <v>0</v>
      </c>
      <c r="I61" s="41">
        <f t="shared" si="21"/>
        <v>0.5714285714285714</v>
      </c>
      <c r="J61" s="41">
        <f t="shared" si="22"/>
        <v>0.42857142857142855</v>
      </c>
    </row>
    <row r="63" spans="1:10" x14ac:dyDescent="0.45">
      <c r="A63" s="39" t="s">
        <v>19</v>
      </c>
      <c r="B63" s="39" t="s">
        <v>1</v>
      </c>
      <c r="C63" s="39" t="s">
        <v>2</v>
      </c>
      <c r="D63" s="39" t="s">
        <v>3</v>
      </c>
      <c r="E63" s="39">
        <f>SUM(E64:E71)</f>
        <v>401</v>
      </c>
      <c r="G63" s="39" t="s">
        <v>19</v>
      </c>
      <c r="H63" s="39" t="s">
        <v>1</v>
      </c>
      <c r="I63" s="39" t="s">
        <v>2</v>
      </c>
      <c r="J63" s="39" t="s">
        <v>3</v>
      </c>
    </row>
    <row r="64" spans="1:10" x14ac:dyDescent="0.45">
      <c r="A64" s="4" t="s">
        <v>193</v>
      </c>
      <c r="B64" s="4">
        <f>COUNTIFS(step3_combined_data!$AV$2:$AV$404,"Oppose", step3_combined_data!$N$2:$N$404,"Dưới 12 triệu VNĐ")</f>
        <v>4</v>
      </c>
      <c r="C64" s="4">
        <f>COUNTIFS(step3_combined_data!$AV$2:$AV$404,"Neutral", step3_combined_data!$N$2:$N$404,"Dưới 12 triệu VNĐ")</f>
        <v>33</v>
      </c>
      <c r="D64" s="4">
        <f>COUNTIFS(step3_combined_data!$AV$2:$AV$404,"Support", step3_combined_data!$N$2:$N$404,"Dưới 12 triệu VNĐ")</f>
        <v>4</v>
      </c>
      <c r="E64" s="4">
        <f>SUM(B64:D64)</f>
        <v>41</v>
      </c>
      <c r="G64" s="4" t="s">
        <v>193</v>
      </c>
      <c r="H64" s="41">
        <f t="shared" ref="H64:H71" si="24">B64/E64</f>
        <v>9.7560975609756101E-2</v>
      </c>
      <c r="I64" s="41">
        <f t="shared" ref="I64:I71" si="25">C64/E64</f>
        <v>0.80487804878048785</v>
      </c>
      <c r="J64" s="41">
        <f t="shared" ref="J64:J71" si="26">D64/E64</f>
        <v>9.7560975609756101E-2</v>
      </c>
    </row>
    <row r="65" spans="1:10" x14ac:dyDescent="0.45">
      <c r="A65" s="4" t="s">
        <v>103</v>
      </c>
      <c r="B65" s="4">
        <f>COUNTIFS(step3_combined_data!$AV$2:$AV$404,"Oppose", step3_combined_data!$N$2:$N$404,"Từ 12 - 18 triệu VNĐ")</f>
        <v>2</v>
      </c>
      <c r="C65" s="4">
        <f>COUNTIFS(step3_combined_data!$AV$2:$AV$404,"Neutral", step3_combined_data!$N$2:$N$404,"Từ 12 - 18 triệu VNĐ")</f>
        <v>65</v>
      </c>
      <c r="D65" s="4">
        <f>COUNTIFS(step3_combined_data!$AV$2:$AV$404,"Support", step3_combined_data!$N$2:$N$404,"Từ 12 - 18 triệu VNĐ")</f>
        <v>11</v>
      </c>
      <c r="E65" s="4">
        <f t="shared" ref="E65:E71" si="27">SUM(B65:D65)</f>
        <v>78</v>
      </c>
      <c r="G65" s="4" t="s">
        <v>103</v>
      </c>
      <c r="H65" s="41">
        <f t="shared" si="24"/>
        <v>2.564102564102564E-2</v>
      </c>
      <c r="I65" s="41">
        <f t="shared" si="25"/>
        <v>0.83333333333333337</v>
      </c>
      <c r="J65" s="41">
        <f t="shared" si="26"/>
        <v>0.14102564102564102</v>
      </c>
    </row>
    <row r="66" spans="1:10" x14ac:dyDescent="0.45">
      <c r="A66" s="4" t="s">
        <v>195</v>
      </c>
      <c r="B66" s="4">
        <f>COUNTIFS(step3_combined_data!$AV$2:$AV$404,"Oppose", step3_combined_data!$N$2:$N$404,"Từ 18 - 23 triệu VNĐ")</f>
        <v>0</v>
      </c>
      <c r="C66" s="4">
        <f>COUNTIFS(step3_combined_data!$AV$2:$AV$404,"Neutral", step3_combined_data!$N$2:$N$404,"Từ 18 - 23 triệu VNĐ")</f>
        <v>33</v>
      </c>
      <c r="D66" s="4">
        <f>COUNTIFS(step3_combined_data!$AV$2:$AV$404,"Support", step3_combined_data!$N$2:$N$404,"Từ 18 - 23 triệu VNĐ")</f>
        <v>8</v>
      </c>
      <c r="E66" s="4">
        <f t="shared" si="27"/>
        <v>41</v>
      </c>
      <c r="G66" s="4" t="s">
        <v>195</v>
      </c>
      <c r="H66" s="41">
        <f t="shared" si="24"/>
        <v>0</v>
      </c>
      <c r="I66" s="41">
        <f t="shared" si="25"/>
        <v>0.80487804878048785</v>
      </c>
      <c r="J66" s="41">
        <f t="shared" si="26"/>
        <v>0.1951219512195122</v>
      </c>
    </row>
    <row r="67" spans="1:10" x14ac:dyDescent="0.45">
      <c r="A67" s="4" t="s">
        <v>100</v>
      </c>
      <c r="B67" s="4">
        <f>COUNTIFS(step3_combined_data!$AV$2:$AV$404,"Oppose", step3_combined_data!$N$2:$N$404,"Từ 23 - 32 triệu VNĐ")</f>
        <v>2</v>
      </c>
      <c r="C67" s="4">
        <f>COUNTIFS(step3_combined_data!$AV$2:$AV$404,"Neutral", step3_combined_data!$N$2:$N$404,"Từ 23 - 32 triệu VNĐ")</f>
        <v>45</v>
      </c>
      <c r="D67" s="4">
        <f>COUNTIFS(step3_combined_data!$AV$2:$AV$404,"Support", step3_combined_data!$N$2:$N$404,"Từ 23 - 32 triệu VNĐ")</f>
        <v>5</v>
      </c>
      <c r="E67" s="4">
        <f t="shared" si="27"/>
        <v>52</v>
      </c>
      <c r="G67" s="4" t="s">
        <v>100</v>
      </c>
      <c r="H67" s="41">
        <f t="shared" si="24"/>
        <v>3.8461538461538464E-2</v>
      </c>
      <c r="I67" s="41">
        <f t="shared" si="25"/>
        <v>0.86538461538461542</v>
      </c>
      <c r="J67" s="41">
        <f t="shared" si="26"/>
        <v>9.6153846153846159E-2</v>
      </c>
    </row>
    <row r="68" spans="1:10" x14ac:dyDescent="0.45">
      <c r="A68" s="4" t="s">
        <v>108</v>
      </c>
      <c r="B68" s="4">
        <f>COUNTIFS(step3_combined_data!$AV$2:$AV$404,"Oppose", step3_combined_data!$N$2:$N$404,"Từ 32 - 48 triệu VNĐ")</f>
        <v>2</v>
      </c>
      <c r="C68" s="4">
        <f>COUNTIFS(step3_combined_data!$AV$2:$AV$404,"Neutral", step3_combined_data!$N$2:$N$404,"Từ 32 - 48 triệu VNĐ")</f>
        <v>38</v>
      </c>
      <c r="D68" s="4">
        <f>COUNTIFS(step3_combined_data!$AV$2:$AV$404,"Support", step3_combined_data!$N$2:$N$404,"Từ 32 - 48 triệu VNĐ")</f>
        <v>13</v>
      </c>
      <c r="E68" s="4">
        <f t="shared" si="27"/>
        <v>53</v>
      </c>
      <c r="G68" s="4" t="s">
        <v>108</v>
      </c>
      <c r="H68" s="41">
        <f t="shared" si="24"/>
        <v>3.7735849056603772E-2</v>
      </c>
      <c r="I68" s="41">
        <f t="shared" si="25"/>
        <v>0.71698113207547165</v>
      </c>
      <c r="J68" s="41">
        <f t="shared" si="26"/>
        <v>0.24528301886792453</v>
      </c>
    </row>
    <row r="69" spans="1:10" x14ac:dyDescent="0.45">
      <c r="A69" s="4" t="s">
        <v>110</v>
      </c>
      <c r="B69" s="4">
        <f>COUNTIFS(step3_combined_data!$AV$2:$AV$404,"Oppose", step3_combined_data!$N$2:$N$404,"Từ 48 - 70 triệu VNĐ")</f>
        <v>3</v>
      </c>
      <c r="C69" s="4">
        <f>COUNTIFS(step3_combined_data!$AV$2:$AV$404,"Neutral", step3_combined_data!$N$2:$N$404,"Từ 48 - 70 triệu VNĐ")</f>
        <v>49</v>
      </c>
      <c r="D69" s="4">
        <f>COUNTIFS(step3_combined_data!$AV$2:$AV$404,"Support", step3_combined_data!$N$2:$N$404,"Từ 48 - 70 triệu VNĐ")</f>
        <v>10</v>
      </c>
      <c r="E69" s="4">
        <f t="shared" si="27"/>
        <v>62</v>
      </c>
      <c r="G69" s="4" t="s">
        <v>110</v>
      </c>
      <c r="H69" s="41">
        <f t="shared" si="24"/>
        <v>4.8387096774193547E-2</v>
      </c>
      <c r="I69" s="41">
        <f t="shared" si="25"/>
        <v>0.79032258064516125</v>
      </c>
      <c r="J69" s="41">
        <f t="shared" si="26"/>
        <v>0.16129032258064516</v>
      </c>
    </row>
    <row r="70" spans="1:10" x14ac:dyDescent="0.45">
      <c r="A70" s="4" t="s">
        <v>106</v>
      </c>
      <c r="B70" s="4">
        <f>COUNTIFS(step3_combined_data!$AV$2:$AV$404,"Oppose", step3_combined_data!$N$2:$N$404,"Từ 70 - 102 triệu VNĐ")</f>
        <v>3</v>
      </c>
      <c r="C70" s="4">
        <f>COUNTIFS(step3_combined_data!$AV$2:$AV$404,"Neutral", step3_combined_data!$N$2:$N$404,"Từ 70 - 102 triệu VNĐ")</f>
        <v>28</v>
      </c>
      <c r="D70" s="4">
        <f>COUNTIFS(step3_combined_data!$AV$2:$AV$404,"Support", step3_combined_data!$N$2:$N$404,"Từ 70 - 102 triệu VNĐ")</f>
        <v>8</v>
      </c>
      <c r="E70" s="4">
        <f t="shared" si="27"/>
        <v>39</v>
      </c>
      <c r="G70" s="4" t="s">
        <v>106</v>
      </c>
      <c r="H70" s="41">
        <f t="shared" si="24"/>
        <v>7.6923076923076927E-2</v>
      </c>
      <c r="I70" s="41">
        <f t="shared" si="25"/>
        <v>0.71794871794871795</v>
      </c>
      <c r="J70" s="41">
        <f t="shared" si="26"/>
        <v>0.20512820512820512</v>
      </c>
    </row>
    <row r="71" spans="1:10" x14ac:dyDescent="0.45">
      <c r="A71" s="4" t="s">
        <v>107</v>
      </c>
      <c r="B71" s="4">
        <f>COUNTIFS(step3_combined_data!$AV$2:$AV$404,"Oppose", step3_combined_data!$N$2:$N$404,"Trên 102 triệu VNĐ")</f>
        <v>2</v>
      </c>
      <c r="C71" s="4">
        <f>COUNTIFS(step3_combined_data!$AV$2:$AV$404,"Neutral", step3_combined_data!$N$2:$N$404,"Trên 102 triệu VNĐ")</f>
        <v>30</v>
      </c>
      <c r="D71" s="4">
        <f>COUNTIFS(step3_combined_data!$AV$2:$AV$404,"Support", step3_combined_data!$N$2:$N$404,"Trên 102 triệu VNĐ")</f>
        <v>3</v>
      </c>
      <c r="E71" s="4">
        <f t="shared" si="27"/>
        <v>35</v>
      </c>
      <c r="G71" s="4" t="s">
        <v>107</v>
      </c>
      <c r="H71" s="41">
        <f t="shared" si="24"/>
        <v>5.7142857142857141E-2</v>
      </c>
      <c r="I71" s="41">
        <f t="shared" si="25"/>
        <v>0.8571428571428571</v>
      </c>
      <c r="J71" s="41">
        <f t="shared" si="26"/>
        <v>8.5714285714285715E-2</v>
      </c>
    </row>
    <row r="73" spans="1:10" x14ac:dyDescent="0.45">
      <c r="A73" s="39" t="s">
        <v>3823</v>
      </c>
      <c r="B73" s="39" t="s">
        <v>1</v>
      </c>
      <c r="C73" s="39" t="s">
        <v>2</v>
      </c>
      <c r="D73" s="39" t="s">
        <v>3</v>
      </c>
      <c r="E73" s="39">
        <f>SUM(E74:E79)</f>
        <v>399</v>
      </c>
      <c r="G73" s="39" t="s">
        <v>3823</v>
      </c>
      <c r="H73" s="39" t="s">
        <v>1</v>
      </c>
      <c r="I73" s="39" t="s">
        <v>2</v>
      </c>
      <c r="J73" s="39" t="s">
        <v>3</v>
      </c>
    </row>
    <row r="74" spans="1:10" x14ac:dyDescent="0.45">
      <c r="A74" s="4" t="s">
        <v>188</v>
      </c>
      <c r="B74" s="4">
        <f>COUNTIFS(step3_combined_data!$BF$2:$BF$404,"Oppose", step3_combined_data!$E$2:$E$404,"18 - 24")</f>
        <v>1</v>
      </c>
      <c r="C74" s="4">
        <f>COUNTIFS(step3_combined_data!$BF$2:$BF$404,"Neutral", step3_combined_data!$E$2:$E$404,"18 - 24")</f>
        <v>34</v>
      </c>
      <c r="D74" s="4">
        <f>COUNTIFS(step3_combined_data!$BF$2:$BF$404,"Support", step3_combined_data!$E$2:$E$404,"18 - 24")</f>
        <v>19</v>
      </c>
      <c r="E74" s="4">
        <f>SUM(B74:D74)</f>
        <v>54</v>
      </c>
      <c r="G74" s="4" t="s">
        <v>188</v>
      </c>
      <c r="H74" s="41">
        <f t="shared" ref="H74:H79" si="28">B74/E74</f>
        <v>1.8518518518518517E-2</v>
      </c>
      <c r="I74" s="41">
        <f t="shared" ref="I74:I79" si="29">C74/E74</f>
        <v>0.62962962962962965</v>
      </c>
      <c r="J74" s="41">
        <f t="shared" ref="J74:J79" si="30">D74/E74</f>
        <v>0.35185185185185186</v>
      </c>
    </row>
    <row r="75" spans="1:10" x14ac:dyDescent="0.45">
      <c r="A75" s="4" t="s">
        <v>81</v>
      </c>
      <c r="B75" s="4">
        <f>COUNTIFS(step3_combined_data!$BF$2:$BF$404,"Oppose", step3_combined_data!$E$2:$E$404,"25 - 29")</f>
        <v>1</v>
      </c>
      <c r="C75" s="4">
        <f>COUNTIFS(step3_combined_data!$BF$2:$BF$404,"Neutral", step3_combined_data!$E$2:$E$404,"25 - 29")</f>
        <v>49</v>
      </c>
      <c r="D75" s="4">
        <f>COUNTIFS(step3_combined_data!$BF$2:$BF$404,"Support", step3_combined_data!$E$2:$E$404,"25 - 29")</f>
        <v>27</v>
      </c>
      <c r="E75" s="4">
        <f t="shared" ref="E75:E79" si="31">SUM(B75:D75)</f>
        <v>77</v>
      </c>
      <c r="G75" s="4" t="s">
        <v>81</v>
      </c>
      <c r="H75" s="41">
        <f t="shared" si="28"/>
        <v>1.2987012987012988E-2</v>
      </c>
      <c r="I75" s="41">
        <f t="shared" si="29"/>
        <v>0.63636363636363635</v>
      </c>
      <c r="J75" s="41">
        <f t="shared" si="30"/>
        <v>0.35064935064935066</v>
      </c>
    </row>
    <row r="76" spans="1:10" x14ac:dyDescent="0.45">
      <c r="A76" s="4" t="s">
        <v>73</v>
      </c>
      <c r="B76" s="4">
        <f>COUNTIFS(step3_combined_data!$BF$2:$BF$404,"Oppose", step3_combined_data!$E$2:$E$404,"30 - 39")</f>
        <v>1</v>
      </c>
      <c r="C76" s="4">
        <f>COUNTIFS(step3_combined_data!$BF$2:$BF$404,"Neutral", step3_combined_data!$E$2:$E$404,"30 - 39")</f>
        <v>83</v>
      </c>
      <c r="D76" s="4">
        <f>COUNTIFS(step3_combined_data!$BF$2:$BF$404,"Support", step3_combined_data!$E$2:$E$404,"30 - 39")</f>
        <v>48</v>
      </c>
      <c r="E76" s="4">
        <f t="shared" si="31"/>
        <v>132</v>
      </c>
      <c r="G76" s="4" t="s">
        <v>73</v>
      </c>
      <c r="H76" s="41">
        <f t="shared" si="28"/>
        <v>7.575757575757576E-3</v>
      </c>
      <c r="I76" s="41">
        <f t="shared" si="29"/>
        <v>0.62878787878787878</v>
      </c>
      <c r="J76" s="41">
        <f t="shared" si="30"/>
        <v>0.36363636363636365</v>
      </c>
    </row>
    <row r="77" spans="1:10" x14ac:dyDescent="0.45">
      <c r="A77" s="4" t="s">
        <v>79</v>
      </c>
      <c r="B77" s="4">
        <f>COUNTIFS(step3_combined_data!$BF$2:$BF$404,"Oppose", step3_combined_data!$E$2:$E$404,"40 - 49")</f>
        <v>5</v>
      </c>
      <c r="C77" s="4">
        <f>COUNTIFS(step3_combined_data!$BF$2:$BF$404,"Neutral", step3_combined_data!$E$2:$E$404,"40 - 49")</f>
        <v>50</v>
      </c>
      <c r="D77" s="4">
        <f>COUNTIFS(step3_combined_data!$BF$2:$BF$404,"Support", step3_combined_data!$E$2:$E$404,"40 - 49")</f>
        <v>23</v>
      </c>
      <c r="E77" s="4">
        <f t="shared" si="31"/>
        <v>78</v>
      </c>
      <c r="G77" s="4" t="s">
        <v>79</v>
      </c>
      <c r="H77" s="41">
        <f t="shared" si="28"/>
        <v>6.4102564102564097E-2</v>
      </c>
      <c r="I77" s="41">
        <f t="shared" si="29"/>
        <v>0.64102564102564108</v>
      </c>
      <c r="J77" s="41">
        <f t="shared" si="30"/>
        <v>0.29487179487179488</v>
      </c>
    </row>
    <row r="78" spans="1:10" x14ac:dyDescent="0.45">
      <c r="A78" s="4" t="s">
        <v>190</v>
      </c>
      <c r="B78" s="4">
        <f>COUNTIFS(step3_combined_data!$BF$2:$BF$404,"Oppose", step3_combined_data!$E$2:$E$404,"50 - 54")</f>
        <v>0</v>
      </c>
      <c r="C78" s="4">
        <f>COUNTIFS(step3_combined_data!$BF$2:$BF$404,"Neutral", step3_combined_data!$E$2:$E$404,"50 - 54")</f>
        <v>25</v>
      </c>
      <c r="D78" s="4">
        <f>COUNTIFS(step3_combined_data!$BF$2:$BF$404,"Support", step3_combined_data!$E$2:$E$404,"50 - 54")</f>
        <v>6</v>
      </c>
      <c r="E78" s="4">
        <f t="shared" si="31"/>
        <v>31</v>
      </c>
      <c r="G78" s="4" t="s">
        <v>190</v>
      </c>
      <c r="H78" s="41">
        <f t="shared" si="28"/>
        <v>0</v>
      </c>
      <c r="I78" s="41">
        <f t="shared" si="29"/>
        <v>0.80645161290322576</v>
      </c>
      <c r="J78" s="41">
        <f t="shared" si="30"/>
        <v>0.19354838709677419</v>
      </c>
    </row>
    <row r="79" spans="1:10" x14ac:dyDescent="0.45">
      <c r="A79" s="4" t="s">
        <v>192</v>
      </c>
      <c r="B79" s="4">
        <f>COUNTIFS(step3_combined_data!$BF$2:$BF$404,"Oppose", step3_combined_data!$E$2:$E$404,"55 - 64")</f>
        <v>0</v>
      </c>
      <c r="C79" s="4">
        <f>COUNTIFS(step3_combined_data!$BF$2:$BF$404,"Neutral", step3_combined_data!$E$2:$E$404,"55 - 64")</f>
        <v>20</v>
      </c>
      <c r="D79" s="4">
        <f>COUNTIFS(step3_combined_data!$BF$2:$BF$404,"Support", step3_combined_data!$E$2:$E$404,"55 - 64")</f>
        <v>7</v>
      </c>
      <c r="E79" s="4">
        <f t="shared" si="31"/>
        <v>27</v>
      </c>
      <c r="G79" s="4" t="s">
        <v>192</v>
      </c>
      <c r="H79" s="41">
        <f t="shared" si="28"/>
        <v>0</v>
      </c>
      <c r="I79" s="41">
        <f t="shared" si="29"/>
        <v>0.7407407407407407</v>
      </c>
      <c r="J79" s="41">
        <f t="shared" si="30"/>
        <v>0.25925925925925924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H1" workbookViewId="0">
      <selection activeCell="Y2" sqref="Y2:Y404"/>
    </sheetView>
  </sheetViews>
  <sheetFormatPr defaultRowHeight="14.25" x14ac:dyDescent="0.45"/>
  <sheetData>
    <row r="1" spans="1:27" x14ac:dyDescent="0.45">
      <c r="A1" s="8" t="s">
        <v>45</v>
      </c>
      <c r="B1" s="35" t="s">
        <v>125</v>
      </c>
      <c r="C1" s="8" t="s">
        <v>200</v>
      </c>
      <c r="D1" s="8" t="s">
        <v>48</v>
      </c>
      <c r="E1" s="8" t="s">
        <v>130</v>
      </c>
      <c r="F1" s="8" t="s">
        <v>201</v>
      </c>
      <c r="G1" s="8" t="s">
        <v>51</v>
      </c>
      <c r="H1" s="8" t="s">
        <v>134</v>
      </c>
      <c r="I1" s="8" t="s">
        <v>202</v>
      </c>
      <c r="J1" s="8" t="s">
        <v>54</v>
      </c>
      <c r="K1" s="8" t="s">
        <v>138</v>
      </c>
      <c r="L1" s="8" t="s">
        <v>203</v>
      </c>
      <c r="M1" t="s">
        <v>57</v>
      </c>
      <c r="N1" t="s">
        <v>142</v>
      </c>
      <c r="O1" s="8" t="s">
        <v>204</v>
      </c>
      <c r="P1" t="s">
        <v>60</v>
      </c>
      <c r="Q1" t="s">
        <v>146</v>
      </c>
      <c r="R1" s="8" t="s">
        <v>205</v>
      </c>
      <c r="S1" t="s">
        <v>63</v>
      </c>
      <c r="T1" t="s">
        <v>150</v>
      </c>
      <c r="U1" s="8" t="s">
        <v>206</v>
      </c>
      <c r="V1" t="s">
        <v>66</v>
      </c>
      <c r="W1" t="s">
        <v>154</v>
      </c>
      <c r="X1" s="8" t="s">
        <v>207</v>
      </c>
      <c r="Y1" t="s">
        <v>69</v>
      </c>
      <c r="Z1" t="s">
        <v>158</v>
      </c>
      <c r="AA1" s="8" t="s">
        <v>208</v>
      </c>
    </row>
    <row r="2" spans="1:27" x14ac:dyDescent="0.45">
      <c r="A2">
        <v>3</v>
      </c>
      <c r="B2" s="36">
        <v>1</v>
      </c>
      <c r="C2" s="32">
        <f>ABS(B2-A2)</f>
        <v>2</v>
      </c>
      <c r="D2">
        <v>3</v>
      </c>
      <c r="E2" s="36">
        <v>1</v>
      </c>
      <c r="F2" s="32">
        <f>ABS(E2-D2)</f>
        <v>2</v>
      </c>
      <c r="G2">
        <v>5</v>
      </c>
      <c r="H2" s="36">
        <v>1</v>
      </c>
      <c r="I2" s="32">
        <f>ABS(H2-G2)</f>
        <v>4</v>
      </c>
      <c r="J2">
        <v>5</v>
      </c>
      <c r="K2" s="36">
        <v>1</v>
      </c>
      <c r="L2" s="32">
        <f>ABS(K2-J2)</f>
        <v>4</v>
      </c>
      <c r="M2">
        <v>3</v>
      </c>
      <c r="N2" s="36">
        <v>1</v>
      </c>
      <c r="O2" s="32">
        <f>ABS(N2-M2)</f>
        <v>2</v>
      </c>
      <c r="P2">
        <v>4</v>
      </c>
      <c r="Q2" s="36">
        <v>1</v>
      </c>
      <c r="R2" s="32">
        <f>ABS(Q2-P2)</f>
        <v>3</v>
      </c>
      <c r="S2">
        <v>3</v>
      </c>
      <c r="T2" s="36">
        <v>1</v>
      </c>
      <c r="U2" s="32">
        <f>ABS(T2-S2)</f>
        <v>2</v>
      </c>
      <c r="V2">
        <v>4</v>
      </c>
      <c r="W2" s="36">
        <v>1</v>
      </c>
      <c r="X2" s="32">
        <f>ABS(W2-V2)</f>
        <v>3</v>
      </c>
      <c r="Y2">
        <v>3</v>
      </c>
      <c r="Z2" s="36">
        <v>1</v>
      </c>
      <c r="AA2" s="32">
        <f>ABS(Z2-Y2)</f>
        <v>2</v>
      </c>
    </row>
    <row r="3" spans="1:27" x14ac:dyDescent="0.45">
      <c r="A3">
        <v>3</v>
      </c>
      <c r="B3" s="36">
        <v>1</v>
      </c>
      <c r="C3" s="32">
        <f t="shared" ref="C3:C66" si="0">ABS(B3-A3)</f>
        <v>2</v>
      </c>
      <c r="D3">
        <v>3</v>
      </c>
      <c r="E3" s="36">
        <v>1</v>
      </c>
      <c r="F3" s="32">
        <f t="shared" ref="F3:F66" si="1">ABS(E3-D3)</f>
        <v>2</v>
      </c>
      <c r="G3">
        <v>5</v>
      </c>
      <c r="H3" s="36">
        <v>1</v>
      </c>
      <c r="I3" s="32">
        <f t="shared" ref="I3:I66" si="2">ABS(H3-G3)</f>
        <v>4</v>
      </c>
      <c r="J3">
        <v>5</v>
      </c>
      <c r="K3" s="36">
        <v>1</v>
      </c>
      <c r="L3" s="32">
        <f t="shared" ref="L3:L66" si="3">ABS(K3-J3)</f>
        <v>4</v>
      </c>
      <c r="M3">
        <v>3</v>
      </c>
      <c r="N3" s="36">
        <v>1</v>
      </c>
      <c r="O3" s="32">
        <f t="shared" ref="O3:O66" si="4">ABS(N3-M3)</f>
        <v>2</v>
      </c>
      <c r="P3">
        <v>4</v>
      </c>
      <c r="Q3" s="36">
        <v>1</v>
      </c>
      <c r="R3" s="32">
        <f t="shared" ref="R3:R66" si="5">ABS(Q3-P3)</f>
        <v>3</v>
      </c>
      <c r="S3">
        <v>3</v>
      </c>
      <c r="T3" s="36">
        <v>1</v>
      </c>
      <c r="U3" s="32">
        <f t="shared" ref="U3:U66" si="6">ABS(T3-S3)</f>
        <v>2</v>
      </c>
      <c r="V3">
        <v>4</v>
      </c>
      <c r="W3" s="36">
        <v>1</v>
      </c>
      <c r="X3" s="32">
        <f t="shared" ref="X3:X66" si="7">ABS(W3-V3)</f>
        <v>3</v>
      </c>
      <c r="Y3">
        <v>3</v>
      </c>
      <c r="Z3" s="36">
        <v>1</v>
      </c>
      <c r="AA3" s="32">
        <f t="shared" ref="AA3:AA66" si="8">ABS(Z3-Y3)</f>
        <v>2</v>
      </c>
    </row>
    <row r="4" spans="1:27" x14ac:dyDescent="0.45">
      <c r="A4">
        <v>3</v>
      </c>
      <c r="B4" s="36">
        <v>1</v>
      </c>
      <c r="C4" s="32">
        <f t="shared" si="0"/>
        <v>2</v>
      </c>
      <c r="D4">
        <v>3</v>
      </c>
      <c r="E4" s="36">
        <v>1</v>
      </c>
      <c r="F4" s="32">
        <f t="shared" si="1"/>
        <v>2</v>
      </c>
      <c r="G4">
        <v>6</v>
      </c>
      <c r="H4" s="36">
        <v>1</v>
      </c>
      <c r="I4" s="32">
        <f t="shared" si="2"/>
        <v>5</v>
      </c>
      <c r="J4">
        <v>6</v>
      </c>
      <c r="K4" s="36">
        <v>1</v>
      </c>
      <c r="L4" s="32">
        <f t="shared" si="3"/>
        <v>5</v>
      </c>
      <c r="M4">
        <v>3</v>
      </c>
      <c r="N4" s="36">
        <v>1</v>
      </c>
      <c r="O4" s="32">
        <f t="shared" si="4"/>
        <v>2</v>
      </c>
      <c r="P4">
        <v>4</v>
      </c>
      <c r="Q4" s="36">
        <v>1</v>
      </c>
      <c r="R4" s="32">
        <f t="shared" si="5"/>
        <v>3</v>
      </c>
      <c r="S4">
        <v>3</v>
      </c>
      <c r="T4" s="36">
        <v>1</v>
      </c>
      <c r="U4" s="32">
        <f t="shared" si="6"/>
        <v>2</v>
      </c>
      <c r="V4">
        <v>4</v>
      </c>
      <c r="W4" s="36">
        <v>1</v>
      </c>
      <c r="X4" s="32">
        <f t="shared" si="7"/>
        <v>3</v>
      </c>
      <c r="Y4">
        <v>3</v>
      </c>
      <c r="Z4" s="36">
        <v>1</v>
      </c>
      <c r="AA4" s="32">
        <f t="shared" si="8"/>
        <v>2</v>
      </c>
    </row>
    <row r="5" spans="1:27" x14ac:dyDescent="0.45">
      <c r="A5">
        <v>3</v>
      </c>
      <c r="B5" s="36">
        <v>1</v>
      </c>
      <c r="C5" s="32">
        <f t="shared" si="0"/>
        <v>2</v>
      </c>
      <c r="D5">
        <v>3</v>
      </c>
      <c r="E5" s="36">
        <v>1</v>
      </c>
      <c r="F5" s="32">
        <f t="shared" si="1"/>
        <v>2</v>
      </c>
      <c r="G5">
        <v>6</v>
      </c>
      <c r="H5" s="36">
        <v>1</v>
      </c>
      <c r="I5" s="32">
        <f t="shared" si="2"/>
        <v>5</v>
      </c>
      <c r="J5">
        <v>6</v>
      </c>
      <c r="K5" s="36">
        <v>1</v>
      </c>
      <c r="L5" s="32">
        <f t="shared" si="3"/>
        <v>5</v>
      </c>
      <c r="M5">
        <v>3</v>
      </c>
      <c r="N5" s="36">
        <v>1</v>
      </c>
      <c r="O5" s="32">
        <f t="shared" si="4"/>
        <v>2</v>
      </c>
      <c r="P5">
        <v>4</v>
      </c>
      <c r="Q5" s="36">
        <v>1</v>
      </c>
      <c r="R5" s="32">
        <f t="shared" si="5"/>
        <v>3</v>
      </c>
      <c r="S5">
        <v>3</v>
      </c>
      <c r="T5" s="36">
        <v>1</v>
      </c>
      <c r="U5" s="32">
        <f t="shared" si="6"/>
        <v>2</v>
      </c>
      <c r="V5">
        <v>5</v>
      </c>
      <c r="W5" s="36">
        <v>1</v>
      </c>
      <c r="X5" s="32">
        <f t="shared" si="7"/>
        <v>4</v>
      </c>
      <c r="Y5">
        <v>3</v>
      </c>
      <c r="Z5" s="36">
        <v>1</v>
      </c>
      <c r="AA5" s="32">
        <f t="shared" si="8"/>
        <v>2</v>
      </c>
    </row>
    <row r="6" spans="1:27" x14ac:dyDescent="0.45">
      <c r="A6">
        <v>3</v>
      </c>
      <c r="B6" s="36">
        <v>1</v>
      </c>
      <c r="C6" s="32">
        <f t="shared" si="0"/>
        <v>2</v>
      </c>
      <c r="D6">
        <v>3</v>
      </c>
      <c r="E6" s="36">
        <v>1</v>
      </c>
      <c r="F6" s="32">
        <f t="shared" si="1"/>
        <v>2</v>
      </c>
      <c r="G6">
        <v>6</v>
      </c>
      <c r="H6" s="36">
        <v>1</v>
      </c>
      <c r="I6" s="32">
        <f t="shared" si="2"/>
        <v>5</v>
      </c>
      <c r="J6">
        <v>6</v>
      </c>
      <c r="K6" s="36">
        <v>1</v>
      </c>
      <c r="L6" s="32">
        <f t="shared" si="3"/>
        <v>5</v>
      </c>
      <c r="M6">
        <v>4</v>
      </c>
      <c r="N6" s="36">
        <v>1</v>
      </c>
      <c r="O6" s="32">
        <f t="shared" si="4"/>
        <v>3</v>
      </c>
      <c r="P6">
        <v>4</v>
      </c>
      <c r="Q6" s="36">
        <v>1</v>
      </c>
      <c r="R6" s="32">
        <f t="shared" si="5"/>
        <v>3</v>
      </c>
      <c r="S6">
        <v>3</v>
      </c>
      <c r="T6" s="36">
        <v>1</v>
      </c>
      <c r="U6" s="32">
        <f t="shared" si="6"/>
        <v>2</v>
      </c>
      <c r="V6">
        <v>5</v>
      </c>
      <c r="W6" s="36">
        <v>1</v>
      </c>
      <c r="X6" s="32">
        <f t="shared" si="7"/>
        <v>4</v>
      </c>
      <c r="Y6">
        <v>3</v>
      </c>
      <c r="Z6" s="36">
        <v>1</v>
      </c>
      <c r="AA6" s="32">
        <f t="shared" si="8"/>
        <v>2</v>
      </c>
    </row>
    <row r="7" spans="1:27" x14ac:dyDescent="0.45">
      <c r="A7">
        <v>3</v>
      </c>
      <c r="B7" s="36">
        <v>1</v>
      </c>
      <c r="C7" s="32">
        <f t="shared" si="0"/>
        <v>2</v>
      </c>
      <c r="D7">
        <v>3</v>
      </c>
      <c r="E7" s="36">
        <v>1</v>
      </c>
      <c r="F7" s="32">
        <f t="shared" si="1"/>
        <v>2</v>
      </c>
      <c r="G7">
        <v>6</v>
      </c>
      <c r="H7" s="36">
        <v>1</v>
      </c>
      <c r="I7" s="32">
        <f t="shared" si="2"/>
        <v>5</v>
      </c>
      <c r="J7">
        <v>6</v>
      </c>
      <c r="K7" s="36">
        <v>1</v>
      </c>
      <c r="L7" s="32">
        <f t="shared" si="3"/>
        <v>5</v>
      </c>
      <c r="M7">
        <v>4</v>
      </c>
      <c r="N7" s="36">
        <v>1</v>
      </c>
      <c r="O7" s="32">
        <f t="shared" si="4"/>
        <v>3</v>
      </c>
      <c r="P7">
        <v>4</v>
      </c>
      <c r="Q7" s="36">
        <v>1</v>
      </c>
      <c r="R7" s="32">
        <f t="shared" si="5"/>
        <v>3</v>
      </c>
      <c r="S7">
        <v>4</v>
      </c>
      <c r="T7" s="36">
        <v>1</v>
      </c>
      <c r="U7" s="32">
        <f t="shared" si="6"/>
        <v>3</v>
      </c>
      <c r="V7">
        <v>5</v>
      </c>
      <c r="W7" s="36">
        <v>1</v>
      </c>
      <c r="X7" s="32">
        <f t="shared" si="7"/>
        <v>4</v>
      </c>
      <c r="Y7">
        <v>3</v>
      </c>
      <c r="Z7" s="36">
        <v>1</v>
      </c>
      <c r="AA7" s="32">
        <f t="shared" si="8"/>
        <v>2</v>
      </c>
    </row>
    <row r="8" spans="1:27" x14ac:dyDescent="0.45">
      <c r="A8">
        <v>3</v>
      </c>
      <c r="B8" s="36">
        <v>1</v>
      </c>
      <c r="C8" s="32">
        <f t="shared" si="0"/>
        <v>2</v>
      </c>
      <c r="D8">
        <v>3</v>
      </c>
      <c r="E8" s="36">
        <v>1</v>
      </c>
      <c r="F8" s="32">
        <f t="shared" si="1"/>
        <v>2</v>
      </c>
      <c r="G8">
        <v>6</v>
      </c>
      <c r="H8" s="36">
        <v>1</v>
      </c>
      <c r="I8" s="32">
        <f t="shared" si="2"/>
        <v>5</v>
      </c>
      <c r="J8">
        <v>6</v>
      </c>
      <c r="K8" s="36">
        <v>2</v>
      </c>
      <c r="L8" s="32">
        <f t="shared" si="3"/>
        <v>4</v>
      </c>
      <c r="M8">
        <v>4</v>
      </c>
      <c r="N8" s="36">
        <v>1</v>
      </c>
      <c r="O8" s="32">
        <f t="shared" si="4"/>
        <v>3</v>
      </c>
      <c r="P8">
        <v>4</v>
      </c>
      <c r="Q8" s="36">
        <v>1</v>
      </c>
      <c r="R8" s="32">
        <f t="shared" si="5"/>
        <v>3</v>
      </c>
      <c r="S8">
        <v>4</v>
      </c>
      <c r="T8" s="36">
        <v>1</v>
      </c>
      <c r="U8" s="32">
        <f t="shared" si="6"/>
        <v>3</v>
      </c>
      <c r="V8">
        <v>5</v>
      </c>
      <c r="W8" s="36">
        <v>1</v>
      </c>
      <c r="X8" s="32">
        <f t="shared" si="7"/>
        <v>4</v>
      </c>
      <c r="Y8">
        <v>3</v>
      </c>
      <c r="Z8" s="36">
        <v>1</v>
      </c>
      <c r="AA8" s="32">
        <f t="shared" si="8"/>
        <v>2</v>
      </c>
    </row>
    <row r="9" spans="1:27" x14ac:dyDescent="0.45">
      <c r="A9">
        <v>3</v>
      </c>
      <c r="B9" s="36">
        <v>1</v>
      </c>
      <c r="C9" s="32">
        <f t="shared" si="0"/>
        <v>2</v>
      </c>
      <c r="D9">
        <v>3</v>
      </c>
      <c r="E9" s="36">
        <v>1</v>
      </c>
      <c r="F9" s="32">
        <f t="shared" si="1"/>
        <v>2</v>
      </c>
      <c r="G9">
        <v>6</v>
      </c>
      <c r="H9" s="36">
        <v>1</v>
      </c>
      <c r="I9" s="32">
        <f t="shared" si="2"/>
        <v>5</v>
      </c>
      <c r="J9">
        <v>6</v>
      </c>
      <c r="K9" s="36">
        <v>2</v>
      </c>
      <c r="L9" s="32">
        <f t="shared" si="3"/>
        <v>4</v>
      </c>
      <c r="M9">
        <v>4</v>
      </c>
      <c r="N9" s="36">
        <v>1</v>
      </c>
      <c r="O9" s="32">
        <f t="shared" si="4"/>
        <v>3</v>
      </c>
      <c r="P9">
        <v>4</v>
      </c>
      <c r="Q9" s="36">
        <v>1</v>
      </c>
      <c r="R9" s="32">
        <f t="shared" si="5"/>
        <v>3</v>
      </c>
      <c r="S9">
        <v>4</v>
      </c>
      <c r="T9" s="36">
        <v>1</v>
      </c>
      <c r="U9" s="32">
        <f t="shared" si="6"/>
        <v>3</v>
      </c>
      <c r="V9">
        <v>5</v>
      </c>
      <c r="W9" s="36">
        <v>1</v>
      </c>
      <c r="X9" s="32">
        <f t="shared" si="7"/>
        <v>4</v>
      </c>
      <c r="Y9">
        <v>3</v>
      </c>
      <c r="Z9" s="36">
        <v>1</v>
      </c>
      <c r="AA9" s="32">
        <f t="shared" si="8"/>
        <v>2</v>
      </c>
    </row>
    <row r="10" spans="1:27" x14ac:dyDescent="0.45">
      <c r="A10">
        <v>3</v>
      </c>
      <c r="B10" s="36">
        <v>1</v>
      </c>
      <c r="C10" s="32">
        <f t="shared" si="0"/>
        <v>2</v>
      </c>
      <c r="D10">
        <v>4</v>
      </c>
      <c r="E10" s="36">
        <v>1</v>
      </c>
      <c r="F10" s="32">
        <f t="shared" si="1"/>
        <v>3</v>
      </c>
      <c r="G10">
        <v>6</v>
      </c>
      <c r="H10" s="36">
        <v>1</v>
      </c>
      <c r="I10" s="32">
        <f t="shared" si="2"/>
        <v>5</v>
      </c>
      <c r="J10">
        <v>6</v>
      </c>
      <c r="K10" s="36">
        <v>2</v>
      </c>
      <c r="L10" s="32">
        <f t="shared" si="3"/>
        <v>4</v>
      </c>
      <c r="M10">
        <v>4</v>
      </c>
      <c r="N10" s="36">
        <v>1</v>
      </c>
      <c r="O10" s="32">
        <f t="shared" si="4"/>
        <v>3</v>
      </c>
      <c r="P10">
        <v>5</v>
      </c>
      <c r="Q10" s="36">
        <v>1</v>
      </c>
      <c r="R10" s="32">
        <f t="shared" si="5"/>
        <v>4</v>
      </c>
      <c r="S10">
        <v>4</v>
      </c>
      <c r="T10" s="36">
        <v>1</v>
      </c>
      <c r="U10" s="32">
        <f t="shared" si="6"/>
        <v>3</v>
      </c>
      <c r="V10">
        <v>5</v>
      </c>
      <c r="W10" s="36">
        <v>1</v>
      </c>
      <c r="X10" s="32">
        <f t="shared" si="7"/>
        <v>4</v>
      </c>
      <c r="Y10">
        <v>3</v>
      </c>
      <c r="Z10" s="36">
        <v>1</v>
      </c>
      <c r="AA10" s="32">
        <f t="shared" si="8"/>
        <v>2</v>
      </c>
    </row>
    <row r="11" spans="1:27" x14ac:dyDescent="0.45">
      <c r="A11">
        <v>3</v>
      </c>
      <c r="B11" s="36">
        <v>1</v>
      </c>
      <c r="C11" s="32">
        <f t="shared" si="0"/>
        <v>2</v>
      </c>
      <c r="D11">
        <v>4</v>
      </c>
      <c r="E11" s="36">
        <v>1</v>
      </c>
      <c r="F11" s="32">
        <f t="shared" si="1"/>
        <v>3</v>
      </c>
      <c r="G11">
        <v>6</v>
      </c>
      <c r="H11" s="36">
        <v>1</v>
      </c>
      <c r="I11" s="32">
        <f t="shared" si="2"/>
        <v>5</v>
      </c>
      <c r="J11">
        <v>6</v>
      </c>
      <c r="K11" s="36">
        <v>2</v>
      </c>
      <c r="L11" s="32">
        <f t="shared" si="3"/>
        <v>4</v>
      </c>
      <c r="M11">
        <v>4</v>
      </c>
      <c r="N11" s="36">
        <v>1</v>
      </c>
      <c r="O11" s="32">
        <f t="shared" si="4"/>
        <v>3</v>
      </c>
      <c r="P11">
        <v>5</v>
      </c>
      <c r="Q11" s="36">
        <v>1</v>
      </c>
      <c r="R11" s="32">
        <f t="shared" si="5"/>
        <v>4</v>
      </c>
      <c r="S11">
        <v>4</v>
      </c>
      <c r="T11" s="36">
        <v>1</v>
      </c>
      <c r="U11" s="32">
        <f t="shared" si="6"/>
        <v>3</v>
      </c>
      <c r="V11">
        <v>5</v>
      </c>
      <c r="W11" s="36">
        <v>1</v>
      </c>
      <c r="X11" s="32">
        <f t="shared" si="7"/>
        <v>4</v>
      </c>
      <c r="Y11">
        <v>3</v>
      </c>
      <c r="Z11" s="36">
        <v>1</v>
      </c>
      <c r="AA11" s="32">
        <f t="shared" si="8"/>
        <v>2</v>
      </c>
    </row>
    <row r="12" spans="1:27" x14ac:dyDescent="0.45">
      <c r="A12">
        <v>3</v>
      </c>
      <c r="B12" s="36">
        <v>1</v>
      </c>
      <c r="C12" s="32">
        <f t="shared" si="0"/>
        <v>2</v>
      </c>
      <c r="D12">
        <v>4</v>
      </c>
      <c r="E12" s="36">
        <v>1</v>
      </c>
      <c r="F12" s="32">
        <f t="shared" si="1"/>
        <v>3</v>
      </c>
      <c r="G12">
        <v>6</v>
      </c>
      <c r="H12" s="36">
        <v>1</v>
      </c>
      <c r="I12" s="32">
        <f t="shared" si="2"/>
        <v>5</v>
      </c>
      <c r="J12">
        <v>6</v>
      </c>
      <c r="K12" s="36">
        <v>2</v>
      </c>
      <c r="L12" s="32">
        <f t="shared" si="3"/>
        <v>4</v>
      </c>
      <c r="M12">
        <v>4</v>
      </c>
      <c r="N12" s="36">
        <v>1</v>
      </c>
      <c r="O12" s="32">
        <f t="shared" si="4"/>
        <v>3</v>
      </c>
      <c r="P12">
        <v>5</v>
      </c>
      <c r="Q12" s="36">
        <v>1</v>
      </c>
      <c r="R12" s="32">
        <f t="shared" si="5"/>
        <v>4</v>
      </c>
      <c r="S12">
        <v>4</v>
      </c>
      <c r="T12" s="36">
        <v>1</v>
      </c>
      <c r="U12" s="32">
        <f t="shared" si="6"/>
        <v>3</v>
      </c>
      <c r="V12">
        <v>5</v>
      </c>
      <c r="W12" s="36">
        <v>1</v>
      </c>
      <c r="X12" s="32">
        <f t="shared" si="7"/>
        <v>4</v>
      </c>
      <c r="Y12">
        <v>3</v>
      </c>
      <c r="Z12" s="36">
        <v>1</v>
      </c>
      <c r="AA12" s="32">
        <f t="shared" si="8"/>
        <v>2</v>
      </c>
    </row>
    <row r="13" spans="1:27" x14ac:dyDescent="0.45">
      <c r="A13">
        <v>3</v>
      </c>
      <c r="B13" s="36">
        <v>2</v>
      </c>
      <c r="C13" s="32">
        <f t="shared" si="0"/>
        <v>1</v>
      </c>
      <c r="D13">
        <v>4</v>
      </c>
      <c r="E13" s="36">
        <v>1</v>
      </c>
      <c r="F13" s="32">
        <f t="shared" si="1"/>
        <v>3</v>
      </c>
      <c r="G13">
        <v>7</v>
      </c>
      <c r="H13" s="36">
        <v>1</v>
      </c>
      <c r="I13" s="32">
        <f t="shared" si="2"/>
        <v>6</v>
      </c>
      <c r="J13">
        <v>6</v>
      </c>
      <c r="K13" s="36">
        <v>3</v>
      </c>
      <c r="L13" s="32">
        <f t="shared" si="3"/>
        <v>3</v>
      </c>
      <c r="M13">
        <v>4</v>
      </c>
      <c r="N13" s="36">
        <v>1</v>
      </c>
      <c r="O13" s="32">
        <f t="shared" si="4"/>
        <v>3</v>
      </c>
      <c r="P13">
        <v>5</v>
      </c>
      <c r="Q13" s="36">
        <v>1</v>
      </c>
      <c r="R13" s="32">
        <f t="shared" si="5"/>
        <v>4</v>
      </c>
      <c r="S13">
        <v>4</v>
      </c>
      <c r="T13" s="36">
        <v>1</v>
      </c>
      <c r="U13" s="32">
        <f t="shared" si="6"/>
        <v>3</v>
      </c>
      <c r="V13">
        <v>5</v>
      </c>
      <c r="W13" s="36">
        <v>1</v>
      </c>
      <c r="X13" s="32">
        <f t="shared" si="7"/>
        <v>4</v>
      </c>
      <c r="Y13">
        <v>3</v>
      </c>
      <c r="Z13" s="36">
        <v>1</v>
      </c>
      <c r="AA13" s="32">
        <f t="shared" si="8"/>
        <v>2</v>
      </c>
    </row>
    <row r="14" spans="1:27" x14ac:dyDescent="0.45">
      <c r="A14">
        <v>3</v>
      </c>
      <c r="B14" s="36">
        <v>2</v>
      </c>
      <c r="C14" s="32">
        <f t="shared" si="0"/>
        <v>1</v>
      </c>
      <c r="D14">
        <v>4</v>
      </c>
      <c r="E14" s="36">
        <v>1</v>
      </c>
      <c r="F14" s="32">
        <f t="shared" si="1"/>
        <v>3</v>
      </c>
      <c r="G14">
        <v>7</v>
      </c>
      <c r="H14" s="36">
        <v>1</v>
      </c>
      <c r="I14" s="32">
        <f t="shared" si="2"/>
        <v>6</v>
      </c>
      <c r="J14">
        <v>6</v>
      </c>
      <c r="K14" s="36">
        <v>4</v>
      </c>
      <c r="L14" s="32">
        <f t="shared" si="3"/>
        <v>2</v>
      </c>
      <c r="M14">
        <v>4</v>
      </c>
      <c r="N14" s="36">
        <v>1</v>
      </c>
      <c r="O14" s="32">
        <f t="shared" si="4"/>
        <v>3</v>
      </c>
      <c r="P14">
        <v>5</v>
      </c>
      <c r="Q14" s="36">
        <v>1</v>
      </c>
      <c r="R14" s="32">
        <f t="shared" si="5"/>
        <v>4</v>
      </c>
      <c r="S14">
        <v>4</v>
      </c>
      <c r="T14" s="36">
        <v>1</v>
      </c>
      <c r="U14" s="32">
        <f t="shared" si="6"/>
        <v>3</v>
      </c>
      <c r="V14">
        <v>5</v>
      </c>
      <c r="W14" s="36">
        <v>1</v>
      </c>
      <c r="X14" s="32">
        <f t="shared" si="7"/>
        <v>4</v>
      </c>
      <c r="Y14">
        <v>4</v>
      </c>
      <c r="Z14" s="36">
        <v>1</v>
      </c>
      <c r="AA14" s="32">
        <f t="shared" si="8"/>
        <v>3</v>
      </c>
    </row>
    <row r="15" spans="1:27" x14ac:dyDescent="0.45">
      <c r="A15">
        <v>4</v>
      </c>
      <c r="B15" s="36">
        <v>2</v>
      </c>
      <c r="C15" s="32">
        <f t="shared" si="0"/>
        <v>2</v>
      </c>
      <c r="D15">
        <v>4</v>
      </c>
      <c r="E15" s="36">
        <v>1</v>
      </c>
      <c r="F15" s="32">
        <f t="shared" si="1"/>
        <v>3</v>
      </c>
      <c r="G15">
        <v>7</v>
      </c>
      <c r="H15" s="36">
        <v>1</v>
      </c>
      <c r="I15" s="32">
        <f t="shared" si="2"/>
        <v>6</v>
      </c>
      <c r="J15">
        <v>6</v>
      </c>
      <c r="K15" s="36">
        <v>4</v>
      </c>
      <c r="L15" s="32">
        <f t="shared" si="3"/>
        <v>2</v>
      </c>
      <c r="M15">
        <v>4</v>
      </c>
      <c r="N15" s="36">
        <v>1</v>
      </c>
      <c r="O15" s="32">
        <f t="shared" si="4"/>
        <v>3</v>
      </c>
      <c r="P15">
        <v>5</v>
      </c>
      <c r="Q15" s="36">
        <v>1</v>
      </c>
      <c r="R15" s="32">
        <f t="shared" si="5"/>
        <v>4</v>
      </c>
      <c r="S15">
        <v>4</v>
      </c>
      <c r="T15" s="36">
        <v>1</v>
      </c>
      <c r="U15" s="32">
        <f t="shared" si="6"/>
        <v>3</v>
      </c>
      <c r="V15">
        <v>5</v>
      </c>
      <c r="W15" s="36">
        <v>1</v>
      </c>
      <c r="X15" s="32">
        <f t="shared" si="7"/>
        <v>4</v>
      </c>
      <c r="Y15">
        <v>4</v>
      </c>
      <c r="Z15" s="36">
        <v>2</v>
      </c>
      <c r="AA15" s="32">
        <f t="shared" si="8"/>
        <v>2</v>
      </c>
    </row>
    <row r="16" spans="1:27" x14ac:dyDescent="0.45">
      <c r="A16">
        <v>4</v>
      </c>
      <c r="B16" s="36">
        <v>2</v>
      </c>
      <c r="C16" s="32">
        <f t="shared" si="0"/>
        <v>2</v>
      </c>
      <c r="D16">
        <v>4</v>
      </c>
      <c r="E16" s="36">
        <v>2</v>
      </c>
      <c r="F16" s="32">
        <f t="shared" si="1"/>
        <v>2</v>
      </c>
      <c r="G16">
        <v>7</v>
      </c>
      <c r="H16" s="36">
        <v>1</v>
      </c>
      <c r="I16" s="32">
        <f t="shared" si="2"/>
        <v>6</v>
      </c>
      <c r="J16">
        <v>6</v>
      </c>
      <c r="K16" s="36">
        <v>4</v>
      </c>
      <c r="L16" s="32">
        <f t="shared" si="3"/>
        <v>2</v>
      </c>
      <c r="M16">
        <v>4</v>
      </c>
      <c r="N16" s="36">
        <v>1</v>
      </c>
      <c r="O16" s="32">
        <f t="shared" si="4"/>
        <v>3</v>
      </c>
      <c r="P16">
        <v>5</v>
      </c>
      <c r="Q16" s="36">
        <v>1</v>
      </c>
      <c r="R16" s="32">
        <f t="shared" si="5"/>
        <v>4</v>
      </c>
      <c r="S16">
        <v>4</v>
      </c>
      <c r="T16" s="36">
        <v>1</v>
      </c>
      <c r="U16" s="32">
        <f t="shared" si="6"/>
        <v>3</v>
      </c>
      <c r="V16">
        <v>5</v>
      </c>
      <c r="W16" s="36">
        <v>2</v>
      </c>
      <c r="X16" s="32">
        <f t="shared" si="7"/>
        <v>3</v>
      </c>
      <c r="Y16">
        <v>4</v>
      </c>
      <c r="Z16" s="36">
        <v>2</v>
      </c>
      <c r="AA16" s="32">
        <f t="shared" si="8"/>
        <v>2</v>
      </c>
    </row>
    <row r="17" spans="1:27" x14ac:dyDescent="0.45">
      <c r="A17">
        <v>4</v>
      </c>
      <c r="B17" s="36">
        <v>2</v>
      </c>
      <c r="C17" s="32">
        <f t="shared" si="0"/>
        <v>2</v>
      </c>
      <c r="D17">
        <v>4</v>
      </c>
      <c r="E17" s="36">
        <v>2</v>
      </c>
      <c r="F17" s="32">
        <f t="shared" si="1"/>
        <v>2</v>
      </c>
      <c r="G17">
        <v>7</v>
      </c>
      <c r="H17" s="36">
        <v>1</v>
      </c>
      <c r="I17" s="32">
        <f t="shared" si="2"/>
        <v>6</v>
      </c>
      <c r="J17">
        <v>6</v>
      </c>
      <c r="K17" s="36">
        <v>4</v>
      </c>
      <c r="L17" s="32">
        <f t="shared" si="3"/>
        <v>2</v>
      </c>
      <c r="M17">
        <v>4</v>
      </c>
      <c r="N17" s="36">
        <v>1</v>
      </c>
      <c r="O17" s="32">
        <f t="shared" si="4"/>
        <v>3</v>
      </c>
      <c r="P17">
        <v>5</v>
      </c>
      <c r="Q17" s="36">
        <v>1</v>
      </c>
      <c r="R17" s="32">
        <f t="shared" si="5"/>
        <v>4</v>
      </c>
      <c r="S17">
        <v>4</v>
      </c>
      <c r="T17" s="36">
        <v>1</v>
      </c>
      <c r="U17" s="32">
        <f t="shared" si="6"/>
        <v>3</v>
      </c>
      <c r="V17">
        <v>5</v>
      </c>
      <c r="W17" s="36">
        <v>2</v>
      </c>
      <c r="X17" s="32">
        <f t="shared" si="7"/>
        <v>3</v>
      </c>
      <c r="Y17">
        <v>4</v>
      </c>
      <c r="Z17" s="36">
        <v>2</v>
      </c>
      <c r="AA17" s="32">
        <f t="shared" si="8"/>
        <v>2</v>
      </c>
    </row>
    <row r="18" spans="1:27" x14ac:dyDescent="0.45">
      <c r="A18">
        <v>4</v>
      </c>
      <c r="B18" s="36">
        <v>2</v>
      </c>
      <c r="C18" s="32">
        <f t="shared" si="0"/>
        <v>2</v>
      </c>
      <c r="D18">
        <v>4</v>
      </c>
      <c r="E18" s="36">
        <v>2</v>
      </c>
      <c r="F18" s="32">
        <f t="shared" si="1"/>
        <v>2</v>
      </c>
      <c r="G18">
        <v>7</v>
      </c>
      <c r="H18" s="36">
        <v>1</v>
      </c>
      <c r="I18" s="32">
        <f t="shared" si="2"/>
        <v>6</v>
      </c>
      <c r="J18">
        <v>6</v>
      </c>
      <c r="K18" s="36">
        <v>4</v>
      </c>
      <c r="L18" s="32">
        <f t="shared" si="3"/>
        <v>2</v>
      </c>
      <c r="M18">
        <v>4</v>
      </c>
      <c r="N18" s="36">
        <v>1</v>
      </c>
      <c r="O18" s="32">
        <f t="shared" si="4"/>
        <v>3</v>
      </c>
      <c r="P18">
        <v>5</v>
      </c>
      <c r="Q18" s="36">
        <v>1</v>
      </c>
      <c r="R18" s="32">
        <f t="shared" si="5"/>
        <v>4</v>
      </c>
      <c r="S18">
        <v>4</v>
      </c>
      <c r="T18" s="36">
        <v>1</v>
      </c>
      <c r="U18" s="32">
        <f t="shared" si="6"/>
        <v>3</v>
      </c>
      <c r="V18">
        <v>5</v>
      </c>
      <c r="W18" s="36">
        <v>3</v>
      </c>
      <c r="X18" s="32">
        <f t="shared" si="7"/>
        <v>2</v>
      </c>
      <c r="Y18">
        <v>4</v>
      </c>
      <c r="Z18" s="36">
        <v>3</v>
      </c>
      <c r="AA18" s="32">
        <f t="shared" si="8"/>
        <v>1</v>
      </c>
    </row>
    <row r="19" spans="1:27" x14ac:dyDescent="0.45">
      <c r="A19">
        <v>4</v>
      </c>
      <c r="B19" s="36">
        <v>2</v>
      </c>
      <c r="C19" s="32">
        <f t="shared" si="0"/>
        <v>2</v>
      </c>
      <c r="D19">
        <v>4</v>
      </c>
      <c r="E19" s="36">
        <v>2</v>
      </c>
      <c r="F19" s="32">
        <f t="shared" si="1"/>
        <v>2</v>
      </c>
      <c r="G19">
        <v>7</v>
      </c>
      <c r="H19" s="36">
        <v>1</v>
      </c>
      <c r="I19" s="32">
        <f t="shared" si="2"/>
        <v>6</v>
      </c>
      <c r="J19">
        <v>6</v>
      </c>
      <c r="K19" s="36">
        <v>4</v>
      </c>
      <c r="L19" s="32">
        <f t="shared" si="3"/>
        <v>2</v>
      </c>
      <c r="M19">
        <v>4</v>
      </c>
      <c r="N19" s="36">
        <v>1</v>
      </c>
      <c r="O19" s="32">
        <f t="shared" si="4"/>
        <v>3</v>
      </c>
      <c r="P19">
        <v>5</v>
      </c>
      <c r="Q19" s="36">
        <v>1</v>
      </c>
      <c r="R19" s="32">
        <f t="shared" si="5"/>
        <v>4</v>
      </c>
      <c r="S19">
        <v>4</v>
      </c>
      <c r="T19" s="36">
        <v>1</v>
      </c>
      <c r="U19" s="32">
        <f t="shared" si="6"/>
        <v>3</v>
      </c>
      <c r="V19">
        <v>5</v>
      </c>
      <c r="W19" s="36">
        <v>3</v>
      </c>
      <c r="X19" s="32">
        <f t="shared" si="7"/>
        <v>2</v>
      </c>
      <c r="Y19">
        <v>4</v>
      </c>
      <c r="Z19" s="36">
        <v>3</v>
      </c>
      <c r="AA19" s="32">
        <f t="shared" si="8"/>
        <v>1</v>
      </c>
    </row>
    <row r="20" spans="1:27" x14ac:dyDescent="0.45">
      <c r="A20">
        <v>4</v>
      </c>
      <c r="B20" s="36">
        <v>2</v>
      </c>
      <c r="C20" s="32">
        <f t="shared" si="0"/>
        <v>2</v>
      </c>
      <c r="D20">
        <v>4</v>
      </c>
      <c r="E20" s="36">
        <v>2</v>
      </c>
      <c r="F20" s="32">
        <f t="shared" si="1"/>
        <v>2</v>
      </c>
      <c r="G20">
        <v>7</v>
      </c>
      <c r="H20" s="36">
        <v>1</v>
      </c>
      <c r="I20" s="32">
        <f t="shared" si="2"/>
        <v>6</v>
      </c>
      <c r="J20">
        <v>6</v>
      </c>
      <c r="K20" s="36">
        <v>4</v>
      </c>
      <c r="L20" s="32">
        <f t="shared" si="3"/>
        <v>2</v>
      </c>
      <c r="M20">
        <v>4</v>
      </c>
      <c r="N20" s="36">
        <v>2</v>
      </c>
      <c r="O20" s="32">
        <f t="shared" si="4"/>
        <v>2</v>
      </c>
      <c r="P20">
        <v>5</v>
      </c>
      <c r="Q20" s="36">
        <v>1</v>
      </c>
      <c r="R20" s="32">
        <f t="shared" si="5"/>
        <v>4</v>
      </c>
      <c r="S20">
        <v>4</v>
      </c>
      <c r="T20" s="36">
        <v>1</v>
      </c>
      <c r="U20" s="32">
        <f t="shared" si="6"/>
        <v>3</v>
      </c>
      <c r="V20">
        <v>5</v>
      </c>
      <c r="W20" s="36">
        <v>3</v>
      </c>
      <c r="X20" s="32">
        <f t="shared" si="7"/>
        <v>2</v>
      </c>
      <c r="Y20">
        <v>4</v>
      </c>
      <c r="Z20" s="36">
        <v>3</v>
      </c>
      <c r="AA20" s="32">
        <f t="shared" si="8"/>
        <v>1</v>
      </c>
    </row>
    <row r="21" spans="1:27" x14ac:dyDescent="0.45">
      <c r="A21">
        <v>4</v>
      </c>
      <c r="B21" s="36">
        <v>2</v>
      </c>
      <c r="C21" s="32">
        <f t="shared" si="0"/>
        <v>2</v>
      </c>
      <c r="D21">
        <v>4</v>
      </c>
      <c r="E21" s="36">
        <v>3</v>
      </c>
      <c r="F21" s="32">
        <f t="shared" si="1"/>
        <v>1</v>
      </c>
      <c r="G21">
        <v>7</v>
      </c>
      <c r="H21" s="36">
        <v>1</v>
      </c>
      <c r="I21" s="32">
        <f t="shared" si="2"/>
        <v>6</v>
      </c>
      <c r="J21">
        <v>6</v>
      </c>
      <c r="K21" s="36">
        <v>4</v>
      </c>
      <c r="L21" s="32">
        <f t="shared" si="3"/>
        <v>2</v>
      </c>
      <c r="M21">
        <v>4</v>
      </c>
      <c r="N21" s="36">
        <v>2</v>
      </c>
      <c r="O21" s="32">
        <f t="shared" si="4"/>
        <v>2</v>
      </c>
      <c r="P21">
        <v>5</v>
      </c>
      <c r="Q21" s="36">
        <v>1</v>
      </c>
      <c r="R21" s="32">
        <f t="shared" si="5"/>
        <v>4</v>
      </c>
      <c r="S21">
        <v>4</v>
      </c>
      <c r="T21" s="36">
        <v>1</v>
      </c>
      <c r="U21" s="32">
        <f t="shared" si="6"/>
        <v>3</v>
      </c>
      <c r="V21">
        <v>5</v>
      </c>
      <c r="W21" s="36">
        <v>3</v>
      </c>
      <c r="X21" s="32">
        <f t="shared" si="7"/>
        <v>2</v>
      </c>
      <c r="Y21">
        <v>4</v>
      </c>
      <c r="Z21" s="36">
        <v>3</v>
      </c>
      <c r="AA21" s="32">
        <f t="shared" si="8"/>
        <v>1</v>
      </c>
    </row>
    <row r="22" spans="1:27" x14ac:dyDescent="0.45">
      <c r="A22">
        <v>4</v>
      </c>
      <c r="B22" s="36">
        <v>3</v>
      </c>
      <c r="C22" s="32">
        <f t="shared" si="0"/>
        <v>1</v>
      </c>
      <c r="D22">
        <v>4</v>
      </c>
      <c r="E22" s="36">
        <v>3</v>
      </c>
      <c r="F22" s="32">
        <f t="shared" si="1"/>
        <v>1</v>
      </c>
      <c r="G22">
        <v>7</v>
      </c>
      <c r="H22" s="36">
        <v>1</v>
      </c>
      <c r="I22" s="32">
        <f t="shared" si="2"/>
        <v>6</v>
      </c>
      <c r="J22">
        <v>6</v>
      </c>
      <c r="K22" s="36">
        <v>4</v>
      </c>
      <c r="L22" s="32">
        <f t="shared" si="3"/>
        <v>2</v>
      </c>
      <c r="M22">
        <v>4</v>
      </c>
      <c r="N22" s="36">
        <v>2</v>
      </c>
      <c r="O22" s="32">
        <f t="shared" si="4"/>
        <v>2</v>
      </c>
      <c r="P22">
        <v>5</v>
      </c>
      <c r="Q22" s="36">
        <v>1</v>
      </c>
      <c r="R22" s="32">
        <f t="shared" si="5"/>
        <v>4</v>
      </c>
      <c r="S22">
        <v>4</v>
      </c>
      <c r="T22" s="36">
        <v>1</v>
      </c>
      <c r="U22" s="32">
        <f t="shared" si="6"/>
        <v>3</v>
      </c>
      <c r="V22">
        <v>5</v>
      </c>
      <c r="W22" s="36">
        <v>3</v>
      </c>
      <c r="X22" s="32">
        <f t="shared" si="7"/>
        <v>2</v>
      </c>
      <c r="Y22">
        <v>4</v>
      </c>
      <c r="Z22" s="36">
        <v>3</v>
      </c>
      <c r="AA22" s="32">
        <f t="shared" si="8"/>
        <v>1</v>
      </c>
    </row>
    <row r="23" spans="1:27" x14ac:dyDescent="0.45">
      <c r="A23">
        <v>4</v>
      </c>
      <c r="B23" s="36">
        <v>3</v>
      </c>
      <c r="C23" s="32">
        <f t="shared" si="0"/>
        <v>1</v>
      </c>
      <c r="D23">
        <v>4</v>
      </c>
      <c r="E23" s="36">
        <v>3</v>
      </c>
      <c r="F23" s="32">
        <f t="shared" si="1"/>
        <v>1</v>
      </c>
      <c r="G23">
        <v>7</v>
      </c>
      <c r="H23" s="36">
        <v>1</v>
      </c>
      <c r="I23" s="32">
        <f t="shared" si="2"/>
        <v>6</v>
      </c>
      <c r="J23">
        <v>6</v>
      </c>
      <c r="K23" s="36">
        <v>5</v>
      </c>
      <c r="L23" s="32">
        <f t="shared" si="3"/>
        <v>1</v>
      </c>
      <c r="M23">
        <v>4</v>
      </c>
      <c r="N23" s="36">
        <v>2</v>
      </c>
      <c r="O23" s="32">
        <f t="shared" si="4"/>
        <v>2</v>
      </c>
      <c r="P23">
        <v>5</v>
      </c>
      <c r="Q23" s="36">
        <v>1</v>
      </c>
      <c r="R23" s="32">
        <f t="shared" si="5"/>
        <v>4</v>
      </c>
      <c r="S23">
        <v>4</v>
      </c>
      <c r="T23" s="36">
        <v>1</v>
      </c>
      <c r="U23" s="32">
        <f t="shared" si="6"/>
        <v>3</v>
      </c>
      <c r="V23">
        <v>5</v>
      </c>
      <c r="W23" s="36">
        <v>3</v>
      </c>
      <c r="X23" s="32">
        <f t="shared" si="7"/>
        <v>2</v>
      </c>
      <c r="Y23">
        <v>4</v>
      </c>
      <c r="Z23" s="36">
        <v>3</v>
      </c>
      <c r="AA23" s="32">
        <f t="shared" si="8"/>
        <v>1</v>
      </c>
    </row>
    <row r="24" spans="1:27" x14ac:dyDescent="0.45">
      <c r="A24">
        <v>4</v>
      </c>
      <c r="B24" s="36">
        <v>3</v>
      </c>
      <c r="C24" s="32">
        <f t="shared" si="0"/>
        <v>1</v>
      </c>
      <c r="D24">
        <v>4</v>
      </c>
      <c r="E24" s="36">
        <v>3</v>
      </c>
      <c r="F24" s="32">
        <f t="shared" si="1"/>
        <v>1</v>
      </c>
      <c r="G24">
        <v>7</v>
      </c>
      <c r="H24" s="36">
        <v>1</v>
      </c>
      <c r="I24" s="32">
        <f t="shared" si="2"/>
        <v>6</v>
      </c>
      <c r="J24">
        <v>6</v>
      </c>
      <c r="K24" s="36">
        <v>5</v>
      </c>
      <c r="L24" s="32">
        <f t="shared" si="3"/>
        <v>1</v>
      </c>
      <c r="M24">
        <v>4</v>
      </c>
      <c r="N24" s="36">
        <v>2</v>
      </c>
      <c r="O24" s="32">
        <f t="shared" si="4"/>
        <v>2</v>
      </c>
      <c r="P24">
        <v>5</v>
      </c>
      <c r="Q24" s="36">
        <v>1</v>
      </c>
      <c r="R24" s="32">
        <f t="shared" si="5"/>
        <v>4</v>
      </c>
      <c r="S24">
        <v>4</v>
      </c>
      <c r="T24" s="36">
        <v>1</v>
      </c>
      <c r="U24" s="32">
        <f t="shared" si="6"/>
        <v>3</v>
      </c>
      <c r="V24">
        <v>5</v>
      </c>
      <c r="W24" s="36">
        <v>3</v>
      </c>
      <c r="X24" s="32">
        <f t="shared" si="7"/>
        <v>2</v>
      </c>
      <c r="Y24">
        <v>5</v>
      </c>
      <c r="Z24" s="36">
        <v>3</v>
      </c>
      <c r="AA24" s="32">
        <f t="shared" si="8"/>
        <v>2</v>
      </c>
    </row>
    <row r="25" spans="1:27" x14ac:dyDescent="0.45">
      <c r="A25">
        <v>4</v>
      </c>
      <c r="B25" s="36">
        <v>3</v>
      </c>
      <c r="C25" s="32">
        <f t="shared" si="0"/>
        <v>1</v>
      </c>
      <c r="D25">
        <v>4</v>
      </c>
      <c r="E25" s="36">
        <v>3</v>
      </c>
      <c r="F25" s="32">
        <f t="shared" si="1"/>
        <v>1</v>
      </c>
      <c r="G25">
        <v>7</v>
      </c>
      <c r="H25" s="36">
        <v>1</v>
      </c>
      <c r="I25" s="32">
        <f t="shared" si="2"/>
        <v>6</v>
      </c>
      <c r="J25">
        <v>6</v>
      </c>
      <c r="K25" s="36">
        <v>5</v>
      </c>
      <c r="L25" s="32">
        <f t="shared" si="3"/>
        <v>1</v>
      </c>
      <c r="M25">
        <v>4</v>
      </c>
      <c r="N25" s="36">
        <v>2</v>
      </c>
      <c r="O25" s="32">
        <f t="shared" si="4"/>
        <v>2</v>
      </c>
      <c r="P25">
        <v>5</v>
      </c>
      <c r="Q25" s="36">
        <v>2</v>
      </c>
      <c r="R25" s="32">
        <f t="shared" si="5"/>
        <v>3</v>
      </c>
      <c r="S25">
        <v>4</v>
      </c>
      <c r="T25" s="36">
        <v>1</v>
      </c>
      <c r="U25" s="32">
        <f t="shared" si="6"/>
        <v>3</v>
      </c>
      <c r="V25">
        <v>5</v>
      </c>
      <c r="W25" s="36">
        <v>3</v>
      </c>
      <c r="X25" s="32">
        <f t="shared" si="7"/>
        <v>2</v>
      </c>
      <c r="Y25">
        <v>5</v>
      </c>
      <c r="Z25" s="36">
        <v>4</v>
      </c>
      <c r="AA25" s="32">
        <f t="shared" si="8"/>
        <v>1</v>
      </c>
    </row>
    <row r="26" spans="1:27" x14ac:dyDescent="0.45">
      <c r="A26">
        <v>4</v>
      </c>
      <c r="B26">
        <v>3</v>
      </c>
      <c r="C26" s="32">
        <f t="shared" si="0"/>
        <v>1</v>
      </c>
      <c r="D26">
        <v>4</v>
      </c>
      <c r="E26" s="36">
        <v>3</v>
      </c>
      <c r="F26" s="32">
        <f t="shared" si="1"/>
        <v>1</v>
      </c>
      <c r="G26">
        <v>7</v>
      </c>
      <c r="H26" s="36">
        <v>1</v>
      </c>
      <c r="I26" s="32">
        <f t="shared" si="2"/>
        <v>6</v>
      </c>
      <c r="J26">
        <v>6</v>
      </c>
      <c r="K26" s="36">
        <v>5</v>
      </c>
      <c r="L26" s="32">
        <f t="shared" si="3"/>
        <v>1</v>
      </c>
      <c r="M26">
        <v>4</v>
      </c>
      <c r="N26" s="36">
        <v>3</v>
      </c>
      <c r="O26" s="32">
        <f t="shared" si="4"/>
        <v>1</v>
      </c>
      <c r="P26">
        <v>5</v>
      </c>
      <c r="Q26" s="36">
        <v>2</v>
      </c>
      <c r="R26" s="32">
        <f t="shared" si="5"/>
        <v>3</v>
      </c>
      <c r="S26">
        <v>4</v>
      </c>
      <c r="T26" s="36">
        <v>1</v>
      </c>
      <c r="U26" s="32">
        <f t="shared" si="6"/>
        <v>3</v>
      </c>
      <c r="V26">
        <v>5</v>
      </c>
      <c r="W26" s="36">
        <v>3</v>
      </c>
      <c r="X26" s="32">
        <f t="shared" si="7"/>
        <v>2</v>
      </c>
      <c r="Y26">
        <v>5</v>
      </c>
      <c r="Z26" s="36">
        <v>4</v>
      </c>
      <c r="AA26" s="32">
        <f t="shared" si="8"/>
        <v>1</v>
      </c>
    </row>
    <row r="27" spans="1:27" x14ac:dyDescent="0.45">
      <c r="A27">
        <v>4</v>
      </c>
      <c r="B27">
        <v>3</v>
      </c>
      <c r="C27" s="32">
        <f t="shared" si="0"/>
        <v>1</v>
      </c>
      <c r="D27">
        <v>4</v>
      </c>
      <c r="E27">
        <v>3</v>
      </c>
      <c r="F27" s="32">
        <f t="shared" si="1"/>
        <v>1</v>
      </c>
      <c r="G27">
        <v>7</v>
      </c>
      <c r="H27">
        <v>1</v>
      </c>
      <c r="I27" s="32">
        <f t="shared" si="2"/>
        <v>6</v>
      </c>
      <c r="J27">
        <v>6</v>
      </c>
      <c r="K27">
        <v>5</v>
      </c>
      <c r="L27" s="32">
        <f t="shared" si="3"/>
        <v>1</v>
      </c>
      <c r="M27">
        <v>4</v>
      </c>
      <c r="N27">
        <v>3</v>
      </c>
      <c r="O27" s="32">
        <f t="shared" si="4"/>
        <v>1</v>
      </c>
      <c r="P27">
        <v>5</v>
      </c>
      <c r="Q27">
        <v>2</v>
      </c>
      <c r="R27" s="32">
        <f t="shared" si="5"/>
        <v>3</v>
      </c>
      <c r="S27">
        <v>4</v>
      </c>
      <c r="T27">
        <v>1</v>
      </c>
      <c r="U27" s="32">
        <f t="shared" si="6"/>
        <v>3</v>
      </c>
      <c r="V27">
        <v>5</v>
      </c>
      <c r="W27">
        <v>3</v>
      </c>
      <c r="X27" s="32">
        <f t="shared" si="7"/>
        <v>2</v>
      </c>
      <c r="Y27">
        <v>5</v>
      </c>
      <c r="Z27">
        <v>4</v>
      </c>
      <c r="AA27" s="32">
        <f t="shared" si="8"/>
        <v>1</v>
      </c>
    </row>
    <row r="28" spans="1:27" x14ac:dyDescent="0.45">
      <c r="A28">
        <v>4</v>
      </c>
      <c r="B28">
        <v>3</v>
      </c>
      <c r="C28" s="32">
        <f t="shared" si="0"/>
        <v>1</v>
      </c>
      <c r="D28">
        <v>4</v>
      </c>
      <c r="E28">
        <v>3</v>
      </c>
      <c r="F28" s="32">
        <f t="shared" si="1"/>
        <v>1</v>
      </c>
      <c r="G28">
        <v>7</v>
      </c>
      <c r="H28">
        <v>1</v>
      </c>
      <c r="I28" s="32">
        <f t="shared" si="2"/>
        <v>6</v>
      </c>
      <c r="J28">
        <v>6</v>
      </c>
      <c r="K28">
        <v>5</v>
      </c>
      <c r="L28" s="32">
        <f t="shared" si="3"/>
        <v>1</v>
      </c>
      <c r="M28">
        <v>4</v>
      </c>
      <c r="N28">
        <v>3</v>
      </c>
      <c r="O28" s="32">
        <f t="shared" si="4"/>
        <v>1</v>
      </c>
      <c r="P28">
        <v>5</v>
      </c>
      <c r="Q28">
        <v>2</v>
      </c>
      <c r="R28" s="32">
        <f t="shared" si="5"/>
        <v>3</v>
      </c>
      <c r="S28">
        <v>4</v>
      </c>
      <c r="T28">
        <v>1</v>
      </c>
      <c r="U28" s="32">
        <f t="shared" si="6"/>
        <v>3</v>
      </c>
      <c r="V28">
        <v>5</v>
      </c>
      <c r="W28">
        <v>3</v>
      </c>
      <c r="X28" s="32">
        <f t="shared" si="7"/>
        <v>2</v>
      </c>
      <c r="Y28">
        <v>5</v>
      </c>
      <c r="Z28">
        <v>4</v>
      </c>
      <c r="AA28" s="32">
        <f t="shared" si="8"/>
        <v>1</v>
      </c>
    </row>
    <row r="29" spans="1:27" x14ac:dyDescent="0.45">
      <c r="A29">
        <v>4</v>
      </c>
      <c r="B29">
        <v>3</v>
      </c>
      <c r="C29" s="32">
        <f t="shared" si="0"/>
        <v>1</v>
      </c>
      <c r="D29">
        <v>4</v>
      </c>
      <c r="E29">
        <v>3</v>
      </c>
      <c r="F29" s="32">
        <f t="shared" si="1"/>
        <v>1</v>
      </c>
      <c r="G29">
        <v>7</v>
      </c>
      <c r="H29">
        <v>1</v>
      </c>
      <c r="I29" s="32">
        <f t="shared" si="2"/>
        <v>6</v>
      </c>
      <c r="J29">
        <v>6</v>
      </c>
      <c r="K29">
        <v>5</v>
      </c>
      <c r="L29" s="32">
        <f t="shared" si="3"/>
        <v>1</v>
      </c>
      <c r="M29">
        <v>4</v>
      </c>
      <c r="N29">
        <v>3</v>
      </c>
      <c r="O29" s="32">
        <f t="shared" si="4"/>
        <v>1</v>
      </c>
      <c r="P29">
        <v>5</v>
      </c>
      <c r="Q29">
        <v>2</v>
      </c>
      <c r="R29" s="32">
        <f t="shared" si="5"/>
        <v>3</v>
      </c>
      <c r="S29">
        <v>4</v>
      </c>
      <c r="T29">
        <v>1</v>
      </c>
      <c r="U29" s="32">
        <f t="shared" si="6"/>
        <v>3</v>
      </c>
      <c r="V29">
        <v>5</v>
      </c>
      <c r="W29">
        <v>3</v>
      </c>
      <c r="X29" s="32">
        <f t="shared" si="7"/>
        <v>2</v>
      </c>
      <c r="Y29">
        <v>5</v>
      </c>
      <c r="Z29">
        <v>4</v>
      </c>
      <c r="AA29" s="32">
        <f t="shared" si="8"/>
        <v>1</v>
      </c>
    </row>
    <row r="30" spans="1:27" x14ac:dyDescent="0.45">
      <c r="A30">
        <v>4</v>
      </c>
      <c r="B30">
        <v>4</v>
      </c>
      <c r="C30" s="32">
        <f t="shared" si="0"/>
        <v>0</v>
      </c>
      <c r="D30">
        <v>4</v>
      </c>
      <c r="E30">
        <v>3</v>
      </c>
      <c r="F30" s="32">
        <f t="shared" si="1"/>
        <v>1</v>
      </c>
      <c r="G30">
        <v>7</v>
      </c>
      <c r="H30">
        <v>1</v>
      </c>
      <c r="I30" s="32">
        <f t="shared" si="2"/>
        <v>6</v>
      </c>
      <c r="J30">
        <v>6</v>
      </c>
      <c r="K30">
        <v>5</v>
      </c>
      <c r="L30" s="32">
        <f t="shared" si="3"/>
        <v>1</v>
      </c>
      <c r="M30">
        <v>4</v>
      </c>
      <c r="N30">
        <v>3</v>
      </c>
      <c r="O30" s="32">
        <f t="shared" si="4"/>
        <v>1</v>
      </c>
      <c r="P30">
        <v>5</v>
      </c>
      <c r="Q30">
        <v>2</v>
      </c>
      <c r="R30" s="32">
        <f t="shared" si="5"/>
        <v>3</v>
      </c>
      <c r="S30">
        <v>4</v>
      </c>
      <c r="T30">
        <v>1</v>
      </c>
      <c r="U30" s="32">
        <f t="shared" si="6"/>
        <v>3</v>
      </c>
      <c r="V30">
        <v>5</v>
      </c>
      <c r="W30">
        <v>3</v>
      </c>
      <c r="X30" s="32">
        <f t="shared" si="7"/>
        <v>2</v>
      </c>
      <c r="Y30">
        <v>5</v>
      </c>
      <c r="Z30">
        <v>4</v>
      </c>
      <c r="AA30" s="32">
        <f t="shared" si="8"/>
        <v>1</v>
      </c>
    </row>
    <row r="31" spans="1:27" x14ac:dyDescent="0.45">
      <c r="A31">
        <v>4</v>
      </c>
      <c r="B31">
        <v>4</v>
      </c>
      <c r="C31" s="32">
        <f t="shared" si="0"/>
        <v>0</v>
      </c>
      <c r="D31">
        <v>4</v>
      </c>
      <c r="E31">
        <v>4</v>
      </c>
      <c r="F31" s="32">
        <f t="shared" si="1"/>
        <v>0</v>
      </c>
      <c r="G31">
        <v>7</v>
      </c>
      <c r="H31">
        <v>2</v>
      </c>
      <c r="I31" s="32">
        <f t="shared" si="2"/>
        <v>5</v>
      </c>
      <c r="J31">
        <v>6</v>
      </c>
      <c r="K31">
        <v>5</v>
      </c>
      <c r="L31" s="32">
        <f t="shared" si="3"/>
        <v>1</v>
      </c>
      <c r="M31">
        <v>4</v>
      </c>
      <c r="N31">
        <v>3</v>
      </c>
      <c r="O31" s="32">
        <f t="shared" si="4"/>
        <v>1</v>
      </c>
      <c r="P31">
        <v>5</v>
      </c>
      <c r="Q31">
        <v>2</v>
      </c>
      <c r="R31" s="32">
        <f t="shared" si="5"/>
        <v>3</v>
      </c>
      <c r="S31">
        <v>4</v>
      </c>
      <c r="T31">
        <v>1</v>
      </c>
      <c r="U31" s="32">
        <f t="shared" si="6"/>
        <v>3</v>
      </c>
      <c r="V31">
        <v>5</v>
      </c>
      <c r="W31">
        <v>3</v>
      </c>
      <c r="X31" s="32">
        <f t="shared" si="7"/>
        <v>2</v>
      </c>
      <c r="Y31">
        <v>5</v>
      </c>
      <c r="Z31">
        <v>4</v>
      </c>
      <c r="AA31" s="32">
        <f t="shared" si="8"/>
        <v>1</v>
      </c>
    </row>
    <row r="32" spans="1:27" x14ac:dyDescent="0.45">
      <c r="A32">
        <v>4</v>
      </c>
      <c r="B32">
        <v>4</v>
      </c>
      <c r="C32" s="32">
        <f t="shared" si="0"/>
        <v>0</v>
      </c>
      <c r="D32">
        <v>4</v>
      </c>
      <c r="E32">
        <v>4</v>
      </c>
      <c r="F32" s="32">
        <f t="shared" si="1"/>
        <v>0</v>
      </c>
      <c r="G32">
        <v>7</v>
      </c>
      <c r="H32">
        <v>2</v>
      </c>
      <c r="I32" s="32">
        <f t="shared" si="2"/>
        <v>5</v>
      </c>
      <c r="J32">
        <v>6</v>
      </c>
      <c r="K32">
        <v>5</v>
      </c>
      <c r="L32" s="32">
        <f t="shared" si="3"/>
        <v>1</v>
      </c>
      <c r="M32">
        <v>4</v>
      </c>
      <c r="N32">
        <v>3</v>
      </c>
      <c r="O32" s="32">
        <f t="shared" si="4"/>
        <v>1</v>
      </c>
      <c r="P32">
        <v>5</v>
      </c>
      <c r="Q32">
        <v>2</v>
      </c>
      <c r="R32" s="32">
        <f t="shared" si="5"/>
        <v>3</v>
      </c>
      <c r="S32">
        <v>4</v>
      </c>
      <c r="T32">
        <v>1</v>
      </c>
      <c r="U32" s="32">
        <f t="shared" si="6"/>
        <v>3</v>
      </c>
      <c r="V32">
        <v>5</v>
      </c>
      <c r="W32">
        <v>3</v>
      </c>
      <c r="X32" s="32">
        <f t="shared" si="7"/>
        <v>2</v>
      </c>
      <c r="Y32">
        <v>5</v>
      </c>
      <c r="Z32">
        <v>4</v>
      </c>
      <c r="AA32" s="32">
        <f t="shared" si="8"/>
        <v>1</v>
      </c>
    </row>
    <row r="33" spans="1:27" x14ac:dyDescent="0.45">
      <c r="A33">
        <v>4</v>
      </c>
      <c r="B33">
        <v>4</v>
      </c>
      <c r="C33" s="32">
        <f t="shared" si="0"/>
        <v>0</v>
      </c>
      <c r="D33">
        <v>4</v>
      </c>
      <c r="E33">
        <v>4</v>
      </c>
      <c r="F33" s="32">
        <f t="shared" si="1"/>
        <v>0</v>
      </c>
      <c r="G33">
        <v>7</v>
      </c>
      <c r="H33">
        <v>2</v>
      </c>
      <c r="I33" s="32">
        <f t="shared" si="2"/>
        <v>5</v>
      </c>
      <c r="J33">
        <v>6</v>
      </c>
      <c r="K33">
        <v>5</v>
      </c>
      <c r="L33" s="32">
        <f t="shared" si="3"/>
        <v>1</v>
      </c>
      <c r="M33">
        <v>4</v>
      </c>
      <c r="N33">
        <v>3</v>
      </c>
      <c r="O33" s="32">
        <f t="shared" si="4"/>
        <v>1</v>
      </c>
      <c r="P33">
        <v>5</v>
      </c>
      <c r="Q33">
        <v>3</v>
      </c>
      <c r="R33" s="32">
        <f t="shared" si="5"/>
        <v>2</v>
      </c>
      <c r="S33">
        <v>4</v>
      </c>
      <c r="T33">
        <v>1</v>
      </c>
      <c r="U33" s="32">
        <f t="shared" si="6"/>
        <v>3</v>
      </c>
      <c r="V33">
        <v>5</v>
      </c>
      <c r="W33">
        <v>4</v>
      </c>
      <c r="X33" s="32">
        <f t="shared" si="7"/>
        <v>1</v>
      </c>
      <c r="Y33">
        <v>5</v>
      </c>
      <c r="Z33">
        <v>4</v>
      </c>
      <c r="AA33" s="32">
        <f t="shared" si="8"/>
        <v>1</v>
      </c>
    </row>
    <row r="34" spans="1:27" x14ac:dyDescent="0.45">
      <c r="A34">
        <v>4</v>
      </c>
      <c r="B34">
        <v>4</v>
      </c>
      <c r="C34" s="32">
        <f t="shared" si="0"/>
        <v>0</v>
      </c>
      <c r="D34">
        <v>4</v>
      </c>
      <c r="E34">
        <v>4</v>
      </c>
      <c r="F34" s="32">
        <f t="shared" si="1"/>
        <v>0</v>
      </c>
      <c r="G34">
        <v>7</v>
      </c>
      <c r="H34">
        <v>2</v>
      </c>
      <c r="I34" s="32">
        <f t="shared" si="2"/>
        <v>5</v>
      </c>
      <c r="J34">
        <v>6</v>
      </c>
      <c r="K34">
        <v>5</v>
      </c>
      <c r="L34" s="32">
        <f t="shared" si="3"/>
        <v>1</v>
      </c>
      <c r="M34">
        <v>4</v>
      </c>
      <c r="N34">
        <v>3</v>
      </c>
      <c r="O34" s="32">
        <f t="shared" si="4"/>
        <v>1</v>
      </c>
      <c r="P34">
        <v>5</v>
      </c>
      <c r="Q34">
        <v>3</v>
      </c>
      <c r="R34" s="32">
        <f t="shared" si="5"/>
        <v>2</v>
      </c>
      <c r="S34">
        <v>4</v>
      </c>
      <c r="T34">
        <v>1</v>
      </c>
      <c r="U34" s="32">
        <f t="shared" si="6"/>
        <v>3</v>
      </c>
      <c r="V34">
        <v>5</v>
      </c>
      <c r="W34">
        <v>4</v>
      </c>
      <c r="X34" s="32">
        <f t="shared" si="7"/>
        <v>1</v>
      </c>
      <c r="Y34">
        <v>5</v>
      </c>
      <c r="Z34">
        <v>4</v>
      </c>
      <c r="AA34" s="32">
        <f t="shared" si="8"/>
        <v>1</v>
      </c>
    </row>
    <row r="35" spans="1:27" x14ac:dyDescent="0.45">
      <c r="A35">
        <v>4</v>
      </c>
      <c r="B35">
        <v>4</v>
      </c>
      <c r="C35" s="32">
        <f t="shared" si="0"/>
        <v>0</v>
      </c>
      <c r="D35">
        <v>4</v>
      </c>
      <c r="E35">
        <v>4</v>
      </c>
      <c r="F35" s="32">
        <f t="shared" si="1"/>
        <v>0</v>
      </c>
      <c r="G35">
        <v>7</v>
      </c>
      <c r="H35">
        <v>2</v>
      </c>
      <c r="I35" s="32">
        <f t="shared" si="2"/>
        <v>5</v>
      </c>
      <c r="J35">
        <v>6</v>
      </c>
      <c r="K35">
        <v>5</v>
      </c>
      <c r="L35" s="32">
        <f t="shared" si="3"/>
        <v>1</v>
      </c>
      <c r="M35">
        <v>4</v>
      </c>
      <c r="N35">
        <v>3</v>
      </c>
      <c r="O35" s="32">
        <f t="shared" si="4"/>
        <v>1</v>
      </c>
      <c r="P35">
        <v>5</v>
      </c>
      <c r="Q35">
        <v>3</v>
      </c>
      <c r="R35" s="32">
        <f t="shared" si="5"/>
        <v>2</v>
      </c>
      <c r="S35">
        <v>4</v>
      </c>
      <c r="T35">
        <v>1</v>
      </c>
      <c r="U35" s="32">
        <f t="shared" si="6"/>
        <v>3</v>
      </c>
      <c r="V35">
        <v>5</v>
      </c>
      <c r="W35">
        <v>4</v>
      </c>
      <c r="X35" s="32">
        <f t="shared" si="7"/>
        <v>1</v>
      </c>
      <c r="Y35">
        <v>5</v>
      </c>
      <c r="Z35">
        <v>4</v>
      </c>
      <c r="AA35" s="32">
        <f t="shared" si="8"/>
        <v>1</v>
      </c>
    </row>
    <row r="36" spans="1:27" x14ac:dyDescent="0.45">
      <c r="A36">
        <v>4</v>
      </c>
      <c r="B36">
        <v>4</v>
      </c>
      <c r="C36" s="32">
        <f t="shared" si="0"/>
        <v>0</v>
      </c>
      <c r="D36">
        <v>4</v>
      </c>
      <c r="E36">
        <v>4</v>
      </c>
      <c r="F36" s="32">
        <f t="shared" si="1"/>
        <v>0</v>
      </c>
      <c r="G36">
        <v>7</v>
      </c>
      <c r="H36">
        <v>2</v>
      </c>
      <c r="I36" s="32">
        <f t="shared" si="2"/>
        <v>5</v>
      </c>
      <c r="J36">
        <v>6</v>
      </c>
      <c r="K36">
        <v>5</v>
      </c>
      <c r="L36" s="32">
        <f t="shared" si="3"/>
        <v>1</v>
      </c>
      <c r="M36">
        <v>4</v>
      </c>
      <c r="N36">
        <v>3</v>
      </c>
      <c r="O36" s="32">
        <f t="shared" si="4"/>
        <v>1</v>
      </c>
      <c r="P36">
        <v>5</v>
      </c>
      <c r="Q36">
        <v>3</v>
      </c>
      <c r="R36" s="32">
        <f t="shared" si="5"/>
        <v>2</v>
      </c>
      <c r="S36">
        <v>4</v>
      </c>
      <c r="T36">
        <v>1</v>
      </c>
      <c r="U36" s="32">
        <f t="shared" si="6"/>
        <v>3</v>
      </c>
      <c r="V36">
        <v>5</v>
      </c>
      <c r="W36">
        <v>4</v>
      </c>
      <c r="X36" s="32">
        <f t="shared" si="7"/>
        <v>1</v>
      </c>
      <c r="Y36">
        <v>5</v>
      </c>
      <c r="Z36">
        <v>4</v>
      </c>
      <c r="AA36" s="32">
        <f t="shared" si="8"/>
        <v>1</v>
      </c>
    </row>
    <row r="37" spans="1:27" x14ac:dyDescent="0.45">
      <c r="A37">
        <v>4</v>
      </c>
      <c r="B37">
        <v>4</v>
      </c>
      <c r="C37" s="32">
        <f t="shared" si="0"/>
        <v>0</v>
      </c>
      <c r="D37">
        <v>4</v>
      </c>
      <c r="E37">
        <v>4</v>
      </c>
      <c r="F37" s="32">
        <f t="shared" si="1"/>
        <v>0</v>
      </c>
      <c r="G37">
        <v>7</v>
      </c>
      <c r="H37">
        <v>2</v>
      </c>
      <c r="I37" s="32">
        <f t="shared" si="2"/>
        <v>5</v>
      </c>
      <c r="J37">
        <v>7</v>
      </c>
      <c r="K37">
        <v>5</v>
      </c>
      <c r="L37" s="32">
        <f t="shared" si="3"/>
        <v>2</v>
      </c>
      <c r="M37">
        <v>4</v>
      </c>
      <c r="N37">
        <v>3</v>
      </c>
      <c r="O37" s="32">
        <f t="shared" si="4"/>
        <v>1</v>
      </c>
      <c r="P37">
        <v>5</v>
      </c>
      <c r="Q37">
        <v>3</v>
      </c>
      <c r="R37" s="32">
        <f t="shared" si="5"/>
        <v>2</v>
      </c>
      <c r="S37">
        <v>4</v>
      </c>
      <c r="T37">
        <v>2</v>
      </c>
      <c r="U37" s="32">
        <f t="shared" si="6"/>
        <v>2</v>
      </c>
      <c r="V37">
        <v>5</v>
      </c>
      <c r="W37">
        <v>4</v>
      </c>
      <c r="X37" s="32">
        <f t="shared" si="7"/>
        <v>1</v>
      </c>
      <c r="Y37">
        <v>5</v>
      </c>
      <c r="Z37">
        <v>5</v>
      </c>
      <c r="AA37" s="32">
        <f t="shared" si="8"/>
        <v>0</v>
      </c>
    </row>
    <row r="38" spans="1:27" x14ac:dyDescent="0.45">
      <c r="A38">
        <v>4</v>
      </c>
      <c r="B38">
        <v>4</v>
      </c>
      <c r="C38" s="32">
        <f t="shared" si="0"/>
        <v>0</v>
      </c>
      <c r="D38">
        <v>4</v>
      </c>
      <c r="E38">
        <v>4</v>
      </c>
      <c r="F38" s="32">
        <f t="shared" si="1"/>
        <v>0</v>
      </c>
      <c r="G38">
        <v>7</v>
      </c>
      <c r="H38">
        <v>2</v>
      </c>
      <c r="I38" s="32">
        <f t="shared" si="2"/>
        <v>5</v>
      </c>
      <c r="J38">
        <v>7</v>
      </c>
      <c r="K38">
        <v>5</v>
      </c>
      <c r="L38" s="32">
        <f t="shared" si="3"/>
        <v>2</v>
      </c>
      <c r="M38">
        <v>4</v>
      </c>
      <c r="N38">
        <v>3</v>
      </c>
      <c r="O38" s="32">
        <f t="shared" si="4"/>
        <v>1</v>
      </c>
      <c r="P38">
        <v>5</v>
      </c>
      <c r="Q38">
        <v>3</v>
      </c>
      <c r="R38" s="32">
        <f t="shared" si="5"/>
        <v>2</v>
      </c>
      <c r="S38">
        <v>4</v>
      </c>
      <c r="T38">
        <v>2</v>
      </c>
      <c r="U38" s="32">
        <f t="shared" si="6"/>
        <v>2</v>
      </c>
      <c r="V38">
        <v>5</v>
      </c>
      <c r="W38">
        <v>4</v>
      </c>
      <c r="X38" s="32">
        <f t="shared" si="7"/>
        <v>1</v>
      </c>
      <c r="Y38">
        <v>5</v>
      </c>
      <c r="Z38">
        <v>5</v>
      </c>
      <c r="AA38" s="32">
        <f t="shared" si="8"/>
        <v>0</v>
      </c>
    </row>
    <row r="39" spans="1:27" x14ac:dyDescent="0.45">
      <c r="A39">
        <v>4</v>
      </c>
      <c r="B39">
        <v>4</v>
      </c>
      <c r="C39" s="32">
        <f t="shared" si="0"/>
        <v>0</v>
      </c>
      <c r="D39">
        <v>4</v>
      </c>
      <c r="E39">
        <v>4</v>
      </c>
      <c r="F39" s="32">
        <f t="shared" si="1"/>
        <v>0</v>
      </c>
      <c r="G39">
        <v>7</v>
      </c>
      <c r="H39">
        <v>2</v>
      </c>
      <c r="I39" s="32">
        <f t="shared" si="2"/>
        <v>5</v>
      </c>
      <c r="J39">
        <v>7</v>
      </c>
      <c r="K39">
        <v>5</v>
      </c>
      <c r="L39" s="32">
        <f t="shared" si="3"/>
        <v>2</v>
      </c>
      <c r="M39">
        <v>4</v>
      </c>
      <c r="N39">
        <v>3</v>
      </c>
      <c r="O39" s="32">
        <f t="shared" si="4"/>
        <v>1</v>
      </c>
      <c r="P39">
        <v>5</v>
      </c>
      <c r="Q39">
        <v>3</v>
      </c>
      <c r="R39" s="32">
        <f t="shared" si="5"/>
        <v>2</v>
      </c>
      <c r="S39">
        <v>4</v>
      </c>
      <c r="T39">
        <v>2</v>
      </c>
      <c r="U39" s="32">
        <f t="shared" si="6"/>
        <v>2</v>
      </c>
      <c r="V39">
        <v>5</v>
      </c>
      <c r="W39">
        <v>4</v>
      </c>
      <c r="X39" s="32">
        <f t="shared" si="7"/>
        <v>1</v>
      </c>
      <c r="Y39">
        <v>5</v>
      </c>
      <c r="Z39">
        <v>5</v>
      </c>
      <c r="AA39" s="32">
        <f t="shared" si="8"/>
        <v>0</v>
      </c>
    </row>
    <row r="40" spans="1:27" x14ac:dyDescent="0.45">
      <c r="A40">
        <v>4</v>
      </c>
      <c r="B40">
        <v>4</v>
      </c>
      <c r="C40" s="32">
        <f t="shared" si="0"/>
        <v>0</v>
      </c>
      <c r="D40">
        <v>4</v>
      </c>
      <c r="E40">
        <v>4</v>
      </c>
      <c r="F40" s="32">
        <f t="shared" si="1"/>
        <v>0</v>
      </c>
      <c r="G40">
        <v>7</v>
      </c>
      <c r="H40">
        <v>2</v>
      </c>
      <c r="I40" s="32">
        <f t="shared" si="2"/>
        <v>5</v>
      </c>
      <c r="J40">
        <v>7</v>
      </c>
      <c r="K40">
        <v>5</v>
      </c>
      <c r="L40" s="32">
        <f t="shared" si="3"/>
        <v>2</v>
      </c>
      <c r="M40">
        <v>4</v>
      </c>
      <c r="N40">
        <v>3</v>
      </c>
      <c r="O40" s="32">
        <f t="shared" si="4"/>
        <v>1</v>
      </c>
      <c r="P40">
        <v>5</v>
      </c>
      <c r="Q40">
        <v>3</v>
      </c>
      <c r="R40" s="32">
        <f t="shared" si="5"/>
        <v>2</v>
      </c>
      <c r="S40">
        <v>4</v>
      </c>
      <c r="T40">
        <v>2</v>
      </c>
      <c r="U40" s="32">
        <f t="shared" si="6"/>
        <v>2</v>
      </c>
      <c r="V40">
        <v>5</v>
      </c>
      <c r="W40">
        <v>4</v>
      </c>
      <c r="X40" s="32">
        <f t="shared" si="7"/>
        <v>1</v>
      </c>
      <c r="Y40">
        <v>5</v>
      </c>
      <c r="Z40">
        <v>5</v>
      </c>
      <c r="AA40" s="32">
        <f t="shared" si="8"/>
        <v>0</v>
      </c>
    </row>
    <row r="41" spans="1:27" x14ac:dyDescent="0.45">
      <c r="A41">
        <v>5</v>
      </c>
      <c r="B41">
        <v>4</v>
      </c>
      <c r="C41" s="32">
        <f t="shared" si="0"/>
        <v>1</v>
      </c>
      <c r="D41">
        <v>4</v>
      </c>
      <c r="E41">
        <v>4</v>
      </c>
      <c r="F41" s="32">
        <f t="shared" si="1"/>
        <v>0</v>
      </c>
      <c r="G41">
        <v>7</v>
      </c>
      <c r="H41">
        <v>2</v>
      </c>
      <c r="I41" s="32">
        <f t="shared" si="2"/>
        <v>5</v>
      </c>
      <c r="J41">
        <v>7</v>
      </c>
      <c r="K41">
        <v>5</v>
      </c>
      <c r="L41" s="32">
        <f t="shared" si="3"/>
        <v>2</v>
      </c>
      <c r="M41">
        <v>4</v>
      </c>
      <c r="N41">
        <v>3</v>
      </c>
      <c r="O41" s="32">
        <f t="shared" si="4"/>
        <v>1</v>
      </c>
      <c r="P41">
        <v>5</v>
      </c>
      <c r="Q41">
        <v>3</v>
      </c>
      <c r="R41" s="32">
        <f t="shared" si="5"/>
        <v>2</v>
      </c>
      <c r="S41">
        <v>4</v>
      </c>
      <c r="T41">
        <v>2</v>
      </c>
      <c r="U41" s="32">
        <f t="shared" si="6"/>
        <v>2</v>
      </c>
      <c r="V41">
        <v>5</v>
      </c>
      <c r="W41">
        <v>4</v>
      </c>
      <c r="X41" s="32">
        <f t="shared" si="7"/>
        <v>1</v>
      </c>
      <c r="Y41">
        <v>5</v>
      </c>
      <c r="Z41">
        <v>5</v>
      </c>
      <c r="AA41" s="32">
        <f t="shared" si="8"/>
        <v>0</v>
      </c>
    </row>
    <row r="42" spans="1:27" x14ac:dyDescent="0.45">
      <c r="A42">
        <v>5</v>
      </c>
      <c r="B42">
        <v>4</v>
      </c>
      <c r="C42" s="32">
        <f t="shared" si="0"/>
        <v>1</v>
      </c>
      <c r="D42">
        <v>4</v>
      </c>
      <c r="E42">
        <v>4</v>
      </c>
      <c r="F42" s="32">
        <f t="shared" si="1"/>
        <v>0</v>
      </c>
      <c r="G42">
        <v>7</v>
      </c>
      <c r="H42">
        <v>3</v>
      </c>
      <c r="I42" s="32">
        <f t="shared" si="2"/>
        <v>4</v>
      </c>
      <c r="J42">
        <v>7</v>
      </c>
      <c r="K42">
        <v>5</v>
      </c>
      <c r="L42" s="32">
        <f t="shared" si="3"/>
        <v>2</v>
      </c>
      <c r="M42">
        <v>4</v>
      </c>
      <c r="N42">
        <v>4</v>
      </c>
      <c r="O42" s="32">
        <f t="shared" si="4"/>
        <v>0</v>
      </c>
      <c r="P42">
        <v>5</v>
      </c>
      <c r="Q42">
        <v>3</v>
      </c>
      <c r="R42" s="32">
        <f t="shared" si="5"/>
        <v>2</v>
      </c>
      <c r="S42">
        <v>4</v>
      </c>
      <c r="T42">
        <v>2</v>
      </c>
      <c r="U42" s="32">
        <f t="shared" si="6"/>
        <v>2</v>
      </c>
      <c r="V42">
        <v>5</v>
      </c>
      <c r="W42">
        <v>4</v>
      </c>
      <c r="X42" s="32">
        <f t="shared" si="7"/>
        <v>1</v>
      </c>
      <c r="Y42">
        <v>5</v>
      </c>
      <c r="Z42">
        <v>5</v>
      </c>
      <c r="AA42" s="32">
        <f t="shared" si="8"/>
        <v>0</v>
      </c>
    </row>
    <row r="43" spans="1:27" x14ac:dyDescent="0.45">
      <c r="A43">
        <v>5</v>
      </c>
      <c r="B43">
        <v>4</v>
      </c>
      <c r="C43" s="32">
        <f t="shared" si="0"/>
        <v>1</v>
      </c>
      <c r="D43">
        <v>4</v>
      </c>
      <c r="E43">
        <v>4</v>
      </c>
      <c r="F43" s="32">
        <f t="shared" si="1"/>
        <v>0</v>
      </c>
      <c r="G43">
        <v>7</v>
      </c>
      <c r="H43">
        <v>3</v>
      </c>
      <c r="I43" s="32">
        <f t="shared" si="2"/>
        <v>4</v>
      </c>
      <c r="J43">
        <v>7</v>
      </c>
      <c r="K43">
        <v>5</v>
      </c>
      <c r="L43" s="32">
        <f t="shared" si="3"/>
        <v>2</v>
      </c>
      <c r="M43">
        <v>4</v>
      </c>
      <c r="N43">
        <v>4</v>
      </c>
      <c r="O43" s="32">
        <f t="shared" si="4"/>
        <v>0</v>
      </c>
      <c r="P43">
        <v>5</v>
      </c>
      <c r="Q43">
        <v>3</v>
      </c>
      <c r="R43" s="32">
        <f t="shared" si="5"/>
        <v>2</v>
      </c>
      <c r="S43">
        <v>4</v>
      </c>
      <c r="T43">
        <v>2</v>
      </c>
      <c r="U43" s="32">
        <f t="shared" si="6"/>
        <v>2</v>
      </c>
      <c r="V43">
        <v>5</v>
      </c>
      <c r="W43">
        <v>4</v>
      </c>
      <c r="X43" s="32">
        <f t="shared" si="7"/>
        <v>1</v>
      </c>
      <c r="Y43">
        <v>5</v>
      </c>
      <c r="Z43">
        <v>5</v>
      </c>
      <c r="AA43" s="32">
        <f t="shared" si="8"/>
        <v>0</v>
      </c>
    </row>
    <row r="44" spans="1:27" x14ac:dyDescent="0.45">
      <c r="A44">
        <v>5</v>
      </c>
      <c r="B44">
        <v>4</v>
      </c>
      <c r="C44" s="32">
        <f t="shared" si="0"/>
        <v>1</v>
      </c>
      <c r="D44">
        <v>4</v>
      </c>
      <c r="E44">
        <v>4</v>
      </c>
      <c r="F44" s="32">
        <f t="shared" si="1"/>
        <v>0</v>
      </c>
      <c r="G44">
        <v>7</v>
      </c>
      <c r="H44">
        <v>3</v>
      </c>
      <c r="I44" s="32">
        <f t="shared" si="2"/>
        <v>4</v>
      </c>
      <c r="J44">
        <v>7</v>
      </c>
      <c r="K44">
        <v>5</v>
      </c>
      <c r="L44" s="32">
        <f t="shared" si="3"/>
        <v>2</v>
      </c>
      <c r="M44">
        <v>4</v>
      </c>
      <c r="N44">
        <v>4</v>
      </c>
      <c r="O44" s="32">
        <f t="shared" si="4"/>
        <v>0</v>
      </c>
      <c r="P44">
        <v>5</v>
      </c>
      <c r="Q44">
        <v>3</v>
      </c>
      <c r="R44" s="32">
        <f t="shared" si="5"/>
        <v>2</v>
      </c>
      <c r="S44">
        <v>4</v>
      </c>
      <c r="T44">
        <v>2</v>
      </c>
      <c r="U44" s="32">
        <f t="shared" si="6"/>
        <v>2</v>
      </c>
      <c r="V44">
        <v>5</v>
      </c>
      <c r="W44">
        <v>4</v>
      </c>
      <c r="X44" s="32">
        <f t="shared" si="7"/>
        <v>1</v>
      </c>
      <c r="Y44">
        <v>5</v>
      </c>
      <c r="Z44">
        <v>5</v>
      </c>
      <c r="AA44" s="32">
        <f t="shared" si="8"/>
        <v>0</v>
      </c>
    </row>
    <row r="45" spans="1:27" x14ac:dyDescent="0.45">
      <c r="A45">
        <v>5</v>
      </c>
      <c r="B45">
        <v>4</v>
      </c>
      <c r="C45" s="32">
        <f t="shared" si="0"/>
        <v>1</v>
      </c>
      <c r="D45">
        <v>4</v>
      </c>
      <c r="E45">
        <v>4</v>
      </c>
      <c r="F45" s="32">
        <f t="shared" si="1"/>
        <v>0</v>
      </c>
      <c r="G45">
        <v>7</v>
      </c>
      <c r="H45">
        <v>3</v>
      </c>
      <c r="I45" s="32">
        <f t="shared" si="2"/>
        <v>4</v>
      </c>
      <c r="J45">
        <v>7</v>
      </c>
      <c r="K45">
        <v>5</v>
      </c>
      <c r="L45" s="32">
        <f t="shared" si="3"/>
        <v>2</v>
      </c>
      <c r="M45">
        <v>4</v>
      </c>
      <c r="N45">
        <v>4</v>
      </c>
      <c r="O45" s="32">
        <f t="shared" si="4"/>
        <v>0</v>
      </c>
      <c r="P45">
        <v>5</v>
      </c>
      <c r="Q45">
        <v>3</v>
      </c>
      <c r="R45" s="32">
        <f t="shared" si="5"/>
        <v>2</v>
      </c>
      <c r="S45">
        <v>5</v>
      </c>
      <c r="T45">
        <v>2</v>
      </c>
      <c r="U45" s="32">
        <f t="shared" si="6"/>
        <v>3</v>
      </c>
      <c r="V45">
        <v>5</v>
      </c>
      <c r="W45">
        <v>4</v>
      </c>
      <c r="X45" s="32">
        <f t="shared" si="7"/>
        <v>1</v>
      </c>
      <c r="Y45">
        <v>5</v>
      </c>
      <c r="Z45">
        <v>5</v>
      </c>
      <c r="AA45" s="32">
        <f t="shared" si="8"/>
        <v>0</v>
      </c>
    </row>
    <row r="46" spans="1:27" x14ac:dyDescent="0.45">
      <c r="A46">
        <v>5</v>
      </c>
      <c r="B46">
        <v>4</v>
      </c>
      <c r="C46" s="32">
        <f t="shared" si="0"/>
        <v>1</v>
      </c>
      <c r="D46">
        <v>4</v>
      </c>
      <c r="E46">
        <v>4</v>
      </c>
      <c r="F46" s="32">
        <f t="shared" si="1"/>
        <v>0</v>
      </c>
      <c r="G46">
        <v>7</v>
      </c>
      <c r="H46">
        <v>3</v>
      </c>
      <c r="I46" s="32">
        <f t="shared" si="2"/>
        <v>4</v>
      </c>
      <c r="J46">
        <v>7</v>
      </c>
      <c r="K46">
        <v>5</v>
      </c>
      <c r="L46" s="32">
        <f t="shared" si="3"/>
        <v>2</v>
      </c>
      <c r="M46">
        <v>4</v>
      </c>
      <c r="N46">
        <v>4</v>
      </c>
      <c r="O46" s="32">
        <f t="shared" si="4"/>
        <v>0</v>
      </c>
      <c r="P46">
        <v>5</v>
      </c>
      <c r="Q46">
        <v>3</v>
      </c>
      <c r="R46" s="32">
        <f t="shared" si="5"/>
        <v>2</v>
      </c>
      <c r="S46">
        <v>5</v>
      </c>
      <c r="T46">
        <v>2</v>
      </c>
      <c r="U46" s="32">
        <f t="shared" si="6"/>
        <v>3</v>
      </c>
      <c r="V46">
        <v>5</v>
      </c>
      <c r="W46">
        <v>4</v>
      </c>
      <c r="X46" s="32">
        <f t="shared" si="7"/>
        <v>1</v>
      </c>
      <c r="Y46">
        <v>5</v>
      </c>
      <c r="Z46">
        <v>5</v>
      </c>
      <c r="AA46" s="32">
        <f t="shared" si="8"/>
        <v>0</v>
      </c>
    </row>
    <row r="47" spans="1:27" x14ac:dyDescent="0.45">
      <c r="A47">
        <v>5</v>
      </c>
      <c r="B47">
        <v>4</v>
      </c>
      <c r="C47" s="32">
        <f t="shared" si="0"/>
        <v>1</v>
      </c>
      <c r="D47">
        <v>4</v>
      </c>
      <c r="E47">
        <v>5</v>
      </c>
      <c r="F47" s="32">
        <f t="shared" si="1"/>
        <v>1</v>
      </c>
      <c r="G47">
        <v>7</v>
      </c>
      <c r="H47">
        <v>3</v>
      </c>
      <c r="I47" s="32">
        <f t="shared" si="2"/>
        <v>4</v>
      </c>
      <c r="J47">
        <v>7</v>
      </c>
      <c r="K47">
        <v>5</v>
      </c>
      <c r="L47" s="32">
        <f t="shared" si="3"/>
        <v>2</v>
      </c>
      <c r="M47">
        <v>4</v>
      </c>
      <c r="N47">
        <v>4</v>
      </c>
      <c r="O47" s="32">
        <f t="shared" si="4"/>
        <v>0</v>
      </c>
      <c r="P47">
        <v>5</v>
      </c>
      <c r="Q47">
        <v>3</v>
      </c>
      <c r="R47" s="32">
        <f t="shared" si="5"/>
        <v>2</v>
      </c>
      <c r="S47">
        <v>5</v>
      </c>
      <c r="T47">
        <v>2</v>
      </c>
      <c r="U47" s="32">
        <f t="shared" si="6"/>
        <v>3</v>
      </c>
      <c r="V47">
        <v>5</v>
      </c>
      <c r="W47">
        <v>4</v>
      </c>
      <c r="X47" s="32">
        <f t="shared" si="7"/>
        <v>1</v>
      </c>
      <c r="Y47">
        <v>5</v>
      </c>
      <c r="Z47">
        <v>5</v>
      </c>
      <c r="AA47" s="32">
        <f t="shared" si="8"/>
        <v>0</v>
      </c>
    </row>
    <row r="48" spans="1:27" x14ac:dyDescent="0.45">
      <c r="A48">
        <v>5</v>
      </c>
      <c r="B48">
        <v>4</v>
      </c>
      <c r="C48" s="32">
        <f t="shared" si="0"/>
        <v>1</v>
      </c>
      <c r="D48">
        <v>5</v>
      </c>
      <c r="E48">
        <v>5</v>
      </c>
      <c r="F48" s="32">
        <f t="shared" si="1"/>
        <v>0</v>
      </c>
      <c r="G48">
        <v>7</v>
      </c>
      <c r="H48">
        <v>3</v>
      </c>
      <c r="I48" s="32">
        <f t="shared" si="2"/>
        <v>4</v>
      </c>
      <c r="J48">
        <v>7</v>
      </c>
      <c r="K48">
        <v>5</v>
      </c>
      <c r="L48" s="32">
        <f t="shared" si="3"/>
        <v>2</v>
      </c>
      <c r="M48">
        <v>4</v>
      </c>
      <c r="N48">
        <v>4</v>
      </c>
      <c r="O48" s="32">
        <f t="shared" si="4"/>
        <v>0</v>
      </c>
      <c r="P48">
        <v>5</v>
      </c>
      <c r="Q48">
        <v>3</v>
      </c>
      <c r="R48" s="32">
        <f t="shared" si="5"/>
        <v>2</v>
      </c>
      <c r="S48">
        <v>5</v>
      </c>
      <c r="T48">
        <v>2</v>
      </c>
      <c r="U48" s="32">
        <f t="shared" si="6"/>
        <v>3</v>
      </c>
      <c r="V48">
        <v>5</v>
      </c>
      <c r="W48">
        <v>5</v>
      </c>
      <c r="X48" s="32">
        <f t="shared" si="7"/>
        <v>0</v>
      </c>
      <c r="Y48">
        <v>5</v>
      </c>
      <c r="Z48">
        <v>5</v>
      </c>
      <c r="AA48" s="32">
        <f t="shared" si="8"/>
        <v>0</v>
      </c>
    </row>
    <row r="49" spans="1:27" x14ac:dyDescent="0.45">
      <c r="A49">
        <v>5</v>
      </c>
      <c r="B49">
        <v>4</v>
      </c>
      <c r="C49" s="32">
        <f t="shared" si="0"/>
        <v>1</v>
      </c>
      <c r="D49">
        <v>5</v>
      </c>
      <c r="E49">
        <v>5</v>
      </c>
      <c r="F49" s="32">
        <f t="shared" si="1"/>
        <v>0</v>
      </c>
      <c r="G49">
        <v>7</v>
      </c>
      <c r="H49">
        <v>3</v>
      </c>
      <c r="I49" s="32">
        <f t="shared" si="2"/>
        <v>4</v>
      </c>
      <c r="J49">
        <v>7</v>
      </c>
      <c r="K49">
        <v>5</v>
      </c>
      <c r="L49" s="32">
        <f t="shared" si="3"/>
        <v>2</v>
      </c>
      <c r="M49">
        <v>4</v>
      </c>
      <c r="N49">
        <v>4</v>
      </c>
      <c r="O49" s="32">
        <f t="shared" si="4"/>
        <v>0</v>
      </c>
      <c r="P49">
        <v>5</v>
      </c>
      <c r="Q49">
        <v>3</v>
      </c>
      <c r="R49" s="32">
        <f t="shared" si="5"/>
        <v>2</v>
      </c>
      <c r="S49">
        <v>5</v>
      </c>
      <c r="T49">
        <v>2</v>
      </c>
      <c r="U49" s="32">
        <f t="shared" si="6"/>
        <v>3</v>
      </c>
      <c r="V49">
        <v>5</v>
      </c>
      <c r="W49">
        <v>5</v>
      </c>
      <c r="X49" s="32">
        <f t="shared" si="7"/>
        <v>0</v>
      </c>
      <c r="Y49">
        <v>5</v>
      </c>
      <c r="Z49">
        <v>5</v>
      </c>
      <c r="AA49" s="32">
        <f t="shared" si="8"/>
        <v>0</v>
      </c>
    </row>
    <row r="50" spans="1:27" x14ac:dyDescent="0.45">
      <c r="A50">
        <v>5</v>
      </c>
      <c r="B50">
        <v>4</v>
      </c>
      <c r="C50" s="32">
        <f t="shared" si="0"/>
        <v>1</v>
      </c>
      <c r="D50">
        <v>5</v>
      </c>
      <c r="E50">
        <v>5</v>
      </c>
      <c r="F50" s="32">
        <f t="shared" si="1"/>
        <v>0</v>
      </c>
      <c r="G50">
        <v>7</v>
      </c>
      <c r="H50">
        <v>3</v>
      </c>
      <c r="I50" s="32">
        <f t="shared" si="2"/>
        <v>4</v>
      </c>
      <c r="J50">
        <v>7</v>
      </c>
      <c r="K50">
        <v>5</v>
      </c>
      <c r="L50" s="32">
        <f t="shared" si="3"/>
        <v>2</v>
      </c>
      <c r="M50">
        <v>4</v>
      </c>
      <c r="N50">
        <v>4</v>
      </c>
      <c r="O50" s="32">
        <f t="shared" si="4"/>
        <v>0</v>
      </c>
      <c r="P50">
        <v>5</v>
      </c>
      <c r="Q50">
        <v>3</v>
      </c>
      <c r="R50" s="32">
        <f t="shared" si="5"/>
        <v>2</v>
      </c>
      <c r="S50">
        <v>5</v>
      </c>
      <c r="T50">
        <v>3</v>
      </c>
      <c r="U50" s="32">
        <f t="shared" si="6"/>
        <v>2</v>
      </c>
      <c r="V50">
        <v>5</v>
      </c>
      <c r="W50">
        <v>5</v>
      </c>
      <c r="X50" s="32">
        <f t="shared" si="7"/>
        <v>0</v>
      </c>
      <c r="Y50">
        <v>5</v>
      </c>
      <c r="Z50">
        <v>5</v>
      </c>
      <c r="AA50" s="32">
        <f t="shared" si="8"/>
        <v>0</v>
      </c>
    </row>
    <row r="51" spans="1:27" x14ac:dyDescent="0.45">
      <c r="A51">
        <v>5</v>
      </c>
      <c r="B51">
        <v>4</v>
      </c>
      <c r="C51" s="32">
        <f t="shared" si="0"/>
        <v>1</v>
      </c>
      <c r="D51">
        <v>5</v>
      </c>
      <c r="E51">
        <v>5</v>
      </c>
      <c r="F51" s="32">
        <f t="shared" si="1"/>
        <v>0</v>
      </c>
      <c r="G51">
        <v>7</v>
      </c>
      <c r="H51">
        <v>3</v>
      </c>
      <c r="I51" s="32">
        <f t="shared" si="2"/>
        <v>4</v>
      </c>
      <c r="J51">
        <v>7</v>
      </c>
      <c r="K51">
        <v>5</v>
      </c>
      <c r="L51" s="32">
        <f t="shared" si="3"/>
        <v>2</v>
      </c>
      <c r="M51">
        <v>4</v>
      </c>
      <c r="N51">
        <v>4</v>
      </c>
      <c r="O51" s="32">
        <f t="shared" si="4"/>
        <v>0</v>
      </c>
      <c r="P51">
        <v>5</v>
      </c>
      <c r="Q51">
        <v>3</v>
      </c>
      <c r="R51" s="32">
        <f t="shared" si="5"/>
        <v>2</v>
      </c>
      <c r="S51">
        <v>5</v>
      </c>
      <c r="T51">
        <v>3</v>
      </c>
      <c r="U51" s="32">
        <f t="shared" si="6"/>
        <v>2</v>
      </c>
      <c r="V51">
        <v>5</v>
      </c>
      <c r="W51">
        <v>5</v>
      </c>
      <c r="X51" s="32">
        <f t="shared" si="7"/>
        <v>0</v>
      </c>
      <c r="Y51">
        <v>5</v>
      </c>
      <c r="Z51">
        <v>5</v>
      </c>
      <c r="AA51" s="32">
        <f t="shared" si="8"/>
        <v>0</v>
      </c>
    </row>
    <row r="52" spans="1:27" x14ac:dyDescent="0.45">
      <c r="A52">
        <v>5</v>
      </c>
      <c r="B52">
        <v>4</v>
      </c>
      <c r="C52" s="32">
        <f t="shared" si="0"/>
        <v>1</v>
      </c>
      <c r="D52">
        <v>5</v>
      </c>
      <c r="E52">
        <v>5</v>
      </c>
      <c r="F52" s="32">
        <f t="shared" si="1"/>
        <v>0</v>
      </c>
      <c r="G52">
        <v>7</v>
      </c>
      <c r="H52">
        <v>3</v>
      </c>
      <c r="I52" s="32">
        <f t="shared" si="2"/>
        <v>4</v>
      </c>
      <c r="J52">
        <v>7</v>
      </c>
      <c r="K52">
        <v>5</v>
      </c>
      <c r="L52" s="32">
        <f t="shared" si="3"/>
        <v>2</v>
      </c>
      <c r="M52">
        <v>4</v>
      </c>
      <c r="N52">
        <v>4</v>
      </c>
      <c r="O52" s="32">
        <f t="shared" si="4"/>
        <v>0</v>
      </c>
      <c r="P52">
        <v>5</v>
      </c>
      <c r="Q52">
        <v>3</v>
      </c>
      <c r="R52" s="32">
        <f t="shared" si="5"/>
        <v>2</v>
      </c>
      <c r="S52">
        <v>5</v>
      </c>
      <c r="T52">
        <v>3</v>
      </c>
      <c r="U52" s="32">
        <f t="shared" si="6"/>
        <v>2</v>
      </c>
      <c r="V52">
        <v>5</v>
      </c>
      <c r="W52">
        <v>5</v>
      </c>
      <c r="X52" s="32">
        <f t="shared" si="7"/>
        <v>0</v>
      </c>
      <c r="Y52">
        <v>5</v>
      </c>
      <c r="Z52">
        <v>5</v>
      </c>
      <c r="AA52" s="32">
        <f t="shared" si="8"/>
        <v>0</v>
      </c>
    </row>
    <row r="53" spans="1:27" x14ac:dyDescent="0.45">
      <c r="A53">
        <v>5</v>
      </c>
      <c r="B53">
        <v>4</v>
      </c>
      <c r="C53" s="32">
        <f t="shared" si="0"/>
        <v>1</v>
      </c>
      <c r="D53">
        <v>5</v>
      </c>
      <c r="E53">
        <v>5</v>
      </c>
      <c r="F53" s="32">
        <f t="shared" si="1"/>
        <v>0</v>
      </c>
      <c r="G53">
        <v>7</v>
      </c>
      <c r="H53">
        <v>3</v>
      </c>
      <c r="I53" s="32">
        <f t="shared" si="2"/>
        <v>4</v>
      </c>
      <c r="J53">
        <v>7</v>
      </c>
      <c r="K53">
        <v>5</v>
      </c>
      <c r="L53" s="32">
        <f t="shared" si="3"/>
        <v>2</v>
      </c>
      <c r="M53">
        <v>4</v>
      </c>
      <c r="N53">
        <v>4</v>
      </c>
      <c r="O53" s="32">
        <f t="shared" si="4"/>
        <v>0</v>
      </c>
      <c r="P53">
        <v>5</v>
      </c>
      <c r="Q53">
        <v>3</v>
      </c>
      <c r="R53" s="32">
        <f t="shared" si="5"/>
        <v>2</v>
      </c>
      <c r="S53">
        <v>5</v>
      </c>
      <c r="T53">
        <v>3</v>
      </c>
      <c r="U53" s="32">
        <f t="shared" si="6"/>
        <v>2</v>
      </c>
      <c r="V53">
        <v>5</v>
      </c>
      <c r="W53">
        <v>5</v>
      </c>
      <c r="X53" s="32">
        <f t="shared" si="7"/>
        <v>0</v>
      </c>
      <c r="Y53">
        <v>5</v>
      </c>
      <c r="Z53">
        <v>5</v>
      </c>
      <c r="AA53" s="32">
        <f t="shared" si="8"/>
        <v>0</v>
      </c>
    </row>
    <row r="54" spans="1:27" x14ac:dyDescent="0.45">
      <c r="A54">
        <v>5</v>
      </c>
      <c r="B54">
        <v>4</v>
      </c>
      <c r="C54" s="32">
        <f t="shared" si="0"/>
        <v>1</v>
      </c>
      <c r="D54">
        <v>5</v>
      </c>
      <c r="E54">
        <v>5</v>
      </c>
      <c r="F54" s="32">
        <f t="shared" si="1"/>
        <v>0</v>
      </c>
      <c r="G54">
        <v>7</v>
      </c>
      <c r="H54">
        <v>3</v>
      </c>
      <c r="I54" s="32">
        <f t="shared" si="2"/>
        <v>4</v>
      </c>
      <c r="J54">
        <v>7</v>
      </c>
      <c r="K54">
        <v>5</v>
      </c>
      <c r="L54" s="32">
        <f t="shared" si="3"/>
        <v>2</v>
      </c>
      <c r="M54">
        <v>4</v>
      </c>
      <c r="N54">
        <v>4</v>
      </c>
      <c r="O54" s="32">
        <f t="shared" si="4"/>
        <v>0</v>
      </c>
      <c r="P54">
        <v>5</v>
      </c>
      <c r="Q54">
        <v>3</v>
      </c>
      <c r="R54" s="32">
        <f t="shared" si="5"/>
        <v>2</v>
      </c>
      <c r="S54">
        <v>5</v>
      </c>
      <c r="T54">
        <v>3</v>
      </c>
      <c r="U54" s="32">
        <f t="shared" si="6"/>
        <v>2</v>
      </c>
      <c r="V54">
        <v>5</v>
      </c>
      <c r="W54">
        <v>5</v>
      </c>
      <c r="X54" s="32">
        <f t="shared" si="7"/>
        <v>0</v>
      </c>
      <c r="Y54">
        <v>5</v>
      </c>
      <c r="Z54">
        <v>5</v>
      </c>
      <c r="AA54" s="32">
        <f t="shared" si="8"/>
        <v>0</v>
      </c>
    </row>
    <row r="55" spans="1:27" x14ac:dyDescent="0.45">
      <c r="A55">
        <v>5</v>
      </c>
      <c r="B55">
        <v>4</v>
      </c>
      <c r="C55" s="32">
        <f t="shared" si="0"/>
        <v>1</v>
      </c>
      <c r="D55">
        <v>5</v>
      </c>
      <c r="E55">
        <v>5</v>
      </c>
      <c r="F55" s="32">
        <f t="shared" si="1"/>
        <v>0</v>
      </c>
      <c r="G55">
        <v>7</v>
      </c>
      <c r="H55">
        <v>3</v>
      </c>
      <c r="I55" s="32">
        <f t="shared" si="2"/>
        <v>4</v>
      </c>
      <c r="J55">
        <v>7</v>
      </c>
      <c r="K55">
        <v>5</v>
      </c>
      <c r="L55" s="32">
        <f t="shared" si="3"/>
        <v>2</v>
      </c>
      <c r="M55">
        <v>4</v>
      </c>
      <c r="N55">
        <v>4</v>
      </c>
      <c r="O55" s="32">
        <f t="shared" si="4"/>
        <v>0</v>
      </c>
      <c r="P55">
        <v>6</v>
      </c>
      <c r="Q55">
        <v>4</v>
      </c>
      <c r="R55" s="32">
        <f t="shared" si="5"/>
        <v>2</v>
      </c>
      <c r="S55">
        <v>5</v>
      </c>
      <c r="T55">
        <v>3</v>
      </c>
      <c r="U55" s="32">
        <f t="shared" si="6"/>
        <v>2</v>
      </c>
      <c r="V55">
        <v>5</v>
      </c>
      <c r="W55">
        <v>5</v>
      </c>
      <c r="X55" s="32">
        <f t="shared" si="7"/>
        <v>0</v>
      </c>
      <c r="Y55">
        <v>5</v>
      </c>
      <c r="Z55">
        <v>5</v>
      </c>
      <c r="AA55" s="32">
        <f t="shared" si="8"/>
        <v>0</v>
      </c>
    </row>
    <row r="56" spans="1:27" x14ac:dyDescent="0.45">
      <c r="A56">
        <v>5</v>
      </c>
      <c r="B56">
        <v>4</v>
      </c>
      <c r="C56" s="32">
        <f t="shared" si="0"/>
        <v>1</v>
      </c>
      <c r="D56">
        <v>5</v>
      </c>
      <c r="E56">
        <v>5</v>
      </c>
      <c r="F56" s="32">
        <f t="shared" si="1"/>
        <v>0</v>
      </c>
      <c r="G56">
        <v>7</v>
      </c>
      <c r="H56">
        <v>3</v>
      </c>
      <c r="I56" s="32">
        <f t="shared" si="2"/>
        <v>4</v>
      </c>
      <c r="J56">
        <v>7</v>
      </c>
      <c r="K56">
        <v>5</v>
      </c>
      <c r="L56" s="32">
        <f t="shared" si="3"/>
        <v>2</v>
      </c>
      <c r="M56">
        <v>4</v>
      </c>
      <c r="N56">
        <v>4</v>
      </c>
      <c r="O56" s="32">
        <f t="shared" si="4"/>
        <v>0</v>
      </c>
      <c r="P56">
        <v>6</v>
      </c>
      <c r="Q56">
        <v>4</v>
      </c>
      <c r="R56" s="32">
        <f t="shared" si="5"/>
        <v>2</v>
      </c>
      <c r="S56">
        <v>5</v>
      </c>
      <c r="T56">
        <v>3</v>
      </c>
      <c r="U56" s="32">
        <f t="shared" si="6"/>
        <v>2</v>
      </c>
      <c r="V56">
        <v>5</v>
      </c>
      <c r="W56">
        <v>5</v>
      </c>
      <c r="X56" s="32">
        <f t="shared" si="7"/>
        <v>0</v>
      </c>
      <c r="Y56">
        <v>5</v>
      </c>
      <c r="Z56">
        <v>5</v>
      </c>
      <c r="AA56" s="32">
        <f t="shared" si="8"/>
        <v>0</v>
      </c>
    </row>
    <row r="57" spans="1:27" x14ac:dyDescent="0.45">
      <c r="A57">
        <v>5</v>
      </c>
      <c r="B57">
        <v>5</v>
      </c>
      <c r="C57" s="32">
        <f t="shared" si="0"/>
        <v>0</v>
      </c>
      <c r="D57">
        <v>5</v>
      </c>
      <c r="E57">
        <v>5</v>
      </c>
      <c r="F57" s="32">
        <f t="shared" si="1"/>
        <v>0</v>
      </c>
      <c r="G57">
        <v>7</v>
      </c>
      <c r="H57">
        <v>3</v>
      </c>
      <c r="I57" s="32">
        <f t="shared" si="2"/>
        <v>4</v>
      </c>
      <c r="J57">
        <v>7</v>
      </c>
      <c r="K57">
        <v>5</v>
      </c>
      <c r="L57" s="32">
        <f t="shared" si="3"/>
        <v>2</v>
      </c>
      <c r="M57">
        <v>5</v>
      </c>
      <c r="N57">
        <v>4</v>
      </c>
      <c r="O57" s="32">
        <f t="shared" si="4"/>
        <v>1</v>
      </c>
      <c r="P57">
        <v>6</v>
      </c>
      <c r="Q57">
        <v>4</v>
      </c>
      <c r="R57" s="32">
        <f t="shared" si="5"/>
        <v>2</v>
      </c>
      <c r="S57">
        <v>5</v>
      </c>
      <c r="T57">
        <v>3</v>
      </c>
      <c r="U57" s="32">
        <f t="shared" si="6"/>
        <v>2</v>
      </c>
      <c r="V57">
        <v>5</v>
      </c>
      <c r="W57">
        <v>5</v>
      </c>
      <c r="X57" s="32">
        <f t="shared" si="7"/>
        <v>0</v>
      </c>
      <c r="Y57">
        <v>5</v>
      </c>
      <c r="Z57">
        <v>5</v>
      </c>
      <c r="AA57" s="32">
        <f t="shared" si="8"/>
        <v>0</v>
      </c>
    </row>
    <row r="58" spans="1:27" x14ac:dyDescent="0.45">
      <c r="A58">
        <v>5</v>
      </c>
      <c r="B58">
        <v>5</v>
      </c>
      <c r="C58" s="32">
        <f t="shared" si="0"/>
        <v>0</v>
      </c>
      <c r="D58">
        <v>5</v>
      </c>
      <c r="E58">
        <v>5</v>
      </c>
      <c r="F58" s="32">
        <f t="shared" si="1"/>
        <v>0</v>
      </c>
      <c r="G58">
        <v>7</v>
      </c>
      <c r="H58">
        <v>3</v>
      </c>
      <c r="I58" s="32">
        <f t="shared" si="2"/>
        <v>4</v>
      </c>
      <c r="J58">
        <v>7</v>
      </c>
      <c r="K58">
        <v>5</v>
      </c>
      <c r="L58" s="32">
        <f t="shared" si="3"/>
        <v>2</v>
      </c>
      <c r="M58">
        <v>5</v>
      </c>
      <c r="N58">
        <v>4</v>
      </c>
      <c r="O58" s="32">
        <f t="shared" si="4"/>
        <v>1</v>
      </c>
      <c r="P58">
        <v>6</v>
      </c>
      <c r="Q58">
        <v>4</v>
      </c>
      <c r="R58" s="32">
        <f t="shared" si="5"/>
        <v>2</v>
      </c>
      <c r="S58">
        <v>5</v>
      </c>
      <c r="T58">
        <v>3</v>
      </c>
      <c r="U58" s="32">
        <f t="shared" si="6"/>
        <v>2</v>
      </c>
      <c r="V58">
        <v>5</v>
      </c>
      <c r="W58">
        <v>5</v>
      </c>
      <c r="X58" s="32">
        <f t="shared" si="7"/>
        <v>0</v>
      </c>
      <c r="Y58">
        <v>5</v>
      </c>
      <c r="Z58">
        <v>5</v>
      </c>
      <c r="AA58" s="32">
        <f t="shared" si="8"/>
        <v>0</v>
      </c>
    </row>
    <row r="59" spans="1:27" x14ac:dyDescent="0.45">
      <c r="A59">
        <v>5</v>
      </c>
      <c r="B59">
        <v>5</v>
      </c>
      <c r="C59" s="32">
        <f t="shared" si="0"/>
        <v>0</v>
      </c>
      <c r="D59">
        <v>5</v>
      </c>
      <c r="E59">
        <v>5</v>
      </c>
      <c r="F59" s="32">
        <f t="shared" si="1"/>
        <v>0</v>
      </c>
      <c r="G59">
        <v>7</v>
      </c>
      <c r="H59">
        <v>3</v>
      </c>
      <c r="I59" s="32">
        <f t="shared" si="2"/>
        <v>4</v>
      </c>
      <c r="J59">
        <v>7</v>
      </c>
      <c r="K59">
        <v>5</v>
      </c>
      <c r="L59" s="32">
        <f t="shared" si="3"/>
        <v>2</v>
      </c>
      <c r="M59">
        <v>5</v>
      </c>
      <c r="N59">
        <v>5</v>
      </c>
      <c r="O59" s="32">
        <f t="shared" si="4"/>
        <v>0</v>
      </c>
      <c r="P59">
        <v>6</v>
      </c>
      <c r="Q59">
        <v>4</v>
      </c>
      <c r="R59" s="32">
        <f t="shared" si="5"/>
        <v>2</v>
      </c>
      <c r="S59">
        <v>5</v>
      </c>
      <c r="T59">
        <v>4</v>
      </c>
      <c r="U59" s="32">
        <f t="shared" si="6"/>
        <v>1</v>
      </c>
      <c r="V59">
        <v>5</v>
      </c>
      <c r="W59">
        <v>5</v>
      </c>
      <c r="X59" s="32">
        <f t="shared" si="7"/>
        <v>0</v>
      </c>
      <c r="Y59">
        <v>5</v>
      </c>
      <c r="Z59">
        <v>5</v>
      </c>
      <c r="AA59" s="32">
        <f t="shared" si="8"/>
        <v>0</v>
      </c>
    </row>
    <row r="60" spans="1:27" x14ac:dyDescent="0.45">
      <c r="A60">
        <v>5</v>
      </c>
      <c r="B60">
        <v>5</v>
      </c>
      <c r="C60" s="32">
        <f t="shared" si="0"/>
        <v>0</v>
      </c>
      <c r="D60">
        <v>5</v>
      </c>
      <c r="E60">
        <v>5</v>
      </c>
      <c r="F60" s="32">
        <f t="shared" si="1"/>
        <v>0</v>
      </c>
      <c r="G60">
        <v>7</v>
      </c>
      <c r="H60">
        <v>4</v>
      </c>
      <c r="I60" s="32">
        <f t="shared" si="2"/>
        <v>3</v>
      </c>
      <c r="J60">
        <v>7</v>
      </c>
      <c r="K60">
        <v>5</v>
      </c>
      <c r="L60" s="32">
        <f t="shared" si="3"/>
        <v>2</v>
      </c>
      <c r="M60">
        <v>5</v>
      </c>
      <c r="N60">
        <v>5</v>
      </c>
      <c r="O60" s="32">
        <f t="shared" si="4"/>
        <v>0</v>
      </c>
      <c r="P60">
        <v>6</v>
      </c>
      <c r="Q60">
        <v>4</v>
      </c>
      <c r="R60" s="32">
        <f t="shared" si="5"/>
        <v>2</v>
      </c>
      <c r="S60">
        <v>5</v>
      </c>
      <c r="T60">
        <v>4</v>
      </c>
      <c r="U60" s="32">
        <f t="shared" si="6"/>
        <v>1</v>
      </c>
      <c r="V60">
        <v>5</v>
      </c>
      <c r="W60">
        <v>5</v>
      </c>
      <c r="X60" s="32">
        <f t="shared" si="7"/>
        <v>0</v>
      </c>
      <c r="Y60">
        <v>5</v>
      </c>
      <c r="Z60">
        <v>5</v>
      </c>
      <c r="AA60" s="32">
        <f t="shared" si="8"/>
        <v>0</v>
      </c>
    </row>
    <row r="61" spans="1:27" x14ac:dyDescent="0.45">
      <c r="A61">
        <v>5</v>
      </c>
      <c r="B61">
        <v>5</v>
      </c>
      <c r="C61" s="32">
        <f t="shared" si="0"/>
        <v>0</v>
      </c>
      <c r="D61">
        <v>5</v>
      </c>
      <c r="E61">
        <v>5</v>
      </c>
      <c r="F61" s="32">
        <f t="shared" si="1"/>
        <v>0</v>
      </c>
      <c r="G61">
        <v>7</v>
      </c>
      <c r="H61">
        <v>4</v>
      </c>
      <c r="I61" s="32">
        <f t="shared" si="2"/>
        <v>3</v>
      </c>
      <c r="J61">
        <v>7</v>
      </c>
      <c r="K61">
        <v>5</v>
      </c>
      <c r="L61" s="32">
        <f t="shared" si="3"/>
        <v>2</v>
      </c>
      <c r="M61">
        <v>5</v>
      </c>
      <c r="N61">
        <v>5</v>
      </c>
      <c r="O61" s="32">
        <f t="shared" si="4"/>
        <v>0</v>
      </c>
      <c r="P61">
        <v>6</v>
      </c>
      <c r="Q61">
        <v>4</v>
      </c>
      <c r="R61" s="32">
        <f t="shared" si="5"/>
        <v>2</v>
      </c>
      <c r="S61">
        <v>5</v>
      </c>
      <c r="T61">
        <v>4</v>
      </c>
      <c r="U61" s="32">
        <f t="shared" si="6"/>
        <v>1</v>
      </c>
      <c r="V61">
        <v>5</v>
      </c>
      <c r="W61">
        <v>5</v>
      </c>
      <c r="X61" s="32">
        <f t="shared" si="7"/>
        <v>0</v>
      </c>
      <c r="Y61">
        <v>5</v>
      </c>
      <c r="Z61">
        <v>5</v>
      </c>
      <c r="AA61" s="32">
        <f t="shared" si="8"/>
        <v>0</v>
      </c>
    </row>
    <row r="62" spans="1:27" x14ac:dyDescent="0.45">
      <c r="A62">
        <v>5</v>
      </c>
      <c r="B62">
        <v>5</v>
      </c>
      <c r="C62" s="32">
        <f t="shared" si="0"/>
        <v>0</v>
      </c>
      <c r="D62">
        <v>5</v>
      </c>
      <c r="E62">
        <v>5</v>
      </c>
      <c r="F62" s="32">
        <f t="shared" si="1"/>
        <v>0</v>
      </c>
      <c r="G62">
        <v>7</v>
      </c>
      <c r="H62">
        <v>4</v>
      </c>
      <c r="I62" s="32">
        <f t="shared" si="2"/>
        <v>3</v>
      </c>
      <c r="J62">
        <v>7</v>
      </c>
      <c r="K62">
        <v>5</v>
      </c>
      <c r="L62" s="32">
        <f t="shared" si="3"/>
        <v>2</v>
      </c>
      <c r="M62">
        <v>5</v>
      </c>
      <c r="N62">
        <v>5</v>
      </c>
      <c r="O62" s="32">
        <f t="shared" si="4"/>
        <v>0</v>
      </c>
      <c r="P62">
        <v>6</v>
      </c>
      <c r="Q62">
        <v>4</v>
      </c>
      <c r="R62" s="32">
        <f t="shared" si="5"/>
        <v>2</v>
      </c>
      <c r="S62">
        <v>5</v>
      </c>
      <c r="T62">
        <v>4</v>
      </c>
      <c r="U62" s="32">
        <f t="shared" si="6"/>
        <v>1</v>
      </c>
      <c r="V62">
        <v>5</v>
      </c>
      <c r="W62">
        <v>5</v>
      </c>
      <c r="X62" s="32">
        <f t="shared" si="7"/>
        <v>0</v>
      </c>
      <c r="Y62">
        <v>5</v>
      </c>
      <c r="Z62">
        <v>5</v>
      </c>
      <c r="AA62" s="32">
        <f t="shared" si="8"/>
        <v>0</v>
      </c>
    </row>
    <row r="63" spans="1:27" x14ac:dyDescent="0.45">
      <c r="A63">
        <v>5</v>
      </c>
      <c r="B63">
        <v>5</v>
      </c>
      <c r="C63" s="32">
        <f t="shared" si="0"/>
        <v>0</v>
      </c>
      <c r="D63">
        <v>5</v>
      </c>
      <c r="E63">
        <v>5</v>
      </c>
      <c r="F63" s="32">
        <f t="shared" si="1"/>
        <v>0</v>
      </c>
      <c r="G63">
        <v>7</v>
      </c>
      <c r="H63">
        <v>4</v>
      </c>
      <c r="I63" s="32">
        <f t="shared" si="2"/>
        <v>3</v>
      </c>
      <c r="J63">
        <v>7</v>
      </c>
      <c r="K63">
        <v>5</v>
      </c>
      <c r="L63" s="32">
        <f t="shared" si="3"/>
        <v>2</v>
      </c>
      <c r="M63">
        <v>5</v>
      </c>
      <c r="N63">
        <v>5</v>
      </c>
      <c r="O63" s="32">
        <f t="shared" si="4"/>
        <v>0</v>
      </c>
      <c r="P63">
        <v>6</v>
      </c>
      <c r="Q63">
        <v>4</v>
      </c>
      <c r="R63" s="32">
        <f t="shared" si="5"/>
        <v>2</v>
      </c>
      <c r="S63">
        <v>5</v>
      </c>
      <c r="T63">
        <v>4</v>
      </c>
      <c r="U63" s="32">
        <f t="shared" si="6"/>
        <v>1</v>
      </c>
      <c r="V63">
        <v>5</v>
      </c>
      <c r="W63">
        <v>5</v>
      </c>
      <c r="X63" s="32">
        <f t="shared" si="7"/>
        <v>0</v>
      </c>
      <c r="Y63">
        <v>5</v>
      </c>
      <c r="Z63">
        <v>5</v>
      </c>
      <c r="AA63" s="32">
        <f t="shared" si="8"/>
        <v>0</v>
      </c>
    </row>
    <row r="64" spans="1:27" x14ac:dyDescent="0.45">
      <c r="A64">
        <v>5</v>
      </c>
      <c r="B64">
        <v>5</v>
      </c>
      <c r="C64" s="32">
        <f t="shared" si="0"/>
        <v>0</v>
      </c>
      <c r="D64">
        <v>5</v>
      </c>
      <c r="E64">
        <v>5</v>
      </c>
      <c r="F64" s="32">
        <f t="shared" si="1"/>
        <v>0</v>
      </c>
      <c r="G64">
        <v>7</v>
      </c>
      <c r="H64">
        <v>4</v>
      </c>
      <c r="I64" s="32">
        <f t="shared" si="2"/>
        <v>3</v>
      </c>
      <c r="J64">
        <v>7</v>
      </c>
      <c r="K64">
        <v>5</v>
      </c>
      <c r="L64" s="32">
        <f t="shared" si="3"/>
        <v>2</v>
      </c>
      <c r="M64">
        <v>5</v>
      </c>
      <c r="N64">
        <v>5</v>
      </c>
      <c r="O64" s="32">
        <f t="shared" si="4"/>
        <v>0</v>
      </c>
      <c r="P64">
        <v>6</v>
      </c>
      <c r="Q64">
        <v>4</v>
      </c>
      <c r="R64" s="32">
        <f t="shared" si="5"/>
        <v>2</v>
      </c>
      <c r="S64">
        <v>5</v>
      </c>
      <c r="T64">
        <v>4</v>
      </c>
      <c r="U64" s="32">
        <f t="shared" si="6"/>
        <v>1</v>
      </c>
      <c r="V64">
        <v>5</v>
      </c>
      <c r="W64">
        <v>5</v>
      </c>
      <c r="X64" s="32">
        <f t="shared" si="7"/>
        <v>0</v>
      </c>
      <c r="Y64">
        <v>5</v>
      </c>
      <c r="Z64">
        <v>5</v>
      </c>
      <c r="AA64" s="32">
        <f t="shared" si="8"/>
        <v>0</v>
      </c>
    </row>
    <row r="65" spans="1:27" x14ac:dyDescent="0.45">
      <c r="A65">
        <v>5</v>
      </c>
      <c r="B65">
        <v>5</v>
      </c>
      <c r="C65" s="32">
        <f t="shared" si="0"/>
        <v>0</v>
      </c>
      <c r="D65">
        <v>5</v>
      </c>
      <c r="E65">
        <v>5</v>
      </c>
      <c r="F65" s="32">
        <f t="shared" si="1"/>
        <v>0</v>
      </c>
      <c r="G65">
        <v>7</v>
      </c>
      <c r="H65">
        <v>4</v>
      </c>
      <c r="I65" s="32">
        <f t="shared" si="2"/>
        <v>3</v>
      </c>
      <c r="J65">
        <v>7</v>
      </c>
      <c r="K65">
        <v>5</v>
      </c>
      <c r="L65" s="32">
        <f t="shared" si="3"/>
        <v>2</v>
      </c>
      <c r="M65">
        <v>5</v>
      </c>
      <c r="N65">
        <v>5</v>
      </c>
      <c r="O65" s="32">
        <f t="shared" si="4"/>
        <v>0</v>
      </c>
      <c r="P65">
        <v>6</v>
      </c>
      <c r="Q65">
        <v>4</v>
      </c>
      <c r="R65" s="32">
        <f t="shared" si="5"/>
        <v>2</v>
      </c>
      <c r="S65">
        <v>5</v>
      </c>
      <c r="T65">
        <v>4</v>
      </c>
      <c r="U65" s="32">
        <f t="shared" si="6"/>
        <v>1</v>
      </c>
      <c r="V65">
        <v>5</v>
      </c>
      <c r="W65">
        <v>5</v>
      </c>
      <c r="X65" s="32">
        <f t="shared" si="7"/>
        <v>0</v>
      </c>
      <c r="Y65">
        <v>5</v>
      </c>
      <c r="Z65">
        <v>5</v>
      </c>
      <c r="AA65" s="32">
        <f t="shared" si="8"/>
        <v>0</v>
      </c>
    </row>
    <row r="66" spans="1:27" x14ac:dyDescent="0.45">
      <c r="A66">
        <v>5</v>
      </c>
      <c r="B66">
        <v>5</v>
      </c>
      <c r="C66" s="32">
        <f t="shared" si="0"/>
        <v>0</v>
      </c>
      <c r="D66">
        <v>5</v>
      </c>
      <c r="E66">
        <v>5</v>
      </c>
      <c r="F66" s="32">
        <f t="shared" si="1"/>
        <v>0</v>
      </c>
      <c r="G66">
        <v>7</v>
      </c>
      <c r="H66">
        <v>4</v>
      </c>
      <c r="I66" s="32">
        <f t="shared" si="2"/>
        <v>3</v>
      </c>
      <c r="J66">
        <v>7</v>
      </c>
      <c r="K66">
        <v>5</v>
      </c>
      <c r="L66" s="32">
        <f t="shared" si="3"/>
        <v>2</v>
      </c>
      <c r="M66">
        <v>5</v>
      </c>
      <c r="N66">
        <v>5</v>
      </c>
      <c r="O66" s="32">
        <f t="shared" si="4"/>
        <v>0</v>
      </c>
      <c r="P66">
        <v>6</v>
      </c>
      <c r="Q66">
        <v>4</v>
      </c>
      <c r="R66" s="32">
        <f t="shared" si="5"/>
        <v>2</v>
      </c>
      <c r="S66">
        <v>5</v>
      </c>
      <c r="T66">
        <v>4</v>
      </c>
      <c r="U66" s="32">
        <f t="shared" si="6"/>
        <v>1</v>
      </c>
      <c r="V66">
        <v>5</v>
      </c>
      <c r="W66">
        <v>5</v>
      </c>
      <c r="X66" s="32">
        <f t="shared" si="7"/>
        <v>0</v>
      </c>
      <c r="Y66">
        <v>5</v>
      </c>
      <c r="Z66">
        <v>5</v>
      </c>
      <c r="AA66" s="32">
        <f t="shared" si="8"/>
        <v>0</v>
      </c>
    </row>
    <row r="67" spans="1:27" x14ac:dyDescent="0.45">
      <c r="A67">
        <v>5</v>
      </c>
      <c r="B67">
        <v>5</v>
      </c>
      <c r="C67" s="32">
        <f t="shared" ref="C67:C130" si="9">ABS(B67-A67)</f>
        <v>0</v>
      </c>
      <c r="D67">
        <v>5</v>
      </c>
      <c r="E67">
        <v>5</v>
      </c>
      <c r="F67" s="32">
        <f t="shared" ref="F67:F130" si="10">ABS(E67-D67)</f>
        <v>0</v>
      </c>
      <c r="G67">
        <v>7</v>
      </c>
      <c r="H67">
        <v>4</v>
      </c>
      <c r="I67" s="32">
        <f t="shared" ref="I67:I130" si="11">ABS(H67-G67)</f>
        <v>3</v>
      </c>
      <c r="J67">
        <v>7</v>
      </c>
      <c r="K67">
        <v>5</v>
      </c>
      <c r="L67" s="32">
        <f t="shared" ref="L67:L130" si="12">ABS(K67-J67)</f>
        <v>2</v>
      </c>
      <c r="M67">
        <v>5</v>
      </c>
      <c r="N67">
        <v>5</v>
      </c>
      <c r="O67" s="32">
        <f t="shared" ref="O67:O130" si="13">ABS(N67-M67)</f>
        <v>0</v>
      </c>
      <c r="P67">
        <v>6</v>
      </c>
      <c r="Q67">
        <v>4</v>
      </c>
      <c r="R67" s="32">
        <f t="shared" ref="R67:R130" si="14">ABS(Q67-P67)</f>
        <v>2</v>
      </c>
      <c r="S67">
        <v>5</v>
      </c>
      <c r="T67">
        <v>4</v>
      </c>
      <c r="U67" s="32">
        <f t="shared" ref="U67:U130" si="15">ABS(T67-S67)</f>
        <v>1</v>
      </c>
      <c r="V67">
        <v>5</v>
      </c>
      <c r="W67">
        <v>5</v>
      </c>
      <c r="X67" s="32">
        <f t="shared" ref="X67:X130" si="16">ABS(W67-V67)</f>
        <v>0</v>
      </c>
      <c r="Y67">
        <v>5</v>
      </c>
      <c r="Z67">
        <v>5</v>
      </c>
      <c r="AA67" s="32">
        <f t="shared" ref="AA67:AA130" si="17">ABS(Z67-Y67)</f>
        <v>0</v>
      </c>
    </row>
    <row r="68" spans="1:27" x14ac:dyDescent="0.45">
      <c r="A68">
        <v>5</v>
      </c>
      <c r="B68">
        <v>5</v>
      </c>
      <c r="C68" s="32">
        <f t="shared" si="9"/>
        <v>0</v>
      </c>
      <c r="D68">
        <v>5</v>
      </c>
      <c r="E68">
        <v>5</v>
      </c>
      <c r="F68" s="32">
        <f t="shared" si="10"/>
        <v>0</v>
      </c>
      <c r="G68">
        <v>7</v>
      </c>
      <c r="H68">
        <v>4</v>
      </c>
      <c r="I68" s="32">
        <f t="shared" si="11"/>
        <v>3</v>
      </c>
      <c r="J68">
        <v>7</v>
      </c>
      <c r="K68">
        <v>5</v>
      </c>
      <c r="L68" s="32">
        <f t="shared" si="12"/>
        <v>2</v>
      </c>
      <c r="M68">
        <v>5</v>
      </c>
      <c r="N68">
        <v>5</v>
      </c>
      <c r="O68" s="32">
        <f t="shared" si="13"/>
        <v>0</v>
      </c>
      <c r="P68">
        <v>6</v>
      </c>
      <c r="Q68">
        <v>4</v>
      </c>
      <c r="R68" s="32">
        <f t="shared" si="14"/>
        <v>2</v>
      </c>
      <c r="S68">
        <v>5</v>
      </c>
      <c r="T68">
        <v>4</v>
      </c>
      <c r="U68" s="32">
        <f t="shared" si="15"/>
        <v>1</v>
      </c>
      <c r="V68">
        <v>5</v>
      </c>
      <c r="W68">
        <v>5</v>
      </c>
      <c r="X68" s="32">
        <f t="shared" si="16"/>
        <v>0</v>
      </c>
      <c r="Y68">
        <v>5</v>
      </c>
      <c r="Z68">
        <v>5</v>
      </c>
      <c r="AA68" s="32">
        <f t="shared" si="17"/>
        <v>0</v>
      </c>
    </row>
    <row r="69" spans="1:27" x14ac:dyDescent="0.45">
      <c r="A69">
        <v>5</v>
      </c>
      <c r="B69">
        <v>5</v>
      </c>
      <c r="C69" s="32">
        <f t="shared" si="9"/>
        <v>0</v>
      </c>
      <c r="D69">
        <v>5</v>
      </c>
      <c r="E69">
        <v>5</v>
      </c>
      <c r="F69" s="32">
        <f t="shared" si="10"/>
        <v>0</v>
      </c>
      <c r="G69">
        <v>7</v>
      </c>
      <c r="H69">
        <v>4</v>
      </c>
      <c r="I69" s="32">
        <f t="shared" si="11"/>
        <v>3</v>
      </c>
      <c r="J69">
        <v>7</v>
      </c>
      <c r="K69">
        <v>5</v>
      </c>
      <c r="L69" s="32">
        <f t="shared" si="12"/>
        <v>2</v>
      </c>
      <c r="M69">
        <v>5</v>
      </c>
      <c r="N69">
        <v>5</v>
      </c>
      <c r="O69" s="32">
        <f t="shared" si="13"/>
        <v>0</v>
      </c>
      <c r="P69">
        <v>6</v>
      </c>
      <c r="Q69">
        <v>4</v>
      </c>
      <c r="R69" s="32">
        <f t="shared" si="14"/>
        <v>2</v>
      </c>
      <c r="S69">
        <v>5</v>
      </c>
      <c r="T69">
        <v>4</v>
      </c>
      <c r="U69" s="32">
        <f t="shared" si="15"/>
        <v>1</v>
      </c>
      <c r="V69">
        <v>5</v>
      </c>
      <c r="W69">
        <v>5</v>
      </c>
      <c r="X69" s="32">
        <f t="shared" si="16"/>
        <v>0</v>
      </c>
      <c r="Y69">
        <v>6</v>
      </c>
      <c r="Z69">
        <v>5</v>
      </c>
      <c r="AA69" s="32">
        <f t="shared" si="17"/>
        <v>1</v>
      </c>
    </row>
    <row r="70" spans="1:27" x14ac:dyDescent="0.45">
      <c r="A70">
        <v>5</v>
      </c>
      <c r="B70">
        <v>5</v>
      </c>
      <c r="C70" s="32">
        <f t="shared" si="9"/>
        <v>0</v>
      </c>
      <c r="D70">
        <v>5</v>
      </c>
      <c r="E70">
        <v>5</v>
      </c>
      <c r="F70" s="32">
        <f t="shared" si="10"/>
        <v>0</v>
      </c>
      <c r="G70">
        <v>7</v>
      </c>
      <c r="H70">
        <v>4</v>
      </c>
      <c r="I70" s="32">
        <f t="shared" si="11"/>
        <v>3</v>
      </c>
      <c r="J70">
        <v>7</v>
      </c>
      <c r="K70">
        <v>5</v>
      </c>
      <c r="L70" s="32">
        <f t="shared" si="12"/>
        <v>2</v>
      </c>
      <c r="M70">
        <v>5</v>
      </c>
      <c r="N70">
        <v>5</v>
      </c>
      <c r="O70" s="32">
        <f t="shared" si="13"/>
        <v>0</v>
      </c>
      <c r="P70">
        <v>6</v>
      </c>
      <c r="Q70">
        <v>4</v>
      </c>
      <c r="R70" s="32">
        <f t="shared" si="14"/>
        <v>2</v>
      </c>
      <c r="S70">
        <v>5</v>
      </c>
      <c r="T70">
        <v>4</v>
      </c>
      <c r="U70" s="32">
        <f t="shared" si="15"/>
        <v>1</v>
      </c>
      <c r="V70">
        <v>5</v>
      </c>
      <c r="W70">
        <v>5</v>
      </c>
      <c r="X70" s="32">
        <f t="shared" si="16"/>
        <v>0</v>
      </c>
      <c r="Y70">
        <v>6</v>
      </c>
      <c r="Z70">
        <v>5</v>
      </c>
      <c r="AA70" s="32">
        <f t="shared" si="17"/>
        <v>1</v>
      </c>
    </row>
    <row r="71" spans="1:27" x14ac:dyDescent="0.45">
      <c r="A71">
        <v>5</v>
      </c>
      <c r="B71">
        <v>5</v>
      </c>
      <c r="C71" s="32">
        <f t="shared" si="9"/>
        <v>0</v>
      </c>
      <c r="D71">
        <v>5</v>
      </c>
      <c r="E71">
        <v>5</v>
      </c>
      <c r="F71" s="32">
        <f t="shared" si="10"/>
        <v>0</v>
      </c>
      <c r="G71">
        <v>7</v>
      </c>
      <c r="H71">
        <v>4</v>
      </c>
      <c r="I71" s="32">
        <f t="shared" si="11"/>
        <v>3</v>
      </c>
      <c r="J71">
        <v>7</v>
      </c>
      <c r="K71">
        <v>5</v>
      </c>
      <c r="L71" s="32">
        <f t="shared" si="12"/>
        <v>2</v>
      </c>
      <c r="M71">
        <v>5</v>
      </c>
      <c r="N71">
        <v>5</v>
      </c>
      <c r="O71" s="32">
        <f t="shared" si="13"/>
        <v>0</v>
      </c>
      <c r="P71">
        <v>6</v>
      </c>
      <c r="Q71">
        <v>4</v>
      </c>
      <c r="R71" s="32">
        <f t="shared" si="14"/>
        <v>2</v>
      </c>
      <c r="S71">
        <v>5</v>
      </c>
      <c r="T71">
        <v>4</v>
      </c>
      <c r="U71" s="32">
        <f t="shared" si="15"/>
        <v>1</v>
      </c>
      <c r="V71">
        <v>5</v>
      </c>
      <c r="W71">
        <v>5</v>
      </c>
      <c r="X71" s="32">
        <f t="shared" si="16"/>
        <v>0</v>
      </c>
      <c r="Y71">
        <v>6</v>
      </c>
      <c r="Z71">
        <v>5</v>
      </c>
      <c r="AA71" s="32">
        <f t="shared" si="17"/>
        <v>1</v>
      </c>
    </row>
    <row r="72" spans="1:27" x14ac:dyDescent="0.45">
      <c r="A72">
        <v>5</v>
      </c>
      <c r="B72">
        <v>5</v>
      </c>
      <c r="C72" s="32">
        <f t="shared" si="9"/>
        <v>0</v>
      </c>
      <c r="D72">
        <v>5</v>
      </c>
      <c r="E72">
        <v>5</v>
      </c>
      <c r="F72" s="32">
        <f t="shared" si="10"/>
        <v>0</v>
      </c>
      <c r="G72">
        <v>7</v>
      </c>
      <c r="H72">
        <v>4</v>
      </c>
      <c r="I72" s="32">
        <f t="shared" si="11"/>
        <v>3</v>
      </c>
      <c r="J72">
        <v>7</v>
      </c>
      <c r="K72">
        <v>5</v>
      </c>
      <c r="L72" s="32">
        <f t="shared" si="12"/>
        <v>2</v>
      </c>
      <c r="M72">
        <v>5</v>
      </c>
      <c r="N72">
        <v>5</v>
      </c>
      <c r="O72" s="32">
        <f t="shared" si="13"/>
        <v>0</v>
      </c>
      <c r="P72">
        <v>6</v>
      </c>
      <c r="Q72">
        <v>5</v>
      </c>
      <c r="R72" s="32">
        <f t="shared" si="14"/>
        <v>1</v>
      </c>
      <c r="S72">
        <v>5</v>
      </c>
      <c r="T72">
        <v>4</v>
      </c>
      <c r="U72" s="32">
        <f t="shared" si="15"/>
        <v>1</v>
      </c>
      <c r="V72">
        <v>5</v>
      </c>
      <c r="W72">
        <v>5</v>
      </c>
      <c r="X72" s="32">
        <f t="shared" si="16"/>
        <v>0</v>
      </c>
      <c r="Y72">
        <v>6</v>
      </c>
      <c r="Z72">
        <v>5</v>
      </c>
      <c r="AA72" s="32">
        <f t="shared" si="17"/>
        <v>1</v>
      </c>
    </row>
    <row r="73" spans="1:27" x14ac:dyDescent="0.45">
      <c r="A73">
        <v>5</v>
      </c>
      <c r="B73">
        <v>5</v>
      </c>
      <c r="C73" s="32">
        <f t="shared" si="9"/>
        <v>0</v>
      </c>
      <c r="D73">
        <v>5</v>
      </c>
      <c r="E73">
        <v>5</v>
      </c>
      <c r="F73" s="32">
        <f t="shared" si="10"/>
        <v>0</v>
      </c>
      <c r="G73">
        <v>7</v>
      </c>
      <c r="H73">
        <v>4</v>
      </c>
      <c r="I73" s="32">
        <f t="shared" si="11"/>
        <v>3</v>
      </c>
      <c r="J73">
        <v>7</v>
      </c>
      <c r="K73">
        <v>5</v>
      </c>
      <c r="L73" s="32">
        <f t="shared" si="12"/>
        <v>2</v>
      </c>
      <c r="M73">
        <v>5</v>
      </c>
      <c r="N73">
        <v>5</v>
      </c>
      <c r="O73" s="32">
        <f t="shared" si="13"/>
        <v>0</v>
      </c>
      <c r="P73">
        <v>6</v>
      </c>
      <c r="Q73">
        <v>5</v>
      </c>
      <c r="R73" s="32">
        <f t="shared" si="14"/>
        <v>1</v>
      </c>
      <c r="S73">
        <v>5</v>
      </c>
      <c r="T73">
        <v>4</v>
      </c>
      <c r="U73" s="32">
        <f t="shared" si="15"/>
        <v>1</v>
      </c>
      <c r="V73">
        <v>5</v>
      </c>
      <c r="W73">
        <v>5</v>
      </c>
      <c r="X73" s="32">
        <f t="shared" si="16"/>
        <v>0</v>
      </c>
      <c r="Y73">
        <v>6</v>
      </c>
      <c r="Z73">
        <v>5</v>
      </c>
      <c r="AA73" s="32">
        <f t="shared" si="17"/>
        <v>1</v>
      </c>
    </row>
    <row r="74" spans="1:27" x14ac:dyDescent="0.45">
      <c r="A74">
        <v>5</v>
      </c>
      <c r="B74">
        <v>5</v>
      </c>
      <c r="C74" s="32">
        <f t="shared" si="9"/>
        <v>0</v>
      </c>
      <c r="D74">
        <v>5</v>
      </c>
      <c r="E74">
        <v>5</v>
      </c>
      <c r="F74" s="32">
        <f t="shared" si="10"/>
        <v>0</v>
      </c>
      <c r="G74">
        <v>7</v>
      </c>
      <c r="H74">
        <v>4</v>
      </c>
      <c r="I74" s="32">
        <f t="shared" si="11"/>
        <v>3</v>
      </c>
      <c r="J74">
        <v>7</v>
      </c>
      <c r="K74">
        <v>5</v>
      </c>
      <c r="L74" s="32">
        <f t="shared" si="12"/>
        <v>2</v>
      </c>
      <c r="M74">
        <v>5</v>
      </c>
      <c r="N74">
        <v>5</v>
      </c>
      <c r="O74" s="32">
        <f t="shared" si="13"/>
        <v>0</v>
      </c>
      <c r="P74">
        <v>6</v>
      </c>
      <c r="Q74">
        <v>5</v>
      </c>
      <c r="R74" s="32">
        <f t="shared" si="14"/>
        <v>1</v>
      </c>
      <c r="S74">
        <v>5</v>
      </c>
      <c r="T74">
        <v>5</v>
      </c>
      <c r="U74" s="32">
        <f t="shared" si="15"/>
        <v>0</v>
      </c>
      <c r="V74">
        <v>5</v>
      </c>
      <c r="W74">
        <v>5</v>
      </c>
      <c r="X74" s="32">
        <f t="shared" si="16"/>
        <v>0</v>
      </c>
      <c r="Y74">
        <v>6</v>
      </c>
      <c r="Z74">
        <v>5</v>
      </c>
      <c r="AA74" s="32">
        <f t="shared" si="17"/>
        <v>1</v>
      </c>
    </row>
    <row r="75" spans="1:27" x14ac:dyDescent="0.45">
      <c r="A75">
        <v>5</v>
      </c>
      <c r="B75">
        <v>5</v>
      </c>
      <c r="C75" s="32">
        <f t="shared" si="9"/>
        <v>0</v>
      </c>
      <c r="D75">
        <v>5</v>
      </c>
      <c r="E75">
        <v>5</v>
      </c>
      <c r="F75" s="32">
        <f t="shared" si="10"/>
        <v>0</v>
      </c>
      <c r="G75">
        <v>7</v>
      </c>
      <c r="H75">
        <v>4</v>
      </c>
      <c r="I75" s="32">
        <f t="shared" si="11"/>
        <v>3</v>
      </c>
      <c r="J75">
        <v>7</v>
      </c>
      <c r="K75">
        <v>5</v>
      </c>
      <c r="L75" s="32">
        <f t="shared" si="12"/>
        <v>2</v>
      </c>
      <c r="M75">
        <v>5</v>
      </c>
      <c r="N75">
        <v>5</v>
      </c>
      <c r="O75" s="32">
        <f t="shared" si="13"/>
        <v>0</v>
      </c>
      <c r="P75">
        <v>6</v>
      </c>
      <c r="Q75">
        <v>5</v>
      </c>
      <c r="R75" s="32">
        <f t="shared" si="14"/>
        <v>1</v>
      </c>
      <c r="S75">
        <v>5</v>
      </c>
      <c r="T75">
        <v>5</v>
      </c>
      <c r="U75" s="32">
        <f t="shared" si="15"/>
        <v>0</v>
      </c>
      <c r="V75">
        <v>5</v>
      </c>
      <c r="W75">
        <v>5</v>
      </c>
      <c r="X75" s="32">
        <f t="shared" si="16"/>
        <v>0</v>
      </c>
      <c r="Y75">
        <v>6</v>
      </c>
      <c r="Z75">
        <v>5</v>
      </c>
      <c r="AA75" s="32">
        <f t="shared" si="17"/>
        <v>1</v>
      </c>
    </row>
    <row r="76" spans="1:27" x14ac:dyDescent="0.45">
      <c r="A76">
        <v>5</v>
      </c>
      <c r="B76">
        <v>5</v>
      </c>
      <c r="C76" s="32">
        <f t="shared" si="9"/>
        <v>0</v>
      </c>
      <c r="D76">
        <v>5</v>
      </c>
      <c r="E76">
        <v>5</v>
      </c>
      <c r="F76" s="32">
        <f t="shared" si="10"/>
        <v>0</v>
      </c>
      <c r="G76">
        <v>7</v>
      </c>
      <c r="H76">
        <v>4</v>
      </c>
      <c r="I76" s="32">
        <f t="shared" si="11"/>
        <v>3</v>
      </c>
      <c r="J76">
        <v>7</v>
      </c>
      <c r="K76">
        <v>5</v>
      </c>
      <c r="L76" s="32">
        <f t="shared" si="12"/>
        <v>2</v>
      </c>
      <c r="M76">
        <v>5</v>
      </c>
      <c r="N76">
        <v>5</v>
      </c>
      <c r="O76" s="32">
        <f t="shared" si="13"/>
        <v>0</v>
      </c>
      <c r="P76">
        <v>6</v>
      </c>
      <c r="Q76">
        <v>5</v>
      </c>
      <c r="R76" s="32">
        <f t="shared" si="14"/>
        <v>1</v>
      </c>
      <c r="S76">
        <v>5</v>
      </c>
      <c r="T76">
        <v>5</v>
      </c>
      <c r="U76" s="32">
        <f t="shared" si="15"/>
        <v>0</v>
      </c>
      <c r="V76">
        <v>5</v>
      </c>
      <c r="W76">
        <v>5</v>
      </c>
      <c r="X76" s="32">
        <f t="shared" si="16"/>
        <v>0</v>
      </c>
      <c r="Y76">
        <v>6</v>
      </c>
      <c r="Z76">
        <v>5</v>
      </c>
      <c r="AA76" s="32">
        <f t="shared" si="17"/>
        <v>1</v>
      </c>
    </row>
    <row r="77" spans="1:27" x14ac:dyDescent="0.45">
      <c r="A77">
        <v>5</v>
      </c>
      <c r="B77">
        <v>5</v>
      </c>
      <c r="C77" s="32">
        <f t="shared" si="9"/>
        <v>0</v>
      </c>
      <c r="D77">
        <v>5</v>
      </c>
      <c r="E77">
        <v>5</v>
      </c>
      <c r="F77" s="32">
        <f t="shared" si="10"/>
        <v>0</v>
      </c>
      <c r="G77">
        <v>7</v>
      </c>
      <c r="H77">
        <v>4</v>
      </c>
      <c r="I77" s="32">
        <f t="shared" si="11"/>
        <v>3</v>
      </c>
      <c r="J77">
        <v>7</v>
      </c>
      <c r="K77">
        <v>6</v>
      </c>
      <c r="L77" s="32">
        <f t="shared" si="12"/>
        <v>1</v>
      </c>
      <c r="M77">
        <v>5</v>
      </c>
      <c r="N77">
        <v>5</v>
      </c>
      <c r="O77" s="32">
        <f t="shared" si="13"/>
        <v>0</v>
      </c>
      <c r="P77">
        <v>6</v>
      </c>
      <c r="Q77">
        <v>5</v>
      </c>
      <c r="R77" s="32">
        <f t="shared" si="14"/>
        <v>1</v>
      </c>
      <c r="S77">
        <v>5</v>
      </c>
      <c r="T77">
        <v>5</v>
      </c>
      <c r="U77" s="32">
        <f t="shared" si="15"/>
        <v>0</v>
      </c>
      <c r="V77">
        <v>5</v>
      </c>
      <c r="W77">
        <v>5</v>
      </c>
      <c r="X77" s="32">
        <f t="shared" si="16"/>
        <v>0</v>
      </c>
      <c r="Y77">
        <v>6</v>
      </c>
      <c r="Z77">
        <v>5</v>
      </c>
      <c r="AA77" s="32">
        <f t="shared" si="17"/>
        <v>1</v>
      </c>
    </row>
    <row r="78" spans="1:27" x14ac:dyDescent="0.45">
      <c r="A78">
        <v>5</v>
      </c>
      <c r="B78">
        <v>5</v>
      </c>
      <c r="C78" s="32">
        <f t="shared" si="9"/>
        <v>0</v>
      </c>
      <c r="D78">
        <v>5</v>
      </c>
      <c r="E78">
        <v>5</v>
      </c>
      <c r="F78" s="32">
        <f t="shared" si="10"/>
        <v>0</v>
      </c>
      <c r="G78">
        <v>7</v>
      </c>
      <c r="H78">
        <v>4</v>
      </c>
      <c r="I78" s="32">
        <f t="shared" si="11"/>
        <v>3</v>
      </c>
      <c r="J78">
        <v>7</v>
      </c>
      <c r="K78">
        <v>6</v>
      </c>
      <c r="L78" s="32">
        <f t="shared" si="12"/>
        <v>1</v>
      </c>
      <c r="M78">
        <v>5</v>
      </c>
      <c r="N78">
        <v>5</v>
      </c>
      <c r="O78" s="32">
        <f t="shared" si="13"/>
        <v>0</v>
      </c>
      <c r="P78">
        <v>6</v>
      </c>
      <c r="Q78">
        <v>5</v>
      </c>
      <c r="R78" s="32">
        <f t="shared" si="14"/>
        <v>1</v>
      </c>
      <c r="S78">
        <v>5</v>
      </c>
      <c r="T78">
        <v>5</v>
      </c>
      <c r="U78" s="32">
        <f t="shared" si="15"/>
        <v>0</v>
      </c>
      <c r="V78">
        <v>5</v>
      </c>
      <c r="W78">
        <v>5</v>
      </c>
      <c r="X78" s="32">
        <f t="shared" si="16"/>
        <v>0</v>
      </c>
      <c r="Y78">
        <v>6</v>
      </c>
      <c r="Z78">
        <v>5</v>
      </c>
      <c r="AA78" s="32">
        <f t="shared" si="17"/>
        <v>1</v>
      </c>
    </row>
    <row r="79" spans="1:27" x14ac:dyDescent="0.45">
      <c r="A79">
        <v>5</v>
      </c>
      <c r="B79">
        <v>5</v>
      </c>
      <c r="C79" s="32">
        <f t="shared" si="9"/>
        <v>0</v>
      </c>
      <c r="D79">
        <v>5</v>
      </c>
      <c r="E79">
        <v>5</v>
      </c>
      <c r="F79" s="32">
        <f t="shared" si="10"/>
        <v>0</v>
      </c>
      <c r="G79">
        <v>7</v>
      </c>
      <c r="H79">
        <v>4</v>
      </c>
      <c r="I79" s="32">
        <f t="shared" si="11"/>
        <v>3</v>
      </c>
      <c r="J79">
        <v>7</v>
      </c>
      <c r="K79">
        <v>6</v>
      </c>
      <c r="L79" s="32">
        <f t="shared" si="12"/>
        <v>1</v>
      </c>
      <c r="M79">
        <v>5</v>
      </c>
      <c r="N79">
        <v>5</v>
      </c>
      <c r="O79" s="32">
        <f t="shared" si="13"/>
        <v>0</v>
      </c>
      <c r="P79">
        <v>6</v>
      </c>
      <c r="Q79">
        <v>5</v>
      </c>
      <c r="R79" s="32">
        <f t="shared" si="14"/>
        <v>1</v>
      </c>
      <c r="S79">
        <v>5</v>
      </c>
      <c r="T79">
        <v>5</v>
      </c>
      <c r="U79" s="32">
        <f t="shared" si="15"/>
        <v>0</v>
      </c>
      <c r="V79">
        <v>5</v>
      </c>
      <c r="W79">
        <v>5</v>
      </c>
      <c r="X79" s="32">
        <f t="shared" si="16"/>
        <v>0</v>
      </c>
      <c r="Y79">
        <v>6</v>
      </c>
      <c r="Z79">
        <v>5</v>
      </c>
      <c r="AA79" s="32">
        <f t="shared" si="17"/>
        <v>1</v>
      </c>
    </row>
    <row r="80" spans="1:27" x14ac:dyDescent="0.45">
      <c r="A80">
        <v>5</v>
      </c>
      <c r="B80">
        <v>5</v>
      </c>
      <c r="C80" s="32">
        <f t="shared" si="9"/>
        <v>0</v>
      </c>
      <c r="D80">
        <v>5</v>
      </c>
      <c r="E80">
        <v>5</v>
      </c>
      <c r="F80" s="32">
        <f t="shared" si="10"/>
        <v>0</v>
      </c>
      <c r="G80">
        <v>7</v>
      </c>
      <c r="H80">
        <v>4</v>
      </c>
      <c r="I80" s="32">
        <f t="shared" si="11"/>
        <v>3</v>
      </c>
      <c r="J80">
        <v>7</v>
      </c>
      <c r="K80">
        <v>6</v>
      </c>
      <c r="L80" s="32">
        <f t="shared" si="12"/>
        <v>1</v>
      </c>
      <c r="M80">
        <v>5</v>
      </c>
      <c r="N80">
        <v>5</v>
      </c>
      <c r="O80" s="32">
        <f t="shared" si="13"/>
        <v>0</v>
      </c>
      <c r="P80">
        <v>6</v>
      </c>
      <c r="Q80">
        <v>5</v>
      </c>
      <c r="R80" s="32">
        <f t="shared" si="14"/>
        <v>1</v>
      </c>
      <c r="S80">
        <v>5</v>
      </c>
      <c r="T80">
        <v>5</v>
      </c>
      <c r="U80" s="32">
        <f t="shared" si="15"/>
        <v>0</v>
      </c>
      <c r="V80">
        <v>5</v>
      </c>
      <c r="W80">
        <v>5</v>
      </c>
      <c r="X80" s="32">
        <f t="shared" si="16"/>
        <v>0</v>
      </c>
      <c r="Y80">
        <v>6</v>
      </c>
      <c r="Z80">
        <v>5</v>
      </c>
      <c r="AA80" s="32">
        <f t="shared" si="17"/>
        <v>1</v>
      </c>
    </row>
    <row r="81" spans="1:27" x14ac:dyDescent="0.45">
      <c r="A81">
        <v>5</v>
      </c>
      <c r="B81">
        <v>5</v>
      </c>
      <c r="C81" s="32">
        <f t="shared" si="9"/>
        <v>0</v>
      </c>
      <c r="D81">
        <v>5</v>
      </c>
      <c r="E81">
        <v>5</v>
      </c>
      <c r="F81" s="32">
        <f t="shared" si="10"/>
        <v>0</v>
      </c>
      <c r="G81">
        <v>7</v>
      </c>
      <c r="H81">
        <v>4</v>
      </c>
      <c r="I81" s="32">
        <f t="shared" si="11"/>
        <v>3</v>
      </c>
      <c r="J81">
        <v>7</v>
      </c>
      <c r="K81">
        <v>6</v>
      </c>
      <c r="L81" s="32">
        <f t="shared" si="12"/>
        <v>1</v>
      </c>
      <c r="M81">
        <v>5</v>
      </c>
      <c r="N81">
        <v>5</v>
      </c>
      <c r="O81" s="32">
        <f t="shared" si="13"/>
        <v>0</v>
      </c>
      <c r="P81">
        <v>6</v>
      </c>
      <c r="Q81">
        <v>5</v>
      </c>
      <c r="R81" s="32">
        <f t="shared" si="14"/>
        <v>1</v>
      </c>
      <c r="S81">
        <v>5</v>
      </c>
      <c r="T81">
        <v>5</v>
      </c>
      <c r="U81" s="32">
        <f t="shared" si="15"/>
        <v>0</v>
      </c>
      <c r="V81">
        <v>5</v>
      </c>
      <c r="W81">
        <v>5</v>
      </c>
      <c r="X81" s="32">
        <f t="shared" si="16"/>
        <v>0</v>
      </c>
      <c r="Y81">
        <v>6</v>
      </c>
      <c r="Z81">
        <v>5</v>
      </c>
      <c r="AA81" s="32">
        <f t="shared" si="17"/>
        <v>1</v>
      </c>
    </row>
    <row r="82" spans="1:27" x14ac:dyDescent="0.45">
      <c r="A82">
        <v>5</v>
      </c>
      <c r="B82">
        <v>5</v>
      </c>
      <c r="C82" s="32">
        <f t="shared" si="9"/>
        <v>0</v>
      </c>
      <c r="D82">
        <v>5</v>
      </c>
      <c r="E82">
        <v>5</v>
      </c>
      <c r="F82" s="32">
        <f t="shared" si="10"/>
        <v>0</v>
      </c>
      <c r="G82">
        <v>7</v>
      </c>
      <c r="H82">
        <v>4</v>
      </c>
      <c r="I82" s="32">
        <f t="shared" si="11"/>
        <v>3</v>
      </c>
      <c r="J82">
        <v>7</v>
      </c>
      <c r="K82">
        <v>6</v>
      </c>
      <c r="L82" s="32">
        <f t="shared" si="12"/>
        <v>1</v>
      </c>
      <c r="M82">
        <v>5</v>
      </c>
      <c r="N82">
        <v>5</v>
      </c>
      <c r="O82" s="32">
        <f t="shared" si="13"/>
        <v>0</v>
      </c>
      <c r="P82">
        <v>6</v>
      </c>
      <c r="Q82">
        <v>5</v>
      </c>
      <c r="R82" s="32">
        <f t="shared" si="14"/>
        <v>1</v>
      </c>
      <c r="S82">
        <v>5</v>
      </c>
      <c r="T82">
        <v>5</v>
      </c>
      <c r="U82" s="32">
        <f t="shared" si="15"/>
        <v>0</v>
      </c>
      <c r="V82">
        <v>6</v>
      </c>
      <c r="W82">
        <v>5</v>
      </c>
      <c r="X82" s="32">
        <f t="shared" si="16"/>
        <v>1</v>
      </c>
      <c r="Y82">
        <v>6</v>
      </c>
      <c r="Z82">
        <v>5</v>
      </c>
      <c r="AA82" s="32">
        <f t="shared" si="17"/>
        <v>1</v>
      </c>
    </row>
    <row r="83" spans="1:27" x14ac:dyDescent="0.45">
      <c r="A83">
        <v>5</v>
      </c>
      <c r="B83">
        <v>5</v>
      </c>
      <c r="C83" s="32">
        <f t="shared" si="9"/>
        <v>0</v>
      </c>
      <c r="D83">
        <v>5</v>
      </c>
      <c r="E83">
        <v>5</v>
      </c>
      <c r="F83" s="32">
        <f t="shared" si="10"/>
        <v>0</v>
      </c>
      <c r="G83">
        <v>7</v>
      </c>
      <c r="H83">
        <v>4</v>
      </c>
      <c r="I83" s="32">
        <f t="shared" si="11"/>
        <v>3</v>
      </c>
      <c r="J83">
        <v>7</v>
      </c>
      <c r="K83">
        <v>6</v>
      </c>
      <c r="L83" s="32">
        <f t="shared" si="12"/>
        <v>1</v>
      </c>
      <c r="M83">
        <v>5</v>
      </c>
      <c r="N83">
        <v>5</v>
      </c>
      <c r="O83" s="32">
        <f t="shared" si="13"/>
        <v>0</v>
      </c>
      <c r="P83">
        <v>6</v>
      </c>
      <c r="Q83">
        <v>5</v>
      </c>
      <c r="R83" s="32">
        <f t="shared" si="14"/>
        <v>1</v>
      </c>
      <c r="S83">
        <v>5</v>
      </c>
      <c r="T83">
        <v>5</v>
      </c>
      <c r="U83" s="32">
        <f t="shared" si="15"/>
        <v>0</v>
      </c>
      <c r="V83">
        <v>6</v>
      </c>
      <c r="W83">
        <v>5</v>
      </c>
      <c r="X83" s="32">
        <f t="shared" si="16"/>
        <v>1</v>
      </c>
      <c r="Y83">
        <v>6</v>
      </c>
      <c r="Z83">
        <v>5</v>
      </c>
      <c r="AA83" s="32">
        <f t="shared" si="17"/>
        <v>1</v>
      </c>
    </row>
    <row r="84" spans="1:27" x14ac:dyDescent="0.45">
      <c r="A84">
        <v>5</v>
      </c>
      <c r="B84">
        <v>5</v>
      </c>
      <c r="C84" s="32">
        <f t="shared" si="9"/>
        <v>0</v>
      </c>
      <c r="D84">
        <v>5</v>
      </c>
      <c r="E84">
        <v>5</v>
      </c>
      <c r="F84" s="32">
        <f t="shared" si="10"/>
        <v>0</v>
      </c>
      <c r="G84">
        <v>7</v>
      </c>
      <c r="H84">
        <v>4</v>
      </c>
      <c r="I84" s="32">
        <f t="shared" si="11"/>
        <v>3</v>
      </c>
      <c r="J84">
        <v>7</v>
      </c>
      <c r="K84">
        <v>6</v>
      </c>
      <c r="L84" s="32">
        <f t="shared" si="12"/>
        <v>1</v>
      </c>
      <c r="M84">
        <v>5</v>
      </c>
      <c r="N84">
        <v>5</v>
      </c>
      <c r="O84" s="32">
        <f t="shared" si="13"/>
        <v>0</v>
      </c>
      <c r="P84">
        <v>6</v>
      </c>
      <c r="Q84">
        <v>5</v>
      </c>
      <c r="R84" s="32">
        <f t="shared" si="14"/>
        <v>1</v>
      </c>
      <c r="S84">
        <v>5</v>
      </c>
      <c r="T84">
        <v>5</v>
      </c>
      <c r="U84" s="32">
        <f t="shared" si="15"/>
        <v>0</v>
      </c>
      <c r="V84">
        <v>6</v>
      </c>
      <c r="W84">
        <v>5</v>
      </c>
      <c r="X84" s="32">
        <f t="shared" si="16"/>
        <v>1</v>
      </c>
      <c r="Y84">
        <v>6</v>
      </c>
      <c r="Z84">
        <v>5</v>
      </c>
      <c r="AA84" s="32">
        <f t="shared" si="17"/>
        <v>1</v>
      </c>
    </row>
    <row r="85" spans="1:27" x14ac:dyDescent="0.45">
      <c r="A85">
        <v>5</v>
      </c>
      <c r="B85">
        <v>5</v>
      </c>
      <c r="C85" s="32">
        <f t="shared" si="9"/>
        <v>0</v>
      </c>
      <c r="D85">
        <v>5</v>
      </c>
      <c r="E85">
        <v>5</v>
      </c>
      <c r="F85" s="32">
        <f t="shared" si="10"/>
        <v>0</v>
      </c>
      <c r="G85">
        <v>7</v>
      </c>
      <c r="H85">
        <v>5</v>
      </c>
      <c r="I85" s="32">
        <f t="shared" si="11"/>
        <v>2</v>
      </c>
      <c r="J85">
        <v>7</v>
      </c>
      <c r="K85">
        <v>6</v>
      </c>
      <c r="L85" s="32">
        <f t="shared" si="12"/>
        <v>1</v>
      </c>
      <c r="M85">
        <v>5</v>
      </c>
      <c r="N85">
        <v>5</v>
      </c>
      <c r="O85" s="32">
        <f t="shared" si="13"/>
        <v>0</v>
      </c>
      <c r="P85">
        <v>6</v>
      </c>
      <c r="Q85">
        <v>5</v>
      </c>
      <c r="R85" s="32">
        <f t="shared" si="14"/>
        <v>1</v>
      </c>
      <c r="S85">
        <v>5</v>
      </c>
      <c r="T85">
        <v>5</v>
      </c>
      <c r="U85" s="32">
        <f t="shared" si="15"/>
        <v>0</v>
      </c>
      <c r="V85">
        <v>6</v>
      </c>
      <c r="W85">
        <v>5</v>
      </c>
      <c r="X85" s="32">
        <f t="shared" si="16"/>
        <v>1</v>
      </c>
      <c r="Y85">
        <v>6</v>
      </c>
      <c r="Z85">
        <v>5</v>
      </c>
      <c r="AA85" s="32">
        <f t="shared" si="17"/>
        <v>1</v>
      </c>
    </row>
    <row r="86" spans="1:27" x14ac:dyDescent="0.45">
      <c r="A86">
        <v>5</v>
      </c>
      <c r="B86">
        <v>5</v>
      </c>
      <c r="C86" s="32">
        <f t="shared" si="9"/>
        <v>0</v>
      </c>
      <c r="D86">
        <v>5</v>
      </c>
      <c r="E86">
        <v>5</v>
      </c>
      <c r="F86" s="32">
        <f t="shared" si="10"/>
        <v>0</v>
      </c>
      <c r="G86">
        <v>7</v>
      </c>
      <c r="H86">
        <v>5</v>
      </c>
      <c r="I86" s="32">
        <f t="shared" si="11"/>
        <v>2</v>
      </c>
      <c r="J86">
        <v>7</v>
      </c>
      <c r="K86">
        <v>6</v>
      </c>
      <c r="L86" s="32">
        <f t="shared" si="12"/>
        <v>1</v>
      </c>
      <c r="M86">
        <v>5</v>
      </c>
      <c r="N86">
        <v>5</v>
      </c>
      <c r="O86" s="32">
        <f t="shared" si="13"/>
        <v>0</v>
      </c>
      <c r="P86">
        <v>6</v>
      </c>
      <c r="Q86">
        <v>5</v>
      </c>
      <c r="R86" s="32">
        <f t="shared" si="14"/>
        <v>1</v>
      </c>
      <c r="S86">
        <v>5</v>
      </c>
      <c r="T86">
        <v>5</v>
      </c>
      <c r="U86" s="32">
        <f t="shared" si="15"/>
        <v>0</v>
      </c>
      <c r="V86">
        <v>6</v>
      </c>
      <c r="W86">
        <v>5</v>
      </c>
      <c r="X86" s="32">
        <f t="shared" si="16"/>
        <v>1</v>
      </c>
      <c r="Y86">
        <v>6</v>
      </c>
      <c r="Z86">
        <v>5</v>
      </c>
      <c r="AA86" s="32">
        <f t="shared" si="17"/>
        <v>1</v>
      </c>
    </row>
    <row r="87" spans="1:27" x14ac:dyDescent="0.45">
      <c r="A87">
        <v>5</v>
      </c>
      <c r="B87">
        <v>5</v>
      </c>
      <c r="C87" s="32">
        <f t="shared" si="9"/>
        <v>0</v>
      </c>
      <c r="D87">
        <v>5</v>
      </c>
      <c r="E87">
        <v>5</v>
      </c>
      <c r="F87" s="32">
        <f t="shared" si="10"/>
        <v>0</v>
      </c>
      <c r="G87">
        <v>7</v>
      </c>
      <c r="H87">
        <v>5</v>
      </c>
      <c r="I87" s="32">
        <f t="shared" si="11"/>
        <v>2</v>
      </c>
      <c r="J87">
        <v>7</v>
      </c>
      <c r="K87">
        <v>6</v>
      </c>
      <c r="L87" s="32">
        <f t="shared" si="12"/>
        <v>1</v>
      </c>
      <c r="M87">
        <v>5</v>
      </c>
      <c r="N87">
        <v>5</v>
      </c>
      <c r="O87" s="32">
        <f t="shared" si="13"/>
        <v>0</v>
      </c>
      <c r="P87">
        <v>6</v>
      </c>
      <c r="Q87">
        <v>5</v>
      </c>
      <c r="R87" s="32">
        <f t="shared" si="14"/>
        <v>1</v>
      </c>
      <c r="S87">
        <v>5</v>
      </c>
      <c r="T87">
        <v>5</v>
      </c>
      <c r="U87" s="32">
        <f t="shared" si="15"/>
        <v>0</v>
      </c>
      <c r="V87">
        <v>6</v>
      </c>
      <c r="W87">
        <v>5</v>
      </c>
      <c r="X87" s="32">
        <f t="shared" si="16"/>
        <v>1</v>
      </c>
      <c r="Y87">
        <v>6</v>
      </c>
      <c r="Z87">
        <v>5</v>
      </c>
      <c r="AA87" s="32">
        <f t="shared" si="17"/>
        <v>1</v>
      </c>
    </row>
    <row r="88" spans="1:27" x14ac:dyDescent="0.45">
      <c r="A88">
        <v>5</v>
      </c>
      <c r="B88">
        <v>5</v>
      </c>
      <c r="C88" s="32">
        <f t="shared" si="9"/>
        <v>0</v>
      </c>
      <c r="D88">
        <v>5</v>
      </c>
      <c r="E88">
        <v>5</v>
      </c>
      <c r="F88" s="32">
        <f t="shared" si="10"/>
        <v>0</v>
      </c>
      <c r="G88">
        <v>7</v>
      </c>
      <c r="H88">
        <v>5</v>
      </c>
      <c r="I88" s="32">
        <f t="shared" si="11"/>
        <v>2</v>
      </c>
      <c r="J88">
        <v>7</v>
      </c>
      <c r="K88">
        <v>6</v>
      </c>
      <c r="L88" s="32">
        <f t="shared" si="12"/>
        <v>1</v>
      </c>
      <c r="M88">
        <v>5</v>
      </c>
      <c r="N88">
        <v>5</v>
      </c>
      <c r="O88" s="32">
        <f t="shared" si="13"/>
        <v>0</v>
      </c>
      <c r="P88">
        <v>6</v>
      </c>
      <c r="Q88">
        <v>5</v>
      </c>
      <c r="R88" s="32">
        <f t="shared" si="14"/>
        <v>1</v>
      </c>
      <c r="S88">
        <v>5</v>
      </c>
      <c r="T88">
        <v>5</v>
      </c>
      <c r="U88" s="32">
        <f t="shared" si="15"/>
        <v>0</v>
      </c>
      <c r="V88">
        <v>6</v>
      </c>
      <c r="W88">
        <v>5</v>
      </c>
      <c r="X88" s="32">
        <f t="shared" si="16"/>
        <v>1</v>
      </c>
      <c r="Y88">
        <v>6</v>
      </c>
      <c r="Z88">
        <v>5</v>
      </c>
      <c r="AA88" s="32">
        <f t="shared" si="17"/>
        <v>1</v>
      </c>
    </row>
    <row r="89" spans="1:27" x14ac:dyDescent="0.45">
      <c r="A89">
        <v>5</v>
      </c>
      <c r="B89">
        <v>5</v>
      </c>
      <c r="C89" s="32">
        <f t="shared" si="9"/>
        <v>0</v>
      </c>
      <c r="D89">
        <v>5</v>
      </c>
      <c r="E89">
        <v>5</v>
      </c>
      <c r="F89" s="32">
        <f t="shared" si="10"/>
        <v>0</v>
      </c>
      <c r="G89">
        <v>7</v>
      </c>
      <c r="H89">
        <v>5</v>
      </c>
      <c r="I89" s="32">
        <f t="shared" si="11"/>
        <v>2</v>
      </c>
      <c r="J89">
        <v>7</v>
      </c>
      <c r="K89">
        <v>6</v>
      </c>
      <c r="L89" s="32">
        <f t="shared" si="12"/>
        <v>1</v>
      </c>
      <c r="M89">
        <v>5</v>
      </c>
      <c r="N89">
        <v>5</v>
      </c>
      <c r="O89" s="32">
        <f t="shared" si="13"/>
        <v>0</v>
      </c>
      <c r="P89">
        <v>6</v>
      </c>
      <c r="Q89">
        <v>5</v>
      </c>
      <c r="R89" s="32">
        <f t="shared" si="14"/>
        <v>1</v>
      </c>
      <c r="S89">
        <v>5</v>
      </c>
      <c r="T89">
        <v>5</v>
      </c>
      <c r="U89" s="32">
        <f t="shared" si="15"/>
        <v>0</v>
      </c>
      <c r="V89">
        <v>6</v>
      </c>
      <c r="W89">
        <v>5</v>
      </c>
      <c r="X89" s="32">
        <f t="shared" si="16"/>
        <v>1</v>
      </c>
      <c r="Y89">
        <v>6</v>
      </c>
      <c r="Z89">
        <v>5</v>
      </c>
      <c r="AA89" s="32">
        <f t="shared" si="17"/>
        <v>1</v>
      </c>
    </row>
    <row r="90" spans="1:27" x14ac:dyDescent="0.45">
      <c r="A90">
        <v>5</v>
      </c>
      <c r="B90">
        <v>5</v>
      </c>
      <c r="C90" s="32">
        <f t="shared" si="9"/>
        <v>0</v>
      </c>
      <c r="D90">
        <v>5</v>
      </c>
      <c r="E90">
        <v>5</v>
      </c>
      <c r="F90" s="32">
        <f t="shared" si="10"/>
        <v>0</v>
      </c>
      <c r="G90">
        <v>7</v>
      </c>
      <c r="H90">
        <v>5</v>
      </c>
      <c r="I90" s="32">
        <f t="shared" si="11"/>
        <v>2</v>
      </c>
      <c r="J90">
        <v>7</v>
      </c>
      <c r="K90">
        <v>6</v>
      </c>
      <c r="L90" s="32">
        <f t="shared" si="12"/>
        <v>1</v>
      </c>
      <c r="M90">
        <v>5</v>
      </c>
      <c r="N90">
        <v>5</v>
      </c>
      <c r="O90" s="32">
        <f t="shared" si="13"/>
        <v>0</v>
      </c>
      <c r="P90">
        <v>6</v>
      </c>
      <c r="Q90">
        <v>5</v>
      </c>
      <c r="R90" s="32">
        <f t="shared" si="14"/>
        <v>1</v>
      </c>
      <c r="S90">
        <v>5</v>
      </c>
      <c r="T90">
        <v>5</v>
      </c>
      <c r="U90" s="32">
        <f t="shared" si="15"/>
        <v>0</v>
      </c>
      <c r="V90">
        <v>6</v>
      </c>
      <c r="W90">
        <v>5</v>
      </c>
      <c r="X90" s="32">
        <f t="shared" si="16"/>
        <v>1</v>
      </c>
      <c r="Y90">
        <v>6</v>
      </c>
      <c r="Z90">
        <v>5</v>
      </c>
      <c r="AA90" s="32">
        <f t="shared" si="17"/>
        <v>1</v>
      </c>
    </row>
    <row r="91" spans="1:27" x14ac:dyDescent="0.45">
      <c r="A91">
        <v>5</v>
      </c>
      <c r="B91">
        <v>5</v>
      </c>
      <c r="C91" s="32">
        <f t="shared" si="9"/>
        <v>0</v>
      </c>
      <c r="D91">
        <v>5</v>
      </c>
      <c r="E91">
        <v>5</v>
      </c>
      <c r="F91" s="32">
        <f t="shared" si="10"/>
        <v>0</v>
      </c>
      <c r="G91">
        <v>7</v>
      </c>
      <c r="H91">
        <v>5</v>
      </c>
      <c r="I91" s="32">
        <f t="shared" si="11"/>
        <v>2</v>
      </c>
      <c r="J91">
        <v>7</v>
      </c>
      <c r="K91">
        <v>6</v>
      </c>
      <c r="L91" s="32">
        <f t="shared" si="12"/>
        <v>1</v>
      </c>
      <c r="M91">
        <v>5</v>
      </c>
      <c r="N91">
        <v>5</v>
      </c>
      <c r="O91" s="32">
        <f t="shared" si="13"/>
        <v>0</v>
      </c>
      <c r="P91">
        <v>6</v>
      </c>
      <c r="Q91">
        <v>5</v>
      </c>
      <c r="R91" s="32">
        <f t="shared" si="14"/>
        <v>1</v>
      </c>
      <c r="S91">
        <v>5</v>
      </c>
      <c r="T91">
        <v>5</v>
      </c>
      <c r="U91" s="32">
        <f t="shared" si="15"/>
        <v>0</v>
      </c>
      <c r="V91">
        <v>6</v>
      </c>
      <c r="W91">
        <v>5</v>
      </c>
      <c r="X91" s="32">
        <f t="shared" si="16"/>
        <v>1</v>
      </c>
      <c r="Y91">
        <v>6</v>
      </c>
      <c r="Z91">
        <v>5</v>
      </c>
      <c r="AA91" s="32">
        <f t="shared" si="17"/>
        <v>1</v>
      </c>
    </row>
    <row r="92" spans="1:27" x14ac:dyDescent="0.45">
      <c r="A92">
        <v>5</v>
      </c>
      <c r="B92">
        <v>5</v>
      </c>
      <c r="C92" s="32">
        <f t="shared" si="9"/>
        <v>0</v>
      </c>
      <c r="D92">
        <v>5</v>
      </c>
      <c r="E92">
        <v>6</v>
      </c>
      <c r="F92" s="32">
        <f t="shared" si="10"/>
        <v>1</v>
      </c>
      <c r="G92">
        <v>7</v>
      </c>
      <c r="H92">
        <v>5</v>
      </c>
      <c r="I92" s="32">
        <f t="shared" si="11"/>
        <v>2</v>
      </c>
      <c r="J92">
        <v>7</v>
      </c>
      <c r="K92">
        <v>6</v>
      </c>
      <c r="L92" s="32">
        <f t="shared" si="12"/>
        <v>1</v>
      </c>
      <c r="M92">
        <v>5</v>
      </c>
      <c r="N92">
        <v>5</v>
      </c>
      <c r="O92" s="32">
        <f t="shared" si="13"/>
        <v>0</v>
      </c>
      <c r="P92">
        <v>6</v>
      </c>
      <c r="Q92">
        <v>5</v>
      </c>
      <c r="R92" s="32">
        <f t="shared" si="14"/>
        <v>1</v>
      </c>
      <c r="S92">
        <v>5</v>
      </c>
      <c r="T92">
        <v>5</v>
      </c>
      <c r="U92" s="32">
        <f t="shared" si="15"/>
        <v>0</v>
      </c>
      <c r="V92">
        <v>6</v>
      </c>
      <c r="W92">
        <v>5</v>
      </c>
      <c r="X92" s="32">
        <f t="shared" si="16"/>
        <v>1</v>
      </c>
      <c r="Y92">
        <v>6</v>
      </c>
      <c r="Z92">
        <v>5</v>
      </c>
      <c r="AA92" s="32">
        <f t="shared" si="17"/>
        <v>1</v>
      </c>
    </row>
    <row r="93" spans="1:27" x14ac:dyDescent="0.45">
      <c r="A93">
        <v>5</v>
      </c>
      <c r="B93">
        <v>5</v>
      </c>
      <c r="C93" s="32">
        <f t="shared" si="9"/>
        <v>0</v>
      </c>
      <c r="D93">
        <v>5</v>
      </c>
      <c r="E93">
        <v>6</v>
      </c>
      <c r="F93" s="32">
        <f t="shared" si="10"/>
        <v>1</v>
      </c>
      <c r="G93">
        <v>7</v>
      </c>
      <c r="H93">
        <v>5</v>
      </c>
      <c r="I93" s="32">
        <f t="shared" si="11"/>
        <v>2</v>
      </c>
      <c r="J93">
        <v>7</v>
      </c>
      <c r="K93">
        <v>6</v>
      </c>
      <c r="L93" s="32">
        <f t="shared" si="12"/>
        <v>1</v>
      </c>
      <c r="M93">
        <v>5</v>
      </c>
      <c r="N93">
        <v>5</v>
      </c>
      <c r="O93" s="32">
        <f t="shared" si="13"/>
        <v>0</v>
      </c>
      <c r="P93">
        <v>6</v>
      </c>
      <c r="Q93">
        <v>5</v>
      </c>
      <c r="R93" s="32">
        <f t="shared" si="14"/>
        <v>1</v>
      </c>
      <c r="S93">
        <v>5</v>
      </c>
      <c r="T93">
        <v>5</v>
      </c>
      <c r="U93" s="32">
        <f t="shared" si="15"/>
        <v>0</v>
      </c>
      <c r="V93">
        <v>6</v>
      </c>
      <c r="W93">
        <v>5</v>
      </c>
      <c r="X93" s="32">
        <f t="shared" si="16"/>
        <v>1</v>
      </c>
      <c r="Y93">
        <v>6</v>
      </c>
      <c r="Z93">
        <v>5</v>
      </c>
      <c r="AA93" s="32">
        <f t="shared" si="17"/>
        <v>1</v>
      </c>
    </row>
    <row r="94" spans="1:27" x14ac:dyDescent="0.45">
      <c r="A94">
        <v>5</v>
      </c>
      <c r="B94">
        <v>5</v>
      </c>
      <c r="C94" s="32">
        <f t="shared" si="9"/>
        <v>0</v>
      </c>
      <c r="D94">
        <v>5</v>
      </c>
      <c r="E94">
        <v>6</v>
      </c>
      <c r="F94" s="32">
        <f t="shared" si="10"/>
        <v>1</v>
      </c>
      <c r="G94">
        <v>7</v>
      </c>
      <c r="H94">
        <v>5</v>
      </c>
      <c r="I94" s="32">
        <f t="shared" si="11"/>
        <v>2</v>
      </c>
      <c r="J94">
        <v>7</v>
      </c>
      <c r="K94">
        <v>6</v>
      </c>
      <c r="L94" s="32">
        <f t="shared" si="12"/>
        <v>1</v>
      </c>
      <c r="M94">
        <v>5</v>
      </c>
      <c r="N94">
        <v>5</v>
      </c>
      <c r="O94" s="32">
        <f t="shared" si="13"/>
        <v>0</v>
      </c>
      <c r="P94">
        <v>6</v>
      </c>
      <c r="Q94">
        <v>5</v>
      </c>
      <c r="R94" s="32">
        <f t="shared" si="14"/>
        <v>1</v>
      </c>
      <c r="S94">
        <v>5</v>
      </c>
      <c r="T94">
        <v>5</v>
      </c>
      <c r="U94" s="32">
        <f t="shared" si="15"/>
        <v>0</v>
      </c>
      <c r="V94">
        <v>6</v>
      </c>
      <c r="W94">
        <v>5</v>
      </c>
      <c r="X94" s="32">
        <f t="shared" si="16"/>
        <v>1</v>
      </c>
      <c r="Y94">
        <v>6</v>
      </c>
      <c r="Z94">
        <v>5</v>
      </c>
      <c r="AA94" s="32">
        <f t="shared" si="17"/>
        <v>1</v>
      </c>
    </row>
    <row r="95" spans="1:27" x14ac:dyDescent="0.45">
      <c r="A95">
        <v>5</v>
      </c>
      <c r="B95">
        <v>5</v>
      </c>
      <c r="C95" s="32">
        <f t="shared" si="9"/>
        <v>0</v>
      </c>
      <c r="D95">
        <v>5</v>
      </c>
      <c r="E95">
        <v>6</v>
      </c>
      <c r="F95" s="32">
        <f t="shared" si="10"/>
        <v>1</v>
      </c>
      <c r="G95">
        <v>7</v>
      </c>
      <c r="H95">
        <v>5</v>
      </c>
      <c r="I95" s="32">
        <f t="shared" si="11"/>
        <v>2</v>
      </c>
      <c r="J95">
        <v>7</v>
      </c>
      <c r="K95">
        <v>6</v>
      </c>
      <c r="L95" s="32">
        <f t="shared" si="12"/>
        <v>1</v>
      </c>
      <c r="M95">
        <v>5</v>
      </c>
      <c r="N95">
        <v>5</v>
      </c>
      <c r="O95" s="32">
        <f t="shared" si="13"/>
        <v>0</v>
      </c>
      <c r="P95">
        <v>6</v>
      </c>
      <c r="Q95">
        <v>5</v>
      </c>
      <c r="R95" s="32">
        <f t="shared" si="14"/>
        <v>1</v>
      </c>
      <c r="S95">
        <v>5</v>
      </c>
      <c r="T95">
        <v>5</v>
      </c>
      <c r="U95" s="32">
        <f t="shared" si="15"/>
        <v>0</v>
      </c>
      <c r="V95">
        <v>6</v>
      </c>
      <c r="W95">
        <v>5</v>
      </c>
      <c r="X95" s="32">
        <f t="shared" si="16"/>
        <v>1</v>
      </c>
      <c r="Y95">
        <v>6</v>
      </c>
      <c r="Z95">
        <v>5</v>
      </c>
      <c r="AA95" s="32">
        <f t="shared" si="17"/>
        <v>1</v>
      </c>
    </row>
    <row r="96" spans="1:27" x14ac:dyDescent="0.45">
      <c r="A96">
        <v>5</v>
      </c>
      <c r="B96">
        <v>6</v>
      </c>
      <c r="C96" s="32">
        <f t="shared" si="9"/>
        <v>1</v>
      </c>
      <c r="D96">
        <v>5</v>
      </c>
      <c r="E96">
        <v>6</v>
      </c>
      <c r="F96" s="32">
        <f t="shared" si="10"/>
        <v>1</v>
      </c>
      <c r="G96">
        <v>7</v>
      </c>
      <c r="H96">
        <v>5</v>
      </c>
      <c r="I96" s="32">
        <f t="shared" si="11"/>
        <v>2</v>
      </c>
      <c r="J96">
        <v>7</v>
      </c>
      <c r="K96">
        <v>6</v>
      </c>
      <c r="L96" s="32">
        <f t="shared" si="12"/>
        <v>1</v>
      </c>
      <c r="M96">
        <v>5</v>
      </c>
      <c r="N96">
        <v>5</v>
      </c>
      <c r="O96" s="32">
        <f t="shared" si="13"/>
        <v>0</v>
      </c>
      <c r="P96">
        <v>6</v>
      </c>
      <c r="Q96">
        <v>5</v>
      </c>
      <c r="R96" s="32">
        <f t="shared" si="14"/>
        <v>1</v>
      </c>
      <c r="S96">
        <v>5</v>
      </c>
      <c r="T96">
        <v>5</v>
      </c>
      <c r="U96" s="32">
        <f t="shared" si="15"/>
        <v>0</v>
      </c>
      <c r="V96">
        <v>6</v>
      </c>
      <c r="W96">
        <v>5</v>
      </c>
      <c r="X96" s="32">
        <f t="shared" si="16"/>
        <v>1</v>
      </c>
      <c r="Y96">
        <v>6</v>
      </c>
      <c r="Z96">
        <v>5</v>
      </c>
      <c r="AA96" s="32">
        <f t="shared" si="17"/>
        <v>1</v>
      </c>
    </row>
    <row r="97" spans="1:27" x14ac:dyDescent="0.45">
      <c r="A97">
        <v>5</v>
      </c>
      <c r="B97">
        <v>6</v>
      </c>
      <c r="C97" s="32">
        <f t="shared" si="9"/>
        <v>1</v>
      </c>
      <c r="D97">
        <v>5</v>
      </c>
      <c r="E97">
        <v>6</v>
      </c>
      <c r="F97" s="32">
        <f t="shared" si="10"/>
        <v>1</v>
      </c>
      <c r="G97">
        <v>7</v>
      </c>
      <c r="H97">
        <v>5</v>
      </c>
      <c r="I97" s="32">
        <f t="shared" si="11"/>
        <v>2</v>
      </c>
      <c r="J97">
        <v>7</v>
      </c>
      <c r="K97">
        <v>6</v>
      </c>
      <c r="L97" s="32">
        <f t="shared" si="12"/>
        <v>1</v>
      </c>
      <c r="M97">
        <v>5</v>
      </c>
      <c r="N97">
        <v>5</v>
      </c>
      <c r="O97" s="32">
        <f t="shared" si="13"/>
        <v>0</v>
      </c>
      <c r="P97">
        <v>6</v>
      </c>
      <c r="Q97">
        <v>5</v>
      </c>
      <c r="R97" s="32">
        <f t="shared" si="14"/>
        <v>1</v>
      </c>
      <c r="S97">
        <v>5</v>
      </c>
      <c r="T97">
        <v>5</v>
      </c>
      <c r="U97" s="32">
        <f t="shared" si="15"/>
        <v>0</v>
      </c>
      <c r="V97">
        <v>6</v>
      </c>
      <c r="W97">
        <v>5</v>
      </c>
      <c r="X97" s="32">
        <f t="shared" si="16"/>
        <v>1</v>
      </c>
      <c r="Y97">
        <v>6</v>
      </c>
      <c r="Z97">
        <v>5</v>
      </c>
      <c r="AA97" s="32">
        <f t="shared" si="17"/>
        <v>1</v>
      </c>
    </row>
    <row r="98" spans="1:27" x14ac:dyDescent="0.45">
      <c r="A98">
        <v>5</v>
      </c>
      <c r="B98">
        <v>6</v>
      </c>
      <c r="C98" s="32">
        <f t="shared" si="9"/>
        <v>1</v>
      </c>
      <c r="D98">
        <v>5</v>
      </c>
      <c r="E98">
        <v>6</v>
      </c>
      <c r="F98" s="32">
        <f t="shared" si="10"/>
        <v>1</v>
      </c>
      <c r="G98">
        <v>7</v>
      </c>
      <c r="H98">
        <v>5</v>
      </c>
      <c r="I98" s="32">
        <f t="shared" si="11"/>
        <v>2</v>
      </c>
      <c r="J98">
        <v>7</v>
      </c>
      <c r="K98">
        <v>6</v>
      </c>
      <c r="L98" s="32">
        <f t="shared" si="12"/>
        <v>1</v>
      </c>
      <c r="M98">
        <v>5</v>
      </c>
      <c r="N98">
        <v>5</v>
      </c>
      <c r="O98" s="32">
        <f t="shared" si="13"/>
        <v>0</v>
      </c>
      <c r="P98">
        <v>6</v>
      </c>
      <c r="Q98">
        <v>5</v>
      </c>
      <c r="R98" s="32">
        <f t="shared" si="14"/>
        <v>1</v>
      </c>
      <c r="S98">
        <v>5</v>
      </c>
      <c r="T98">
        <v>5</v>
      </c>
      <c r="U98" s="32">
        <f t="shared" si="15"/>
        <v>0</v>
      </c>
      <c r="V98">
        <v>6</v>
      </c>
      <c r="W98">
        <v>5</v>
      </c>
      <c r="X98" s="32">
        <f t="shared" si="16"/>
        <v>1</v>
      </c>
      <c r="Y98">
        <v>6</v>
      </c>
      <c r="Z98">
        <v>5</v>
      </c>
      <c r="AA98" s="32">
        <f t="shared" si="17"/>
        <v>1</v>
      </c>
    </row>
    <row r="99" spans="1:27" x14ac:dyDescent="0.45">
      <c r="A99">
        <v>5</v>
      </c>
      <c r="B99">
        <v>6</v>
      </c>
      <c r="C99" s="32">
        <f t="shared" si="9"/>
        <v>1</v>
      </c>
      <c r="D99">
        <v>5</v>
      </c>
      <c r="E99">
        <v>6</v>
      </c>
      <c r="F99" s="32">
        <f t="shared" si="10"/>
        <v>1</v>
      </c>
      <c r="G99">
        <v>7</v>
      </c>
      <c r="H99">
        <v>5</v>
      </c>
      <c r="I99" s="32">
        <f t="shared" si="11"/>
        <v>2</v>
      </c>
      <c r="J99">
        <v>7</v>
      </c>
      <c r="K99">
        <v>6</v>
      </c>
      <c r="L99" s="32">
        <f t="shared" si="12"/>
        <v>1</v>
      </c>
      <c r="M99">
        <v>5</v>
      </c>
      <c r="N99">
        <v>5</v>
      </c>
      <c r="O99" s="32">
        <f t="shared" si="13"/>
        <v>0</v>
      </c>
      <c r="P99">
        <v>6</v>
      </c>
      <c r="Q99">
        <v>5</v>
      </c>
      <c r="R99" s="32">
        <f t="shared" si="14"/>
        <v>1</v>
      </c>
      <c r="S99">
        <v>5</v>
      </c>
      <c r="T99">
        <v>5</v>
      </c>
      <c r="U99" s="32">
        <f t="shared" si="15"/>
        <v>0</v>
      </c>
      <c r="V99">
        <v>6</v>
      </c>
      <c r="W99">
        <v>5</v>
      </c>
      <c r="X99" s="32">
        <f t="shared" si="16"/>
        <v>1</v>
      </c>
      <c r="Y99">
        <v>6</v>
      </c>
      <c r="Z99">
        <v>5</v>
      </c>
      <c r="AA99" s="32">
        <f t="shared" si="17"/>
        <v>1</v>
      </c>
    </row>
    <row r="100" spans="1:27" x14ac:dyDescent="0.45">
      <c r="A100">
        <v>5</v>
      </c>
      <c r="B100">
        <v>6</v>
      </c>
      <c r="C100" s="32">
        <f t="shared" si="9"/>
        <v>1</v>
      </c>
      <c r="D100">
        <v>5</v>
      </c>
      <c r="E100">
        <v>6</v>
      </c>
      <c r="F100" s="32">
        <f t="shared" si="10"/>
        <v>1</v>
      </c>
      <c r="G100">
        <v>7</v>
      </c>
      <c r="H100">
        <v>5</v>
      </c>
      <c r="I100" s="32">
        <f t="shared" si="11"/>
        <v>2</v>
      </c>
      <c r="J100">
        <v>7</v>
      </c>
      <c r="K100">
        <v>6</v>
      </c>
      <c r="L100" s="32">
        <f t="shared" si="12"/>
        <v>1</v>
      </c>
      <c r="M100">
        <v>5</v>
      </c>
      <c r="N100">
        <v>5</v>
      </c>
      <c r="O100" s="32">
        <f t="shared" si="13"/>
        <v>0</v>
      </c>
      <c r="P100">
        <v>6</v>
      </c>
      <c r="Q100">
        <v>5</v>
      </c>
      <c r="R100" s="32">
        <f t="shared" si="14"/>
        <v>1</v>
      </c>
      <c r="S100">
        <v>5</v>
      </c>
      <c r="T100">
        <v>5</v>
      </c>
      <c r="U100" s="32">
        <f t="shared" si="15"/>
        <v>0</v>
      </c>
      <c r="V100">
        <v>6</v>
      </c>
      <c r="W100">
        <v>5</v>
      </c>
      <c r="X100" s="32">
        <f t="shared" si="16"/>
        <v>1</v>
      </c>
      <c r="Y100">
        <v>6</v>
      </c>
      <c r="Z100">
        <v>5</v>
      </c>
      <c r="AA100" s="32">
        <f t="shared" si="17"/>
        <v>1</v>
      </c>
    </row>
    <row r="101" spans="1:27" x14ac:dyDescent="0.45">
      <c r="A101">
        <v>5</v>
      </c>
      <c r="B101">
        <v>6</v>
      </c>
      <c r="C101" s="32">
        <f t="shared" si="9"/>
        <v>1</v>
      </c>
      <c r="D101">
        <v>5</v>
      </c>
      <c r="E101">
        <v>6</v>
      </c>
      <c r="F101" s="32">
        <f t="shared" si="10"/>
        <v>1</v>
      </c>
      <c r="G101">
        <v>7</v>
      </c>
      <c r="H101">
        <v>5</v>
      </c>
      <c r="I101" s="32">
        <f t="shared" si="11"/>
        <v>2</v>
      </c>
      <c r="J101">
        <v>7</v>
      </c>
      <c r="K101">
        <v>6</v>
      </c>
      <c r="L101" s="32">
        <f t="shared" si="12"/>
        <v>1</v>
      </c>
      <c r="M101">
        <v>5</v>
      </c>
      <c r="N101">
        <v>5</v>
      </c>
      <c r="O101" s="32">
        <f t="shared" si="13"/>
        <v>0</v>
      </c>
      <c r="P101">
        <v>6</v>
      </c>
      <c r="Q101">
        <v>5</v>
      </c>
      <c r="R101" s="32">
        <f t="shared" si="14"/>
        <v>1</v>
      </c>
      <c r="S101">
        <v>5</v>
      </c>
      <c r="T101">
        <v>5</v>
      </c>
      <c r="U101" s="32">
        <f t="shared" si="15"/>
        <v>0</v>
      </c>
      <c r="V101">
        <v>6</v>
      </c>
      <c r="W101">
        <v>5</v>
      </c>
      <c r="X101" s="32">
        <f t="shared" si="16"/>
        <v>1</v>
      </c>
      <c r="Y101">
        <v>6</v>
      </c>
      <c r="Z101">
        <v>5</v>
      </c>
      <c r="AA101" s="32">
        <f t="shared" si="17"/>
        <v>1</v>
      </c>
    </row>
    <row r="102" spans="1:27" x14ac:dyDescent="0.45">
      <c r="A102">
        <v>5</v>
      </c>
      <c r="B102">
        <v>6</v>
      </c>
      <c r="C102" s="32">
        <f t="shared" si="9"/>
        <v>1</v>
      </c>
      <c r="D102">
        <v>5</v>
      </c>
      <c r="E102">
        <v>6</v>
      </c>
      <c r="F102" s="32">
        <f t="shared" si="10"/>
        <v>1</v>
      </c>
      <c r="G102">
        <v>7</v>
      </c>
      <c r="H102">
        <v>5</v>
      </c>
      <c r="I102" s="32">
        <f t="shared" si="11"/>
        <v>2</v>
      </c>
      <c r="J102">
        <v>7</v>
      </c>
      <c r="K102">
        <v>6</v>
      </c>
      <c r="L102" s="32">
        <f t="shared" si="12"/>
        <v>1</v>
      </c>
      <c r="M102">
        <v>5</v>
      </c>
      <c r="N102">
        <v>5</v>
      </c>
      <c r="O102" s="32">
        <f t="shared" si="13"/>
        <v>0</v>
      </c>
      <c r="P102">
        <v>6</v>
      </c>
      <c r="Q102">
        <v>5</v>
      </c>
      <c r="R102" s="32">
        <f t="shared" si="14"/>
        <v>1</v>
      </c>
      <c r="S102">
        <v>5</v>
      </c>
      <c r="T102">
        <v>5</v>
      </c>
      <c r="U102" s="32">
        <f t="shared" si="15"/>
        <v>0</v>
      </c>
      <c r="V102">
        <v>6</v>
      </c>
      <c r="W102">
        <v>5</v>
      </c>
      <c r="X102" s="32">
        <f t="shared" si="16"/>
        <v>1</v>
      </c>
      <c r="Y102">
        <v>6</v>
      </c>
      <c r="Z102">
        <v>5</v>
      </c>
      <c r="AA102" s="32">
        <f t="shared" si="17"/>
        <v>1</v>
      </c>
    </row>
    <row r="103" spans="1:27" x14ac:dyDescent="0.45">
      <c r="A103">
        <v>5</v>
      </c>
      <c r="B103">
        <v>6</v>
      </c>
      <c r="C103" s="32">
        <f t="shared" si="9"/>
        <v>1</v>
      </c>
      <c r="D103">
        <v>5</v>
      </c>
      <c r="E103">
        <v>6</v>
      </c>
      <c r="F103" s="32">
        <f t="shared" si="10"/>
        <v>1</v>
      </c>
      <c r="G103">
        <v>7</v>
      </c>
      <c r="H103">
        <v>5</v>
      </c>
      <c r="I103" s="32">
        <f t="shared" si="11"/>
        <v>2</v>
      </c>
      <c r="J103">
        <v>7</v>
      </c>
      <c r="K103">
        <v>6</v>
      </c>
      <c r="L103" s="32">
        <f t="shared" si="12"/>
        <v>1</v>
      </c>
      <c r="M103">
        <v>5</v>
      </c>
      <c r="N103">
        <v>5</v>
      </c>
      <c r="O103" s="32">
        <f t="shared" si="13"/>
        <v>0</v>
      </c>
      <c r="P103">
        <v>6</v>
      </c>
      <c r="Q103">
        <v>5</v>
      </c>
      <c r="R103" s="32">
        <f t="shared" si="14"/>
        <v>1</v>
      </c>
      <c r="S103">
        <v>5</v>
      </c>
      <c r="T103">
        <v>5</v>
      </c>
      <c r="U103" s="32">
        <f t="shared" si="15"/>
        <v>0</v>
      </c>
      <c r="V103">
        <v>6</v>
      </c>
      <c r="W103">
        <v>5</v>
      </c>
      <c r="X103" s="32">
        <f t="shared" si="16"/>
        <v>1</v>
      </c>
      <c r="Y103">
        <v>6</v>
      </c>
      <c r="Z103">
        <v>5</v>
      </c>
      <c r="AA103" s="32">
        <f t="shared" si="17"/>
        <v>1</v>
      </c>
    </row>
    <row r="104" spans="1:27" x14ac:dyDescent="0.45">
      <c r="A104">
        <v>5</v>
      </c>
      <c r="B104">
        <v>6</v>
      </c>
      <c r="C104" s="32">
        <f t="shared" si="9"/>
        <v>1</v>
      </c>
      <c r="D104">
        <v>5</v>
      </c>
      <c r="E104">
        <v>6</v>
      </c>
      <c r="F104" s="32">
        <f t="shared" si="10"/>
        <v>1</v>
      </c>
      <c r="G104">
        <v>7</v>
      </c>
      <c r="H104">
        <v>5</v>
      </c>
      <c r="I104" s="32">
        <f t="shared" si="11"/>
        <v>2</v>
      </c>
      <c r="J104">
        <v>7</v>
      </c>
      <c r="K104">
        <v>6</v>
      </c>
      <c r="L104" s="32">
        <f t="shared" si="12"/>
        <v>1</v>
      </c>
      <c r="M104">
        <v>5</v>
      </c>
      <c r="N104">
        <v>5</v>
      </c>
      <c r="O104" s="32">
        <f t="shared" si="13"/>
        <v>0</v>
      </c>
      <c r="P104">
        <v>6</v>
      </c>
      <c r="Q104">
        <v>5</v>
      </c>
      <c r="R104" s="32">
        <f t="shared" si="14"/>
        <v>1</v>
      </c>
      <c r="S104">
        <v>5</v>
      </c>
      <c r="T104">
        <v>5</v>
      </c>
      <c r="U104" s="32">
        <f t="shared" si="15"/>
        <v>0</v>
      </c>
      <c r="V104">
        <v>6</v>
      </c>
      <c r="W104">
        <v>5</v>
      </c>
      <c r="X104" s="32">
        <f t="shared" si="16"/>
        <v>1</v>
      </c>
      <c r="Y104">
        <v>6</v>
      </c>
      <c r="Z104">
        <v>5</v>
      </c>
      <c r="AA104" s="32">
        <f t="shared" si="17"/>
        <v>1</v>
      </c>
    </row>
    <row r="105" spans="1:27" x14ac:dyDescent="0.45">
      <c r="A105">
        <v>5</v>
      </c>
      <c r="B105">
        <v>6</v>
      </c>
      <c r="C105" s="32">
        <f t="shared" si="9"/>
        <v>1</v>
      </c>
      <c r="D105">
        <v>5</v>
      </c>
      <c r="E105">
        <v>6</v>
      </c>
      <c r="F105" s="32">
        <f t="shared" si="10"/>
        <v>1</v>
      </c>
      <c r="G105">
        <v>7</v>
      </c>
      <c r="H105">
        <v>5</v>
      </c>
      <c r="I105" s="32">
        <f t="shared" si="11"/>
        <v>2</v>
      </c>
      <c r="J105">
        <v>7</v>
      </c>
      <c r="K105">
        <v>6</v>
      </c>
      <c r="L105" s="32">
        <f t="shared" si="12"/>
        <v>1</v>
      </c>
      <c r="M105">
        <v>5</v>
      </c>
      <c r="N105">
        <v>5</v>
      </c>
      <c r="O105" s="32">
        <f t="shared" si="13"/>
        <v>0</v>
      </c>
      <c r="P105">
        <v>6</v>
      </c>
      <c r="Q105">
        <v>5</v>
      </c>
      <c r="R105" s="32">
        <f t="shared" si="14"/>
        <v>1</v>
      </c>
      <c r="S105">
        <v>5</v>
      </c>
      <c r="T105">
        <v>5</v>
      </c>
      <c r="U105" s="32">
        <f t="shared" si="15"/>
        <v>0</v>
      </c>
      <c r="V105">
        <v>6</v>
      </c>
      <c r="W105">
        <v>5</v>
      </c>
      <c r="X105" s="32">
        <f t="shared" si="16"/>
        <v>1</v>
      </c>
      <c r="Y105">
        <v>6</v>
      </c>
      <c r="Z105">
        <v>6</v>
      </c>
      <c r="AA105" s="32">
        <f t="shared" si="17"/>
        <v>0</v>
      </c>
    </row>
    <row r="106" spans="1:27" x14ac:dyDescent="0.45">
      <c r="A106">
        <v>5</v>
      </c>
      <c r="B106">
        <v>6</v>
      </c>
      <c r="C106" s="32">
        <f t="shared" si="9"/>
        <v>1</v>
      </c>
      <c r="D106">
        <v>5</v>
      </c>
      <c r="E106">
        <v>6</v>
      </c>
      <c r="F106" s="32">
        <f t="shared" si="10"/>
        <v>1</v>
      </c>
      <c r="G106">
        <v>7</v>
      </c>
      <c r="H106">
        <v>5</v>
      </c>
      <c r="I106" s="32">
        <f t="shared" si="11"/>
        <v>2</v>
      </c>
      <c r="J106">
        <v>7</v>
      </c>
      <c r="K106">
        <v>6</v>
      </c>
      <c r="L106" s="32">
        <f t="shared" si="12"/>
        <v>1</v>
      </c>
      <c r="M106">
        <v>6</v>
      </c>
      <c r="N106">
        <v>5</v>
      </c>
      <c r="O106" s="32">
        <f t="shared" si="13"/>
        <v>1</v>
      </c>
      <c r="P106">
        <v>6</v>
      </c>
      <c r="Q106">
        <v>5</v>
      </c>
      <c r="R106" s="32">
        <f t="shared" si="14"/>
        <v>1</v>
      </c>
      <c r="S106">
        <v>5</v>
      </c>
      <c r="T106">
        <v>5</v>
      </c>
      <c r="U106" s="32">
        <f t="shared" si="15"/>
        <v>0</v>
      </c>
      <c r="V106">
        <v>6</v>
      </c>
      <c r="W106">
        <v>5</v>
      </c>
      <c r="X106" s="32">
        <f t="shared" si="16"/>
        <v>1</v>
      </c>
      <c r="Y106">
        <v>6</v>
      </c>
      <c r="Z106">
        <v>6</v>
      </c>
      <c r="AA106" s="32">
        <f t="shared" si="17"/>
        <v>0</v>
      </c>
    </row>
    <row r="107" spans="1:27" x14ac:dyDescent="0.45">
      <c r="A107">
        <v>5</v>
      </c>
      <c r="B107">
        <v>6</v>
      </c>
      <c r="C107" s="32">
        <f t="shared" si="9"/>
        <v>1</v>
      </c>
      <c r="D107">
        <v>5</v>
      </c>
      <c r="E107">
        <v>6</v>
      </c>
      <c r="F107" s="32">
        <f t="shared" si="10"/>
        <v>1</v>
      </c>
      <c r="G107">
        <v>7</v>
      </c>
      <c r="H107">
        <v>5</v>
      </c>
      <c r="I107" s="32">
        <f t="shared" si="11"/>
        <v>2</v>
      </c>
      <c r="J107">
        <v>7</v>
      </c>
      <c r="K107">
        <v>6</v>
      </c>
      <c r="L107" s="32">
        <f t="shared" si="12"/>
        <v>1</v>
      </c>
      <c r="M107">
        <v>6</v>
      </c>
      <c r="N107">
        <v>5</v>
      </c>
      <c r="O107" s="32">
        <f t="shared" si="13"/>
        <v>1</v>
      </c>
      <c r="P107">
        <v>6</v>
      </c>
      <c r="Q107">
        <v>5</v>
      </c>
      <c r="R107" s="32">
        <f t="shared" si="14"/>
        <v>1</v>
      </c>
      <c r="S107">
        <v>5</v>
      </c>
      <c r="T107">
        <v>5</v>
      </c>
      <c r="U107" s="32">
        <f t="shared" si="15"/>
        <v>0</v>
      </c>
      <c r="V107">
        <v>6</v>
      </c>
      <c r="W107">
        <v>5</v>
      </c>
      <c r="X107" s="32">
        <f t="shared" si="16"/>
        <v>1</v>
      </c>
      <c r="Y107">
        <v>6</v>
      </c>
      <c r="Z107">
        <v>6</v>
      </c>
      <c r="AA107" s="32">
        <f t="shared" si="17"/>
        <v>0</v>
      </c>
    </row>
    <row r="108" spans="1:27" x14ac:dyDescent="0.45">
      <c r="A108">
        <v>5</v>
      </c>
      <c r="B108">
        <v>6</v>
      </c>
      <c r="C108" s="32">
        <f t="shared" si="9"/>
        <v>1</v>
      </c>
      <c r="D108">
        <v>5</v>
      </c>
      <c r="E108">
        <v>6</v>
      </c>
      <c r="F108" s="32">
        <f t="shared" si="10"/>
        <v>1</v>
      </c>
      <c r="G108">
        <v>7</v>
      </c>
      <c r="H108">
        <v>5</v>
      </c>
      <c r="I108" s="32">
        <f t="shared" si="11"/>
        <v>2</v>
      </c>
      <c r="J108">
        <v>7</v>
      </c>
      <c r="K108">
        <v>6</v>
      </c>
      <c r="L108" s="32">
        <f t="shared" si="12"/>
        <v>1</v>
      </c>
      <c r="M108">
        <v>6</v>
      </c>
      <c r="N108">
        <v>5</v>
      </c>
      <c r="O108" s="32">
        <f t="shared" si="13"/>
        <v>1</v>
      </c>
      <c r="P108">
        <v>6</v>
      </c>
      <c r="Q108">
        <v>5</v>
      </c>
      <c r="R108" s="32">
        <f t="shared" si="14"/>
        <v>1</v>
      </c>
      <c r="S108">
        <v>5</v>
      </c>
      <c r="T108">
        <v>5</v>
      </c>
      <c r="U108" s="32">
        <f t="shared" si="15"/>
        <v>0</v>
      </c>
      <c r="V108">
        <v>6</v>
      </c>
      <c r="W108">
        <v>5</v>
      </c>
      <c r="X108" s="32">
        <f t="shared" si="16"/>
        <v>1</v>
      </c>
      <c r="Y108">
        <v>6</v>
      </c>
      <c r="Z108">
        <v>6</v>
      </c>
      <c r="AA108" s="32">
        <f t="shared" si="17"/>
        <v>0</v>
      </c>
    </row>
    <row r="109" spans="1:27" x14ac:dyDescent="0.45">
      <c r="A109">
        <v>5</v>
      </c>
      <c r="B109">
        <v>6</v>
      </c>
      <c r="C109" s="32">
        <f t="shared" si="9"/>
        <v>1</v>
      </c>
      <c r="D109">
        <v>5</v>
      </c>
      <c r="E109">
        <v>6</v>
      </c>
      <c r="F109" s="32">
        <f t="shared" si="10"/>
        <v>1</v>
      </c>
      <c r="G109">
        <v>7</v>
      </c>
      <c r="H109">
        <v>5</v>
      </c>
      <c r="I109" s="32">
        <f t="shared" si="11"/>
        <v>2</v>
      </c>
      <c r="J109">
        <v>7</v>
      </c>
      <c r="K109">
        <v>6</v>
      </c>
      <c r="L109" s="32">
        <f t="shared" si="12"/>
        <v>1</v>
      </c>
      <c r="M109">
        <v>6</v>
      </c>
      <c r="N109">
        <v>5</v>
      </c>
      <c r="O109" s="32">
        <f t="shared" si="13"/>
        <v>1</v>
      </c>
      <c r="P109">
        <v>6</v>
      </c>
      <c r="Q109">
        <v>5</v>
      </c>
      <c r="R109" s="32">
        <f t="shared" si="14"/>
        <v>1</v>
      </c>
      <c r="S109">
        <v>5</v>
      </c>
      <c r="T109">
        <v>5</v>
      </c>
      <c r="U109" s="32">
        <f t="shared" si="15"/>
        <v>0</v>
      </c>
      <c r="V109">
        <v>6</v>
      </c>
      <c r="W109">
        <v>5</v>
      </c>
      <c r="X109" s="32">
        <f t="shared" si="16"/>
        <v>1</v>
      </c>
      <c r="Y109">
        <v>6</v>
      </c>
      <c r="Z109">
        <v>6</v>
      </c>
      <c r="AA109" s="32">
        <f t="shared" si="17"/>
        <v>0</v>
      </c>
    </row>
    <row r="110" spans="1:27" x14ac:dyDescent="0.45">
      <c r="A110">
        <v>6</v>
      </c>
      <c r="B110">
        <v>6</v>
      </c>
      <c r="C110" s="32">
        <f t="shared" si="9"/>
        <v>0</v>
      </c>
      <c r="D110">
        <v>5</v>
      </c>
      <c r="E110">
        <v>6</v>
      </c>
      <c r="F110" s="32">
        <f t="shared" si="10"/>
        <v>1</v>
      </c>
      <c r="G110">
        <v>7</v>
      </c>
      <c r="H110">
        <v>5</v>
      </c>
      <c r="I110" s="32">
        <f t="shared" si="11"/>
        <v>2</v>
      </c>
      <c r="J110">
        <v>7</v>
      </c>
      <c r="K110">
        <v>6</v>
      </c>
      <c r="L110" s="32">
        <f t="shared" si="12"/>
        <v>1</v>
      </c>
      <c r="M110">
        <v>6</v>
      </c>
      <c r="N110">
        <v>5</v>
      </c>
      <c r="O110" s="32">
        <f t="shared" si="13"/>
        <v>1</v>
      </c>
      <c r="P110">
        <v>6</v>
      </c>
      <c r="Q110">
        <v>5</v>
      </c>
      <c r="R110" s="32">
        <f t="shared" si="14"/>
        <v>1</v>
      </c>
      <c r="S110">
        <v>5</v>
      </c>
      <c r="T110">
        <v>5</v>
      </c>
      <c r="U110" s="32">
        <f t="shared" si="15"/>
        <v>0</v>
      </c>
      <c r="V110">
        <v>6</v>
      </c>
      <c r="W110">
        <v>5</v>
      </c>
      <c r="X110" s="32">
        <f t="shared" si="16"/>
        <v>1</v>
      </c>
      <c r="Y110">
        <v>6</v>
      </c>
      <c r="Z110">
        <v>6</v>
      </c>
      <c r="AA110" s="32">
        <f t="shared" si="17"/>
        <v>0</v>
      </c>
    </row>
    <row r="111" spans="1:27" x14ac:dyDescent="0.45">
      <c r="A111">
        <v>6</v>
      </c>
      <c r="B111">
        <v>6</v>
      </c>
      <c r="C111" s="32">
        <f t="shared" si="9"/>
        <v>0</v>
      </c>
      <c r="D111">
        <v>5</v>
      </c>
      <c r="E111">
        <v>6</v>
      </c>
      <c r="F111" s="32">
        <f t="shared" si="10"/>
        <v>1</v>
      </c>
      <c r="G111">
        <v>7</v>
      </c>
      <c r="H111">
        <v>5</v>
      </c>
      <c r="I111" s="32">
        <f t="shared" si="11"/>
        <v>2</v>
      </c>
      <c r="J111">
        <v>7</v>
      </c>
      <c r="K111">
        <v>6</v>
      </c>
      <c r="L111" s="32">
        <f t="shared" si="12"/>
        <v>1</v>
      </c>
      <c r="M111">
        <v>6</v>
      </c>
      <c r="N111">
        <v>5</v>
      </c>
      <c r="O111" s="32">
        <f t="shared" si="13"/>
        <v>1</v>
      </c>
      <c r="P111">
        <v>6</v>
      </c>
      <c r="Q111">
        <v>5</v>
      </c>
      <c r="R111" s="32">
        <f t="shared" si="14"/>
        <v>1</v>
      </c>
      <c r="S111">
        <v>5</v>
      </c>
      <c r="T111">
        <v>5</v>
      </c>
      <c r="U111" s="32">
        <f t="shared" si="15"/>
        <v>0</v>
      </c>
      <c r="V111">
        <v>6</v>
      </c>
      <c r="W111">
        <v>5</v>
      </c>
      <c r="X111" s="32">
        <f t="shared" si="16"/>
        <v>1</v>
      </c>
      <c r="Y111">
        <v>6</v>
      </c>
      <c r="Z111">
        <v>6</v>
      </c>
      <c r="AA111" s="32">
        <f t="shared" si="17"/>
        <v>0</v>
      </c>
    </row>
    <row r="112" spans="1:27" x14ac:dyDescent="0.45">
      <c r="A112">
        <v>6</v>
      </c>
      <c r="B112">
        <v>6</v>
      </c>
      <c r="C112" s="32">
        <f t="shared" si="9"/>
        <v>0</v>
      </c>
      <c r="D112">
        <v>5</v>
      </c>
      <c r="E112">
        <v>6</v>
      </c>
      <c r="F112" s="32">
        <f t="shared" si="10"/>
        <v>1</v>
      </c>
      <c r="G112">
        <v>7</v>
      </c>
      <c r="H112">
        <v>5</v>
      </c>
      <c r="I112" s="32">
        <f t="shared" si="11"/>
        <v>2</v>
      </c>
      <c r="J112">
        <v>7</v>
      </c>
      <c r="K112">
        <v>6</v>
      </c>
      <c r="L112" s="32">
        <f t="shared" si="12"/>
        <v>1</v>
      </c>
      <c r="M112">
        <v>6</v>
      </c>
      <c r="N112">
        <v>5</v>
      </c>
      <c r="O112" s="32">
        <f t="shared" si="13"/>
        <v>1</v>
      </c>
      <c r="P112">
        <v>6</v>
      </c>
      <c r="Q112">
        <v>5</v>
      </c>
      <c r="R112" s="32">
        <f t="shared" si="14"/>
        <v>1</v>
      </c>
      <c r="S112">
        <v>5</v>
      </c>
      <c r="T112">
        <v>5</v>
      </c>
      <c r="U112" s="32">
        <f t="shared" si="15"/>
        <v>0</v>
      </c>
      <c r="V112">
        <v>6</v>
      </c>
      <c r="W112">
        <v>5</v>
      </c>
      <c r="X112" s="32">
        <f t="shared" si="16"/>
        <v>1</v>
      </c>
      <c r="Y112">
        <v>6</v>
      </c>
      <c r="Z112">
        <v>6</v>
      </c>
      <c r="AA112" s="32">
        <f t="shared" si="17"/>
        <v>0</v>
      </c>
    </row>
    <row r="113" spans="1:27" x14ac:dyDescent="0.45">
      <c r="A113">
        <v>6</v>
      </c>
      <c r="B113">
        <v>6</v>
      </c>
      <c r="C113" s="32">
        <f t="shared" si="9"/>
        <v>0</v>
      </c>
      <c r="D113">
        <v>5</v>
      </c>
      <c r="E113">
        <v>6</v>
      </c>
      <c r="F113" s="32">
        <f t="shared" si="10"/>
        <v>1</v>
      </c>
      <c r="G113">
        <v>7</v>
      </c>
      <c r="H113">
        <v>5</v>
      </c>
      <c r="I113" s="32">
        <f t="shared" si="11"/>
        <v>2</v>
      </c>
      <c r="J113">
        <v>7</v>
      </c>
      <c r="K113">
        <v>6</v>
      </c>
      <c r="L113" s="32">
        <f t="shared" si="12"/>
        <v>1</v>
      </c>
      <c r="M113">
        <v>6</v>
      </c>
      <c r="N113">
        <v>5</v>
      </c>
      <c r="O113" s="32">
        <f t="shared" si="13"/>
        <v>1</v>
      </c>
      <c r="P113">
        <v>6</v>
      </c>
      <c r="Q113">
        <v>5</v>
      </c>
      <c r="R113" s="32">
        <f t="shared" si="14"/>
        <v>1</v>
      </c>
      <c r="S113">
        <v>5</v>
      </c>
      <c r="T113">
        <v>5</v>
      </c>
      <c r="U113" s="32">
        <f t="shared" si="15"/>
        <v>0</v>
      </c>
      <c r="V113">
        <v>6</v>
      </c>
      <c r="W113">
        <v>5</v>
      </c>
      <c r="X113" s="32">
        <f t="shared" si="16"/>
        <v>1</v>
      </c>
      <c r="Y113">
        <v>6</v>
      </c>
      <c r="Z113">
        <v>6</v>
      </c>
      <c r="AA113" s="32">
        <f t="shared" si="17"/>
        <v>0</v>
      </c>
    </row>
    <row r="114" spans="1:27" x14ac:dyDescent="0.45">
      <c r="A114">
        <v>6</v>
      </c>
      <c r="B114">
        <v>6</v>
      </c>
      <c r="C114" s="32">
        <f t="shared" si="9"/>
        <v>0</v>
      </c>
      <c r="D114">
        <v>5</v>
      </c>
      <c r="E114">
        <v>6</v>
      </c>
      <c r="F114" s="32">
        <f t="shared" si="10"/>
        <v>1</v>
      </c>
      <c r="G114">
        <v>7</v>
      </c>
      <c r="H114">
        <v>5</v>
      </c>
      <c r="I114" s="32">
        <f t="shared" si="11"/>
        <v>2</v>
      </c>
      <c r="J114">
        <v>7</v>
      </c>
      <c r="K114">
        <v>6</v>
      </c>
      <c r="L114" s="32">
        <f t="shared" si="12"/>
        <v>1</v>
      </c>
      <c r="M114">
        <v>6</v>
      </c>
      <c r="N114">
        <v>5</v>
      </c>
      <c r="O114" s="32">
        <f t="shared" si="13"/>
        <v>1</v>
      </c>
      <c r="P114">
        <v>6</v>
      </c>
      <c r="Q114">
        <v>5</v>
      </c>
      <c r="R114" s="32">
        <f t="shared" si="14"/>
        <v>1</v>
      </c>
      <c r="S114">
        <v>5</v>
      </c>
      <c r="T114">
        <v>5</v>
      </c>
      <c r="U114" s="32">
        <f t="shared" si="15"/>
        <v>0</v>
      </c>
      <c r="V114">
        <v>6</v>
      </c>
      <c r="W114">
        <v>5</v>
      </c>
      <c r="X114" s="32">
        <f t="shared" si="16"/>
        <v>1</v>
      </c>
      <c r="Y114">
        <v>6</v>
      </c>
      <c r="Z114">
        <v>6</v>
      </c>
      <c r="AA114" s="32">
        <f t="shared" si="17"/>
        <v>0</v>
      </c>
    </row>
    <row r="115" spans="1:27" x14ac:dyDescent="0.45">
      <c r="A115">
        <v>6</v>
      </c>
      <c r="B115">
        <v>6</v>
      </c>
      <c r="C115" s="32">
        <f t="shared" si="9"/>
        <v>0</v>
      </c>
      <c r="D115">
        <v>5</v>
      </c>
      <c r="E115">
        <v>6</v>
      </c>
      <c r="F115" s="32">
        <f t="shared" si="10"/>
        <v>1</v>
      </c>
      <c r="G115">
        <v>7</v>
      </c>
      <c r="H115">
        <v>5</v>
      </c>
      <c r="I115" s="32">
        <f t="shared" si="11"/>
        <v>2</v>
      </c>
      <c r="J115">
        <v>7</v>
      </c>
      <c r="K115">
        <v>6</v>
      </c>
      <c r="L115" s="32">
        <f t="shared" si="12"/>
        <v>1</v>
      </c>
      <c r="M115">
        <v>6</v>
      </c>
      <c r="N115">
        <v>5</v>
      </c>
      <c r="O115" s="32">
        <f t="shared" si="13"/>
        <v>1</v>
      </c>
      <c r="P115">
        <v>6</v>
      </c>
      <c r="Q115">
        <v>5</v>
      </c>
      <c r="R115" s="32">
        <f t="shared" si="14"/>
        <v>1</v>
      </c>
      <c r="S115">
        <v>5</v>
      </c>
      <c r="T115">
        <v>5</v>
      </c>
      <c r="U115" s="32">
        <f t="shared" si="15"/>
        <v>0</v>
      </c>
      <c r="V115">
        <v>6</v>
      </c>
      <c r="W115">
        <v>5</v>
      </c>
      <c r="X115" s="32">
        <f t="shared" si="16"/>
        <v>1</v>
      </c>
      <c r="Y115">
        <v>6</v>
      </c>
      <c r="Z115">
        <v>6</v>
      </c>
      <c r="AA115" s="32">
        <f t="shared" si="17"/>
        <v>0</v>
      </c>
    </row>
    <row r="116" spans="1:27" x14ac:dyDescent="0.45">
      <c r="A116">
        <v>6</v>
      </c>
      <c r="B116">
        <v>6</v>
      </c>
      <c r="C116" s="32">
        <f t="shared" si="9"/>
        <v>0</v>
      </c>
      <c r="D116">
        <v>5</v>
      </c>
      <c r="E116">
        <v>6</v>
      </c>
      <c r="F116" s="32">
        <f t="shared" si="10"/>
        <v>1</v>
      </c>
      <c r="G116">
        <v>7</v>
      </c>
      <c r="H116">
        <v>5</v>
      </c>
      <c r="I116" s="32">
        <f t="shared" si="11"/>
        <v>2</v>
      </c>
      <c r="J116">
        <v>7</v>
      </c>
      <c r="K116">
        <v>6</v>
      </c>
      <c r="L116" s="32">
        <f t="shared" si="12"/>
        <v>1</v>
      </c>
      <c r="M116">
        <v>6</v>
      </c>
      <c r="N116">
        <v>5</v>
      </c>
      <c r="O116" s="32">
        <f t="shared" si="13"/>
        <v>1</v>
      </c>
      <c r="P116">
        <v>6</v>
      </c>
      <c r="Q116">
        <v>5</v>
      </c>
      <c r="R116" s="32">
        <f t="shared" si="14"/>
        <v>1</v>
      </c>
      <c r="S116">
        <v>5</v>
      </c>
      <c r="T116">
        <v>5</v>
      </c>
      <c r="U116" s="32">
        <f t="shared" si="15"/>
        <v>0</v>
      </c>
      <c r="V116">
        <v>6</v>
      </c>
      <c r="W116">
        <v>5</v>
      </c>
      <c r="X116" s="32">
        <f t="shared" si="16"/>
        <v>1</v>
      </c>
      <c r="Y116">
        <v>6</v>
      </c>
      <c r="Z116">
        <v>6</v>
      </c>
      <c r="AA116" s="32">
        <f t="shared" si="17"/>
        <v>0</v>
      </c>
    </row>
    <row r="117" spans="1:27" x14ac:dyDescent="0.45">
      <c r="A117">
        <v>6</v>
      </c>
      <c r="B117">
        <v>6</v>
      </c>
      <c r="C117" s="32">
        <f t="shared" si="9"/>
        <v>0</v>
      </c>
      <c r="D117">
        <v>5</v>
      </c>
      <c r="E117">
        <v>6</v>
      </c>
      <c r="F117" s="32">
        <f t="shared" si="10"/>
        <v>1</v>
      </c>
      <c r="G117">
        <v>7</v>
      </c>
      <c r="H117">
        <v>5</v>
      </c>
      <c r="I117" s="32">
        <f t="shared" si="11"/>
        <v>2</v>
      </c>
      <c r="J117">
        <v>7</v>
      </c>
      <c r="K117">
        <v>6</v>
      </c>
      <c r="L117" s="32">
        <f t="shared" si="12"/>
        <v>1</v>
      </c>
      <c r="M117">
        <v>6</v>
      </c>
      <c r="N117">
        <v>5</v>
      </c>
      <c r="O117" s="32">
        <f t="shared" si="13"/>
        <v>1</v>
      </c>
      <c r="P117">
        <v>6</v>
      </c>
      <c r="Q117">
        <v>5</v>
      </c>
      <c r="R117" s="32">
        <f t="shared" si="14"/>
        <v>1</v>
      </c>
      <c r="S117">
        <v>5</v>
      </c>
      <c r="T117">
        <v>5</v>
      </c>
      <c r="U117" s="32">
        <f t="shared" si="15"/>
        <v>0</v>
      </c>
      <c r="V117">
        <v>6</v>
      </c>
      <c r="W117">
        <v>5</v>
      </c>
      <c r="X117" s="32">
        <f t="shared" si="16"/>
        <v>1</v>
      </c>
      <c r="Y117">
        <v>6</v>
      </c>
      <c r="Z117">
        <v>6</v>
      </c>
      <c r="AA117" s="32">
        <f t="shared" si="17"/>
        <v>0</v>
      </c>
    </row>
    <row r="118" spans="1:27" x14ac:dyDescent="0.45">
      <c r="A118">
        <v>6</v>
      </c>
      <c r="B118">
        <v>6</v>
      </c>
      <c r="C118" s="32">
        <f t="shared" si="9"/>
        <v>0</v>
      </c>
      <c r="D118">
        <v>5</v>
      </c>
      <c r="E118">
        <v>6</v>
      </c>
      <c r="F118" s="32">
        <f t="shared" si="10"/>
        <v>1</v>
      </c>
      <c r="G118">
        <v>7</v>
      </c>
      <c r="H118">
        <v>5</v>
      </c>
      <c r="I118" s="32">
        <f t="shared" si="11"/>
        <v>2</v>
      </c>
      <c r="J118">
        <v>7</v>
      </c>
      <c r="K118">
        <v>6</v>
      </c>
      <c r="L118" s="32">
        <f t="shared" si="12"/>
        <v>1</v>
      </c>
      <c r="M118">
        <v>6</v>
      </c>
      <c r="N118">
        <v>5</v>
      </c>
      <c r="O118" s="32">
        <f t="shared" si="13"/>
        <v>1</v>
      </c>
      <c r="P118">
        <v>6</v>
      </c>
      <c r="Q118">
        <v>5</v>
      </c>
      <c r="R118" s="32">
        <f t="shared" si="14"/>
        <v>1</v>
      </c>
      <c r="S118">
        <v>5</v>
      </c>
      <c r="T118">
        <v>5</v>
      </c>
      <c r="U118" s="32">
        <f t="shared" si="15"/>
        <v>0</v>
      </c>
      <c r="V118">
        <v>6</v>
      </c>
      <c r="W118">
        <v>5</v>
      </c>
      <c r="X118" s="32">
        <f t="shared" si="16"/>
        <v>1</v>
      </c>
      <c r="Y118">
        <v>6</v>
      </c>
      <c r="Z118">
        <v>6</v>
      </c>
      <c r="AA118" s="32">
        <f t="shared" si="17"/>
        <v>0</v>
      </c>
    </row>
    <row r="119" spans="1:27" x14ac:dyDescent="0.45">
      <c r="A119">
        <v>6</v>
      </c>
      <c r="B119">
        <v>6</v>
      </c>
      <c r="C119" s="32">
        <f t="shared" si="9"/>
        <v>0</v>
      </c>
      <c r="D119">
        <v>5</v>
      </c>
      <c r="E119">
        <v>6</v>
      </c>
      <c r="F119" s="32">
        <f t="shared" si="10"/>
        <v>1</v>
      </c>
      <c r="G119">
        <v>7</v>
      </c>
      <c r="H119">
        <v>5</v>
      </c>
      <c r="I119" s="32">
        <f t="shared" si="11"/>
        <v>2</v>
      </c>
      <c r="J119">
        <v>7</v>
      </c>
      <c r="K119">
        <v>6</v>
      </c>
      <c r="L119" s="32">
        <f t="shared" si="12"/>
        <v>1</v>
      </c>
      <c r="M119">
        <v>6</v>
      </c>
      <c r="N119">
        <v>5</v>
      </c>
      <c r="O119" s="32">
        <f t="shared" si="13"/>
        <v>1</v>
      </c>
      <c r="P119">
        <v>6</v>
      </c>
      <c r="Q119">
        <v>5</v>
      </c>
      <c r="R119" s="32">
        <f t="shared" si="14"/>
        <v>1</v>
      </c>
      <c r="S119">
        <v>5</v>
      </c>
      <c r="T119">
        <v>5</v>
      </c>
      <c r="U119" s="32">
        <f t="shared" si="15"/>
        <v>0</v>
      </c>
      <c r="V119">
        <v>6</v>
      </c>
      <c r="W119">
        <v>5</v>
      </c>
      <c r="X119" s="32">
        <f t="shared" si="16"/>
        <v>1</v>
      </c>
      <c r="Y119">
        <v>6</v>
      </c>
      <c r="Z119">
        <v>6</v>
      </c>
      <c r="AA119" s="32">
        <f t="shared" si="17"/>
        <v>0</v>
      </c>
    </row>
    <row r="120" spans="1:27" x14ac:dyDescent="0.45">
      <c r="A120">
        <v>6</v>
      </c>
      <c r="B120">
        <v>6</v>
      </c>
      <c r="C120" s="32">
        <f t="shared" si="9"/>
        <v>0</v>
      </c>
      <c r="D120">
        <v>5</v>
      </c>
      <c r="E120">
        <v>6</v>
      </c>
      <c r="F120" s="32">
        <f t="shared" si="10"/>
        <v>1</v>
      </c>
      <c r="G120">
        <v>7</v>
      </c>
      <c r="H120">
        <v>5</v>
      </c>
      <c r="I120" s="32">
        <f t="shared" si="11"/>
        <v>2</v>
      </c>
      <c r="J120">
        <v>7</v>
      </c>
      <c r="K120">
        <v>6</v>
      </c>
      <c r="L120" s="32">
        <f t="shared" si="12"/>
        <v>1</v>
      </c>
      <c r="M120">
        <v>6</v>
      </c>
      <c r="N120">
        <v>5</v>
      </c>
      <c r="O120" s="32">
        <f t="shared" si="13"/>
        <v>1</v>
      </c>
      <c r="P120">
        <v>6</v>
      </c>
      <c r="Q120">
        <v>5</v>
      </c>
      <c r="R120" s="32">
        <f t="shared" si="14"/>
        <v>1</v>
      </c>
      <c r="S120">
        <v>5</v>
      </c>
      <c r="T120">
        <v>5</v>
      </c>
      <c r="U120" s="32">
        <f t="shared" si="15"/>
        <v>0</v>
      </c>
      <c r="V120">
        <v>6</v>
      </c>
      <c r="W120">
        <v>5</v>
      </c>
      <c r="X120" s="32">
        <f t="shared" si="16"/>
        <v>1</v>
      </c>
      <c r="Y120">
        <v>6</v>
      </c>
      <c r="Z120">
        <v>6</v>
      </c>
      <c r="AA120" s="32">
        <f t="shared" si="17"/>
        <v>0</v>
      </c>
    </row>
    <row r="121" spans="1:27" x14ac:dyDescent="0.45">
      <c r="A121">
        <v>6</v>
      </c>
      <c r="B121">
        <v>6</v>
      </c>
      <c r="C121" s="32">
        <f t="shared" si="9"/>
        <v>0</v>
      </c>
      <c r="D121">
        <v>5</v>
      </c>
      <c r="E121">
        <v>6</v>
      </c>
      <c r="F121" s="32">
        <f t="shared" si="10"/>
        <v>1</v>
      </c>
      <c r="G121">
        <v>7</v>
      </c>
      <c r="H121">
        <v>5</v>
      </c>
      <c r="I121" s="32">
        <f t="shared" si="11"/>
        <v>2</v>
      </c>
      <c r="J121">
        <v>7</v>
      </c>
      <c r="K121">
        <v>6</v>
      </c>
      <c r="L121" s="32">
        <f t="shared" si="12"/>
        <v>1</v>
      </c>
      <c r="M121">
        <v>6</v>
      </c>
      <c r="N121">
        <v>5</v>
      </c>
      <c r="O121" s="32">
        <f t="shared" si="13"/>
        <v>1</v>
      </c>
      <c r="P121">
        <v>6</v>
      </c>
      <c r="Q121">
        <v>5</v>
      </c>
      <c r="R121" s="32">
        <f t="shared" si="14"/>
        <v>1</v>
      </c>
      <c r="S121">
        <v>5</v>
      </c>
      <c r="T121">
        <v>5</v>
      </c>
      <c r="U121" s="32">
        <f t="shared" si="15"/>
        <v>0</v>
      </c>
      <c r="V121">
        <v>6</v>
      </c>
      <c r="W121">
        <v>5</v>
      </c>
      <c r="X121" s="32">
        <f t="shared" si="16"/>
        <v>1</v>
      </c>
      <c r="Y121">
        <v>6</v>
      </c>
      <c r="Z121">
        <v>6</v>
      </c>
      <c r="AA121" s="32">
        <f t="shared" si="17"/>
        <v>0</v>
      </c>
    </row>
    <row r="122" spans="1:27" x14ac:dyDescent="0.45">
      <c r="A122">
        <v>6</v>
      </c>
      <c r="B122">
        <v>6</v>
      </c>
      <c r="C122" s="32">
        <f t="shared" si="9"/>
        <v>0</v>
      </c>
      <c r="D122">
        <v>5</v>
      </c>
      <c r="E122">
        <v>6</v>
      </c>
      <c r="F122" s="32">
        <f t="shared" si="10"/>
        <v>1</v>
      </c>
      <c r="G122">
        <v>7</v>
      </c>
      <c r="H122">
        <v>5</v>
      </c>
      <c r="I122" s="32">
        <f t="shared" si="11"/>
        <v>2</v>
      </c>
      <c r="J122">
        <v>7</v>
      </c>
      <c r="K122">
        <v>6</v>
      </c>
      <c r="L122" s="32">
        <f t="shared" si="12"/>
        <v>1</v>
      </c>
      <c r="M122">
        <v>6</v>
      </c>
      <c r="N122">
        <v>5</v>
      </c>
      <c r="O122" s="32">
        <f t="shared" si="13"/>
        <v>1</v>
      </c>
      <c r="P122">
        <v>6</v>
      </c>
      <c r="Q122">
        <v>5</v>
      </c>
      <c r="R122" s="32">
        <f t="shared" si="14"/>
        <v>1</v>
      </c>
      <c r="S122">
        <v>5</v>
      </c>
      <c r="T122">
        <v>5</v>
      </c>
      <c r="U122" s="32">
        <f t="shared" si="15"/>
        <v>0</v>
      </c>
      <c r="V122">
        <v>6</v>
      </c>
      <c r="W122">
        <v>5</v>
      </c>
      <c r="X122" s="32">
        <f t="shared" si="16"/>
        <v>1</v>
      </c>
      <c r="Y122">
        <v>7</v>
      </c>
      <c r="Z122">
        <v>6</v>
      </c>
      <c r="AA122" s="32">
        <f t="shared" si="17"/>
        <v>1</v>
      </c>
    </row>
    <row r="123" spans="1:27" x14ac:dyDescent="0.45">
      <c r="A123">
        <v>6</v>
      </c>
      <c r="B123">
        <v>6</v>
      </c>
      <c r="C123" s="32">
        <f t="shared" si="9"/>
        <v>0</v>
      </c>
      <c r="D123">
        <v>5</v>
      </c>
      <c r="E123">
        <v>6</v>
      </c>
      <c r="F123" s="32">
        <f t="shared" si="10"/>
        <v>1</v>
      </c>
      <c r="G123">
        <v>7</v>
      </c>
      <c r="H123">
        <v>5</v>
      </c>
      <c r="I123" s="32">
        <f t="shared" si="11"/>
        <v>2</v>
      </c>
      <c r="J123">
        <v>7</v>
      </c>
      <c r="K123">
        <v>6</v>
      </c>
      <c r="L123" s="32">
        <f t="shared" si="12"/>
        <v>1</v>
      </c>
      <c r="M123">
        <v>6</v>
      </c>
      <c r="N123">
        <v>5</v>
      </c>
      <c r="O123" s="32">
        <f t="shared" si="13"/>
        <v>1</v>
      </c>
      <c r="P123">
        <v>6</v>
      </c>
      <c r="Q123">
        <v>5</v>
      </c>
      <c r="R123" s="32">
        <f t="shared" si="14"/>
        <v>1</v>
      </c>
      <c r="S123">
        <v>5</v>
      </c>
      <c r="T123">
        <v>5</v>
      </c>
      <c r="U123" s="32">
        <f t="shared" si="15"/>
        <v>0</v>
      </c>
      <c r="V123">
        <v>6</v>
      </c>
      <c r="W123">
        <v>5</v>
      </c>
      <c r="X123" s="32">
        <f t="shared" si="16"/>
        <v>1</v>
      </c>
      <c r="Y123">
        <v>7</v>
      </c>
      <c r="Z123">
        <v>6</v>
      </c>
      <c r="AA123" s="32">
        <f t="shared" si="17"/>
        <v>1</v>
      </c>
    </row>
    <row r="124" spans="1:27" x14ac:dyDescent="0.45">
      <c r="A124">
        <v>6</v>
      </c>
      <c r="B124">
        <v>6</v>
      </c>
      <c r="C124" s="32">
        <f t="shared" si="9"/>
        <v>0</v>
      </c>
      <c r="D124">
        <v>5</v>
      </c>
      <c r="E124">
        <v>6</v>
      </c>
      <c r="F124" s="32">
        <f t="shared" si="10"/>
        <v>1</v>
      </c>
      <c r="G124">
        <v>7</v>
      </c>
      <c r="H124">
        <v>5</v>
      </c>
      <c r="I124" s="32">
        <f t="shared" si="11"/>
        <v>2</v>
      </c>
      <c r="J124">
        <v>7</v>
      </c>
      <c r="K124">
        <v>6</v>
      </c>
      <c r="L124" s="32">
        <f t="shared" si="12"/>
        <v>1</v>
      </c>
      <c r="M124">
        <v>6</v>
      </c>
      <c r="N124">
        <v>5</v>
      </c>
      <c r="O124" s="32">
        <f t="shared" si="13"/>
        <v>1</v>
      </c>
      <c r="P124">
        <v>6</v>
      </c>
      <c r="Q124">
        <v>5</v>
      </c>
      <c r="R124" s="32">
        <f t="shared" si="14"/>
        <v>1</v>
      </c>
      <c r="S124">
        <v>5</v>
      </c>
      <c r="T124">
        <v>5</v>
      </c>
      <c r="U124" s="32">
        <f t="shared" si="15"/>
        <v>0</v>
      </c>
      <c r="V124">
        <v>6</v>
      </c>
      <c r="W124">
        <v>5</v>
      </c>
      <c r="X124" s="32">
        <f t="shared" si="16"/>
        <v>1</v>
      </c>
      <c r="Y124">
        <v>7</v>
      </c>
      <c r="Z124">
        <v>6</v>
      </c>
      <c r="AA124" s="32">
        <f t="shared" si="17"/>
        <v>1</v>
      </c>
    </row>
    <row r="125" spans="1:27" x14ac:dyDescent="0.45">
      <c r="A125">
        <v>6</v>
      </c>
      <c r="B125">
        <v>6</v>
      </c>
      <c r="C125" s="32">
        <f t="shared" si="9"/>
        <v>0</v>
      </c>
      <c r="D125">
        <v>5</v>
      </c>
      <c r="E125">
        <v>6</v>
      </c>
      <c r="F125" s="32">
        <f t="shared" si="10"/>
        <v>1</v>
      </c>
      <c r="G125">
        <v>7</v>
      </c>
      <c r="H125">
        <v>5</v>
      </c>
      <c r="I125" s="32">
        <f t="shared" si="11"/>
        <v>2</v>
      </c>
      <c r="J125">
        <v>7</v>
      </c>
      <c r="K125">
        <v>6</v>
      </c>
      <c r="L125" s="32">
        <f t="shared" si="12"/>
        <v>1</v>
      </c>
      <c r="M125">
        <v>6</v>
      </c>
      <c r="N125">
        <v>5</v>
      </c>
      <c r="O125" s="32">
        <f t="shared" si="13"/>
        <v>1</v>
      </c>
      <c r="P125">
        <v>6</v>
      </c>
      <c r="Q125">
        <v>5</v>
      </c>
      <c r="R125" s="32">
        <f t="shared" si="14"/>
        <v>1</v>
      </c>
      <c r="S125">
        <v>5</v>
      </c>
      <c r="T125">
        <v>5</v>
      </c>
      <c r="U125" s="32">
        <f t="shared" si="15"/>
        <v>0</v>
      </c>
      <c r="V125">
        <v>6</v>
      </c>
      <c r="W125">
        <v>5</v>
      </c>
      <c r="X125" s="32">
        <f t="shared" si="16"/>
        <v>1</v>
      </c>
      <c r="Y125">
        <v>7</v>
      </c>
      <c r="Z125">
        <v>6</v>
      </c>
      <c r="AA125" s="32">
        <f t="shared" si="17"/>
        <v>1</v>
      </c>
    </row>
    <row r="126" spans="1:27" x14ac:dyDescent="0.45">
      <c r="A126">
        <v>6</v>
      </c>
      <c r="B126">
        <v>6</v>
      </c>
      <c r="C126" s="32">
        <f t="shared" si="9"/>
        <v>0</v>
      </c>
      <c r="D126">
        <v>5</v>
      </c>
      <c r="E126">
        <v>6</v>
      </c>
      <c r="F126" s="32">
        <f t="shared" si="10"/>
        <v>1</v>
      </c>
      <c r="G126">
        <v>7</v>
      </c>
      <c r="H126">
        <v>5</v>
      </c>
      <c r="I126" s="32">
        <f t="shared" si="11"/>
        <v>2</v>
      </c>
      <c r="J126">
        <v>7</v>
      </c>
      <c r="K126">
        <v>6</v>
      </c>
      <c r="L126" s="32">
        <f t="shared" si="12"/>
        <v>1</v>
      </c>
      <c r="M126">
        <v>6</v>
      </c>
      <c r="N126">
        <v>5</v>
      </c>
      <c r="O126" s="32">
        <f t="shared" si="13"/>
        <v>1</v>
      </c>
      <c r="P126">
        <v>6</v>
      </c>
      <c r="Q126">
        <v>6</v>
      </c>
      <c r="R126" s="32">
        <f t="shared" si="14"/>
        <v>0</v>
      </c>
      <c r="S126">
        <v>5</v>
      </c>
      <c r="T126">
        <v>5</v>
      </c>
      <c r="U126" s="32">
        <f t="shared" si="15"/>
        <v>0</v>
      </c>
      <c r="V126">
        <v>6</v>
      </c>
      <c r="W126">
        <v>5</v>
      </c>
      <c r="X126" s="32">
        <f t="shared" si="16"/>
        <v>1</v>
      </c>
      <c r="Y126">
        <v>7</v>
      </c>
      <c r="Z126">
        <v>6</v>
      </c>
      <c r="AA126" s="32">
        <f t="shared" si="17"/>
        <v>1</v>
      </c>
    </row>
    <row r="127" spans="1:27" x14ac:dyDescent="0.45">
      <c r="A127">
        <v>6</v>
      </c>
      <c r="B127">
        <v>6</v>
      </c>
      <c r="C127" s="32">
        <f t="shared" si="9"/>
        <v>0</v>
      </c>
      <c r="D127">
        <v>5</v>
      </c>
      <c r="E127">
        <v>6</v>
      </c>
      <c r="F127" s="32">
        <f t="shared" si="10"/>
        <v>1</v>
      </c>
      <c r="G127">
        <v>7</v>
      </c>
      <c r="H127">
        <v>5</v>
      </c>
      <c r="I127" s="32">
        <f t="shared" si="11"/>
        <v>2</v>
      </c>
      <c r="J127">
        <v>7</v>
      </c>
      <c r="K127">
        <v>6</v>
      </c>
      <c r="L127" s="32">
        <f t="shared" si="12"/>
        <v>1</v>
      </c>
      <c r="M127">
        <v>6</v>
      </c>
      <c r="N127">
        <v>5</v>
      </c>
      <c r="O127" s="32">
        <f t="shared" si="13"/>
        <v>1</v>
      </c>
      <c r="P127">
        <v>6</v>
      </c>
      <c r="Q127">
        <v>6</v>
      </c>
      <c r="R127" s="32">
        <f t="shared" si="14"/>
        <v>0</v>
      </c>
      <c r="S127">
        <v>5</v>
      </c>
      <c r="T127">
        <v>5</v>
      </c>
      <c r="U127" s="32">
        <f t="shared" si="15"/>
        <v>0</v>
      </c>
      <c r="V127">
        <v>6</v>
      </c>
      <c r="W127">
        <v>5</v>
      </c>
      <c r="X127" s="32">
        <f t="shared" si="16"/>
        <v>1</v>
      </c>
      <c r="Y127">
        <v>7</v>
      </c>
      <c r="Z127">
        <v>6</v>
      </c>
      <c r="AA127" s="32">
        <f t="shared" si="17"/>
        <v>1</v>
      </c>
    </row>
    <row r="128" spans="1:27" x14ac:dyDescent="0.45">
      <c r="A128">
        <v>6</v>
      </c>
      <c r="B128">
        <v>6</v>
      </c>
      <c r="C128" s="32">
        <f t="shared" si="9"/>
        <v>0</v>
      </c>
      <c r="D128">
        <v>5</v>
      </c>
      <c r="E128">
        <v>6</v>
      </c>
      <c r="F128" s="32">
        <f t="shared" si="10"/>
        <v>1</v>
      </c>
      <c r="G128">
        <v>7</v>
      </c>
      <c r="H128">
        <v>5</v>
      </c>
      <c r="I128" s="32">
        <f t="shared" si="11"/>
        <v>2</v>
      </c>
      <c r="J128">
        <v>7</v>
      </c>
      <c r="K128">
        <v>6</v>
      </c>
      <c r="L128" s="32">
        <f t="shared" si="12"/>
        <v>1</v>
      </c>
      <c r="M128">
        <v>6</v>
      </c>
      <c r="N128">
        <v>5</v>
      </c>
      <c r="O128" s="32">
        <f t="shared" si="13"/>
        <v>1</v>
      </c>
      <c r="P128">
        <v>6</v>
      </c>
      <c r="Q128">
        <v>6</v>
      </c>
      <c r="R128" s="32">
        <f t="shared" si="14"/>
        <v>0</v>
      </c>
      <c r="S128">
        <v>5</v>
      </c>
      <c r="T128">
        <v>5</v>
      </c>
      <c r="U128" s="32">
        <f t="shared" si="15"/>
        <v>0</v>
      </c>
      <c r="V128">
        <v>6</v>
      </c>
      <c r="W128">
        <v>5</v>
      </c>
      <c r="X128" s="32">
        <f t="shared" si="16"/>
        <v>1</v>
      </c>
      <c r="Y128">
        <v>7</v>
      </c>
      <c r="Z128">
        <v>6</v>
      </c>
      <c r="AA128" s="32">
        <f t="shared" si="17"/>
        <v>1</v>
      </c>
    </row>
    <row r="129" spans="1:27" x14ac:dyDescent="0.45">
      <c r="A129">
        <v>6</v>
      </c>
      <c r="B129">
        <v>6</v>
      </c>
      <c r="C129" s="32">
        <f t="shared" si="9"/>
        <v>0</v>
      </c>
      <c r="D129">
        <v>5</v>
      </c>
      <c r="E129">
        <v>6</v>
      </c>
      <c r="F129" s="32">
        <f t="shared" si="10"/>
        <v>1</v>
      </c>
      <c r="G129">
        <v>7</v>
      </c>
      <c r="H129">
        <v>5</v>
      </c>
      <c r="I129" s="32">
        <f t="shared" si="11"/>
        <v>2</v>
      </c>
      <c r="J129">
        <v>7</v>
      </c>
      <c r="K129">
        <v>6</v>
      </c>
      <c r="L129" s="32">
        <f t="shared" si="12"/>
        <v>1</v>
      </c>
      <c r="M129">
        <v>6</v>
      </c>
      <c r="N129">
        <v>5</v>
      </c>
      <c r="O129" s="32">
        <f t="shared" si="13"/>
        <v>1</v>
      </c>
      <c r="P129">
        <v>6</v>
      </c>
      <c r="Q129">
        <v>6</v>
      </c>
      <c r="R129" s="32">
        <f t="shared" si="14"/>
        <v>0</v>
      </c>
      <c r="S129">
        <v>5</v>
      </c>
      <c r="T129">
        <v>5</v>
      </c>
      <c r="U129" s="32">
        <f t="shared" si="15"/>
        <v>0</v>
      </c>
      <c r="V129">
        <v>6</v>
      </c>
      <c r="W129">
        <v>5</v>
      </c>
      <c r="X129" s="32">
        <f t="shared" si="16"/>
        <v>1</v>
      </c>
      <c r="Y129">
        <v>7</v>
      </c>
      <c r="Z129">
        <v>6</v>
      </c>
      <c r="AA129" s="32">
        <f t="shared" si="17"/>
        <v>1</v>
      </c>
    </row>
    <row r="130" spans="1:27" x14ac:dyDescent="0.45">
      <c r="A130">
        <v>6</v>
      </c>
      <c r="B130">
        <v>6</v>
      </c>
      <c r="C130" s="32">
        <f t="shared" si="9"/>
        <v>0</v>
      </c>
      <c r="D130">
        <v>5</v>
      </c>
      <c r="E130">
        <v>6</v>
      </c>
      <c r="F130" s="32">
        <f t="shared" si="10"/>
        <v>1</v>
      </c>
      <c r="G130">
        <v>7</v>
      </c>
      <c r="H130">
        <v>5</v>
      </c>
      <c r="I130" s="32">
        <f t="shared" si="11"/>
        <v>2</v>
      </c>
      <c r="J130">
        <v>7</v>
      </c>
      <c r="K130">
        <v>6</v>
      </c>
      <c r="L130" s="32">
        <f t="shared" si="12"/>
        <v>1</v>
      </c>
      <c r="M130">
        <v>6</v>
      </c>
      <c r="N130">
        <v>5</v>
      </c>
      <c r="O130" s="32">
        <f t="shared" si="13"/>
        <v>1</v>
      </c>
      <c r="P130">
        <v>6</v>
      </c>
      <c r="Q130">
        <v>6</v>
      </c>
      <c r="R130" s="32">
        <f t="shared" si="14"/>
        <v>0</v>
      </c>
      <c r="S130">
        <v>5</v>
      </c>
      <c r="T130">
        <v>5</v>
      </c>
      <c r="U130" s="32">
        <f t="shared" si="15"/>
        <v>0</v>
      </c>
      <c r="V130">
        <v>6</v>
      </c>
      <c r="W130">
        <v>5</v>
      </c>
      <c r="X130" s="32">
        <f t="shared" si="16"/>
        <v>1</v>
      </c>
      <c r="Y130">
        <v>7</v>
      </c>
      <c r="Z130">
        <v>6</v>
      </c>
      <c r="AA130" s="32">
        <f t="shared" si="17"/>
        <v>1</v>
      </c>
    </row>
    <row r="131" spans="1:27" x14ac:dyDescent="0.45">
      <c r="A131">
        <v>6</v>
      </c>
      <c r="B131">
        <v>6</v>
      </c>
      <c r="C131" s="32">
        <f t="shared" ref="C131:C194" si="18">ABS(B131-A131)</f>
        <v>0</v>
      </c>
      <c r="D131">
        <v>5</v>
      </c>
      <c r="E131">
        <v>6</v>
      </c>
      <c r="F131" s="32">
        <f t="shared" ref="F131:F194" si="19">ABS(E131-D131)</f>
        <v>1</v>
      </c>
      <c r="G131">
        <v>7</v>
      </c>
      <c r="H131">
        <v>5</v>
      </c>
      <c r="I131" s="32">
        <f t="shared" ref="I131:I194" si="20">ABS(H131-G131)</f>
        <v>2</v>
      </c>
      <c r="J131">
        <v>7</v>
      </c>
      <c r="K131">
        <v>7</v>
      </c>
      <c r="L131" s="32">
        <f t="shared" ref="L131:L194" si="21">ABS(K131-J131)</f>
        <v>0</v>
      </c>
      <c r="M131">
        <v>6</v>
      </c>
      <c r="N131">
        <v>5</v>
      </c>
      <c r="O131" s="32">
        <f t="shared" ref="O131:O194" si="22">ABS(N131-M131)</f>
        <v>1</v>
      </c>
      <c r="P131">
        <v>6</v>
      </c>
      <c r="Q131">
        <v>6</v>
      </c>
      <c r="R131" s="32">
        <f t="shared" ref="R131:R194" si="23">ABS(Q131-P131)</f>
        <v>0</v>
      </c>
      <c r="S131">
        <v>5</v>
      </c>
      <c r="T131">
        <v>5</v>
      </c>
      <c r="U131" s="32">
        <f t="shared" ref="U131:U194" si="24">ABS(T131-S131)</f>
        <v>0</v>
      </c>
      <c r="V131">
        <v>6</v>
      </c>
      <c r="W131">
        <v>5</v>
      </c>
      <c r="X131" s="32">
        <f t="shared" ref="X131:X194" si="25">ABS(W131-V131)</f>
        <v>1</v>
      </c>
      <c r="Y131">
        <v>7</v>
      </c>
      <c r="Z131">
        <v>6</v>
      </c>
      <c r="AA131" s="32">
        <f t="shared" ref="AA131:AA194" si="26">ABS(Z131-Y131)</f>
        <v>1</v>
      </c>
    </row>
    <row r="132" spans="1:27" x14ac:dyDescent="0.45">
      <c r="A132">
        <v>6</v>
      </c>
      <c r="B132">
        <v>6</v>
      </c>
      <c r="C132" s="32">
        <f t="shared" si="18"/>
        <v>0</v>
      </c>
      <c r="D132">
        <v>5</v>
      </c>
      <c r="E132">
        <v>7</v>
      </c>
      <c r="F132" s="32">
        <f t="shared" si="19"/>
        <v>2</v>
      </c>
      <c r="G132">
        <v>7</v>
      </c>
      <c r="H132">
        <v>5</v>
      </c>
      <c r="I132" s="32">
        <f t="shared" si="20"/>
        <v>2</v>
      </c>
      <c r="J132">
        <v>7</v>
      </c>
      <c r="K132">
        <v>7</v>
      </c>
      <c r="L132" s="32">
        <f t="shared" si="21"/>
        <v>0</v>
      </c>
      <c r="M132">
        <v>6</v>
      </c>
      <c r="N132">
        <v>5</v>
      </c>
      <c r="O132" s="32">
        <f t="shared" si="22"/>
        <v>1</v>
      </c>
      <c r="P132">
        <v>6</v>
      </c>
      <c r="Q132">
        <v>6</v>
      </c>
      <c r="R132" s="32">
        <f t="shared" si="23"/>
        <v>0</v>
      </c>
      <c r="S132">
        <v>5</v>
      </c>
      <c r="T132">
        <v>5</v>
      </c>
      <c r="U132" s="32">
        <f t="shared" si="24"/>
        <v>0</v>
      </c>
      <c r="V132">
        <v>6</v>
      </c>
      <c r="W132">
        <v>6</v>
      </c>
      <c r="X132" s="32">
        <f t="shared" si="25"/>
        <v>0</v>
      </c>
      <c r="Y132">
        <v>7</v>
      </c>
      <c r="Z132">
        <v>6</v>
      </c>
      <c r="AA132" s="32">
        <f t="shared" si="26"/>
        <v>1</v>
      </c>
    </row>
    <row r="133" spans="1:27" x14ac:dyDescent="0.45">
      <c r="A133">
        <v>6</v>
      </c>
      <c r="B133">
        <v>6</v>
      </c>
      <c r="C133" s="32">
        <f t="shared" si="18"/>
        <v>0</v>
      </c>
      <c r="D133">
        <v>5</v>
      </c>
      <c r="E133">
        <v>7</v>
      </c>
      <c r="F133" s="32">
        <f t="shared" si="19"/>
        <v>2</v>
      </c>
      <c r="G133">
        <v>7</v>
      </c>
      <c r="H133">
        <v>5</v>
      </c>
      <c r="I133" s="32">
        <f t="shared" si="20"/>
        <v>2</v>
      </c>
      <c r="J133">
        <v>7</v>
      </c>
      <c r="K133">
        <v>7</v>
      </c>
      <c r="L133" s="32">
        <f t="shared" si="21"/>
        <v>0</v>
      </c>
      <c r="M133">
        <v>6</v>
      </c>
      <c r="N133">
        <v>5</v>
      </c>
      <c r="O133" s="32">
        <f t="shared" si="22"/>
        <v>1</v>
      </c>
      <c r="P133">
        <v>6</v>
      </c>
      <c r="Q133">
        <v>6</v>
      </c>
      <c r="R133" s="32">
        <f t="shared" si="23"/>
        <v>0</v>
      </c>
      <c r="S133">
        <v>5</v>
      </c>
      <c r="T133">
        <v>5</v>
      </c>
      <c r="U133" s="32">
        <f t="shared" si="24"/>
        <v>0</v>
      </c>
      <c r="V133">
        <v>6</v>
      </c>
      <c r="W133">
        <v>6</v>
      </c>
      <c r="X133" s="32">
        <f t="shared" si="25"/>
        <v>0</v>
      </c>
      <c r="Y133">
        <v>7</v>
      </c>
      <c r="Z133">
        <v>6</v>
      </c>
      <c r="AA133" s="32">
        <f t="shared" si="26"/>
        <v>1</v>
      </c>
    </row>
    <row r="134" spans="1:27" x14ac:dyDescent="0.45">
      <c r="A134">
        <v>6</v>
      </c>
      <c r="B134">
        <v>6</v>
      </c>
      <c r="C134" s="32">
        <f t="shared" si="18"/>
        <v>0</v>
      </c>
      <c r="D134">
        <v>5</v>
      </c>
      <c r="E134">
        <v>7</v>
      </c>
      <c r="F134" s="32">
        <f t="shared" si="19"/>
        <v>2</v>
      </c>
      <c r="G134">
        <v>7</v>
      </c>
      <c r="H134">
        <v>5</v>
      </c>
      <c r="I134" s="32">
        <f t="shared" si="20"/>
        <v>2</v>
      </c>
      <c r="J134">
        <v>7</v>
      </c>
      <c r="K134">
        <v>7</v>
      </c>
      <c r="L134" s="32">
        <f t="shared" si="21"/>
        <v>0</v>
      </c>
      <c r="M134">
        <v>6</v>
      </c>
      <c r="N134">
        <v>5</v>
      </c>
      <c r="O134" s="32">
        <f t="shared" si="22"/>
        <v>1</v>
      </c>
      <c r="P134">
        <v>6</v>
      </c>
      <c r="Q134">
        <v>6</v>
      </c>
      <c r="R134" s="32">
        <f t="shared" si="23"/>
        <v>0</v>
      </c>
      <c r="S134">
        <v>5</v>
      </c>
      <c r="T134">
        <v>5</v>
      </c>
      <c r="U134" s="32">
        <f t="shared" si="24"/>
        <v>0</v>
      </c>
      <c r="V134">
        <v>6</v>
      </c>
      <c r="W134">
        <v>6</v>
      </c>
      <c r="X134" s="32">
        <f t="shared" si="25"/>
        <v>0</v>
      </c>
      <c r="Y134">
        <v>7</v>
      </c>
      <c r="Z134">
        <v>6</v>
      </c>
      <c r="AA134" s="32">
        <f t="shared" si="26"/>
        <v>1</v>
      </c>
    </row>
    <row r="135" spans="1:27" x14ac:dyDescent="0.45">
      <c r="A135">
        <v>6</v>
      </c>
      <c r="B135">
        <v>6</v>
      </c>
      <c r="C135" s="32">
        <f t="shared" si="18"/>
        <v>0</v>
      </c>
      <c r="D135">
        <v>5</v>
      </c>
      <c r="E135">
        <v>7</v>
      </c>
      <c r="F135" s="32">
        <f t="shared" si="19"/>
        <v>2</v>
      </c>
      <c r="G135">
        <v>7</v>
      </c>
      <c r="H135">
        <v>5</v>
      </c>
      <c r="I135" s="32">
        <f t="shared" si="20"/>
        <v>2</v>
      </c>
      <c r="J135">
        <v>7</v>
      </c>
      <c r="K135">
        <v>7</v>
      </c>
      <c r="L135" s="32">
        <f t="shared" si="21"/>
        <v>0</v>
      </c>
      <c r="M135">
        <v>6</v>
      </c>
      <c r="N135">
        <v>5</v>
      </c>
      <c r="O135" s="32">
        <f t="shared" si="22"/>
        <v>1</v>
      </c>
      <c r="P135">
        <v>6</v>
      </c>
      <c r="Q135">
        <v>6</v>
      </c>
      <c r="R135" s="32">
        <f t="shared" si="23"/>
        <v>0</v>
      </c>
      <c r="S135">
        <v>5</v>
      </c>
      <c r="T135">
        <v>5</v>
      </c>
      <c r="U135" s="32">
        <f t="shared" si="24"/>
        <v>0</v>
      </c>
      <c r="V135">
        <v>6</v>
      </c>
      <c r="W135">
        <v>6</v>
      </c>
      <c r="X135" s="32">
        <f t="shared" si="25"/>
        <v>0</v>
      </c>
      <c r="Y135">
        <v>7</v>
      </c>
      <c r="Z135">
        <v>6</v>
      </c>
      <c r="AA135" s="32">
        <f t="shared" si="26"/>
        <v>1</v>
      </c>
    </row>
    <row r="136" spans="1:27" x14ac:dyDescent="0.45">
      <c r="A136">
        <v>6</v>
      </c>
      <c r="B136">
        <v>6</v>
      </c>
      <c r="C136" s="32">
        <f t="shared" si="18"/>
        <v>0</v>
      </c>
      <c r="D136">
        <v>5</v>
      </c>
      <c r="E136">
        <v>7</v>
      </c>
      <c r="F136" s="32">
        <f t="shared" si="19"/>
        <v>2</v>
      </c>
      <c r="G136">
        <v>7</v>
      </c>
      <c r="H136">
        <v>5</v>
      </c>
      <c r="I136" s="32">
        <f t="shared" si="20"/>
        <v>2</v>
      </c>
      <c r="J136">
        <v>7</v>
      </c>
      <c r="K136">
        <v>7</v>
      </c>
      <c r="L136" s="32">
        <f t="shared" si="21"/>
        <v>0</v>
      </c>
      <c r="M136">
        <v>6</v>
      </c>
      <c r="N136">
        <v>5</v>
      </c>
      <c r="O136" s="32">
        <f t="shared" si="22"/>
        <v>1</v>
      </c>
      <c r="P136">
        <v>6</v>
      </c>
      <c r="Q136">
        <v>6</v>
      </c>
      <c r="R136" s="32">
        <f t="shared" si="23"/>
        <v>0</v>
      </c>
      <c r="S136">
        <v>5</v>
      </c>
      <c r="T136">
        <v>5</v>
      </c>
      <c r="U136" s="32">
        <f t="shared" si="24"/>
        <v>0</v>
      </c>
      <c r="V136">
        <v>6</v>
      </c>
      <c r="W136">
        <v>6</v>
      </c>
      <c r="X136" s="32">
        <f t="shared" si="25"/>
        <v>0</v>
      </c>
      <c r="Y136">
        <v>7</v>
      </c>
      <c r="Z136">
        <v>6</v>
      </c>
      <c r="AA136" s="32">
        <f t="shared" si="26"/>
        <v>1</v>
      </c>
    </row>
    <row r="137" spans="1:27" x14ac:dyDescent="0.45">
      <c r="A137">
        <v>6</v>
      </c>
      <c r="B137">
        <v>6</v>
      </c>
      <c r="C137" s="32">
        <f t="shared" si="18"/>
        <v>0</v>
      </c>
      <c r="D137">
        <v>5</v>
      </c>
      <c r="E137">
        <v>7</v>
      </c>
      <c r="F137" s="32">
        <f t="shared" si="19"/>
        <v>2</v>
      </c>
      <c r="G137">
        <v>7</v>
      </c>
      <c r="H137">
        <v>5</v>
      </c>
      <c r="I137" s="32">
        <f t="shared" si="20"/>
        <v>2</v>
      </c>
      <c r="J137">
        <v>7</v>
      </c>
      <c r="K137">
        <v>7</v>
      </c>
      <c r="L137" s="32">
        <f t="shared" si="21"/>
        <v>0</v>
      </c>
      <c r="M137">
        <v>6</v>
      </c>
      <c r="N137">
        <v>5</v>
      </c>
      <c r="O137" s="32">
        <f t="shared" si="22"/>
        <v>1</v>
      </c>
      <c r="P137">
        <v>6</v>
      </c>
      <c r="Q137">
        <v>6</v>
      </c>
      <c r="R137" s="32">
        <f t="shared" si="23"/>
        <v>0</v>
      </c>
      <c r="S137">
        <v>5</v>
      </c>
      <c r="T137">
        <v>5</v>
      </c>
      <c r="U137" s="32">
        <f t="shared" si="24"/>
        <v>0</v>
      </c>
      <c r="V137">
        <v>6</v>
      </c>
      <c r="W137">
        <v>6</v>
      </c>
      <c r="X137" s="32">
        <f t="shared" si="25"/>
        <v>0</v>
      </c>
      <c r="Y137">
        <v>7</v>
      </c>
      <c r="Z137">
        <v>6</v>
      </c>
      <c r="AA137" s="32">
        <f t="shared" si="26"/>
        <v>1</v>
      </c>
    </row>
    <row r="138" spans="1:27" x14ac:dyDescent="0.45">
      <c r="A138">
        <v>6</v>
      </c>
      <c r="B138">
        <v>6</v>
      </c>
      <c r="C138" s="32">
        <f t="shared" si="18"/>
        <v>0</v>
      </c>
      <c r="D138">
        <v>5</v>
      </c>
      <c r="E138">
        <v>7</v>
      </c>
      <c r="F138" s="32">
        <f t="shared" si="19"/>
        <v>2</v>
      </c>
      <c r="G138">
        <v>7</v>
      </c>
      <c r="H138">
        <v>5</v>
      </c>
      <c r="I138" s="32">
        <f t="shared" si="20"/>
        <v>2</v>
      </c>
      <c r="J138">
        <v>7</v>
      </c>
      <c r="K138">
        <v>7</v>
      </c>
      <c r="L138" s="32">
        <f t="shared" si="21"/>
        <v>0</v>
      </c>
      <c r="M138">
        <v>6</v>
      </c>
      <c r="N138">
        <v>6</v>
      </c>
      <c r="O138" s="32">
        <f t="shared" si="22"/>
        <v>0</v>
      </c>
      <c r="P138">
        <v>6</v>
      </c>
      <c r="Q138">
        <v>6</v>
      </c>
      <c r="R138" s="32">
        <f t="shared" si="23"/>
        <v>0</v>
      </c>
      <c r="S138">
        <v>5</v>
      </c>
      <c r="T138">
        <v>5</v>
      </c>
      <c r="U138" s="32">
        <f t="shared" si="24"/>
        <v>0</v>
      </c>
      <c r="V138">
        <v>6</v>
      </c>
      <c r="W138">
        <v>6</v>
      </c>
      <c r="X138" s="32">
        <f t="shared" si="25"/>
        <v>0</v>
      </c>
      <c r="Y138">
        <v>7</v>
      </c>
      <c r="Z138">
        <v>6</v>
      </c>
      <c r="AA138" s="32">
        <f t="shared" si="26"/>
        <v>1</v>
      </c>
    </row>
    <row r="139" spans="1:27" x14ac:dyDescent="0.45">
      <c r="A139">
        <v>6</v>
      </c>
      <c r="B139">
        <v>6</v>
      </c>
      <c r="C139" s="32">
        <f t="shared" si="18"/>
        <v>0</v>
      </c>
      <c r="D139">
        <v>5</v>
      </c>
      <c r="E139">
        <v>7</v>
      </c>
      <c r="F139" s="32">
        <f t="shared" si="19"/>
        <v>2</v>
      </c>
      <c r="G139">
        <v>7</v>
      </c>
      <c r="H139">
        <v>5</v>
      </c>
      <c r="I139" s="32">
        <f t="shared" si="20"/>
        <v>2</v>
      </c>
      <c r="J139">
        <v>7</v>
      </c>
      <c r="K139">
        <v>7</v>
      </c>
      <c r="L139" s="32">
        <f t="shared" si="21"/>
        <v>0</v>
      </c>
      <c r="M139">
        <v>6</v>
      </c>
      <c r="N139">
        <v>6</v>
      </c>
      <c r="O139" s="32">
        <f t="shared" si="22"/>
        <v>0</v>
      </c>
      <c r="P139">
        <v>6</v>
      </c>
      <c r="Q139">
        <v>6</v>
      </c>
      <c r="R139" s="32">
        <f t="shared" si="23"/>
        <v>0</v>
      </c>
      <c r="S139">
        <v>5</v>
      </c>
      <c r="T139">
        <v>5</v>
      </c>
      <c r="U139" s="32">
        <f t="shared" si="24"/>
        <v>0</v>
      </c>
      <c r="V139">
        <v>6</v>
      </c>
      <c r="W139">
        <v>6</v>
      </c>
      <c r="X139" s="32">
        <f t="shared" si="25"/>
        <v>0</v>
      </c>
      <c r="Y139">
        <v>7</v>
      </c>
      <c r="Z139">
        <v>6</v>
      </c>
      <c r="AA139" s="32">
        <f t="shared" si="26"/>
        <v>1</v>
      </c>
    </row>
    <row r="140" spans="1:27" x14ac:dyDescent="0.45">
      <c r="A140">
        <v>6</v>
      </c>
      <c r="B140">
        <v>6</v>
      </c>
      <c r="C140" s="32">
        <f t="shared" si="18"/>
        <v>0</v>
      </c>
      <c r="D140">
        <v>5</v>
      </c>
      <c r="E140">
        <v>7</v>
      </c>
      <c r="F140" s="32">
        <f t="shared" si="19"/>
        <v>2</v>
      </c>
      <c r="G140">
        <v>7</v>
      </c>
      <c r="H140">
        <v>5</v>
      </c>
      <c r="I140" s="32">
        <f t="shared" si="20"/>
        <v>2</v>
      </c>
      <c r="J140">
        <v>7</v>
      </c>
      <c r="K140">
        <v>7</v>
      </c>
      <c r="L140" s="32">
        <f t="shared" si="21"/>
        <v>0</v>
      </c>
      <c r="M140">
        <v>6</v>
      </c>
      <c r="N140">
        <v>6</v>
      </c>
      <c r="O140" s="32">
        <f t="shared" si="22"/>
        <v>0</v>
      </c>
      <c r="P140">
        <v>6</v>
      </c>
      <c r="Q140">
        <v>6</v>
      </c>
      <c r="R140" s="32">
        <f t="shared" si="23"/>
        <v>0</v>
      </c>
      <c r="S140">
        <v>5</v>
      </c>
      <c r="T140">
        <v>5</v>
      </c>
      <c r="U140" s="32">
        <f t="shared" si="24"/>
        <v>0</v>
      </c>
      <c r="V140">
        <v>6</v>
      </c>
      <c r="W140">
        <v>6</v>
      </c>
      <c r="X140" s="32">
        <f t="shared" si="25"/>
        <v>0</v>
      </c>
      <c r="Y140">
        <v>7</v>
      </c>
      <c r="Z140">
        <v>6</v>
      </c>
      <c r="AA140" s="32">
        <f t="shared" si="26"/>
        <v>1</v>
      </c>
    </row>
    <row r="141" spans="1:27" x14ac:dyDescent="0.45">
      <c r="A141">
        <v>6</v>
      </c>
      <c r="B141">
        <v>6</v>
      </c>
      <c r="C141" s="32">
        <f t="shared" si="18"/>
        <v>0</v>
      </c>
      <c r="D141">
        <v>5</v>
      </c>
      <c r="E141">
        <v>7</v>
      </c>
      <c r="F141" s="32">
        <f t="shared" si="19"/>
        <v>2</v>
      </c>
      <c r="G141">
        <v>7</v>
      </c>
      <c r="H141">
        <v>5</v>
      </c>
      <c r="I141" s="32">
        <f t="shared" si="20"/>
        <v>2</v>
      </c>
      <c r="J141">
        <v>7</v>
      </c>
      <c r="K141">
        <v>7</v>
      </c>
      <c r="L141" s="32">
        <f t="shared" si="21"/>
        <v>0</v>
      </c>
      <c r="M141">
        <v>6</v>
      </c>
      <c r="N141">
        <v>6</v>
      </c>
      <c r="O141" s="32">
        <f t="shared" si="22"/>
        <v>0</v>
      </c>
      <c r="P141">
        <v>6</v>
      </c>
      <c r="Q141">
        <v>6</v>
      </c>
      <c r="R141" s="32">
        <f t="shared" si="23"/>
        <v>0</v>
      </c>
      <c r="S141">
        <v>6</v>
      </c>
      <c r="T141">
        <v>5</v>
      </c>
      <c r="U141" s="32">
        <f t="shared" si="24"/>
        <v>1</v>
      </c>
      <c r="V141">
        <v>6</v>
      </c>
      <c r="W141">
        <v>6</v>
      </c>
      <c r="X141" s="32">
        <f t="shared" si="25"/>
        <v>0</v>
      </c>
      <c r="Y141">
        <v>7</v>
      </c>
      <c r="Z141">
        <v>6</v>
      </c>
      <c r="AA141" s="32">
        <f t="shared" si="26"/>
        <v>1</v>
      </c>
    </row>
    <row r="142" spans="1:27" x14ac:dyDescent="0.45">
      <c r="A142">
        <v>6</v>
      </c>
      <c r="B142">
        <v>6</v>
      </c>
      <c r="C142" s="32">
        <f t="shared" si="18"/>
        <v>0</v>
      </c>
      <c r="D142">
        <v>5</v>
      </c>
      <c r="E142">
        <v>7</v>
      </c>
      <c r="F142" s="32">
        <f t="shared" si="19"/>
        <v>2</v>
      </c>
      <c r="G142">
        <v>7</v>
      </c>
      <c r="H142">
        <v>5</v>
      </c>
      <c r="I142" s="32">
        <f t="shared" si="20"/>
        <v>2</v>
      </c>
      <c r="J142">
        <v>7</v>
      </c>
      <c r="K142">
        <v>7</v>
      </c>
      <c r="L142" s="32">
        <f t="shared" si="21"/>
        <v>0</v>
      </c>
      <c r="M142">
        <v>6</v>
      </c>
      <c r="N142">
        <v>6</v>
      </c>
      <c r="O142" s="32">
        <f t="shared" si="22"/>
        <v>0</v>
      </c>
      <c r="P142">
        <v>6</v>
      </c>
      <c r="Q142">
        <v>6</v>
      </c>
      <c r="R142" s="32">
        <f t="shared" si="23"/>
        <v>0</v>
      </c>
      <c r="S142">
        <v>6</v>
      </c>
      <c r="T142">
        <v>5</v>
      </c>
      <c r="U142" s="32">
        <f t="shared" si="24"/>
        <v>1</v>
      </c>
      <c r="V142">
        <v>6</v>
      </c>
      <c r="W142">
        <v>6</v>
      </c>
      <c r="X142" s="32">
        <f t="shared" si="25"/>
        <v>0</v>
      </c>
      <c r="Y142">
        <v>7</v>
      </c>
      <c r="Z142">
        <v>6</v>
      </c>
      <c r="AA142" s="32">
        <f t="shared" si="26"/>
        <v>1</v>
      </c>
    </row>
    <row r="143" spans="1:27" x14ac:dyDescent="0.45">
      <c r="A143">
        <v>6</v>
      </c>
      <c r="B143">
        <v>6</v>
      </c>
      <c r="C143" s="32">
        <f t="shared" si="18"/>
        <v>0</v>
      </c>
      <c r="D143">
        <v>5</v>
      </c>
      <c r="E143">
        <v>7</v>
      </c>
      <c r="F143" s="32">
        <f t="shared" si="19"/>
        <v>2</v>
      </c>
      <c r="G143">
        <v>7</v>
      </c>
      <c r="H143">
        <v>5</v>
      </c>
      <c r="I143" s="32">
        <f t="shared" si="20"/>
        <v>2</v>
      </c>
      <c r="J143">
        <v>7</v>
      </c>
      <c r="K143">
        <v>7</v>
      </c>
      <c r="L143" s="32">
        <f t="shared" si="21"/>
        <v>0</v>
      </c>
      <c r="M143">
        <v>6</v>
      </c>
      <c r="N143">
        <v>6</v>
      </c>
      <c r="O143" s="32">
        <f t="shared" si="22"/>
        <v>0</v>
      </c>
      <c r="P143">
        <v>7</v>
      </c>
      <c r="Q143">
        <v>6</v>
      </c>
      <c r="R143" s="32">
        <f t="shared" si="23"/>
        <v>1</v>
      </c>
      <c r="S143">
        <v>6</v>
      </c>
      <c r="T143">
        <v>5</v>
      </c>
      <c r="U143" s="32">
        <f t="shared" si="24"/>
        <v>1</v>
      </c>
      <c r="V143">
        <v>6</v>
      </c>
      <c r="W143">
        <v>6</v>
      </c>
      <c r="X143" s="32">
        <f t="shared" si="25"/>
        <v>0</v>
      </c>
      <c r="Y143">
        <v>7</v>
      </c>
      <c r="Z143">
        <v>6</v>
      </c>
      <c r="AA143" s="32">
        <f t="shared" si="26"/>
        <v>1</v>
      </c>
    </row>
    <row r="144" spans="1:27" x14ac:dyDescent="0.45">
      <c r="A144">
        <v>6</v>
      </c>
      <c r="B144">
        <v>6</v>
      </c>
      <c r="C144" s="32">
        <f t="shared" si="18"/>
        <v>0</v>
      </c>
      <c r="D144">
        <v>5</v>
      </c>
      <c r="E144">
        <v>7</v>
      </c>
      <c r="F144" s="32">
        <f t="shared" si="19"/>
        <v>2</v>
      </c>
      <c r="G144">
        <v>7</v>
      </c>
      <c r="H144">
        <v>5</v>
      </c>
      <c r="I144" s="32">
        <f t="shared" si="20"/>
        <v>2</v>
      </c>
      <c r="J144">
        <v>7</v>
      </c>
      <c r="K144">
        <v>7</v>
      </c>
      <c r="L144" s="32">
        <f t="shared" si="21"/>
        <v>0</v>
      </c>
      <c r="M144">
        <v>6</v>
      </c>
      <c r="N144">
        <v>6</v>
      </c>
      <c r="O144" s="32">
        <f t="shared" si="22"/>
        <v>0</v>
      </c>
      <c r="P144">
        <v>7</v>
      </c>
      <c r="Q144">
        <v>6</v>
      </c>
      <c r="R144" s="32">
        <f t="shared" si="23"/>
        <v>1</v>
      </c>
      <c r="S144">
        <v>6</v>
      </c>
      <c r="T144">
        <v>5</v>
      </c>
      <c r="U144" s="32">
        <f t="shared" si="24"/>
        <v>1</v>
      </c>
      <c r="V144">
        <v>6</v>
      </c>
      <c r="W144">
        <v>6</v>
      </c>
      <c r="X144" s="32">
        <f t="shared" si="25"/>
        <v>0</v>
      </c>
      <c r="Y144">
        <v>7</v>
      </c>
      <c r="Z144">
        <v>6</v>
      </c>
      <c r="AA144" s="32">
        <f t="shared" si="26"/>
        <v>1</v>
      </c>
    </row>
    <row r="145" spans="1:27" x14ac:dyDescent="0.45">
      <c r="A145">
        <v>6</v>
      </c>
      <c r="B145">
        <v>6</v>
      </c>
      <c r="C145" s="32">
        <f t="shared" si="18"/>
        <v>0</v>
      </c>
      <c r="D145">
        <v>5</v>
      </c>
      <c r="E145">
        <v>7</v>
      </c>
      <c r="F145" s="32">
        <f t="shared" si="19"/>
        <v>2</v>
      </c>
      <c r="G145">
        <v>7</v>
      </c>
      <c r="H145">
        <v>5</v>
      </c>
      <c r="I145" s="32">
        <f t="shared" si="20"/>
        <v>2</v>
      </c>
      <c r="J145">
        <v>7</v>
      </c>
      <c r="K145">
        <v>7</v>
      </c>
      <c r="L145" s="32">
        <f t="shared" si="21"/>
        <v>0</v>
      </c>
      <c r="M145">
        <v>6</v>
      </c>
      <c r="N145">
        <v>6</v>
      </c>
      <c r="O145" s="32">
        <f t="shared" si="22"/>
        <v>0</v>
      </c>
      <c r="P145">
        <v>7</v>
      </c>
      <c r="Q145">
        <v>6</v>
      </c>
      <c r="R145" s="32">
        <f t="shared" si="23"/>
        <v>1</v>
      </c>
      <c r="S145">
        <v>6</v>
      </c>
      <c r="T145">
        <v>5</v>
      </c>
      <c r="U145" s="32">
        <f t="shared" si="24"/>
        <v>1</v>
      </c>
      <c r="V145">
        <v>6</v>
      </c>
      <c r="W145">
        <v>6</v>
      </c>
      <c r="X145" s="32">
        <f t="shared" si="25"/>
        <v>0</v>
      </c>
      <c r="Y145">
        <v>7</v>
      </c>
      <c r="Z145">
        <v>6</v>
      </c>
      <c r="AA145" s="32">
        <f t="shared" si="26"/>
        <v>1</v>
      </c>
    </row>
    <row r="146" spans="1:27" x14ac:dyDescent="0.45">
      <c r="A146">
        <v>6</v>
      </c>
      <c r="B146">
        <v>6</v>
      </c>
      <c r="C146" s="32">
        <f t="shared" si="18"/>
        <v>0</v>
      </c>
      <c r="D146">
        <v>5</v>
      </c>
      <c r="E146">
        <v>7</v>
      </c>
      <c r="F146" s="32">
        <f t="shared" si="19"/>
        <v>2</v>
      </c>
      <c r="G146">
        <v>7</v>
      </c>
      <c r="H146">
        <v>5</v>
      </c>
      <c r="I146" s="32">
        <f t="shared" si="20"/>
        <v>2</v>
      </c>
      <c r="J146">
        <v>7</v>
      </c>
      <c r="K146">
        <v>7</v>
      </c>
      <c r="L146" s="32">
        <f t="shared" si="21"/>
        <v>0</v>
      </c>
      <c r="M146">
        <v>6</v>
      </c>
      <c r="N146">
        <v>6</v>
      </c>
      <c r="O146" s="32">
        <f t="shared" si="22"/>
        <v>0</v>
      </c>
      <c r="P146">
        <v>7</v>
      </c>
      <c r="Q146">
        <v>6</v>
      </c>
      <c r="R146" s="32">
        <f t="shared" si="23"/>
        <v>1</v>
      </c>
      <c r="S146">
        <v>6</v>
      </c>
      <c r="T146">
        <v>5</v>
      </c>
      <c r="U146" s="32">
        <f t="shared" si="24"/>
        <v>1</v>
      </c>
      <c r="V146">
        <v>6</v>
      </c>
      <c r="W146">
        <v>6</v>
      </c>
      <c r="X146" s="32">
        <f t="shared" si="25"/>
        <v>0</v>
      </c>
      <c r="Y146">
        <v>7</v>
      </c>
      <c r="Z146">
        <v>6</v>
      </c>
      <c r="AA146" s="32">
        <f t="shared" si="26"/>
        <v>1</v>
      </c>
    </row>
    <row r="147" spans="1:27" x14ac:dyDescent="0.45">
      <c r="A147">
        <v>6</v>
      </c>
      <c r="B147">
        <v>6</v>
      </c>
      <c r="C147" s="32">
        <f t="shared" si="18"/>
        <v>0</v>
      </c>
      <c r="D147">
        <v>5</v>
      </c>
      <c r="E147">
        <v>7</v>
      </c>
      <c r="F147" s="32">
        <f t="shared" si="19"/>
        <v>2</v>
      </c>
      <c r="G147">
        <v>7</v>
      </c>
      <c r="H147">
        <v>5</v>
      </c>
      <c r="I147" s="32">
        <f t="shared" si="20"/>
        <v>2</v>
      </c>
      <c r="J147">
        <v>7</v>
      </c>
      <c r="K147">
        <v>7</v>
      </c>
      <c r="L147" s="32">
        <f t="shared" si="21"/>
        <v>0</v>
      </c>
      <c r="M147">
        <v>6</v>
      </c>
      <c r="N147">
        <v>6</v>
      </c>
      <c r="O147" s="32">
        <f t="shared" si="22"/>
        <v>0</v>
      </c>
      <c r="P147">
        <v>7</v>
      </c>
      <c r="Q147">
        <v>6</v>
      </c>
      <c r="R147" s="32">
        <f t="shared" si="23"/>
        <v>1</v>
      </c>
      <c r="S147">
        <v>6</v>
      </c>
      <c r="T147">
        <v>5</v>
      </c>
      <c r="U147" s="32">
        <f t="shared" si="24"/>
        <v>1</v>
      </c>
      <c r="V147">
        <v>6</v>
      </c>
      <c r="W147">
        <v>6</v>
      </c>
      <c r="X147" s="32">
        <f t="shared" si="25"/>
        <v>0</v>
      </c>
      <c r="Y147">
        <v>7</v>
      </c>
      <c r="Z147">
        <v>6</v>
      </c>
      <c r="AA147" s="32">
        <f t="shared" si="26"/>
        <v>1</v>
      </c>
    </row>
    <row r="148" spans="1:27" x14ac:dyDescent="0.45">
      <c r="A148">
        <v>6</v>
      </c>
      <c r="B148">
        <v>6</v>
      </c>
      <c r="C148" s="32">
        <f t="shared" si="18"/>
        <v>0</v>
      </c>
      <c r="D148">
        <v>5</v>
      </c>
      <c r="E148">
        <v>7</v>
      </c>
      <c r="F148" s="32">
        <f t="shared" si="19"/>
        <v>2</v>
      </c>
      <c r="G148">
        <v>7</v>
      </c>
      <c r="H148">
        <v>5</v>
      </c>
      <c r="I148" s="32">
        <f t="shared" si="20"/>
        <v>2</v>
      </c>
      <c r="J148">
        <v>7</v>
      </c>
      <c r="K148">
        <v>7</v>
      </c>
      <c r="L148" s="32">
        <f t="shared" si="21"/>
        <v>0</v>
      </c>
      <c r="M148">
        <v>6</v>
      </c>
      <c r="N148">
        <v>6</v>
      </c>
      <c r="O148" s="32">
        <f t="shared" si="22"/>
        <v>0</v>
      </c>
      <c r="P148">
        <v>7</v>
      </c>
      <c r="Q148">
        <v>6</v>
      </c>
      <c r="R148" s="32">
        <f t="shared" si="23"/>
        <v>1</v>
      </c>
      <c r="S148">
        <v>6</v>
      </c>
      <c r="T148">
        <v>5</v>
      </c>
      <c r="U148" s="32">
        <f t="shared" si="24"/>
        <v>1</v>
      </c>
      <c r="V148">
        <v>6</v>
      </c>
      <c r="W148">
        <v>6</v>
      </c>
      <c r="X148" s="32">
        <f t="shared" si="25"/>
        <v>0</v>
      </c>
      <c r="Y148">
        <v>7</v>
      </c>
      <c r="Z148">
        <v>6</v>
      </c>
      <c r="AA148" s="32">
        <f t="shared" si="26"/>
        <v>1</v>
      </c>
    </row>
    <row r="149" spans="1:27" x14ac:dyDescent="0.45">
      <c r="A149">
        <v>6</v>
      </c>
      <c r="B149">
        <v>6</v>
      </c>
      <c r="C149" s="32">
        <f t="shared" si="18"/>
        <v>0</v>
      </c>
      <c r="D149">
        <v>5</v>
      </c>
      <c r="E149">
        <v>7</v>
      </c>
      <c r="F149" s="32">
        <f t="shared" si="19"/>
        <v>2</v>
      </c>
      <c r="G149">
        <v>7</v>
      </c>
      <c r="H149">
        <v>5</v>
      </c>
      <c r="I149" s="32">
        <f t="shared" si="20"/>
        <v>2</v>
      </c>
      <c r="J149">
        <v>7</v>
      </c>
      <c r="K149">
        <v>7</v>
      </c>
      <c r="L149" s="32">
        <f t="shared" si="21"/>
        <v>0</v>
      </c>
      <c r="M149">
        <v>6</v>
      </c>
      <c r="N149">
        <v>6</v>
      </c>
      <c r="O149" s="32">
        <f t="shared" si="22"/>
        <v>0</v>
      </c>
      <c r="P149">
        <v>7</v>
      </c>
      <c r="Q149">
        <v>6</v>
      </c>
      <c r="R149" s="32">
        <f t="shared" si="23"/>
        <v>1</v>
      </c>
      <c r="S149">
        <v>6</v>
      </c>
      <c r="T149">
        <v>5</v>
      </c>
      <c r="U149" s="32">
        <f t="shared" si="24"/>
        <v>1</v>
      </c>
      <c r="V149">
        <v>6</v>
      </c>
      <c r="W149">
        <v>6</v>
      </c>
      <c r="X149" s="32">
        <f t="shared" si="25"/>
        <v>0</v>
      </c>
      <c r="Y149">
        <v>7</v>
      </c>
      <c r="Z149">
        <v>6</v>
      </c>
      <c r="AA149" s="32">
        <f t="shared" si="26"/>
        <v>1</v>
      </c>
    </row>
    <row r="150" spans="1:27" x14ac:dyDescent="0.45">
      <c r="A150">
        <v>6</v>
      </c>
      <c r="B150">
        <v>6</v>
      </c>
      <c r="C150" s="32">
        <f t="shared" si="18"/>
        <v>0</v>
      </c>
      <c r="D150">
        <v>5</v>
      </c>
      <c r="E150">
        <v>7</v>
      </c>
      <c r="F150" s="32">
        <f t="shared" si="19"/>
        <v>2</v>
      </c>
      <c r="G150">
        <v>7</v>
      </c>
      <c r="H150">
        <v>5</v>
      </c>
      <c r="I150" s="32">
        <f t="shared" si="20"/>
        <v>2</v>
      </c>
      <c r="J150">
        <v>7</v>
      </c>
      <c r="K150">
        <v>7</v>
      </c>
      <c r="L150" s="32">
        <f t="shared" si="21"/>
        <v>0</v>
      </c>
      <c r="M150">
        <v>6</v>
      </c>
      <c r="N150">
        <v>6</v>
      </c>
      <c r="O150" s="32">
        <f t="shared" si="22"/>
        <v>0</v>
      </c>
      <c r="P150">
        <v>7</v>
      </c>
      <c r="Q150">
        <v>6</v>
      </c>
      <c r="R150" s="32">
        <f t="shared" si="23"/>
        <v>1</v>
      </c>
      <c r="S150">
        <v>6</v>
      </c>
      <c r="T150">
        <v>5</v>
      </c>
      <c r="U150" s="32">
        <f t="shared" si="24"/>
        <v>1</v>
      </c>
      <c r="V150">
        <v>6</v>
      </c>
      <c r="W150">
        <v>6</v>
      </c>
      <c r="X150" s="32">
        <f t="shared" si="25"/>
        <v>0</v>
      </c>
      <c r="Y150">
        <v>7</v>
      </c>
      <c r="Z150">
        <v>6</v>
      </c>
      <c r="AA150" s="32">
        <f t="shared" si="26"/>
        <v>1</v>
      </c>
    </row>
    <row r="151" spans="1:27" x14ac:dyDescent="0.45">
      <c r="A151">
        <v>6</v>
      </c>
      <c r="B151">
        <v>6</v>
      </c>
      <c r="C151" s="32">
        <f t="shared" si="18"/>
        <v>0</v>
      </c>
      <c r="D151">
        <v>5</v>
      </c>
      <c r="E151">
        <v>7</v>
      </c>
      <c r="F151" s="32">
        <f t="shared" si="19"/>
        <v>2</v>
      </c>
      <c r="G151">
        <v>7</v>
      </c>
      <c r="H151">
        <v>5</v>
      </c>
      <c r="I151" s="32">
        <f t="shared" si="20"/>
        <v>2</v>
      </c>
      <c r="J151">
        <v>7</v>
      </c>
      <c r="K151">
        <v>7</v>
      </c>
      <c r="L151" s="32">
        <f t="shared" si="21"/>
        <v>0</v>
      </c>
      <c r="M151">
        <v>6</v>
      </c>
      <c r="N151">
        <v>6</v>
      </c>
      <c r="O151" s="32">
        <f t="shared" si="22"/>
        <v>0</v>
      </c>
      <c r="P151">
        <v>7</v>
      </c>
      <c r="Q151">
        <v>6</v>
      </c>
      <c r="R151" s="32">
        <f t="shared" si="23"/>
        <v>1</v>
      </c>
      <c r="S151">
        <v>6</v>
      </c>
      <c r="T151">
        <v>5</v>
      </c>
      <c r="U151" s="32">
        <f t="shared" si="24"/>
        <v>1</v>
      </c>
      <c r="V151">
        <v>6</v>
      </c>
      <c r="W151">
        <v>6</v>
      </c>
      <c r="X151" s="32">
        <f t="shared" si="25"/>
        <v>0</v>
      </c>
      <c r="Y151">
        <v>7</v>
      </c>
      <c r="Z151">
        <v>6</v>
      </c>
      <c r="AA151" s="32">
        <f t="shared" si="26"/>
        <v>1</v>
      </c>
    </row>
    <row r="152" spans="1:27" x14ac:dyDescent="0.45">
      <c r="A152">
        <v>6</v>
      </c>
      <c r="B152">
        <v>6</v>
      </c>
      <c r="C152" s="32">
        <f t="shared" si="18"/>
        <v>0</v>
      </c>
      <c r="D152">
        <v>5</v>
      </c>
      <c r="E152">
        <v>7</v>
      </c>
      <c r="F152" s="32">
        <f t="shared" si="19"/>
        <v>2</v>
      </c>
      <c r="G152">
        <v>7</v>
      </c>
      <c r="H152">
        <v>5</v>
      </c>
      <c r="I152" s="32">
        <f t="shared" si="20"/>
        <v>2</v>
      </c>
      <c r="J152">
        <v>7</v>
      </c>
      <c r="K152">
        <v>7</v>
      </c>
      <c r="L152" s="32">
        <f t="shared" si="21"/>
        <v>0</v>
      </c>
      <c r="M152">
        <v>6</v>
      </c>
      <c r="N152">
        <v>6</v>
      </c>
      <c r="O152" s="32">
        <f t="shared" si="22"/>
        <v>0</v>
      </c>
      <c r="P152">
        <v>7</v>
      </c>
      <c r="Q152">
        <v>6</v>
      </c>
      <c r="R152" s="32">
        <f t="shared" si="23"/>
        <v>1</v>
      </c>
      <c r="S152">
        <v>6</v>
      </c>
      <c r="T152">
        <v>5</v>
      </c>
      <c r="U152" s="32">
        <f t="shared" si="24"/>
        <v>1</v>
      </c>
      <c r="V152">
        <v>6</v>
      </c>
      <c r="W152">
        <v>6</v>
      </c>
      <c r="X152" s="32">
        <f t="shared" si="25"/>
        <v>0</v>
      </c>
      <c r="Y152">
        <v>7</v>
      </c>
      <c r="Z152">
        <v>6</v>
      </c>
      <c r="AA152" s="32">
        <f t="shared" si="26"/>
        <v>1</v>
      </c>
    </row>
    <row r="153" spans="1:27" x14ac:dyDescent="0.45">
      <c r="A153">
        <v>6</v>
      </c>
      <c r="B153">
        <v>6</v>
      </c>
      <c r="C153" s="32">
        <f t="shared" si="18"/>
        <v>0</v>
      </c>
      <c r="D153">
        <v>5</v>
      </c>
      <c r="E153">
        <v>7</v>
      </c>
      <c r="F153" s="32">
        <f t="shared" si="19"/>
        <v>2</v>
      </c>
      <c r="G153">
        <v>7</v>
      </c>
      <c r="H153">
        <v>5</v>
      </c>
      <c r="I153" s="32">
        <f t="shared" si="20"/>
        <v>2</v>
      </c>
      <c r="J153">
        <v>7</v>
      </c>
      <c r="K153">
        <v>7</v>
      </c>
      <c r="L153" s="32">
        <f t="shared" si="21"/>
        <v>0</v>
      </c>
      <c r="M153">
        <v>6</v>
      </c>
      <c r="N153">
        <v>6</v>
      </c>
      <c r="O153" s="32">
        <f t="shared" si="22"/>
        <v>0</v>
      </c>
      <c r="P153">
        <v>7</v>
      </c>
      <c r="Q153">
        <v>6</v>
      </c>
      <c r="R153" s="32">
        <f t="shared" si="23"/>
        <v>1</v>
      </c>
      <c r="S153">
        <v>6</v>
      </c>
      <c r="T153">
        <v>5</v>
      </c>
      <c r="U153" s="32">
        <f t="shared" si="24"/>
        <v>1</v>
      </c>
      <c r="V153">
        <v>6</v>
      </c>
      <c r="W153">
        <v>6</v>
      </c>
      <c r="X153" s="32">
        <f t="shared" si="25"/>
        <v>0</v>
      </c>
      <c r="Y153">
        <v>7</v>
      </c>
      <c r="Z153">
        <v>6</v>
      </c>
      <c r="AA153" s="32">
        <f t="shared" si="26"/>
        <v>1</v>
      </c>
    </row>
    <row r="154" spans="1:27" x14ac:dyDescent="0.45">
      <c r="A154">
        <v>6</v>
      </c>
      <c r="B154">
        <v>6</v>
      </c>
      <c r="C154" s="32">
        <f t="shared" si="18"/>
        <v>0</v>
      </c>
      <c r="D154">
        <v>5</v>
      </c>
      <c r="E154">
        <v>7</v>
      </c>
      <c r="F154" s="32">
        <f t="shared" si="19"/>
        <v>2</v>
      </c>
      <c r="G154">
        <v>8</v>
      </c>
      <c r="H154">
        <v>5</v>
      </c>
      <c r="I154" s="32">
        <f t="shared" si="20"/>
        <v>3</v>
      </c>
      <c r="J154">
        <v>7</v>
      </c>
      <c r="K154">
        <v>7</v>
      </c>
      <c r="L154" s="32">
        <f t="shared" si="21"/>
        <v>0</v>
      </c>
      <c r="M154">
        <v>6</v>
      </c>
      <c r="N154">
        <v>6</v>
      </c>
      <c r="O154" s="32">
        <f t="shared" si="22"/>
        <v>0</v>
      </c>
      <c r="P154">
        <v>7</v>
      </c>
      <c r="Q154">
        <v>6</v>
      </c>
      <c r="R154" s="32">
        <f t="shared" si="23"/>
        <v>1</v>
      </c>
      <c r="S154">
        <v>6</v>
      </c>
      <c r="T154">
        <v>5</v>
      </c>
      <c r="U154" s="32">
        <f t="shared" si="24"/>
        <v>1</v>
      </c>
      <c r="V154">
        <v>6</v>
      </c>
      <c r="W154">
        <v>6</v>
      </c>
      <c r="X154" s="32">
        <f t="shared" si="25"/>
        <v>0</v>
      </c>
      <c r="Y154">
        <v>7</v>
      </c>
      <c r="Z154">
        <v>6</v>
      </c>
      <c r="AA154" s="32">
        <f t="shared" si="26"/>
        <v>1</v>
      </c>
    </row>
    <row r="155" spans="1:27" x14ac:dyDescent="0.45">
      <c r="A155">
        <v>6</v>
      </c>
      <c r="B155">
        <v>6</v>
      </c>
      <c r="C155" s="32">
        <f t="shared" si="18"/>
        <v>0</v>
      </c>
      <c r="D155">
        <v>5</v>
      </c>
      <c r="E155">
        <v>7</v>
      </c>
      <c r="F155" s="32">
        <f t="shared" si="19"/>
        <v>2</v>
      </c>
      <c r="G155">
        <v>8</v>
      </c>
      <c r="H155">
        <v>5</v>
      </c>
      <c r="I155" s="32">
        <f t="shared" si="20"/>
        <v>3</v>
      </c>
      <c r="J155">
        <v>7</v>
      </c>
      <c r="K155">
        <v>7</v>
      </c>
      <c r="L155" s="32">
        <f t="shared" si="21"/>
        <v>0</v>
      </c>
      <c r="M155">
        <v>6</v>
      </c>
      <c r="N155">
        <v>6</v>
      </c>
      <c r="O155" s="32">
        <f t="shared" si="22"/>
        <v>0</v>
      </c>
      <c r="P155">
        <v>7</v>
      </c>
      <c r="Q155">
        <v>6</v>
      </c>
      <c r="R155" s="32">
        <f t="shared" si="23"/>
        <v>1</v>
      </c>
      <c r="S155">
        <v>6</v>
      </c>
      <c r="T155">
        <v>5</v>
      </c>
      <c r="U155" s="32">
        <f t="shared" si="24"/>
        <v>1</v>
      </c>
      <c r="V155">
        <v>6</v>
      </c>
      <c r="W155">
        <v>6</v>
      </c>
      <c r="X155" s="32">
        <f t="shared" si="25"/>
        <v>0</v>
      </c>
      <c r="Y155">
        <v>7</v>
      </c>
      <c r="Z155">
        <v>6</v>
      </c>
      <c r="AA155" s="32">
        <f t="shared" si="26"/>
        <v>1</v>
      </c>
    </row>
    <row r="156" spans="1:27" x14ac:dyDescent="0.45">
      <c r="A156">
        <v>6</v>
      </c>
      <c r="B156">
        <v>6</v>
      </c>
      <c r="C156" s="32">
        <f t="shared" si="18"/>
        <v>0</v>
      </c>
      <c r="D156">
        <v>5</v>
      </c>
      <c r="E156">
        <v>7</v>
      </c>
      <c r="F156" s="32">
        <f t="shared" si="19"/>
        <v>2</v>
      </c>
      <c r="G156">
        <v>8</v>
      </c>
      <c r="H156">
        <v>5</v>
      </c>
      <c r="I156" s="32">
        <f t="shared" si="20"/>
        <v>3</v>
      </c>
      <c r="J156">
        <v>7</v>
      </c>
      <c r="K156">
        <v>7</v>
      </c>
      <c r="L156" s="32">
        <f t="shared" si="21"/>
        <v>0</v>
      </c>
      <c r="M156">
        <v>6</v>
      </c>
      <c r="N156">
        <v>6</v>
      </c>
      <c r="O156" s="32">
        <f t="shared" si="22"/>
        <v>0</v>
      </c>
      <c r="P156">
        <v>7</v>
      </c>
      <c r="Q156">
        <v>6</v>
      </c>
      <c r="R156" s="32">
        <f t="shared" si="23"/>
        <v>1</v>
      </c>
      <c r="S156">
        <v>6</v>
      </c>
      <c r="T156">
        <v>5</v>
      </c>
      <c r="U156" s="32">
        <f t="shared" si="24"/>
        <v>1</v>
      </c>
      <c r="V156">
        <v>6</v>
      </c>
      <c r="W156">
        <v>6</v>
      </c>
      <c r="X156" s="32">
        <f t="shared" si="25"/>
        <v>0</v>
      </c>
      <c r="Y156">
        <v>7</v>
      </c>
      <c r="Z156">
        <v>7</v>
      </c>
      <c r="AA156" s="32">
        <f t="shared" si="26"/>
        <v>0</v>
      </c>
    </row>
    <row r="157" spans="1:27" x14ac:dyDescent="0.45">
      <c r="A157">
        <v>6</v>
      </c>
      <c r="B157">
        <v>6</v>
      </c>
      <c r="C157" s="32">
        <f t="shared" si="18"/>
        <v>0</v>
      </c>
      <c r="D157">
        <v>5</v>
      </c>
      <c r="E157">
        <v>7</v>
      </c>
      <c r="F157" s="32">
        <f t="shared" si="19"/>
        <v>2</v>
      </c>
      <c r="G157">
        <v>8</v>
      </c>
      <c r="H157">
        <v>5</v>
      </c>
      <c r="I157" s="32">
        <f t="shared" si="20"/>
        <v>3</v>
      </c>
      <c r="J157">
        <v>7</v>
      </c>
      <c r="K157">
        <v>7</v>
      </c>
      <c r="L157" s="32">
        <f t="shared" si="21"/>
        <v>0</v>
      </c>
      <c r="M157">
        <v>6</v>
      </c>
      <c r="N157">
        <v>6</v>
      </c>
      <c r="O157" s="32">
        <f t="shared" si="22"/>
        <v>0</v>
      </c>
      <c r="P157">
        <v>7</v>
      </c>
      <c r="Q157">
        <v>6</v>
      </c>
      <c r="R157" s="32">
        <f t="shared" si="23"/>
        <v>1</v>
      </c>
      <c r="S157">
        <v>6</v>
      </c>
      <c r="T157">
        <v>5</v>
      </c>
      <c r="U157" s="32">
        <f t="shared" si="24"/>
        <v>1</v>
      </c>
      <c r="V157">
        <v>6</v>
      </c>
      <c r="W157">
        <v>6</v>
      </c>
      <c r="X157" s="32">
        <f t="shared" si="25"/>
        <v>0</v>
      </c>
      <c r="Y157">
        <v>7</v>
      </c>
      <c r="Z157">
        <v>7</v>
      </c>
      <c r="AA157" s="32">
        <f t="shared" si="26"/>
        <v>0</v>
      </c>
    </row>
    <row r="158" spans="1:27" x14ac:dyDescent="0.45">
      <c r="A158">
        <v>6</v>
      </c>
      <c r="B158">
        <v>6</v>
      </c>
      <c r="C158" s="32">
        <f t="shared" si="18"/>
        <v>0</v>
      </c>
      <c r="D158">
        <v>5</v>
      </c>
      <c r="E158">
        <v>7</v>
      </c>
      <c r="F158" s="32">
        <f t="shared" si="19"/>
        <v>2</v>
      </c>
      <c r="G158">
        <v>8</v>
      </c>
      <c r="H158">
        <v>5</v>
      </c>
      <c r="I158" s="32">
        <f t="shared" si="20"/>
        <v>3</v>
      </c>
      <c r="J158">
        <v>7</v>
      </c>
      <c r="K158">
        <v>7</v>
      </c>
      <c r="L158" s="32">
        <f t="shared" si="21"/>
        <v>0</v>
      </c>
      <c r="M158">
        <v>6</v>
      </c>
      <c r="N158">
        <v>6</v>
      </c>
      <c r="O158" s="32">
        <f t="shared" si="22"/>
        <v>0</v>
      </c>
      <c r="P158">
        <v>7</v>
      </c>
      <c r="Q158">
        <v>6</v>
      </c>
      <c r="R158" s="32">
        <f t="shared" si="23"/>
        <v>1</v>
      </c>
      <c r="S158">
        <v>6</v>
      </c>
      <c r="T158">
        <v>5</v>
      </c>
      <c r="U158" s="32">
        <f t="shared" si="24"/>
        <v>1</v>
      </c>
      <c r="V158">
        <v>6</v>
      </c>
      <c r="W158">
        <v>6</v>
      </c>
      <c r="X158" s="32">
        <f t="shared" si="25"/>
        <v>0</v>
      </c>
      <c r="Y158">
        <v>7</v>
      </c>
      <c r="Z158">
        <v>7</v>
      </c>
      <c r="AA158" s="32">
        <f t="shared" si="26"/>
        <v>0</v>
      </c>
    </row>
    <row r="159" spans="1:27" x14ac:dyDescent="0.45">
      <c r="A159">
        <v>6</v>
      </c>
      <c r="B159">
        <v>7</v>
      </c>
      <c r="C159" s="32">
        <f t="shared" si="18"/>
        <v>1</v>
      </c>
      <c r="D159">
        <v>5</v>
      </c>
      <c r="E159">
        <v>7</v>
      </c>
      <c r="F159" s="32">
        <f t="shared" si="19"/>
        <v>2</v>
      </c>
      <c r="G159">
        <v>8</v>
      </c>
      <c r="H159">
        <v>5</v>
      </c>
      <c r="I159" s="32">
        <f t="shared" si="20"/>
        <v>3</v>
      </c>
      <c r="J159">
        <v>7</v>
      </c>
      <c r="K159">
        <v>7</v>
      </c>
      <c r="L159" s="32">
        <f t="shared" si="21"/>
        <v>0</v>
      </c>
      <c r="M159">
        <v>6</v>
      </c>
      <c r="N159">
        <v>6</v>
      </c>
      <c r="O159" s="32">
        <f t="shared" si="22"/>
        <v>0</v>
      </c>
      <c r="P159">
        <v>7</v>
      </c>
      <c r="Q159">
        <v>6</v>
      </c>
      <c r="R159" s="32">
        <f t="shared" si="23"/>
        <v>1</v>
      </c>
      <c r="S159">
        <v>6</v>
      </c>
      <c r="T159">
        <v>5</v>
      </c>
      <c r="U159" s="32">
        <f t="shared" si="24"/>
        <v>1</v>
      </c>
      <c r="V159">
        <v>6</v>
      </c>
      <c r="W159">
        <v>6</v>
      </c>
      <c r="X159" s="32">
        <f t="shared" si="25"/>
        <v>0</v>
      </c>
      <c r="Y159">
        <v>7</v>
      </c>
      <c r="Z159">
        <v>7</v>
      </c>
      <c r="AA159" s="32">
        <f t="shared" si="26"/>
        <v>0</v>
      </c>
    </row>
    <row r="160" spans="1:27" x14ac:dyDescent="0.45">
      <c r="A160">
        <v>6</v>
      </c>
      <c r="B160">
        <v>7</v>
      </c>
      <c r="C160" s="32">
        <f t="shared" si="18"/>
        <v>1</v>
      </c>
      <c r="D160">
        <v>5</v>
      </c>
      <c r="E160">
        <v>7</v>
      </c>
      <c r="F160" s="32">
        <f t="shared" si="19"/>
        <v>2</v>
      </c>
      <c r="G160">
        <v>8</v>
      </c>
      <c r="H160">
        <v>5</v>
      </c>
      <c r="I160" s="32">
        <f t="shared" si="20"/>
        <v>3</v>
      </c>
      <c r="J160">
        <v>7</v>
      </c>
      <c r="K160">
        <v>7</v>
      </c>
      <c r="L160" s="32">
        <f t="shared" si="21"/>
        <v>0</v>
      </c>
      <c r="M160">
        <v>6</v>
      </c>
      <c r="N160">
        <v>6</v>
      </c>
      <c r="O160" s="32">
        <f t="shared" si="22"/>
        <v>0</v>
      </c>
      <c r="P160">
        <v>7</v>
      </c>
      <c r="Q160">
        <v>6</v>
      </c>
      <c r="R160" s="32">
        <f t="shared" si="23"/>
        <v>1</v>
      </c>
      <c r="S160">
        <v>6</v>
      </c>
      <c r="T160">
        <v>5</v>
      </c>
      <c r="U160" s="32">
        <f t="shared" si="24"/>
        <v>1</v>
      </c>
      <c r="V160">
        <v>6</v>
      </c>
      <c r="W160">
        <v>6</v>
      </c>
      <c r="X160" s="32">
        <f t="shared" si="25"/>
        <v>0</v>
      </c>
      <c r="Y160">
        <v>7</v>
      </c>
      <c r="Z160">
        <v>7</v>
      </c>
      <c r="AA160" s="32">
        <f t="shared" si="26"/>
        <v>0</v>
      </c>
    </row>
    <row r="161" spans="1:27" x14ac:dyDescent="0.45">
      <c r="A161">
        <v>6</v>
      </c>
      <c r="B161">
        <v>7</v>
      </c>
      <c r="C161" s="32">
        <f t="shared" si="18"/>
        <v>1</v>
      </c>
      <c r="D161">
        <v>5</v>
      </c>
      <c r="E161">
        <v>7</v>
      </c>
      <c r="F161" s="32">
        <f t="shared" si="19"/>
        <v>2</v>
      </c>
      <c r="G161">
        <v>8</v>
      </c>
      <c r="H161">
        <v>5</v>
      </c>
      <c r="I161" s="32">
        <f t="shared" si="20"/>
        <v>3</v>
      </c>
      <c r="J161">
        <v>7</v>
      </c>
      <c r="K161">
        <v>7</v>
      </c>
      <c r="L161" s="32">
        <f t="shared" si="21"/>
        <v>0</v>
      </c>
      <c r="M161">
        <v>6</v>
      </c>
      <c r="N161">
        <v>6</v>
      </c>
      <c r="O161" s="32">
        <f t="shared" si="22"/>
        <v>0</v>
      </c>
      <c r="P161">
        <v>7</v>
      </c>
      <c r="Q161">
        <v>6</v>
      </c>
      <c r="R161" s="32">
        <f t="shared" si="23"/>
        <v>1</v>
      </c>
      <c r="S161">
        <v>6</v>
      </c>
      <c r="T161">
        <v>5</v>
      </c>
      <c r="U161" s="32">
        <f t="shared" si="24"/>
        <v>1</v>
      </c>
      <c r="V161">
        <v>6</v>
      </c>
      <c r="W161">
        <v>6</v>
      </c>
      <c r="X161" s="32">
        <f t="shared" si="25"/>
        <v>0</v>
      </c>
      <c r="Y161">
        <v>7</v>
      </c>
      <c r="Z161">
        <v>7</v>
      </c>
      <c r="AA161" s="32">
        <f t="shared" si="26"/>
        <v>0</v>
      </c>
    </row>
    <row r="162" spans="1:27" x14ac:dyDescent="0.45">
      <c r="A162">
        <v>6</v>
      </c>
      <c r="B162">
        <v>7</v>
      </c>
      <c r="C162" s="32">
        <f t="shared" si="18"/>
        <v>1</v>
      </c>
      <c r="D162">
        <v>5</v>
      </c>
      <c r="E162">
        <v>7</v>
      </c>
      <c r="F162" s="32">
        <f t="shared" si="19"/>
        <v>2</v>
      </c>
      <c r="G162">
        <v>8</v>
      </c>
      <c r="H162">
        <v>5</v>
      </c>
      <c r="I162" s="32">
        <f t="shared" si="20"/>
        <v>3</v>
      </c>
      <c r="J162">
        <v>7</v>
      </c>
      <c r="K162">
        <v>7</v>
      </c>
      <c r="L162" s="32">
        <f t="shared" si="21"/>
        <v>0</v>
      </c>
      <c r="M162">
        <v>6</v>
      </c>
      <c r="N162">
        <v>6</v>
      </c>
      <c r="O162" s="32">
        <f t="shared" si="22"/>
        <v>0</v>
      </c>
      <c r="P162">
        <v>7</v>
      </c>
      <c r="Q162">
        <v>6</v>
      </c>
      <c r="R162" s="32">
        <f t="shared" si="23"/>
        <v>1</v>
      </c>
      <c r="S162">
        <v>6</v>
      </c>
      <c r="T162">
        <v>5</v>
      </c>
      <c r="U162" s="32">
        <f t="shared" si="24"/>
        <v>1</v>
      </c>
      <c r="V162">
        <v>6</v>
      </c>
      <c r="W162">
        <v>6</v>
      </c>
      <c r="X162" s="32">
        <f t="shared" si="25"/>
        <v>0</v>
      </c>
      <c r="Y162">
        <v>7</v>
      </c>
      <c r="Z162">
        <v>7</v>
      </c>
      <c r="AA162" s="32">
        <f t="shared" si="26"/>
        <v>0</v>
      </c>
    </row>
    <row r="163" spans="1:27" x14ac:dyDescent="0.45">
      <c r="A163">
        <v>6</v>
      </c>
      <c r="B163">
        <v>7</v>
      </c>
      <c r="C163" s="32">
        <f t="shared" si="18"/>
        <v>1</v>
      </c>
      <c r="D163">
        <v>5</v>
      </c>
      <c r="E163">
        <v>7</v>
      </c>
      <c r="F163" s="32">
        <f t="shared" si="19"/>
        <v>2</v>
      </c>
      <c r="G163">
        <v>8</v>
      </c>
      <c r="H163">
        <v>5</v>
      </c>
      <c r="I163" s="32">
        <f t="shared" si="20"/>
        <v>3</v>
      </c>
      <c r="J163">
        <v>7</v>
      </c>
      <c r="K163">
        <v>7</v>
      </c>
      <c r="L163" s="32">
        <f t="shared" si="21"/>
        <v>0</v>
      </c>
      <c r="M163">
        <v>6</v>
      </c>
      <c r="N163">
        <v>6</v>
      </c>
      <c r="O163" s="32">
        <f t="shared" si="22"/>
        <v>0</v>
      </c>
      <c r="P163">
        <v>7</v>
      </c>
      <c r="Q163">
        <v>6</v>
      </c>
      <c r="R163" s="32">
        <f t="shared" si="23"/>
        <v>1</v>
      </c>
      <c r="S163">
        <v>6</v>
      </c>
      <c r="T163">
        <v>5</v>
      </c>
      <c r="U163" s="32">
        <f t="shared" si="24"/>
        <v>1</v>
      </c>
      <c r="V163">
        <v>6</v>
      </c>
      <c r="W163">
        <v>6</v>
      </c>
      <c r="X163" s="32">
        <f t="shared" si="25"/>
        <v>0</v>
      </c>
      <c r="Y163">
        <v>7</v>
      </c>
      <c r="Z163">
        <v>7</v>
      </c>
      <c r="AA163" s="32">
        <f t="shared" si="26"/>
        <v>0</v>
      </c>
    </row>
    <row r="164" spans="1:27" x14ac:dyDescent="0.45">
      <c r="A164">
        <v>6</v>
      </c>
      <c r="B164">
        <v>7</v>
      </c>
      <c r="C164" s="32">
        <f t="shared" si="18"/>
        <v>1</v>
      </c>
      <c r="D164">
        <v>5</v>
      </c>
      <c r="E164">
        <v>7</v>
      </c>
      <c r="F164" s="32">
        <f t="shared" si="19"/>
        <v>2</v>
      </c>
      <c r="G164">
        <v>8</v>
      </c>
      <c r="H164">
        <v>5</v>
      </c>
      <c r="I164" s="32">
        <f t="shared" si="20"/>
        <v>3</v>
      </c>
      <c r="J164">
        <v>7</v>
      </c>
      <c r="K164">
        <v>7</v>
      </c>
      <c r="L164" s="32">
        <f t="shared" si="21"/>
        <v>0</v>
      </c>
      <c r="M164">
        <v>6</v>
      </c>
      <c r="N164">
        <v>6</v>
      </c>
      <c r="O164" s="32">
        <f t="shared" si="22"/>
        <v>0</v>
      </c>
      <c r="P164">
        <v>7</v>
      </c>
      <c r="Q164">
        <v>6</v>
      </c>
      <c r="R164" s="32">
        <f t="shared" si="23"/>
        <v>1</v>
      </c>
      <c r="S164">
        <v>6</v>
      </c>
      <c r="T164">
        <v>5</v>
      </c>
      <c r="U164" s="32">
        <f t="shared" si="24"/>
        <v>1</v>
      </c>
      <c r="V164">
        <v>6</v>
      </c>
      <c r="W164">
        <v>6</v>
      </c>
      <c r="X164" s="32">
        <f t="shared" si="25"/>
        <v>0</v>
      </c>
      <c r="Y164">
        <v>7</v>
      </c>
      <c r="Z164">
        <v>7</v>
      </c>
      <c r="AA164" s="32">
        <f t="shared" si="26"/>
        <v>0</v>
      </c>
    </row>
    <row r="165" spans="1:27" x14ac:dyDescent="0.45">
      <c r="A165">
        <v>6</v>
      </c>
      <c r="B165">
        <v>7</v>
      </c>
      <c r="C165" s="32">
        <f t="shared" si="18"/>
        <v>1</v>
      </c>
      <c r="D165">
        <v>5</v>
      </c>
      <c r="E165">
        <v>7</v>
      </c>
      <c r="F165" s="32">
        <f t="shared" si="19"/>
        <v>2</v>
      </c>
      <c r="G165">
        <v>8</v>
      </c>
      <c r="H165">
        <v>5</v>
      </c>
      <c r="I165" s="32">
        <f t="shared" si="20"/>
        <v>3</v>
      </c>
      <c r="J165">
        <v>7</v>
      </c>
      <c r="K165">
        <v>7</v>
      </c>
      <c r="L165" s="32">
        <f t="shared" si="21"/>
        <v>0</v>
      </c>
      <c r="M165">
        <v>6</v>
      </c>
      <c r="N165">
        <v>6</v>
      </c>
      <c r="O165" s="32">
        <f t="shared" si="22"/>
        <v>0</v>
      </c>
      <c r="P165">
        <v>7</v>
      </c>
      <c r="Q165">
        <v>6</v>
      </c>
      <c r="R165" s="32">
        <f t="shared" si="23"/>
        <v>1</v>
      </c>
      <c r="S165">
        <v>6</v>
      </c>
      <c r="T165">
        <v>5</v>
      </c>
      <c r="U165" s="32">
        <f t="shared" si="24"/>
        <v>1</v>
      </c>
      <c r="V165">
        <v>6</v>
      </c>
      <c r="W165">
        <v>6</v>
      </c>
      <c r="X165" s="32">
        <f t="shared" si="25"/>
        <v>0</v>
      </c>
      <c r="Y165">
        <v>7</v>
      </c>
      <c r="Z165">
        <v>7</v>
      </c>
      <c r="AA165" s="32">
        <f t="shared" si="26"/>
        <v>0</v>
      </c>
    </row>
    <row r="166" spans="1:27" x14ac:dyDescent="0.45">
      <c r="A166">
        <v>6</v>
      </c>
      <c r="B166">
        <v>7</v>
      </c>
      <c r="C166" s="32">
        <f t="shared" si="18"/>
        <v>1</v>
      </c>
      <c r="D166">
        <v>5</v>
      </c>
      <c r="E166">
        <v>7</v>
      </c>
      <c r="F166" s="32">
        <f t="shared" si="19"/>
        <v>2</v>
      </c>
      <c r="G166">
        <v>8</v>
      </c>
      <c r="H166">
        <v>5</v>
      </c>
      <c r="I166" s="32">
        <f t="shared" si="20"/>
        <v>3</v>
      </c>
      <c r="J166">
        <v>7</v>
      </c>
      <c r="K166">
        <v>7</v>
      </c>
      <c r="L166" s="32">
        <f t="shared" si="21"/>
        <v>0</v>
      </c>
      <c r="M166">
        <v>6</v>
      </c>
      <c r="N166">
        <v>6</v>
      </c>
      <c r="O166" s="32">
        <f t="shared" si="22"/>
        <v>0</v>
      </c>
      <c r="P166">
        <v>7</v>
      </c>
      <c r="Q166">
        <v>6</v>
      </c>
      <c r="R166" s="32">
        <f t="shared" si="23"/>
        <v>1</v>
      </c>
      <c r="S166">
        <v>6</v>
      </c>
      <c r="T166">
        <v>5</v>
      </c>
      <c r="U166" s="32">
        <f t="shared" si="24"/>
        <v>1</v>
      </c>
      <c r="V166">
        <v>6</v>
      </c>
      <c r="W166">
        <v>6</v>
      </c>
      <c r="X166" s="32">
        <f t="shared" si="25"/>
        <v>0</v>
      </c>
      <c r="Y166">
        <v>7</v>
      </c>
      <c r="Z166">
        <v>7</v>
      </c>
      <c r="AA166" s="32">
        <f t="shared" si="26"/>
        <v>0</v>
      </c>
    </row>
    <row r="167" spans="1:27" x14ac:dyDescent="0.45">
      <c r="A167">
        <v>6</v>
      </c>
      <c r="B167">
        <v>7</v>
      </c>
      <c r="C167" s="32">
        <f t="shared" si="18"/>
        <v>1</v>
      </c>
      <c r="D167">
        <v>5</v>
      </c>
      <c r="E167">
        <v>7</v>
      </c>
      <c r="F167" s="32">
        <f t="shared" si="19"/>
        <v>2</v>
      </c>
      <c r="G167">
        <v>8</v>
      </c>
      <c r="H167">
        <v>5</v>
      </c>
      <c r="I167" s="32">
        <f t="shared" si="20"/>
        <v>3</v>
      </c>
      <c r="J167">
        <v>7</v>
      </c>
      <c r="K167">
        <v>7</v>
      </c>
      <c r="L167" s="32">
        <f t="shared" si="21"/>
        <v>0</v>
      </c>
      <c r="M167">
        <v>6</v>
      </c>
      <c r="N167">
        <v>6</v>
      </c>
      <c r="O167" s="32">
        <f t="shared" si="22"/>
        <v>0</v>
      </c>
      <c r="P167">
        <v>7</v>
      </c>
      <c r="Q167">
        <v>6</v>
      </c>
      <c r="R167" s="32">
        <f t="shared" si="23"/>
        <v>1</v>
      </c>
      <c r="S167">
        <v>6</v>
      </c>
      <c r="T167">
        <v>5</v>
      </c>
      <c r="U167" s="32">
        <f t="shared" si="24"/>
        <v>1</v>
      </c>
      <c r="V167">
        <v>6</v>
      </c>
      <c r="W167">
        <v>6</v>
      </c>
      <c r="X167" s="32">
        <f t="shared" si="25"/>
        <v>0</v>
      </c>
      <c r="Y167">
        <v>7</v>
      </c>
      <c r="Z167">
        <v>7</v>
      </c>
      <c r="AA167" s="32">
        <f t="shared" si="26"/>
        <v>0</v>
      </c>
    </row>
    <row r="168" spans="1:27" x14ac:dyDescent="0.45">
      <c r="A168">
        <v>6</v>
      </c>
      <c r="B168">
        <v>7</v>
      </c>
      <c r="C168" s="32">
        <f t="shared" si="18"/>
        <v>1</v>
      </c>
      <c r="D168">
        <v>6</v>
      </c>
      <c r="E168">
        <v>7</v>
      </c>
      <c r="F168" s="32">
        <f t="shared" si="19"/>
        <v>1</v>
      </c>
      <c r="G168">
        <v>8</v>
      </c>
      <c r="H168">
        <v>5</v>
      </c>
      <c r="I168" s="32">
        <f t="shared" si="20"/>
        <v>3</v>
      </c>
      <c r="J168">
        <v>8</v>
      </c>
      <c r="K168">
        <v>7</v>
      </c>
      <c r="L168" s="32">
        <f t="shared" si="21"/>
        <v>1</v>
      </c>
      <c r="M168">
        <v>6</v>
      </c>
      <c r="N168">
        <v>6</v>
      </c>
      <c r="O168" s="32">
        <f t="shared" si="22"/>
        <v>0</v>
      </c>
      <c r="P168">
        <v>7</v>
      </c>
      <c r="Q168">
        <v>6</v>
      </c>
      <c r="R168" s="32">
        <f t="shared" si="23"/>
        <v>1</v>
      </c>
      <c r="S168">
        <v>6</v>
      </c>
      <c r="T168">
        <v>5</v>
      </c>
      <c r="U168" s="32">
        <f t="shared" si="24"/>
        <v>1</v>
      </c>
      <c r="V168">
        <v>6</v>
      </c>
      <c r="W168">
        <v>6</v>
      </c>
      <c r="X168" s="32">
        <f t="shared" si="25"/>
        <v>0</v>
      </c>
      <c r="Y168">
        <v>7</v>
      </c>
      <c r="Z168">
        <v>7</v>
      </c>
      <c r="AA168" s="32">
        <f t="shared" si="26"/>
        <v>0</v>
      </c>
    </row>
    <row r="169" spans="1:27" x14ac:dyDescent="0.45">
      <c r="A169">
        <v>6</v>
      </c>
      <c r="B169">
        <v>7</v>
      </c>
      <c r="C169" s="32">
        <f t="shared" si="18"/>
        <v>1</v>
      </c>
      <c r="D169">
        <v>6</v>
      </c>
      <c r="E169">
        <v>7</v>
      </c>
      <c r="F169" s="32">
        <f t="shared" si="19"/>
        <v>1</v>
      </c>
      <c r="G169">
        <v>8</v>
      </c>
      <c r="H169">
        <v>5</v>
      </c>
      <c r="I169" s="32">
        <f t="shared" si="20"/>
        <v>3</v>
      </c>
      <c r="J169">
        <v>8</v>
      </c>
      <c r="K169">
        <v>7</v>
      </c>
      <c r="L169" s="32">
        <f t="shared" si="21"/>
        <v>1</v>
      </c>
      <c r="M169">
        <v>6</v>
      </c>
      <c r="N169">
        <v>6</v>
      </c>
      <c r="O169" s="32">
        <f t="shared" si="22"/>
        <v>0</v>
      </c>
      <c r="P169">
        <v>7</v>
      </c>
      <c r="Q169">
        <v>6</v>
      </c>
      <c r="R169" s="32">
        <f t="shared" si="23"/>
        <v>1</v>
      </c>
      <c r="S169">
        <v>6</v>
      </c>
      <c r="T169">
        <v>5</v>
      </c>
      <c r="U169" s="32">
        <f t="shared" si="24"/>
        <v>1</v>
      </c>
      <c r="V169">
        <v>6</v>
      </c>
      <c r="W169">
        <v>6</v>
      </c>
      <c r="X169" s="32">
        <f t="shared" si="25"/>
        <v>0</v>
      </c>
      <c r="Y169">
        <v>7</v>
      </c>
      <c r="Z169">
        <v>7</v>
      </c>
      <c r="AA169" s="32">
        <f t="shared" si="26"/>
        <v>0</v>
      </c>
    </row>
    <row r="170" spans="1:27" x14ac:dyDescent="0.45">
      <c r="A170">
        <v>6</v>
      </c>
      <c r="B170">
        <v>7</v>
      </c>
      <c r="C170" s="32">
        <f t="shared" si="18"/>
        <v>1</v>
      </c>
      <c r="D170">
        <v>6</v>
      </c>
      <c r="E170">
        <v>7</v>
      </c>
      <c r="F170" s="32">
        <f t="shared" si="19"/>
        <v>1</v>
      </c>
      <c r="G170">
        <v>8</v>
      </c>
      <c r="H170">
        <v>5</v>
      </c>
      <c r="I170" s="32">
        <f t="shared" si="20"/>
        <v>3</v>
      </c>
      <c r="J170">
        <v>8</v>
      </c>
      <c r="K170">
        <v>7</v>
      </c>
      <c r="L170" s="32">
        <f t="shared" si="21"/>
        <v>1</v>
      </c>
      <c r="M170">
        <v>6</v>
      </c>
      <c r="N170">
        <v>6</v>
      </c>
      <c r="O170" s="32">
        <f t="shared" si="22"/>
        <v>0</v>
      </c>
      <c r="P170">
        <v>7</v>
      </c>
      <c r="Q170">
        <v>6</v>
      </c>
      <c r="R170" s="32">
        <f t="shared" si="23"/>
        <v>1</v>
      </c>
      <c r="S170">
        <v>6</v>
      </c>
      <c r="T170">
        <v>5</v>
      </c>
      <c r="U170" s="32">
        <f t="shared" si="24"/>
        <v>1</v>
      </c>
      <c r="V170">
        <v>6</v>
      </c>
      <c r="W170">
        <v>6</v>
      </c>
      <c r="X170" s="32">
        <f t="shared" si="25"/>
        <v>0</v>
      </c>
      <c r="Y170">
        <v>7</v>
      </c>
      <c r="Z170">
        <v>7</v>
      </c>
      <c r="AA170" s="32">
        <f t="shared" si="26"/>
        <v>0</v>
      </c>
    </row>
    <row r="171" spans="1:27" x14ac:dyDescent="0.45">
      <c r="A171">
        <v>6</v>
      </c>
      <c r="B171">
        <v>7</v>
      </c>
      <c r="C171" s="32">
        <f t="shared" si="18"/>
        <v>1</v>
      </c>
      <c r="D171">
        <v>6</v>
      </c>
      <c r="E171">
        <v>7</v>
      </c>
      <c r="F171" s="32">
        <f t="shared" si="19"/>
        <v>1</v>
      </c>
      <c r="G171">
        <v>8</v>
      </c>
      <c r="H171">
        <v>5</v>
      </c>
      <c r="I171" s="32">
        <f t="shared" si="20"/>
        <v>3</v>
      </c>
      <c r="J171">
        <v>8</v>
      </c>
      <c r="K171">
        <v>7</v>
      </c>
      <c r="L171" s="32">
        <f t="shared" si="21"/>
        <v>1</v>
      </c>
      <c r="M171">
        <v>6</v>
      </c>
      <c r="N171">
        <v>6</v>
      </c>
      <c r="O171" s="32">
        <f t="shared" si="22"/>
        <v>0</v>
      </c>
      <c r="P171">
        <v>7</v>
      </c>
      <c r="Q171">
        <v>6</v>
      </c>
      <c r="R171" s="32">
        <f t="shared" si="23"/>
        <v>1</v>
      </c>
      <c r="S171">
        <v>6</v>
      </c>
      <c r="T171">
        <v>5</v>
      </c>
      <c r="U171" s="32">
        <f t="shared" si="24"/>
        <v>1</v>
      </c>
      <c r="V171">
        <v>6</v>
      </c>
      <c r="W171">
        <v>6</v>
      </c>
      <c r="X171" s="32">
        <f t="shared" si="25"/>
        <v>0</v>
      </c>
      <c r="Y171">
        <v>7</v>
      </c>
      <c r="Z171">
        <v>7</v>
      </c>
      <c r="AA171" s="32">
        <f t="shared" si="26"/>
        <v>0</v>
      </c>
    </row>
    <row r="172" spans="1:27" x14ac:dyDescent="0.45">
      <c r="A172">
        <v>6</v>
      </c>
      <c r="B172">
        <v>7</v>
      </c>
      <c r="C172" s="32">
        <f t="shared" si="18"/>
        <v>1</v>
      </c>
      <c r="D172">
        <v>6</v>
      </c>
      <c r="E172">
        <v>7</v>
      </c>
      <c r="F172" s="32">
        <f t="shared" si="19"/>
        <v>1</v>
      </c>
      <c r="G172">
        <v>8</v>
      </c>
      <c r="H172">
        <v>5</v>
      </c>
      <c r="I172" s="32">
        <f t="shared" si="20"/>
        <v>3</v>
      </c>
      <c r="J172">
        <v>8</v>
      </c>
      <c r="K172">
        <v>7</v>
      </c>
      <c r="L172" s="32">
        <f t="shared" si="21"/>
        <v>1</v>
      </c>
      <c r="M172">
        <v>6</v>
      </c>
      <c r="N172">
        <v>6</v>
      </c>
      <c r="O172" s="32">
        <f t="shared" si="22"/>
        <v>0</v>
      </c>
      <c r="P172">
        <v>7</v>
      </c>
      <c r="Q172">
        <v>6</v>
      </c>
      <c r="R172" s="32">
        <f t="shared" si="23"/>
        <v>1</v>
      </c>
      <c r="S172">
        <v>6</v>
      </c>
      <c r="T172">
        <v>5</v>
      </c>
      <c r="U172" s="32">
        <f t="shared" si="24"/>
        <v>1</v>
      </c>
      <c r="V172">
        <v>6</v>
      </c>
      <c r="W172">
        <v>6</v>
      </c>
      <c r="X172" s="32">
        <f t="shared" si="25"/>
        <v>0</v>
      </c>
      <c r="Y172">
        <v>7</v>
      </c>
      <c r="Z172">
        <v>7</v>
      </c>
      <c r="AA172" s="32">
        <f t="shared" si="26"/>
        <v>0</v>
      </c>
    </row>
    <row r="173" spans="1:27" x14ac:dyDescent="0.45">
      <c r="A173">
        <v>6</v>
      </c>
      <c r="B173">
        <v>7</v>
      </c>
      <c r="C173" s="32">
        <f t="shared" si="18"/>
        <v>1</v>
      </c>
      <c r="D173">
        <v>6</v>
      </c>
      <c r="E173">
        <v>7</v>
      </c>
      <c r="F173" s="32">
        <f t="shared" si="19"/>
        <v>1</v>
      </c>
      <c r="G173">
        <v>8</v>
      </c>
      <c r="H173">
        <v>5</v>
      </c>
      <c r="I173" s="32">
        <f t="shared" si="20"/>
        <v>3</v>
      </c>
      <c r="J173">
        <v>8</v>
      </c>
      <c r="K173">
        <v>7</v>
      </c>
      <c r="L173" s="32">
        <f t="shared" si="21"/>
        <v>1</v>
      </c>
      <c r="M173">
        <v>6</v>
      </c>
      <c r="N173">
        <v>6</v>
      </c>
      <c r="O173" s="32">
        <f t="shared" si="22"/>
        <v>0</v>
      </c>
      <c r="P173">
        <v>7</v>
      </c>
      <c r="Q173">
        <v>6</v>
      </c>
      <c r="R173" s="32">
        <f t="shared" si="23"/>
        <v>1</v>
      </c>
      <c r="S173">
        <v>6</v>
      </c>
      <c r="T173">
        <v>5</v>
      </c>
      <c r="U173" s="32">
        <f t="shared" si="24"/>
        <v>1</v>
      </c>
      <c r="V173">
        <v>6</v>
      </c>
      <c r="W173">
        <v>6</v>
      </c>
      <c r="X173" s="32">
        <f t="shared" si="25"/>
        <v>0</v>
      </c>
      <c r="Y173">
        <v>7</v>
      </c>
      <c r="Z173">
        <v>7</v>
      </c>
      <c r="AA173" s="32">
        <f t="shared" si="26"/>
        <v>0</v>
      </c>
    </row>
    <row r="174" spans="1:27" x14ac:dyDescent="0.45">
      <c r="A174">
        <v>6</v>
      </c>
      <c r="B174">
        <v>7</v>
      </c>
      <c r="C174" s="32">
        <f t="shared" si="18"/>
        <v>1</v>
      </c>
      <c r="D174">
        <v>6</v>
      </c>
      <c r="E174">
        <v>7</v>
      </c>
      <c r="F174" s="32">
        <f t="shared" si="19"/>
        <v>1</v>
      </c>
      <c r="G174">
        <v>8</v>
      </c>
      <c r="H174">
        <v>6</v>
      </c>
      <c r="I174" s="32">
        <f t="shared" si="20"/>
        <v>2</v>
      </c>
      <c r="J174">
        <v>8</v>
      </c>
      <c r="K174">
        <v>7</v>
      </c>
      <c r="L174" s="32">
        <f t="shared" si="21"/>
        <v>1</v>
      </c>
      <c r="M174">
        <v>6</v>
      </c>
      <c r="N174">
        <v>6</v>
      </c>
      <c r="O174" s="32">
        <f t="shared" si="22"/>
        <v>0</v>
      </c>
      <c r="P174">
        <v>7</v>
      </c>
      <c r="Q174">
        <v>6</v>
      </c>
      <c r="R174" s="32">
        <f t="shared" si="23"/>
        <v>1</v>
      </c>
      <c r="S174">
        <v>6</v>
      </c>
      <c r="T174">
        <v>5</v>
      </c>
      <c r="U174" s="32">
        <f t="shared" si="24"/>
        <v>1</v>
      </c>
      <c r="V174">
        <v>6</v>
      </c>
      <c r="W174">
        <v>6</v>
      </c>
      <c r="X174" s="32">
        <f t="shared" si="25"/>
        <v>0</v>
      </c>
      <c r="Y174">
        <v>7</v>
      </c>
      <c r="Z174">
        <v>7</v>
      </c>
      <c r="AA174" s="32">
        <f t="shared" si="26"/>
        <v>0</v>
      </c>
    </row>
    <row r="175" spans="1:27" x14ac:dyDescent="0.45">
      <c r="A175">
        <v>6</v>
      </c>
      <c r="B175">
        <v>7</v>
      </c>
      <c r="C175" s="32">
        <f t="shared" si="18"/>
        <v>1</v>
      </c>
      <c r="D175">
        <v>6</v>
      </c>
      <c r="E175">
        <v>7</v>
      </c>
      <c r="F175" s="32">
        <f t="shared" si="19"/>
        <v>1</v>
      </c>
      <c r="G175">
        <v>8</v>
      </c>
      <c r="H175">
        <v>6</v>
      </c>
      <c r="I175" s="32">
        <f t="shared" si="20"/>
        <v>2</v>
      </c>
      <c r="J175">
        <v>8</v>
      </c>
      <c r="K175">
        <v>7</v>
      </c>
      <c r="L175" s="32">
        <f t="shared" si="21"/>
        <v>1</v>
      </c>
      <c r="M175">
        <v>6</v>
      </c>
      <c r="N175">
        <v>6</v>
      </c>
      <c r="O175" s="32">
        <f t="shared" si="22"/>
        <v>0</v>
      </c>
      <c r="P175">
        <v>7</v>
      </c>
      <c r="Q175">
        <v>7</v>
      </c>
      <c r="R175" s="32">
        <f t="shared" si="23"/>
        <v>0</v>
      </c>
      <c r="S175">
        <v>6</v>
      </c>
      <c r="T175">
        <v>5</v>
      </c>
      <c r="U175" s="32">
        <f t="shared" si="24"/>
        <v>1</v>
      </c>
      <c r="V175">
        <v>6</v>
      </c>
      <c r="W175">
        <v>6</v>
      </c>
      <c r="X175" s="32">
        <f t="shared" si="25"/>
        <v>0</v>
      </c>
      <c r="Y175">
        <v>7</v>
      </c>
      <c r="Z175">
        <v>7</v>
      </c>
      <c r="AA175" s="32">
        <f t="shared" si="26"/>
        <v>0</v>
      </c>
    </row>
    <row r="176" spans="1:27" x14ac:dyDescent="0.45">
      <c r="A176">
        <v>6</v>
      </c>
      <c r="B176">
        <v>7</v>
      </c>
      <c r="C176" s="32">
        <f t="shared" si="18"/>
        <v>1</v>
      </c>
      <c r="D176">
        <v>6</v>
      </c>
      <c r="E176">
        <v>7</v>
      </c>
      <c r="F176" s="32">
        <f t="shared" si="19"/>
        <v>1</v>
      </c>
      <c r="G176">
        <v>8</v>
      </c>
      <c r="H176">
        <v>6</v>
      </c>
      <c r="I176" s="32">
        <f t="shared" si="20"/>
        <v>2</v>
      </c>
      <c r="J176">
        <v>8</v>
      </c>
      <c r="K176">
        <v>7</v>
      </c>
      <c r="L176" s="32">
        <f t="shared" si="21"/>
        <v>1</v>
      </c>
      <c r="M176">
        <v>6</v>
      </c>
      <c r="N176">
        <v>6</v>
      </c>
      <c r="O176" s="32">
        <f t="shared" si="22"/>
        <v>0</v>
      </c>
      <c r="P176">
        <v>7</v>
      </c>
      <c r="Q176">
        <v>7</v>
      </c>
      <c r="R176" s="32">
        <f t="shared" si="23"/>
        <v>0</v>
      </c>
      <c r="S176">
        <v>6</v>
      </c>
      <c r="T176">
        <v>5</v>
      </c>
      <c r="U176" s="32">
        <f t="shared" si="24"/>
        <v>1</v>
      </c>
      <c r="V176">
        <v>6</v>
      </c>
      <c r="W176">
        <v>6</v>
      </c>
      <c r="X176" s="32">
        <f t="shared" si="25"/>
        <v>0</v>
      </c>
      <c r="Y176">
        <v>7</v>
      </c>
      <c r="Z176">
        <v>7</v>
      </c>
      <c r="AA176" s="32">
        <f t="shared" si="26"/>
        <v>0</v>
      </c>
    </row>
    <row r="177" spans="1:27" x14ac:dyDescent="0.45">
      <c r="A177">
        <v>6</v>
      </c>
      <c r="B177">
        <v>7</v>
      </c>
      <c r="C177" s="32">
        <f t="shared" si="18"/>
        <v>1</v>
      </c>
      <c r="D177">
        <v>6</v>
      </c>
      <c r="E177">
        <v>7</v>
      </c>
      <c r="F177" s="32">
        <f t="shared" si="19"/>
        <v>1</v>
      </c>
      <c r="G177">
        <v>8</v>
      </c>
      <c r="H177">
        <v>6</v>
      </c>
      <c r="I177" s="32">
        <f t="shared" si="20"/>
        <v>2</v>
      </c>
      <c r="J177">
        <v>8</v>
      </c>
      <c r="K177">
        <v>7</v>
      </c>
      <c r="L177" s="32">
        <f t="shared" si="21"/>
        <v>1</v>
      </c>
      <c r="M177">
        <v>6</v>
      </c>
      <c r="N177">
        <v>6</v>
      </c>
      <c r="O177" s="32">
        <f t="shared" si="22"/>
        <v>0</v>
      </c>
      <c r="P177">
        <v>7</v>
      </c>
      <c r="Q177">
        <v>7</v>
      </c>
      <c r="R177" s="32">
        <f t="shared" si="23"/>
        <v>0</v>
      </c>
      <c r="S177">
        <v>6</v>
      </c>
      <c r="T177">
        <v>5</v>
      </c>
      <c r="U177" s="32">
        <f t="shared" si="24"/>
        <v>1</v>
      </c>
      <c r="V177">
        <v>6</v>
      </c>
      <c r="W177">
        <v>6</v>
      </c>
      <c r="X177" s="32">
        <f t="shared" si="25"/>
        <v>0</v>
      </c>
      <c r="Y177">
        <v>7</v>
      </c>
      <c r="Z177">
        <v>7</v>
      </c>
      <c r="AA177" s="32">
        <f t="shared" si="26"/>
        <v>0</v>
      </c>
    </row>
    <row r="178" spans="1:27" x14ac:dyDescent="0.45">
      <c r="A178">
        <v>6</v>
      </c>
      <c r="B178">
        <v>7</v>
      </c>
      <c r="C178" s="32">
        <f t="shared" si="18"/>
        <v>1</v>
      </c>
      <c r="D178">
        <v>6</v>
      </c>
      <c r="E178">
        <v>7</v>
      </c>
      <c r="F178" s="32">
        <f t="shared" si="19"/>
        <v>1</v>
      </c>
      <c r="G178">
        <v>8</v>
      </c>
      <c r="H178">
        <v>6</v>
      </c>
      <c r="I178" s="32">
        <f t="shared" si="20"/>
        <v>2</v>
      </c>
      <c r="J178">
        <v>8</v>
      </c>
      <c r="K178">
        <v>7</v>
      </c>
      <c r="L178" s="32">
        <f t="shared" si="21"/>
        <v>1</v>
      </c>
      <c r="M178">
        <v>6</v>
      </c>
      <c r="N178">
        <v>6</v>
      </c>
      <c r="O178" s="32">
        <f t="shared" si="22"/>
        <v>0</v>
      </c>
      <c r="P178">
        <v>7</v>
      </c>
      <c r="Q178">
        <v>7</v>
      </c>
      <c r="R178" s="32">
        <f t="shared" si="23"/>
        <v>0</v>
      </c>
      <c r="S178">
        <v>6</v>
      </c>
      <c r="T178">
        <v>5</v>
      </c>
      <c r="U178" s="32">
        <f t="shared" si="24"/>
        <v>1</v>
      </c>
      <c r="V178">
        <v>6</v>
      </c>
      <c r="W178">
        <v>6</v>
      </c>
      <c r="X178" s="32">
        <f t="shared" si="25"/>
        <v>0</v>
      </c>
      <c r="Y178">
        <v>7</v>
      </c>
      <c r="Z178">
        <v>7</v>
      </c>
      <c r="AA178" s="32">
        <f t="shared" si="26"/>
        <v>0</v>
      </c>
    </row>
    <row r="179" spans="1:27" x14ac:dyDescent="0.45">
      <c r="A179">
        <v>6</v>
      </c>
      <c r="B179">
        <v>7</v>
      </c>
      <c r="C179" s="32">
        <f t="shared" si="18"/>
        <v>1</v>
      </c>
      <c r="D179">
        <v>6</v>
      </c>
      <c r="E179">
        <v>7</v>
      </c>
      <c r="F179" s="32">
        <f t="shared" si="19"/>
        <v>1</v>
      </c>
      <c r="G179">
        <v>8</v>
      </c>
      <c r="H179">
        <v>6</v>
      </c>
      <c r="I179" s="32">
        <f t="shared" si="20"/>
        <v>2</v>
      </c>
      <c r="J179">
        <v>8</v>
      </c>
      <c r="K179">
        <v>7</v>
      </c>
      <c r="L179" s="32">
        <f t="shared" si="21"/>
        <v>1</v>
      </c>
      <c r="M179">
        <v>6</v>
      </c>
      <c r="N179">
        <v>6</v>
      </c>
      <c r="O179" s="32">
        <f t="shared" si="22"/>
        <v>0</v>
      </c>
      <c r="P179">
        <v>7</v>
      </c>
      <c r="Q179">
        <v>7</v>
      </c>
      <c r="R179" s="32">
        <f t="shared" si="23"/>
        <v>0</v>
      </c>
      <c r="S179">
        <v>6</v>
      </c>
      <c r="T179">
        <v>5</v>
      </c>
      <c r="U179" s="32">
        <f t="shared" si="24"/>
        <v>1</v>
      </c>
      <c r="V179">
        <v>6</v>
      </c>
      <c r="W179">
        <v>6</v>
      </c>
      <c r="X179" s="32">
        <f t="shared" si="25"/>
        <v>0</v>
      </c>
      <c r="Y179">
        <v>7</v>
      </c>
      <c r="Z179">
        <v>7</v>
      </c>
      <c r="AA179" s="32">
        <f t="shared" si="26"/>
        <v>0</v>
      </c>
    </row>
    <row r="180" spans="1:27" x14ac:dyDescent="0.45">
      <c r="A180">
        <v>6</v>
      </c>
      <c r="B180">
        <v>7</v>
      </c>
      <c r="C180" s="32">
        <f t="shared" si="18"/>
        <v>1</v>
      </c>
      <c r="D180">
        <v>6</v>
      </c>
      <c r="E180">
        <v>7</v>
      </c>
      <c r="F180" s="32">
        <f t="shared" si="19"/>
        <v>1</v>
      </c>
      <c r="G180">
        <v>8</v>
      </c>
      <c r="H180">
        <v>6</v>
      </c>
      <c r="I180" s="32">
        <f t="shared" si="20"/>
        <v>2</v>
      </c>
      <c r="J180">
        <v>8</v>
      </c>
      <c r="K180">
        <v>7</v>
      </c>
      <c r="L180" s="32">
        <f t="shared" si="21"/>
        <v>1</v>
      </c>
      <c r="M180">
        <v>6</v>
      </c>
      <c r="N180">
        <v>6</v>
      </c>
      <c r="O180" s="32">
        <f t="shared" si="22"/>
        <v>0</v>
      </c>
      <c r="P180">
        <v>7</v>
      </c>
      <c r="Q180">
        <v>7</v>
      </c>
      <c r="R180" s="32">
        <f t="shared" si="23"/>
        <v>0</v>
      </c>
      <c r="S180">
        <v>6</v>
      </c>
      <c r="T180">
        <v>5</v>
      </c>
      <c r="U180" s="32">
        <f t="shared" si="24"/>
        <v>1</v>
      </c>
      <c r="V180">
        <v>6</v>
      </c>
      <c r="W180">
        <v>6</v>
      </c>
      <c r="X180" s="32">
        <f t="shared" si="25"/>
        <v>0</v>
      </c>
      <c r="Y180">
        <v>7</v>
      </c>
      <c r="Z180">
        <v>7</v>
      </c>
      <c r="AA180" s="32">
        <f t="shared" si="26"/>
        <v>0</v>
      </c>
    </row>
    <row r="181" spans="1:27" x14ac:dyDescent="0.45">
      <c r="A181">
        <v>6</v>
      </c>
      <c r="B181">
        <v>7</v>
      </c>
      <c r="C181" s="32">
        <f t="shared" si="18"/>
        <v>1</v>
      </c>
      <c r="D181">
        <v>6</v>
      </c>
      <c r="E181">
        <v>7</v>
      </c>
      <c r="F181" s="32">
        <f t="shared" si="19"/>
        <v>1</v>
      </c>
      <c r="G181">
        <v>8</v>
      </c>
      <c r="H181">
        <v>6</v>
      </c>
      <c r="I181" s="32">
        <f t="shared" si="20"/>
        <v>2</v>
      </c>
      <c r="J181">
        <v>8</v>
      </c>
      <c r="K181">
        <v>7</v>
      </c>
      <c r="L181" s="32">
        <f t="shared" si="21"/>
        <v>1</v>
      </c>
      <c r="M181">
        <v>6</v>
      </c>
      <c r="N181">
        <v>6</v>
      </c>
      <c r="O181" s="32">
        <f t="shared" si="22"/>
        <v>0</v>
      </c>
      <c r="P181">
        <v>7</v>
      </c>
      <c r="Q181">
        <v>7</v>
      </c>
      <c r="R181" s="32">
        <f t="shared" si="23"/>
        <v>0</v>
      </c>
      <c r="S181">
        <v>6</v>
      </c>
      <c r="T181">
        <v>5</v>
      </c>
      <c r="U181" s="32">
        <f t="shared" si="24"/>
        <v>1</v>
      </c>
      <c r="V181">
        <v>6</v>
      </c>
      <c r="W181">
        <v>6</v>
      </c>
      <c r="X181" s="32">
        <f t="shared" si="25"/>
        <v>0</v>
      </c>
      <c r="Y181">
        <v>7</v>
      </c>
      <c r="Z181">
        <v>7</v>
      </c>
      <c r="AA181" s="32">
        <f t="shared" si="26"/>
        <v>0</v>
      </c>
    </row>
    <row r="182" spans="1:27" x14ac:dyDescent="0.45">
      <c r="A182">
        <v>6</v>
      </c>
      <c r="B182">
        <v>7</v>
      </c>
      <c r="C182" s="32">
        <f t="shared" si="18"/>
        <v>1</v>
      </c>
      <c r="D182">
        <v>6</v>
      </c>
      <c r="E182">
        <v>7</v>
      </c>
      <c r="F182" s="32">
        <f t="shared" si="19"/>
        <v>1</v>
      </c>
      <c r="G182">
        <v>8</v>
      </c>
      <c r="H182">
        <v>6</v>
      </c>
      <c r="I182" s="32">
        <f t="shared" si="20"/>
        <v>2</v>
      </c>
      <c r="J182">
        <v>8</v>
      </c>
      <c r="K182">
        <v>7</v>
      </c>
      <c r="L182" s="32">
        <f t="shared" si="21"/>
        <v>1</v>
      </c>
      <c r="M182">
        <v>6</v>
      </c>
      <c r="N182">
        <v>6</v>
      </c>
      <c r="O182" s="32">
        <f t="shared" si="22"/>
        <v>0</v>
      </c>
      <c r="P182">
        <v>7</v>
      </c>
      <c r="Q182">
        <v>7</v>
      </c>
      <c r="R182" s="32">
        <f t="shared" si="23"/>
        <v>0</v>
      </c>
      <c r="S182">
        <v>6</v>
      </c>
      <c r="T182">
        <v>5</v>
      </c>
      <c r="U182" s="32">
        <f t="shared" si="24"/>
        <v>1</v>
      </c>
      <c r="V182">
        <v>6</v>
      </c>
      <c r="W182">
        <v>6</v>
      </c>
      <c r="X182" s="32">
        <f t="shared" si="25"/>
        <v>0</v>
      </c>
      <c r="Y182">
        <v>7</v>
      </c>
      <c r="Z182">
        <v>7</v>
      </c>
      <c r="AA182" s="32">
        <f t="shared" si="26"/>
        <v>0</v>
      </c>
    </row>
    <row r="183" spans="1:27" x14ac:dyDescent="0.45">
      <c r="A183">
        <v>6</v>
      </c>
      <c r="B183">
        <v>7</v>
      </c>
      <c r="C183" s="32">
        <f t="shared" si="18"/>
        <v>1</v>
      </c>
      <c r="D183">
        <v>6</v>
      </c>
      <c r="E183">
        <v>7</v>
      </c>
      <c r="F183" s="32">
        <f t="shared" si="19"/>
        <v>1</v>
      </c>
      <c r="G183">
        <v>8</v>
      </c>
      <c r="H183">
        <v>6</v>
      </c>
      <c r="I183" s="32">
        <f t="shared" si="20"/>
        <v>2</v>
      </c>
      <c r="J183">
        <v>8</v>
      </c>
      <c r="K183">
        <v>7</v>
      </c>
      <c r="L183" s="32">
        <f t="shared" si="21"/>
        <v>1</v>
      </c>
      <c r="M183">
        <v>6</v>
      </c>
      <c r="N183">
        <v>6</v>
      </c>
      <c r="O183" s="32">
        <f t="shared" si="22"/>
        <v>0</v>
      </c>
      <c r="P183">
        <v>7</v>
      </c>
      <c r="Q183">
        <v>7</v>
      </c>
      <c r="R183" s="32">
        <f t="shared" si="23"/>
        <v>0</v>
      </c>
      <c r="S183">
        <v>6</v>
      </c>
      <c r="T183">
        <v>5</v>
      </c>
      <c r="U183" s="32">
        <f t="shared" si="24"/>
        <v>1</v>
      </c>
      <c r="V183">
        <v>6</v>
      </c>
      <c r="W183">
        <v>6</v>
      </c>
      <c r="X183" s="32">
        <f t="shared" si="25"/>
        <v>0</v>
      </c>
      <c r="Y183">
        <v>7</v>
      </c>
      <c r="Z183">
        <v>7</v>
      </c>
      <c r="AA183" s="32">
        <f t="shared" si="26"/>
        <v>0</v>
      </c>
    </row>
    <row r="184" spans="1:27" x14ac:dyDescent="0.45">
      <c r="A184">
        <v>6</v>
      </c>
      <c r="B184">
        <v>7</v>
      </c>
      <c r="C184" s="32">
        <f t="shared" si="18"/>
        <v>1</v>
      </c>
      <c r="D184">
        <v>6</v>
      </c>
      <c r="E184">
        <v>7</v>
      </c>
      <c r="F184" s="32">
        <f t="shared" si="19"/>
        <v>1</v>
      </c>
      <c r="G184">
        <v>8</v>
      </c>
      <c r="H184">
        <v>6</v>
      </c>
      <c r="I184" s="32">
        <f t="shared" si="20"/>
        <v>2</v>
      </c>
      <c r="J184">
        <v>8</v>
      </c>
      <c r="K184">
        <v>7</v>
      </c>
      <c r="L184" s="32">
        <f t="shared" si="21"/>
        <v>1</v>
      </c>
      <c r="M184">
        <v>6</v>
      </c>
      <c r="N184">
        <v>6</v>
      </c>
      <c r="O184" s="32">
        <f t="shared" si="22"/>
        <v>0</v>
      </c>
      <c r="P184">
        <v>7</v>
      </c>
      <c r="Q184">
        <v>7</v>
      </c>
      <c r="R184" s="32">
        <f t="shared" si="23"/>
        <v>0</v>
      </c>
      <c r="S184">
        <v>6</v>
      </c>
      <c r="T184">
        <v>5</v>
      </c>
      <c r="U184" s="32">
        <f t="shared" si="24"/>
        <v>1</v>
      </c>
      <c r="V184">
        <v>6</v>
      </c>
      <c r="W184">
        <v>6</v>
      </c>
      <c r="X184" s="32">
        <f t="shared" si="25"/>
        <v>0</v>
      </c>
      <c r="Y184">
        <v>7</v>
      </c>
      <c r="Z184">
        <v>7</v>
      </c>
      <c r="AA184" s="32">
        <f t="shared" si="26"/>
        <v>0</v>
      </c>
    </row>
    <row r="185" spans="1:27" x14ac:dyDescent="0.45">
      <c r="A185">
        <v>6</v>
      </c>
      <c r="B185">
        <v>7</v>
      </c>
      <c r="C185" s="32">
        <f t="shared" si="18"/>
        <v>1</v>
      </c>
      <c r="D185">
        <v>6</v>
      </c>
      <c r="E185">
        <v>7</v>
      </c>
      <c r="F185" s="32">
        <f t="shared" si="19"/>
        <v>1</v>
      </c>
      <c r="G185">
        <v>8</v>
      </c>
      <c r="H185">
        <v>6</v>
      </c>
      <c r="I185" s="32">
        <f t="shared" si="20"/>
        <v>2</v>
      </c>
      <c r="J185">
        <v>8</v>
      </c>
      <c r="K185">
        <v>7</v>
      </c>
      <c r="L185" s="32">
        <f t="shared" si="21"/>
        <v>1</v>
      </c>
      <c r="M185">
        <v>6</v>
      </c>
      <c r="N185">
        <v>6</v>
      </c>
      <c r="O185" s="32">
        <f t="shared" si="22"/>
        <v>0</v>
      </c>
      <c r="P185">
        <v>7</v>
      </c>
      <c r="Q185">
        <v>7</v>
      </c>
      <c r="R185" s="32">
        <f t="shared" si="23"/>
        <v>0</v>
      </c>
      <c r="S185">
        <v>6</v>
      </c>
      <c r="T185">
        <v>5</v>
      </c>
      <c r="U185" s="32">
        <f t="shared" si="24"/>
        <v>1</v>
      </c>
      <c r="V185">
        <v>6</v>
      </c>
      <c r="W185">
        <v>6</v>
      </c>
      <c r="X185" s="32">
        <f t="shared" si="25"/>
        <v>0</v>
      </c>
      <c r="Y185">
        <v>7</v>
      </c>
      <c r="Z185">
        <v>7</v>
      </c>
      <c r="AA185" s="32">
        <f t="shared" si="26"/>
        <v>0</v>
      </c>
    </row>
    <row r="186" spans="1:27" x14ac:dyDescent="0.45">
      <c r="A186">
        <v>6</v>
      </c>
      <c r="B186">
        <v>7</v>
      </c>
      <c r="C186" s="32">
        <f t="shared" si="18"/>
        <v>1</v>
      </c>
      <c r="D186">
        <v>6</v>
      </c>
      <c r="E186">
        <v>7</v>
      </c>
      <c r="F186" s="32">
        <f t="shared" si="19"/>
        <v>1</v>
      </c>
      <c r="G186">
        <v>8</v>
      </c>
      <c r="H186">
        <v>6</v>
      </c>
      <c r="I186" s="32">
        <f t="shared" si="20"/>
        <v>2</v>
      </c>
      <c r="J186">
        <v>8</v>
      </c>
      <c r="K186">
        <v>7</v>
      </c>
      <c r="L186" s="32">
        <f t="shared" si="21"/>
        <v>1</v>
      </c>
      <c r="M186">
        <v>6</v>
      </c>
      <c r="N186">
        <v>6</v>
      </c>
      <c r="O186" s="32">
        <f t="shared" si="22"/>
        <v>0</v>
      </c>
      <c r="P186">
        <v>7</v>
      </c>
      <c r="Q186">
        <v>7</v>
      </c>
      <c r="R186" s="32">
        <f t="shared" si="23"/>
        <v>0</v>
      </c>
      <c r="S186">
        <v>6</v>
      </c>
      <c r="T186">
        <v>5</v>
      </c>
      <c r="U186" s="32">
        <f t="shared" si="24"/>
        <v>1</v>
      </c>
      <c r="V186">
        <v>6</v>
      </c>
      <c r="W186">
        <v>6</v>
      </c>
      <c r="X186" s="32">
        <f t="shared" si="25"/>
        <v>0</v>
      </c>
      <c r="Y186">
        <v>7</v>
      </c>
      <c r="Z186">
        <v>7</v>
      </c>
      <c r="AA186" s="32">
        <f t="shared" si="26"/>
        <v>0</v>
      </c>
    </row>
    <row r="187" spans="1:27" x14ac:dyDescent="0.45">
      <c r="A187">
        <v>6</v>
      </c>
      <c r="B187">
        <v>7</v>
      </c>
      <c r="C187" s="32">
        <f t="shared" si="18"/>
        <v>1</v>
      </c>
      <c r="D187">
        <v>6</v>
      </c>
      <c r="E187">
        <v>7</v>
      </c>
      <c r="F187" s="32">
        <f t="shared" si="19"/>
        <v>1</v>
      </c>
      <c r="G187">
        <v>8</v>
      </c>
      <c r="H187">
        <v>6</v>
      </c>
      <c r="I187" s="32">
        <f t="shared" si="20"/>
        <v>2</v>
      </c>
      <c r="J187">
        <v>8</v>
      </c>
      <c r="K187">
        <v>7</v>
      </c>
      <c r="L187" s="32">
        <f t="shared" si="21"/>
        <v>1</v>
      </c>
      <c r="M187">
        <v>6</v>
      </c>
      <c r="N187">
        <v>6</v>
      </c>
      <c r="O187" s="32">
        <f t="shared" si="22"/>
        <v>0</v>
      </c>
      <c r="P187">
        <v>7</v>
      </c>
      <c r="Q187">
        <v>7</v>
      </c>
      <c r="R187" s="32">
        <f t="shared" si="23"/>
        <v>0</v>
      </c>
      <c r="S187">
        <v>6</v>
      </c>
      <c r="T187">
        <v>5</v>
      </c>
      <c r="U187" s="32">
        <f t="shared" si="24"/>
        <v>1</v>
      </c>
      <c r="V187">
        <v>6</v>
      </c>
      <c r="W187">
        <v>6</v>
      </c>
      <c r="X187" s="32">
        <f t="shared" si="25"/>
        <v>0</v>
      </c>
      <c r="Y187">
        <v>7</v>
      </c>
      <c r="Z187">
        <v>7</v>
      </c>
      <c r="AA187" s="32">
        <f t="shared" si="26"/>
        <v>0</v>
      </c>
    </row>
    <row r="188" spans="1:27" x14ac:dyDescent="0.45">
      <c r="A188">
        <v>6</v>
      </c>
      <c r="B188">
        <v>7</v>
      </c>
      <c r="C188" s="32">
        <f t="shared" si="18"/>
        <v>1</v>
      </c>
      <c r="D188">
        <v>6</v>
      </c>
      <c r="E188">
        <v>7</v>
      </c>
      <c r="F188" s="32">
        <f t="shared" si="19"/>
        <v>1</v>
      </c>
      <c r="G188">
        <v>8</v>
      </c>
      <c r="H188">
        <v>6</v>
      </c>
      <c r="I188" s="32">
        <f t="shared" si="20"/>
        <v>2</v>
      </c>
      <c r="J188">
        <v>8</v>
      </c>
      <c r="K188">
        <v>7</v>
      </c>
      <c r="L188" s="32">
        <f t="shared" si="21"/>
        <v>1</v>
      </c>
      <c r="M188">
        <v>6</v>
      </c>
      <c r="N188">
        <v>6</v>
      </c>
      <c r="O188" s="32">
        <f t="shared" si="22"/>
        <v>0</v>
      </c>
      <c r="P188">
        <v>7</v>
      </c>
      <c r="Q188">
        <v>7</v>
      </c>
      <c r="R188" s="32">
        <f t="shared" si="23"/>
        <v>0</v>
      </c>
      <c r="S188">
        <v>6</v>
      </c>
      <c r="T188">
        <v>6</v>
      </c>
      <c r="U188" s="32">
        <f t="shared" si="24"/>
        <v>0</v>
      </c>
      <c r="V188">
        <v>6</v>
      </c>
      <c r="W188">
        <v>6</v>
      </c>
      <c r="X188" s="32">
        <f t="shared" si="25"/>
        <v>0</v>
      </c>
      <c r="Y188">
        <v>7</v>
      </c>
      <c r="Z188">
        <v>7</v>
      </c>
      <c r="AA188" s="32">
        <f t="shared" si="26"/>
        <v>0</v>
      </c>
    </row>
    <row r="189" spans="1:27" x14ac:dyDescent="0.45">
      <c r="A189">
        <v>6</v>
      </c>
      <c r="B189">
        <v>7</v>
      </c>
      <c r="C189" s="32">
        <f t="shared" si="18"/>
        <v>1</v>
      </c>
      <c r="D189">
        <v>6</v>
      </c>
      <c r="E189">
        <v>7</v>
      </c>
      <c r="F189" s="32">
        <f t="shared" si="19"/>
        <v>1</v>
      </c>
      <c r="G189">
        <v>8</v>
      </c>
      <c r="H189">
        <v>6</v>
      </c>
      <c r="I189" s="32">
        <f t="shared" si="20"/>
        <v>2</v>
      </c>
      <c r="J189">
        <v>8</v>
      </c>
      <c r="K189">
        <v>7</v>
      </c>
      <c r="L189" s="32">
        <f t="shared" si="21"/>
        <v>1</v>
      </c>
      <c r="M189">
        <v>6</v>
      </c>
      <c r="N189">
        <v>6</v>
      </c>
      <c r="O189" s="32">
        <f t="shared" si="22"/>
        <v>0</v>
      </c>
      <c r="P189">
        <v>7</v>
      </c>
      <c r="Q189">
        <v>7</v>
      </c>
      <c r="R189" s="32">
        <f t="shared" si="23"/>
        <v>0</v>
      </c>
      <c r="S189">
        <v>6</v>
      </c>
      <c r="T189">
        <v>6</v>
      </c>
      <c r="U189" s="32">
        <f t="shared" si="24"/>
        <v>0</v>
      </c>
      <c r="V189">
        <v>6</v>
      </c>
      <c r="W189">
        <v>6</v>
      </c>
      <c r="X189" s="32">
        <f t="shared" si="25"/>
        <v>0</v>
      </c>
      <c r="Y189">
        <v>7</v>
      </c>
      <c r="Z189">
        <v>7</v>
      </c>
      <c r="AA189" s="32">
        <f t="shared" si="26"/>
        <v>0</v>
      </c>
    </row>
    <row r="190" spans="1:27" x14ac:dyDescent="0.45">
      <c r="A190">
        <v>6</v>
      </c>
      <c r="B190">
        <v>7</v>
      </c>
      <c r="C190" s="32">
        <f t="shared" si="18"/>
        <v>1</v>
      </c>
      <c r="D190">
        <v>6</v>
      </c>
      <c r="E190">
        <v>7</v>
      </c>
      <c r="F190" s="32">
        <f t="shared" si="19"/>
        <v>1</v>
      </c>
      <c r="G190">
        <v>8</v>
      </c>
      <c r="H190">
        <v>6</v>
      </c>
      <c r="I190" s="32">
        <f t="shared" si="20"/>
        <v>2</v>
      </c>
      <c r="J190">
        <v>8</v>
      </c>
      <c r="K190">
        <v>7</v>
      </c>
      <c r="L190" s="32">
        <f t="shared" si="21"/>
        <v>1</v>
      </c>
      <c r="M190">
        <v>6</v>
      </c>
      <c r="N190">
        <v>6</v>
      </c>
      <c r="O190" s="32">
        <f t="shared" si="22"/>
        <v>0</v>
      </c>
      <c r="P190">
        <v>7</v>
      </c>
      <c r="Q190">
        <v>7</v>
      </c>
      <c r="R190" s="32">
        <f t="shared" si="23"/>
        <v>0</v>
      </c>
      <c r="S190">
        <v>6</v>
      </c>
      <c r="T190">
        <v>6</v>
      </c>
      <c r="U190" s="32">
        <f t="shared" si="24"/>
        <v>0</v>
      </c>
      <c r="V190">
        <v>6</v>
      </c>
      <c r="W190">
        <v>6</v>
      </c>
      <c r="X190" s="32">
        <f t="shared" si="25"/>
        <v>0</v>
      </c>
      <c r="Y190">
        <v>7</v>
      </c>
      <c r="Z190">
        <v>7</v>
      </c>
      <c r="AA190" s="32">
        <f t="shared" si="26"/>
        <v>0</v>
      </c>
    </row>
    <row r="191" spans="1:27" x14ac:dyDescent="0.45">
      <c r="A191">
        <v>6</v>
      </c>
      <c r="B191">
        <v>7</v>
      </c>
      <c r="C191" s="32">
        <f t="shared" si="18"/>
        <v>1</v>
      </c>
      <c r="D191">
        <v>6</v>
      </c>
      <c r="E191">
        <v>7</v>
      </c>
      <c r="F191" s="32">
        <f t="shared" si="19"/>
        <v>1</v>
      </c>
      <c r="G191">
        <v>8</v>
      </c>
      <c r="H191">
        <v>6</v>
      </c>
      <c r="I191" s="32">
        <f t="shared" si="20"/>
        <v>2</v>
      </c>
      <c r="J191">
        <v>8</v>
      </c>
      <c r="K191">
        <v>7</v>
      </c>
      <c r="L191" s="32">
        <f t="shared" si="21"/>
        <v>1</v>
      </c>
      <c r="M191">
        <v>6</v>
      </c>
      <c r="N191">
        <v>6</v>
      </c>
      <c r="O191" s="32">
        <f t="shared" si="22"/>
        <v>0</v>
      </c>
      <c r="P191">
        <v>7</v>
      </c>
      <c r="Q191">
        <v>7</v>
      </c>
      <c r="R191" s="32">
        <f t="shared" si="23"/>
        <v>0</v>
      </c>
      <c r="S191">
        <v>6</v>
      </c>
      <c r="T191">
        <v>6</v>
      </c>
      <c r="U191" s="32">
        <f t="shared" si="24"/>
        <v>0</v>
      </c>
      <c r="V191">
        <v>6</v>
      </c>
      <c r="W191">
        <v>6</v>
      </c>
      <c r="X191" s="32">
        <f t="shared" si="25"/>
        <v>0</v>
      </c>
      <c r="Y191">
        <v>7</v>
      </c>
      <c r="Z191">
        <v>7</v>
      </c>
      <c r="AA191" s="32">
        <f t="shared" si="26"/>
        <v>0</v>
      </c>
    </row>
    <row r="192" spans="1:27" x14ac:dyDescent="0.45">
      <c r="A192">
        <v>6</v>
      </c>
      <c r="B192">
        <v>7</v>
      </c>
      <c r="C192" s="32">
        <f t="shared" si="18"/>
        <v>1</v>
      </c>
      <c r="D192">
        <v>6</v>
      </c>
      <c r="E192">
        <v>7</v>
      </c>
      <c r="F192" s="32">
        <f t="shared" si="19"/>
        <v>1</v>
      </c>
      <c r="G192">
        <v>8</v>
      </c>
      <c r="H192">
        <v>6</v>
      </c>
      <c r="I192" s="32">
        <f t="shared" si="20"/>
        <v>2</v>
      </c>
      <c r="J192">
        <v>8</v>
      </c>
      <c r="K192">
        <v>7</v>
      </c>
      <c r="L192" s="32">
        <f t="shared" si="21"/>
        <v>1</v>
      </c>
      <c r="M192">
        <v>6</v>
      </c>
      <c r="N192">
        <v>6</v>
      </c>
      <c r="O192" s="32">
        <f t="shared" si="22"/>
        <v>0</v>
      </c>
      <c r="P192">
        <v>7</v>
      </c>
      <c r="Q192">
        <v>7</v>
      </c>
      <c r="R192" s="32">
        <f t="shared" si="23"/>
        <v>0</v>
      </c>
      <c r="S192">
        <v>6</v>
      </c>
      <c r="T192">
        <v>6</v>
      </c>
      <c r="U192" s="32">
        <f t="shared" si="24"/>
        <v>0</v>
      </c>
      <c r="V192">
        <v>6</v>
      </c>
      <c r="W192">
        <v>6</v>
      </c>
      <c r="X192" s="32">
        <f t="shared" si="25"/>
        <v>0</v>
      </c>
      <c r="Y192">
        <v>7</v>
      </c>
      <c r="Z192">
        <v>7</v>
      </c>
      <c r="AA192" s="32">
        <f t="shared" si="26"/>
        <v>0</v>
      </c>
    </row>
    <row r="193" spans="1:27" x14ac:dyDescent="0.45">
      <c r="A193">
        <v>6</v>
      </c>
      <c r="B193">
        <v>7</v>
      </c>
      <c r="C193" s="32">
        <f t="shared" si="18"/>
        <v>1</v>
      </c>
      <c r="D193">
        <v>6</v>
      </c>
      <c r="E193">
        <v>7</v>
      </c>
      <c r="F193" s="32">
        <f t="shared" si="19"/>
        <v>1</v>
      </c>
      <c r="G193">
        <v>8</v>
      </c>
      <c r="H193">
        <v>6</v>
      </c>
      <c r="I193" s="32">
        <f t="shared" si="20"/>
        <v>2</v>
      </c>
      <c r="J193">
        <v>8</v>
      </c>
      <c r="K193">
        <v>7</v>
      </c>
      <c r="L193" s="32">
        <f t="shared" si="21"/>
        <v>1</v>
      </c>
      <c r="M193">
        <v>6</v>
      </c>
      <c r="N193">
        <v>6</v>
      </c>
      <c r="O193" s="32">
        <f t="shared" si="22"/>
        <v>0</v>
      </c>
      <c r="P193">
        <v>7</v>
      </c>
      <c r="Q193">
        <v>7</v>
      </c>
      <c r="R193" s="32">
        <f t="shared" si="23"/>
        <v>0</v>
      </c>
      <c r="S193">
        <v>6</v>
      </c>
      <c r="T193">
        <v>6</v>
      </c>
      <c r="U193" s="32">
        <f t="shared" si="24"/>
        <v>0</v>
      </c>
      <c r="V193">
        <v>6</v>
      </c>
      <c r="W193">
        <v>6</v>
      </c>
      <c r="X193" s="32">
        <f t="shared" si="25"/>
        <v>0</v>
      </c>
      <c r="Y193">
        <v>7</v>
      </c>
      <c r="Z193">
        <v>7</v>
      </c>
      <c r="AA193" s="32">
        <f t="shared" si="26"/>
        <v>0</v>
      </c>
    </row>
    <row r="194" spans="1:27" x14ac:dyDescent="0.45">
      <c r="A194">
        <v>6</v>
      </c>
      <c r="B194">
        <v>7</v>
      </c>
      <c r="C194" s="32">
        <f t="shared" si="18"/>
        <v>1</v>
      </c>
      <c r="D194">
        <v>6</v>
      </c>
      <c r="E194">
        <v>7</v>
      </c>
      <c r="F194" s="32">
        <f t="shared" si="19"/>
        <v>1</v>
      </c>
      <c r="G194">
        <v>8</v>
      </c>
      <c r="H194">
        <v>6</v>
      </c>
      <c r="I194" s="32">
        <f t="shared" si="20"/>
        <v>2</v>
      </c>
      <c r="J194">
        <v>8</v>
      </c>
      <c r="K194">
        <v>7</v>
      </c>
      <c r="L194" s="32">
        <f t="shared" si="21"/>
        <v>1</v>
      </c>
      <c r="M194">
        <v>6</v>
      </c>
      <c r="N194">
        <v>6</v>
      </c>
      <c r="O194" s="32">
        <f t="shared" si="22"/>
        <v>0</v>
      </c>
      <c r="P194">
        <v>7</v>
      </c>
      <c r="Q194">
        <v>7</v>
      </c>
      <c r="R194" s="32">
        <f t="shared" si="23"/>
        <v>0</v>
      </c>
      <c r="S194">
        <v>6</v>
      </c>
      <c r="T194">
        <v>6</v>
      </c>
      <c r="U194" s="32">
        <f t="shared" si="24"/>
        <v>0</v>
      </c>
      <c r="V194">
        <v>6</v>
      </c>
      <c r="W194">
        <v>6</v>
      </c>
      <c r="X194" s="32">
        <f t="shared" si="25"/>
        <v>0</v>
      </c>
      <c r="Y194">
        <v>7</v>
      </c>
      <c r="Z194">
        <v>7</v>
      </c>
      <c r="AA194" s="32">
        <f t="shared" si="26"/>
        <v>0</v>
      </c>
    </row>
    <row r="195" spans="1:27" x14ac:dyDescent="0.45">
      <c r="A195">
        <v>6</v>
      </c>
      <c r="B195">
        <v>7</v>
      </c>
      <c r="C195" s="32">
        <f t="shared" ref="C195:C258" si="27">ABS(B195-A195)</f>
        <v>1</v>
      </c>
      <c r="D195">
        <v>6</v>
      </c>
      <c r="E195">
        <v>7</v>
      </c>
      <c r="F195" s="32">
        <f t="shared" ref="F195:F258" si="28">ABS(E195-D195)</f>
        <v>1</v>
      </c>
      <c r="G195">
        <v>8</v>
      </c>
      <c r="H195">
        <v>6</v>
      </c>
      <c r="I195" s="32">
        <f t="shared" ref="I195:I258" si="29">ABS(H195-G195)</f>
        <v>2</v>
      </c>
      <c r="J195">
        <v>8</v>
      </c>
      <c r="K195">
        <v>7</v>
      </c>
      <c r="L195" s="32">
        <f t="shared" ref="L195:L258" si="30">ABS(K195-J195)</f>
        <v>1</v>
      </c>
      <c r="M195">
        <v>6</v>
      </c>
      <c r="N195">
        <v>6</v>
      </c>
      <c r="O195" s="32">
        <f t="shared" ref="O195:O258" si="31">ABS(N195-M195)</f>
        <v>0</v>
      </c>
      <c r="P195">
        <v>7</v>
      </c>
      <c r="Q195">
        <v>7</v>
      </c>
      <c r="R195" s="32">
        <f t="shared" ref="R195:R258" si="32">ABS(Q195-P195)</f>
        <v>0</v>
      </c>
      <c r="S195">
        <v>6</v>
      </c>
      <c r="T195">
        <v>6</v>
      </c>
      <c r="U195" s="32">
        <f t="shared" ref="U195:U258" si="33">ABS(T195-S195)</f>
        <v>0</v>
      </c>
      <c r="V195">
        <v>6</v>
      </c>
      <c r="W195">
        <v>6</v>
      </c>
      <c r="X195" s="32">
        <f t="shared" ref="X195:X258" si="34">ABS(W195-V195)</f>
        <v>0</v>
      </c>
      <c r="Y195">
        <v>7</v>
      </c>
      <c r="Z195">
        <v>7</v>
      </c>
      <c r="AA195" s="32">
        <f t="shared" ref="AA195:AA258" si="35">ABS(Z195-Y195)</f>
        <v>0</v>
      </c>
    </row>
    <row r="196" spans="1:27" x14ac:dyDescent="0.45">
      <c r="A196">
        <v>6</v>
      </c>
      <c r="B196">
        <v>7</v>
      </c>
      <c r="C196" s="32">
        <f t="shared" si="27"/>
        <v>1</v>
      </c>
      <c r="D196">
        <v>6</v>
      </c>
      <c r="E196">
        <v>7</v>
      </c>
      <c r="F196" s="32">
        <f t="shared" si="28"/>
        <v>1</v>
      </c>
      <c r="G196">
        <v>8</v>
      </c>
      <c r="H196">
        <v>6</v>
      </c>
      <c r="I196" s="32">
        <f t="shared" si="29"/>
        <v>2</v>
      </c>
      <c r="J196">
        <v>8</v>
      </c>
      <c r="K196">
        <v>7</v>
      </c>
      <c r="L196" s="32">
        <f t="shared" si="30"/>
        <v>1</v>
      </c>
      <c r="M196">
        <v>6</v>
      </c>
      <c r="N196">
        <v>6</v>
      </c>
      <c r="O196" s="32">
        <f t="shared" si="31"/>
        <v>0</v>
      </c>
      <c r="P196">
        <v>7</v>
      </c>
      <c r="Q196">
        <v>7</v>
      </c>
      <c r="R196" s="32">
        <f t="shared" si="32"/>
        <v>0</v>
      </c>
      <c r="S196">
        <v>6</v>
      </c>
      <c r="T196">
        <v>6</v>
      </c>
      <c r="U196" s="32">
        <f t="shared" si="33"/>
        <v>0</v>
      </c>
      <c r="V196">
        <v>6</v>
      </c>
      <c r="W196">
        <v>6</v>
      </c>
      <c r="X196" s="32">
        <f t="shared" si="34"/>
        <v>0</v>
      </c>
      <c r="Y196">
        <v>7</v>
      </c>
      <c r="Z196">
        <v>7</v>
      </c>
      <c r="AA196" s="32">
        <f t="shared" si="35"/>
        <v>0</v>
      </c>
    </row>
    <row r="197" spans="1:27" x14ac:dyDescent="0.45">
      <c r="A197">
        <v>6</v>
      </c>
      <c r="B197">
        <v>7</v>
      </c>
      <c r="C197" s="32">
        <f t="shared" si="27"/>
        <v>1</v>
      </c>
      <c r="D197">
        <v>6</v>
      </c>
      <c r="E197">
        <v>7</v>
      </c>
      <c r="F197" s="32">
        <f t="shared" si="28"/>
        <v>1</v>
      </c>
      <c r="G197">
        <v>8</v>
      </c>
      <c r="H197">
        <v>6</v>
      </c>
      <c r="I197" s="32">
        <f t="shared" si="29"/>
        <v>2</v>
      </c>
      <c r="J197">
        <v>8</v>
      </c>
      <c r="K197">
        <v>7</v>
      </c>
      <c r="L197" s="32">
        <f t="shared" si="30"/>
        <v>1</v>
      </c>
      <c r="M197">
        <v>6</v>
      </c>
      <c r="N197">
        <v>6</v>
      </c>
      <c r="O197" s="32">
        <f t="shared" si="31"/>
        <v>0</v>
      </c>
      <c r="P197">
        <v>7</v>
      </c>
      <c r="Q197">
        <v>7</v>
      </c>
      <c r="R197" s="32">
        <f t="shared" si="32"/>
        <v>0</v>
      </c>
      <c r="S197">
        <v>6</v>
      </c>
      <c r="T197">
        <v>6</v>
      </c>
      <c r="U197" s="32">
        <f t="shared" si="33"/>
        <v>0</v>
      </c>
      <c r="V197">
        <v>6</v>
      </c>
      <c r="W197">
        <v>6</v>
      </c>
      <c r="X197" s="32">
        <f t="shared" si="34"/>
        <v>0</v>
      </c>
      <c r="Y197">
        <v>7</v>
      </c>
      <c r="Z197">
        <v>7</v>
      </c>
      <c r="AA197" s="32">
        <f t="shared" si="35"/>
        <v>0</v>
      </c>
    </row>
    <row r="198" spans="1:27" x14ac:dyDescent="0.45">
      <c r="A198">
        <v>6</v>
      </c>
      <c r="B198">
        <v>7</v>
      </c>
      <c r="C198" s="32">
        <f t="shared" si="27"/>
        <v>1</v>
      </c>
      <c r="D198">
        <v>6</v>
      </c>
      <c r="E198">
        <v>7</v>
      </c>
      <c r="F198" s="32">
        <f t="shared" si="28"/>
        <v>1</v>
      </c>
      <c r="G198">
        <v>8</v>
      </c>
      <c r="H198">
        <v>6</v>
      </c>
      <c r="I198" s="32">
        <f t="shared" si="29"/>
        <v>2</v>
      </c>
      <c r="J198">
        <v>8</v>
      </c>
      <c r="K198">
        <v>7</v>
      </c>
      <c r="L198" s="32">
        <f t="shared" si="30"/>
        <v>1</v>
      </c>
      <c r="M198">
        <v>6</v>
      </c>
      <c r="N198">
        <v>6</v>
      </c>
      <c r="O198" s="32">
        <f t="shared" si="31"/>
        <v>0</v>
      </c>
      <c r="P198">
        <v>7</v>
      </c>
      <c r="Q198">
        <v>7</v>
      </c>
      <c r="R198" s="32">
        <f t="shared" si="32"/>
        <v>0</v>
      </c>
      <c r="S198">
        <v>6</v>
      </c>
      <c r="T198">
        <v>6</v>
      </c>
      <c r="U198" s="32">
        <f t="shared" si="33"/>
        <v>0</v>
      </c>
      <c r="V198">
        <v>6</v>
      </c>
      <c r="W198">
        <v>6</v>
      </c>
      <c r="X198" s="32">
        <f t="shared" si="34"/>
        <v>0</v>
      </c>
      <c r="Y198">
        <v>7</v>
      </c>
      <c r="Z198">
        <v>7</v>
      </c>
      <c r="AA198" s="32">
        <f t="shared" si="35"/>
        <v>0</v>
      </c>
    </row>
    <row r="199" spans="1:27" x14ac:dyDescent="0.45">
      <c r="A199">
        <v>6</v>
      </c>
      <c r="B199">
        <v>7</v>
      </c>
      <c r="C199" s="32">
        <f t="shared" si="27"/>
        <v>1</v>
      </c>
      <c r="D199">
        <v>6</v>
      </c>
      <c r="E199">
        <v>7</v>
      </c>
      <c r="F199" s="32">
        <f t="shared" si="28"/>
        <v>1</v>
      </c>
      <c r="G199">
        <v>8</v>
      </c>
      <c r="H199">
        <v>6</v>
      </c>
      <c r="I199" s="32">
        <f t="shared" si="29"/>
        <v>2</v>
      </c>
      <c r="J199">
        <v>8</v>
      </c>
      <c r="K199">
        <v>7</v>
      </c>
      <c r="L199" s="32">
        <f t="shared" si="30"/>
        <v>1</v>
      </c>
      <c r="M199">
        <v>6</v>
      </c>
      <c r="N199">
        <v>6</v>
      </c>
      <c r="O199" s="32">
        <f t="shared" si="31"/>
        <v>0</v>
      </c>
      <c r="P199">
        <v>7</v>
      </c>
      <c r="Q199">
        <v>7</v>
      </c>
      <c r="R199" s="32">
        <f t="shared" si="32"/>
        <v>0</v>
      </c>
      <c r="S199">
        <v>6</v>
      </c>
      <c r="T199">
        <v>6</v>
      </c>
      <c r="U199" s="32">
        <f t="shared" si="33"/>
        <v>0</v>
      </c>
      <c r="V199">
        <v>6</v>
      </c>
      <c r="W199">
        <v>7</v>
      </c>
      <c r="X199" s="32">
        <f t="shared" si="34"/>
        <v>1</v>
      </c>
      <c r="Y199">
        <v>7</v>
      </c>
      <c r="Z199">
        <v>7</v>
      </c>
      <c r="AA199" s="32">
        <f t="shared" si="35"/>
        <v>0</v>
      </c>
    </row>
    <row r="200" spans="1:27" x14ac:dyDescent="0.45">
      <c r="A200">
        <v>6</v>
      </c>
      <c r="B200">
        <v>7</v>
      </c>
      <c r="C200" s="32">
        <f t="shared" si="27"/>
        <v>1</v>
      </c>
      <c r="D200">
        <v>6</v>
      </c>
      <c r="E200">
        <v>7</v>
      </c>
      <c r="F200" s="32">
        <f t="shared" si="28"/>
        <v>1</v>
      </c>
      <c r="G200">
        <v>8</v>
      </c>
      <c r="H200">
        <v>6</v>
      </c>
      <c r="I200" s="32">
        <f t="shared" si="29"/>
        <v>2</v>
      </c>
      <c r="J200">
        <v>8</v>
      </c>
      <c r="K200">
        <v>7</v>
      </c>
      <c r="L200" s="32">
        <f t="shared" si="30"/>
        <v>1</v>
      </c>
      <c r="M200">
        <v>6</v>
      </c>
      <c r="N200">
        <v>7</v>
      </c>
      <c r="O200" s="32">
        <f t="shared" si="31"/>
        <v>1</v>
      </c>
      <c r="P200">
        <v>7</v>
      </c>
      <c r="Q200">
        <v>7</v>
      </c>
      <c r="R200" s="32">
        <f t="shared" si="32"/>
        <v>0</v>
      </c>
      <c r="S200">
        <v>6</v>
      </c>
      <c r="T200">
        <v>6</v>
      </c>
      <c r="U200" s="32">
        <f t="shared" si="33"/>
        <v>0</v>
      </c>
      <c r="V200">
        <v>6</v>
      </c>
      <c r="W200">
        <v>7</v>
      </c>
      <c r="X200" s="32">
        <f t="shared" si="34"/>
        <v>1</v>
      </c>
      <c r="Y200">
        <v>7</v>
      </c>
      <c r="Z200">
        <v>7</v>
      </c>
      <c r="AA200" s="32">
        <f t="shared" si="35"/>
        <v>0</v>
      </c>
    </row>
    <row r="201" spans="1:27" x14ac:dyDescent="0.45">
      <c r="A201">
        <v>6</v>
      </c>
      <c r="B201">
        <v>7</v>
      </c>
      <c r="C201" s="32">
        <f t="shared" si="27"/>
        <v>1</v>
      </c>
      <c r="D201">
        <v>6</v>
      </c>
      <c r="E201">
        <v>7</v>
      </c>
      <c r="F201" s="32">
        <f t="shared" si="28"/>
        <v>1</v>
      </c>
      <c r="G201">
        <v>8</v>
      </c>
      <c r="H201">
        <v>6</v>
      </c>
      <c r="I201" s="32">
        <f t="shared" si="29"/>
        <v>2</v>
      </c>
      <c r="J201">
        <v>8</v>
      </c>
      <c r="K201">
        <v>7</v>
      </c>
      <c r="L201" s="32">
        <f t="shared" si="30"/>
        <v>1</v>
      </c>
      <c r="M201">
        <v>6</v>
      </c>
      <c r="N201">
        <v>7</v>
      </c>
      <c r="O201" s="32">
        <f t="shared" si="31"/>
        <v>1</v>
      </c>
      <c r="P201">
        <v>7</v>
      </c>
      <c r="Q201">
        <v>7</v>
      </c>
      <c r="R201" s="32">
        <f t="shared" si="32"/>
        <v>0</v>
      </c>
      <c r="S201">
        <v>6</v>
      </c>
      <c r="T201">
        <v>6</v>
      </c>
      <c r="U201" s="32">
        <f t="shared" si="33"/>
        <v>0</v>
      </c>
      <c r="V201">
        <v>6</v>
      </c>
      <c r="W201">
        <v>7</v>
      </c>
      <c r="X201" s="32">
        <f t="shared" si="34"/>
        <v>1</v>
      </c>
      <c r="Y201">
        <v>7</v>
      </c>
      <c r="Z201">
        <v>7</v>
      </c>
      <c r="AA201" s="32">
        <f t="shared" si="35"/>
        <v>0</v>
      </c>
    </row>
    <row r="202" spans="1:27" x14ac:dyDescent="0.45">
      <c r="A202">
        <v>6</v>
      </c>
      <c r="B202">
        <v>7</v>
      </c>
      <c r="C202" s="32">
        <f t="shared" si="27"/>
        <v>1</v>
      </c>
      <c r="D202">
        <v>6</v>
      </c>
      <c r="E202">
        <v>7</v>
      </c>
      <c r="F202" s="32">
        <f t="shared" si="28"/>
        <v>1</v>
      </c>
      <c r="G202">
        <v>8</v>
      </c>
      <c r="H202">
        <v>6</v>
      </c>
      <c r="I202" s="32">
        <f t="shared" si="29"/>
        <v>2</v>
      </c>
      <c r="J202">
        <v>8</v>
      </c>
      <c r="K202">
        <v>7</v>
      </c>
      <c r="L202" s="32">
        <f t="shared" si="30"/>
        <v>1</v>
      </c>
      <c r="M202">
        <v>6</v>
      </c>
      <c r="N202">
        <v>7</v>
      </c>
      <c r="O202" s="32">
        <f t="shared" si="31"/>
        <v>1</v>
      </c>
      <c r="P202">
        <v>7</v>
      </c>
      <c r="Q202">
        <v>7</v>
      </c>
      <c r="R202" s="32">
        <f t="shared" si="32"/>
        <v>0</v>
      </c>
      <c r="S202">
        <v>6</v>
      </c>
      <c r="T202">
        <v>6</v>
      </c>
      <c r="U202" s="32">
        <f t="shared" si="33"/>
        <v>0</v>
      </c>
      <c r="V202">
        <v>6</v>
      </c>
      <c r="W202">
        <v>7</v>
      </c>
      <c r="X202" s="32">
        <f t="shared" si="34"/>
        <v>1</v>
      </c>
      <c r="Y202">
        <v>7</v>
      </c>
      <c r="Z202">
        <v>7</v>
      </c>
      <c r="AA202" s="32">
        <f t="shared" si="35"/>
        <v>0</v>
      </c>
    </row>
    <row r="203" spans="1:27" x14ac:dyDescent="0.45">
      <c r="A203">
        <v>6</v>
      </c>
      <c r="B203">
        <v>7</v>
      </c>
      <c r="C203" s="32">
        <f t="shared" si="27"/>
        <v>1</v>
      </c>
      <c r="D203">
        <v>6</v>
      </c>
      <c r="E203">
        <v>7</v>
      </c>
      <c r="F203" s="32">
        <f t="shared" si="28"/>
        <v>1</v>
      </c>
      <c r="G203">
        <v>8</v>
      </c>
      <c r="H203">
        <v>6</v>
      </c>
      <c r="I203" s="32">
        <f t="shared" si="29"/>
        <v>2</v>
      </c>
      <c r="J203">
        <v>8</v>
      </c>
      <c r="K203">
        <v>7</v>
      </c>
      <c r="L203" s="32">
        <f t="shared" si="30"/>
        <v>1</v>
      </c>
      <c r="M203">
        <v>6</v>
      </c>
      <c r="N203">
        <v>7</v>
      </c>
      <c r="O203" s="32">
        <f t="shared" si="31"/>
        <v>1</v>
      </c>
      <c r="P203">
        <v>7</v>
      </c>
      <c r="Q203">
        <v>7</v>
      </c>
      <c r="R203" s="32">
        <f t="shared" si="32"/>
        <v>0</v>
      </c>
      <c r="S203">
        <v>6</v>
      </c>
      <c r="T203">
        <v>6</v>
      </c>
      <c r="U203" s="32">
        <f t="shared" si="33"/>
        <v>0</v>
      </c>
      <c r="V203">
        <v>6</v>
      </c>
      <c r="W203">
        <v>7</v>
      </c>
      <c r="X203" s="32">
        <f t="shared" si="34"/>
        <v>1</v>
      </c>
      <c r="Y203">
        <v>7</v>
      </c>
      <c r="Z203">
        <v>7</v>
      </c>
      <c r="AA203" s="32">
        <f t="shared" si="35"/>
        <v>0</v>
      </c>
    </row>
    <row r="204" spans="1:27" x14ac:dyDescent="0.45">
      <c r="A204">
        <v>6</v>
      </c>
      <c r="B204">
        <v>7</v>
      </c>
      <c r="C204" s="32">
        <f t="shared" si="27"/>
        <v>1</v>
      </c>
      <c r="D204">
        <v>6</v>
      </c>
      <c r="E204">
        <v>7</v>
      </c>
      <c r="F204" s="32">
        <f t="shared" si="28"/>
        <v>1</v>
      </c>
      <c r="G204">
        <v>8</v>
      </c>
      <c r="H204">
        <v>6</v>
      </c>
      <c r="I204" s="32">
        <f t="shared" si="29"/>
        <v>2</v>
      </c>
      <c r="J204">
        <v>8</v>
      </c>
      <c r="K204">
        <v>7</v>
      </c>
      <c r="L204" s="32">
        <f t="shared" si="30"/>
        <v>1</v>
      </c>
      <c r="M204">
        <v>6</v>
      </c>
      <c r="N204">
        <v>7</v>
      </c>
      <c r="O204" s="32">
        <f t="shared" si="31"/>
        <v>1</v>
      </c>
      <c r="P204">
        <v>7</v>
      </c>
      <c r="Q204">
        <v>7</v>
      </c>
      <c r="R204" s="32">
        <f t="shared" si="32"/>
        <v>0</v>
      </c>
      <c r="S204">
        <v>6</v>
      </c>
      <c r="T204">
        <v>6</v>
      </c>
      <c r="U204" s="32">
        <f t="shared" si="33"/>
        <v>0</v>
      </c>
      <c r="V204">
        <v>6</v>
      </c>
      <c r="W204">
        <v>7</v>
      </c>
      <c r="X204" s="32">
        <f t="shared" si="34"/>
        <v>1</v>
      </c>
      <c r="Y204">
        <v>7</v>
      </c>
      <c r="Z204">
        <v>7</v>
      </c>
      <c r="AA204" s="32">
        <f t="shared" si="35"/>
        <v>0</v>
      </c>
    </row>
    <row r="205" spans="1:27" x14ac:dyDescent="0.45">
      <c r="A205">
        <v>6</v>
      </c>
      <c r="B205">
        <v>7</v>
      </c>
      <c r="C205" s="32">
        <f t="shared" si="27"/>
        <v>1</v>
      </c>
      <c r="D205">
        <v>6</v>
      </c>
      <c r="E205">
        <v>7</v>
      </c>
      <c r="F205" s="32">
        <f t="shared" si="28"/>
        <v>1</v>
      </c>
      <c r="G205">
        <v>8</v>
      </c>
      <c r="H205">
        <v>6</v>
      </c>
      <c r="I205" s="32">
        <f t="shared" si="29"/>
        <v>2</v>
      </c>
      <c r="J205">
        <v>8</v>
      </c>
      <c r="K205">
        <v>7</v>
      </c>
      <c r="L205" s="32">
        <f t="shared" si="30"/>
        <v>1</v>
      </c>
      <c r="M205">
        <v>6</v>
      </c>
      <c r="N205">
        <v>7</v>
      </c>
      <c r="O205" s="32">
        <f t="shared" si="31"/>
        <v>1</v>
      </c>
      <c r="P205">
        <v>7</v>
      </c>
      <c r="Q205">
        <v>7</v>
      </c>
      <c r="R205" s="32">
        <f t="shared" si="32"/>
        <v>0</v>
      </c>
      <c r="S205">
        <v>6</v>
      </c>
      <c r="T205">
        <v>6</v>
      </c>
      <c r="U205" s="32">
        <f t="shared" si="33"/>
        <v>0</v>
      </c>
      <c r="V205">
        <v>6</v>
      </c>
      <c r="W205">
        <v>7</v>
      </c>
      <c r="X205" s="32">
        <f t="shared" si="34"/>
        <v>1</v>
      </c>
      <c r="Y205">
        <v>7</v>
      </c>
      <c r="Z205">
        <v>7</v>
      </c>
      <c r="AA205" s="32">
        <f t="shared" si="35"/>
        <v>0</v>
      </c>
    </row>
    <row r="206" spans="1:27" x14ac:dyDescent="0.45">
      <c r="A206">
        <v>6</v>
      </c>
      <c r="B206">
        <v>7</v>
      </c>
      <c r="C206" s="32">
        <f t="shared" si="27"/>
        <v>1</v>
      </c>
      <c r="D206">
        <v>6</v>
      </c>
      <c r="E206">
        <v>7</v>
      </c>
      <c r="F206" s="32">
        <f t="shared" si="28"/>
        <v>1</v>
      </c>
      <c r="G206">
        <v>8</v>
      </c>
      <c r="H206">
        <v>6</v>
      </c>
      <c r="I206" s="32">
        <f t="shared" si="29"/>
        <v>2</v>
      </c>
      <c r="J206">
        <v>8</v>
      </c>
      <c r="K206">
        <v>7</v>
      </c>
      <c r="L206" s="32">
        <f t="shared" si="30"/>
        <v>1</v>
      </c>
      <c r="M206">
        <v>6</v>
      </c>
      <c r="N206">
        <v>7</v>
      </c>
      <c r="O206" s="32">
        <f t="shared" si="31"/>
        <v>1</v>
      </c>
      <c r="P206">
        <v>7</v>
      </c>
      <c r="Q206">
        <v>7</v>
      </c>
      <c r="R206" s="32">
        <f t="shared" si="32"/>
        <v>0</v>
      </c>
      <c r="S206">
        <v>6</v>
      </c>
      <c r="T206">
        <v>6</v>
      </c>
      <c r="U206" s="32">
        <f t="shared" si="33"/>
        <v>0</v>
      </c>
      <c r="V206">
        <v>6</v>
      </c>
      <c r="W206">
        <v>7</v>
      </c>
      <c r="X206" s="32">
        <f t="shared" si="34"/>
        <v>1</v>
      </c>
      <c r="Y206">
        <v>7</v>
      </c>
      <c r="Z206">
        <v>7</v>
      </c>
      <c r="AA206" s="32">
        <f t="shared" si="35"/>
        <v>0</v>
      </c>
    </row>
    <row r="207" spans="1:27" x14ac:dyDescent="0.45">
      <c r="A207">
        <v>6</v>
      </c>
      <c r="B207">
        <v>7</v>
      </c>
      <c r="C207" s="32">
        <f t="shared" si="27"/>
        <v>1</v>
      </c>
      <c r="D207">
        <v>6</v>
      </c>
      <c r="E207">
        <v>7</v>
      </c>
      <c r="F207" s="32">
        <f t="shared" si="28"/>
        <v>1</v>
      </c>
      <c r="G207">
        <v>8</v>
      </c>
      <c r="H207">
        <v>6</v>
      </c>
      <c r="I207" s="32">
        <f t="shared" si="29"/>
        <v>2</v>
      </c>
      <c r="J207">
        <v>8</v>
      </c>
      <c r="K207">
        <v>7</v>
      </c>
      <c r="L207" s="32">
        <f t="shared" si="30"/>
        <v>1</v>
      </c>
      <c r="M207">
        <v>6</v>
      </c>
      <c r="N207">
        <v>7</v>
      </c>
      <c r="O207" s="32">
        <f t="shared" si="31"/>
        <v>1</v>
      </c>
      <c r="P207">
        <v>7</v>
      </c>
      <c r="Q207">
        <v>7</v>
      </c>
      <c r="R207" s="32">
        <f t="shared" si="32"/>
        <v>0</v>
      </c>
      <c r="S207">
        <v>6</v>
      </c>
      <c r="T207">
        <v>6</v>
      </c>
      <c r="U207" s="32">
        <f t="shared" si="33"/>
        <v>0</v>
      </c>
      <c r="V207">
        <v>6</v>
      </c>
      <c r="W207">
        <v>7</v>
      </c>
      <c r="X207" s="32">
        <f t="shared" si="34"/>
        <v>1</v>
      </c>
      <c r="Y207">
        <v>7</v>
      </c>
      <c r="Z207">
        <v>7</v>
      </c>
      <c r="AA207" s="32">
        <f t="shared" si="35"/>
        <v>0</v>
      </c>
    </row>
    <row r="208" spans="1:27" x14ac:dyDescent="0.45">
      <c r="A208">
        <v>6</v>
      </c>
      <c r="B208">
        <v>7</v>
      </c>
      <c r="C208" s="32">
        <f t="shared" si="27"/>
        <v>1</v>
      </c>
      <c r="D208">
        <v>6</v>
      </c>
      <c r="E208">
        <v>7</v>
      </c>
      <c r="F208" s="32">
        <f t="shared" si="28"/>
        <v>1</v>
      </c>
      <c r="G208">
        <v>8</v>
      </c>
      <c r="H208">
        <v>6</v>
      </c>
      <c r="I208" s="32">
        <f t="shared" si="29"/>
        <v>2</v>
      </c>
      <c r="J208">
        <v>8</v>
      </c>
      <c r="K208">
        <v>8</v>
      </c>
      <c r="L208" s="32">
        <f t="shared" si="30"/>
        <v>0</v>
      </c>
      <c r="M208">
        <v>6</v>
      </c>
      <c r="N208">
        <v>7</v>
      </c>
      <c r="O208" s="32">
        <f t="shared" si="31"/>
        <v>1</v>
      </c>
      <c r="P208">
        <v>7</v>
      </c>
      <c r="Q208">
        <v>7</v>
      </c>
      <c r="R208" s="32">
        <f t="shared" si="32"/>
        <v>0</v>
      </c>
      <c r="S208">
        <v>6</v>
      </c>
      <c r="T208">
        <v>6</v>
      </c>
      <c r="U208" s="32">
        <f t="shared" si="33"/>
        <v>0</v>
      </c>
      <c r="V208">
        <v>7</v>
      </c>
      <c r="W208">
        <v>7</v>
      </c>
      <c r="X208" s="32">
        <f t="shared" si="34"/>
        <v>0</v>
      </c>
      <c r="Y208">
        <v>7</v>
      </c>
      <c r="Z208">
        <v>7</v>
      </c>
      <c r="AA208" s="32">
        <f t="shared" si="35"/>
        <v>0</v>
      </c>
    </row>
    <row r="209" spans="1:27" x14ac:dyDescent="0.45">
      <c r="A209">
        <v>6</v>
      </c>
      <c r="B209">
        <v>7</v>
      </c>
      <c r="C209" s="32">
        <f t="shared" si="27"/>
        <v>1</v>
      </c>
      <c r="D209">
        <v>6</v>
      </c>
      <c r="E209">
        <v>7</v>
      </c>
      <c r="F209" s="32">
        <f t="shared" si="28"/>
        <v>1</v>
      </c>
      <c r="G209">
        <v>8</v>
      </c>
      <c r="H209">
        <v>7</v>
      </c>
      <c r="I209" s="32">
        <f t="shared" si="29"/>
        <v>1</v>
      </c>
      <c r="J209">
        <v>8</v>
      </c>
      <c r="K209">
        <v>8</v>
      </c>
      <c r="L209" s="32">
        <f t="shared" si="30"/>
        <v>0</v>
      </c>
      <c r="M209">
        <v>6</v>
      </c>
      <c r="N209">
        <v>7</v>
      </c>
      <c r="O209" s="32">
        <f t="shared" si="31"/>
        <v>1</v>
      </c>
      <c r="P209">
        <v>7</v>
      </c>
      <c r="Q209">
        <v>7</v>
      </c>
      <c r="R209" s="32">
        <f t="shared" si="32"/>
        <v>0</v>
      </c>
      <c r="S209">
        <v>6</v>
      </c>
      <c r="T209">
        <v>6</v>
      </c>
      <c r="U209" s="32">
        <f t="shared" si="33"/>
        <v>0</v>
      </c>
      <c r="V209">
        <v>7</v>
      </c>
      <c r="W209">
        <v>7</v>
      </c>
      <c r="X209" s="32">
        <f t="shared" si="34"/>
        <v>0</v>
      </c>
      <c r="Y209">
        <v>7</v>
      </c>
      <c r="Z209">
        <v>7</v>
      </c>
      <c r="AA209" s="32">
        <f t="shared" si="35"/>
        <v>0</v>
      </c>
    </row>
    <row r="210" spans="1:27" x14ac:dyDescent="0.45">
      <c r="A210">
        <v>6</v>
      </c>
      <c r="B210">
        <v>7</v>
      </c>
      <c r="C210" s="32">
        <f t="shared" si="27"/>
        <v>1</v>
      </c>
      <c r="D210">
        <v>6</v>
      </c>
      <c r="E210">
        <v>7</v>
      </c>
      <c r="F210" s="32">
        <f t="shared" si="28"/>
        <v>1</v>
      </c>
      <c r="G210">
        <v>8</v>
      </c>
      <c r="H210">
        <v>7</v>
      </c>
      <c r="I210" s="32">
        <f t="shared" si="29"/>
        <v>1</v>
      </c>
      <c r="J210">
        <v>8</v>
      </c>
      <c r="K210">
        <v>8</v>
      </c>
      <c r="L210" s="32">
        <f t="shared" si="30"/>
        <v>0</v>
      </c>
      <c r="M210">
        <v>6</v>
      </c>
      <c r="N210">
        <v>7</v>
      </c>
      <c r="O210" s="32">
        <f t="shared" si="31"/>
        <v>1</v>
      </c>
      <c r="P210">
        <v>7</v>
      </c>
      <c r="Q210">
        <v>7</v>
      </c>
      <c r="R210" s="32">
        <f t="shared" si="32"/>
        <v>0</v>
      </c>
      <c r="S210">
        <v>6</v>
      </c>
      <c r="T210">
        <v>6</v>
      </c>
      <c r="U210" s="32">
        <f t="shared" si="33"/>
        <v>0</v>
      </c>
      <c r="V210">
        <v>7</v>
      </c>
      <c r="W210">
        <v>7</v>
      </c>
      <c r="X210" s="32">
        <f t="shared" si="34"/>
        <v>0</v>
      </c>
      <c r="Y210">
        <v>7</v>
      </c>
      <c r="Z210">
        <v>7</v>
      </c>
      <c r="AA210" s="32">
        <f t="shared" si="35"/>
        <v>0</v>
      </c>
    </row>
    <row r="211" spans="1:27" x14ac:dyDescent="0.45">
      <c r="A211">
        <v>6</v>
      </c>
      <c r="B211">
        <v>7</v>
      </c>
      <c r="C211" s="32">
        <f t="shared" si="27"/>
        <v>1</v>
      </c>
      <c r="D211">
        <v>6</v>
      </c>
      <c r="E211">
        <v>7</v>
      </c>
      <c r="F211" s="32">
        <f t="shared" si="28"/>
        <v>1</v>
      </c>
      <c r="G211">
        <v>8</v>
      </c>
      <c r="H211">
        <v>7</v>
      </c>
      <c r="I211" s="32">
        <f t="shared" si="29"/>
        <v>1</v>
      </c>
      <c r="J211">
        <v>8</v>
      </c>
      <c r="K211">
        <v>8</v>
      </c>
      <c r="L211" s="32">
        <f t="shared" si="30"/>
        <v>0</v>
      </c>
      <c r="M211">
        <v>6</v>
      </c>
      <c r="N211">
        <v>7</v>
      </c>
      <c r="O211" s="32">
        <f t="shared" si="31"/>
        <v>1</v>
      </c>
      <c r="P211">
        <v>7</v>
      </c>
      <c r="Q211">
        <v>7</v>
      </c>
      <c r="R211" s="32">
        <f t="shared" si="32"/>
        <v>0</v>
      </c>
      <c r="S211">
        <v>6</v>
      </c>
      <c r="T211">
        <v>6</v>
      </c>
      <c r="U211" s="32">
        <f t="shared" si="33"/>
        <v>0</v>
      </c>
      <c r="V211">
        <v>7</v>
      </c>
      <c r="W211">
        <v>7</v>
      </c>
      <c r="X211" s="32">
        <f t="shared" si="34"/>
        <v>0</v>
      </c>
      <c r="Y211">
        <v>7</v>
      </c>
      <c r="Z211">
        <v>7</v>
      </c>
      <c r="AA211" s="32">
        <f t="shared" si="35"/>
        <v>0</v>
      </c>
    </row>
    <row r="212" spans="1:27" x14ac:dyDescent="0.45">
      <c r="A212">
        <v>6</v>
      </c>
      <c r="B212">
        <v>7</v>
      </c>
      <c r="C212" s="32">
        <f t="shared" si="27"/>
        <v>1</v>
      </c>
      <c r="D212">
        <v>6</v>
      </c>
      <c r="E212">
        <v>7</v>
      </c>
      <c r="F212" s="32">
        <f t="shared" si="28"/>
        <v>1</v>
      </c>
      <c r="G212">
        <v>8</v>
      </c>
      <c r="H212">
        <v>7</v>
      </c>
      <c r="I212" s="32">
        <f t="shared" si="29"/>
        <v>1</v>
      </c>
      <c r="J212">
        <v>8</v>
      </c>
      <c r="K212">
        <v>8</v>
      </c>
      <c r="L212" s="32">
        <f t="shared" si="30"/>
        <v>0</v>
      </c>
      <c r="M212">
        <v>6</v>
      </c>
      <c r="N212">
        <v>7</v>
      </c>
      <c r="O212" s="32">
        <f t="shared" si="31"/>
        <v>1</v>
      </c>
      <c r="P212">
        <v>7</v>
      </c>
      <c r="Q212">
        <v>7</v>
      </c>
      <c r="R212" s="32">
        <f t="shared" si="32"/>
        <v>0</v>
      </c>
      <c r="S212">
        <v>6</v>
      </c>
      <c r="T212">
        <v>6</v>
      </c>
      <c r="U212" s="32">
        <f t="shared" si="33"/>
        <v>0</v>
      </c>
      <c r="V212">
        <v>7</v>
      </c>
      <c r="W212">
        <v>7</v>
      </c>
      <c r="X212" s="32">
        <f t="shared" si="34"/>
        <v>0</v>
      </c>
      <c r="Y212">
        <v>7</v>
      </c>
      <c r="Z212">
        <v>7</v>
      </c>
      <c r="AA212" s="32">
        <f t="shared" si="35"/>
        <v>0</v>
      </c>
    </row>
    <row r="213" spans="1:27" x14ac:dyDescent="0.45">
      <c r="A213">
        <v>6</v>
      </c>
      <c r="B213">
        <v>7</v>
      </c>
      <c r="C213" s="32">
        <f t="shared" si="27"/>
        <v>1</v>
      </c>
      <c r="D213">
        <v>6</v>
      </c>
      <c r="E213">
        <v>8</v>
      </c>
      <c r="F213" s="32">
        <f t="shared" si="28"/>
        <v>2</v>
      </c>
      <c r="G213">
        <v>8</v>
      </c>
      <c r="H213">
        <v>7</v>
      </c>
      <c r="I213" s="32">
        <f t="shared" si="29"/>
        <v>1</v>
      </c>
      <c r="J213">
        <v>8</v>
      </c>
      <c r="K213">
        <v>8</v>
      </c>
      <c r="L213" s="32">
        <f t="shared" si="30"/>
        <v>0</v>
      </c>
      <c r="M213">
        <v>6</v>
      </c>
      <c r="N213">
        <v>7</v>
      </c>
      <c r="O213" s="32">
        <f t="shared" si="31"/>
        <v>1</v>
      </c>
      <c r="P213">
        <v>7</v>
      </c>
      <c r="Q213">
        <v>7</v>
      </c>
      <c r="R213" s="32">
        <f t="shared" si="32"/>
        <v>0</v>
      </c>
      <c r="S213">
        <v>6</v>
      </c>
      <c r="T213">
        <v>6</v>
      </c>
      <c r="U213" s="32">
        <f t="shared" si="33"/>
        <v>0</v>
      </c>
      <c r="V213">
        <v>7</v>
      </c>
      <c r="W213">
        <v>7</v>
      </c>
      <c r="X213" s="32">
        <f t="shared" si="34"/>
        <v>0</v>
      </c>
      <c r="Y213">
        <v>7</v>
      </c>
      <c r="Z213">
        <v>7</v>
      </c>
      <c r="AA213" s="32">
        <f t="shared" si="35"/>
        <v>0</v>
      </c>
    </row>
    <row r="214" spans="1:27" x14ac:dyDescent="0.45">
      <c r="A214">
        <v>6</v>
      </c>
      <c r="B214">
        <v>7</v>
      </c>
      <c r="C214" s="32">
        <f t="shared" si="27"/>
        <v>1</v>
      </c>
      <c r="D214">
        <v>6</v>
      </c>
      <c r="E214">
        <v>8</v>
      </c>
      <c r="F214" s="32">
        <f t="shared" si="28"/>
        <v>2</v>
      </c>
      <c r="G214">
        <v>8</v>
      </c>
      <c r="H214">
        <v>7</v>
      </c>
      <c r="I214" s="32">
        <f t="shared" si="29"/>
        <v>1</v>
      </c>
      <c r="J214">
        <v>8</v>
      </c>
      <c r="K214">
        <v>8</v>
      </c>
      <c r="L214" s="32">
        <f t="shared" si="30"/>
        <v>0</v>
      </c>
      <c r="M214">
        <v>6</v>
      </c>
      <c r="N214">
        <v>7</v>
      </c>
      <c r="O214" s="32">
        <f t="shared" si="31"/>
        <v>1</v>
      </c>
      <c r="P214">
        <v>7</v>
      </c>
      <c r="Q214">
        <v>7</v>
      </c>
      <c r="R214" s="32">
        <f t="shared" si="32"/>
        <v>0</v>
      </c>
      <c r="S214">
        <v>6</v>
      </c>
      <c r="T214">
        <v>6</v>
      </c>
      <c r="U214" s="32">
        <f t="shared" si="33"/>
        <v>0</v>
      </c>
      <c r="V214">
        <v>7</v>
      </c>
      <c r="W214">
        <v>7</v>
      </c>
      <c r="X214" s="32">
        <f t="shared" si="34"/>
        <v>0</v>
      </c>
      <c r="Y214">
        <v>7</v>
      </c>
      <c r="Z214">
        <v>7</v>
      </c>
      <c r="AA214" s="32">
        <f t="shared" si="35"/>
        <v>0</v>
      </c>
    </row>
    <row r="215" spans="1:27" x14ac:dyDescent="0.45">
      <c r="A215">
        <v>6</v>
      </c>
      <c r="B215">
        <v>7</v>
      </c>
      <c r="C215" s="32">
        <f t="shared" si="27"/>
        <v>1</v>
      </c>
      <c r="D215">
        <v>6</v>
      </c>
      <c r="E215">
        <v>8</v>
      </c>
      <c r="F215" s="32">
        <f t="shared" si="28"/>
        <v>2</v>
      </c>
      <c r="G215">
        <v>8</v>
      </c>
      <c r="H215">
        <v>7</v>
      </c>
      <c r="I215" s="32">
        <f t="shared" si="29"/>
        <v>1</v>
      </c>
      <c r="J215">
        <v>8</v>
      </c>
      <c r="K215">
        <v>8</v>
      </c>
      <c r="L215" s="32">
        <f t="shared" si="30"/>
        <v>0</v>
      </c>
      <c r="M215">
        <v>6</v>
      </c>
      <c r="N215">
        <v>7</v>
      </c>
      <c r="O215" s="32">
        <f t="shared" si="31"/>
        <v>1</v>
      </c>
      <c r="P215">
        <v>7</v>
      </c>
      <c r="Q215">
        <v>7</v>
      </c>
      <c r="R215" s="32">
        <f t="shared" si="32"/>
        <v>0</v>
      </c>
      <c r="S215">
        <v>6</v>
      </c>
      <c r="T215">
        <v>6</v>
      </c>
      <c r="U215" s="32">
        <f t="shared" si="33"/>
        <v>0</v>
      </c>
      <c r="V215">
        <v>7</v>
      </c>
      <c r="W215">
        <v>7</v>
      </c>
      <c r="X215" s="32">
        <f t="shared" si="34"/>
        <v>0</v>
      </c>
      <c r="Y215">
        <v>7</v>
      </c>
      <c r="Z215">
        <v>7</v>
      </c>
      <c r="AA215" s="32">
        <f t="shared" si="35"/>
        <v>0</v>
      </c>
    </row>
    <row r="216" spans="1:27" x14ac:dyDescent="0.45">
      <c r="A216">
        <v>6</v>
      </c>
      <c r="B216">
        <v>7</v>
      </c>
      <c r="C216" s="32">
        <f t="shared" si="27"/>
        <v>1</v>
      </c>
      <c r="D216">
        <v>6</v>
      </c>
      <c r="E216">
        <v>8</v>
      </c>
      <c r="F216" s="32">
        <f t="shared" si="28"/>
        <v>2</v>
      </c>
      <c r="G216">
        <v>8</v>
      </c>
      <c r="H216">
        <v>7</v>
      </c>
      <c r="I216" s="32">
        <f t="shared" si="29"/>
        <v>1</v>
      </c>
      <c r="J216">
        <v>8</v>
      </c>
      <c r="K216">
        <v>8</v>
      </c>
      <c r="L216" s="32">
        <f t="shared" si="30"/>
        <v>0</v>
      </c>
      <c r="M216">
        <v>6</v>
      </c>
      <c r="N216">
        <v>7</v>
      </c>
      <c r="O216" s="32">
        <f t="shared" si="31"/>
        <v>1</v>
      </c>
      <c r="P216">
        <v>7</v>
      </c>
      <c r="Q216">
        <v>7</v>
      </c>
      <c r="R216" s="32">
        <f t="shared" si="32"/>
        <v>0</v>
      </c>
      <c r="S216">
        <v>6</v>
      </c>
      <c r="T216">
        <v>6</v>
      </c>
      <c r="U216" s="32">
        <f t="shared" si="33"/>
        <v>0</v>
      </c>
      <c r="V216">
        <v>7</v>
      </c>
      <c r="W216">
        <v>7</v>
      </c>
      <c r="X216" s="32">
        <f t="shared" si="34"/>
        <v>0</v>
      </c>
      <c r="Y216">
        <v>7</v>
      </c>
      <c r="Z216">
        <v>7</v>
      </c>
      <c r="AA216" s="32">
        <f t="shared" si="35"/>
        <v>0</v>
      </c>
    </row>
    <row r="217" spans="1:27" x14ac:dyDescent="0.45">
      <c r="A217">
        <v>6</v>
      </c>
      <c r="B217">
        <v>7</v>
      </c>
      <c r="C217" s="32">
        <f t="shared" si="27"/>
        <v>1</v>
      </c>
      <c r="D217">
        <v>6</v>
      </c>
      <c r="E217">
        <v>8</v>
      </c>
      <c r="F217" s="32">
        <f t="shared" si="28"/>
        <v>2</v>
      </c>
      <c r="G217">
        <v>8</v>
      </c>
      <c r="H217">
        <v>7</v>
      </c>
      <c r="I217" s="32">
        <f t="shared" si="29"/>
        <v>1</v>
      </c>
      <c r="J217">
        <v>8</v>
      </c>
      <c r="K217">
        <v>8</v>
      </c>
      <c r="L217" s="32">
        <f t="shared" si="30"/>
        <v>0</v>
      </c>
      <c r="M217">
        <v>6</v>
      </c>
      <c r="N217">
        <v>7</v>
      </c>
      <c r="O217" s="32">
        <f t="shared" si="31"/>
        <v>1</v>
      </c>
      <c r="P217">
        <v>7</v>
      </c>
      <c r="Q217">
        <v>7</v>
      </c>
      <c r="R217" s="32">
        <f t="shared" si="32"/>
        <v>0</v>
      </c>
      <c r="S217">
        <v>6</v>
      </c>
      <c r="T217">
        <v>6</v>
      </c>
      <c r="U217" s="32">
        <f t="shared" si="33"/>
        <v>0</v>
      </c>
      <c r="V217">
        <v>7</v>
      </c>
      <c r="W217">
        <v>7</v>
      </c>
      <c r="X217" s="32">
        <f t="shared" si="34"/>
        <v>0</v>
      </c>
      <c r="Y217">
        <v>7</v>
      </c>
      <c r="Z217">
        <v>7</v>
      </c>
      <c r="AA217" s="32">
        <f t="shared" si="35"/>
        <v>0</v>
      </c>
    </row>
    <row r="218" spans="1:27" x14ac:dyDescent="0.45">
      <c r="A218">
        <v>6</v>
      </c>
      <c r="B218">
        <v>7</v>
      </c>
      <c r="C218" s="32">
        <f t="shared" si="27"/>
        <v>1</v>
      </c>
      <c r="D218">
        <v>6</v>
      </c>
      <c r="E218">
        <v>8</v>
      </c>
      <c r="F218" s="32">
        <f t="shared" si="28"/>
        <v>2</v>
      </c>
      <c r="G218">
        <v>8</v>
      </c>
      <c r="H218">
        <v>7</v>
      </c>
      <c r="I218" s="32">
        <f t="shared" si="29"/>
        <v>1</v>
      </c>
      <c r="J218">
        <v>8</v>
      </c>
      <c r="K218">
        <v>8</v>
      </c>
      <c r="L218" s="32">
        <f t="shared" si="30"/>
        <v>0</v>
      </c>
      <c r="M218">
        <v>6</v>
      </c>
      <c r="N218">
        <v>7</v>
      </c>
      <c r="O218" s="32">
        <f t="shared" si="31"/>
        <v>1</v>
      </c>
      <c r="P218">
        <v>7</v>
      </c>
      <c r="Q218">
        <v>7</v>
      </c>
      <c r="R218" s="32">
        <f t="shared" si="32"/>
        <v>0</v>
      </c>
      <c r="S218">
        <v>6</v>
      </c>
      <c r="T218">
        <v>6</v>
      </c>
      <c r="U218" s="32">
        <f t="shared" si="33"/>
        <v>0</v>
      </c>
      <c r="V218">
        <v>7</v>
      </c>
      <c r="W218">
        <v>7</v>
      </c>
      <c r="X218" s="32">
        <f t="shared" si="34"/>
        <v>0</v>
      </c>
      <c r="Y218">
        <v>7</v>
      </c>
      <c r="Z218">
        <v>7</v>
      </c>
      <c r="AA218" s="32">
        <f t="shared" si="35"/>
        <v>0</v>
      </c>
    </row>
    <row r="219" spans="1:27" x14ac:dyDescent="0.45">
      <c r="A219">
        <v>6</v>
      </c>
      <c r="B219">
        <v>7</v>
      </c>
      <c r="C219" s="32">
        <f t="shared" si="27"/>
        <v>1</v>
      </c>
      <c r="D219">
        <v>6</v>
      </c>
      <c r="E219">
        <v>8</v>
      </c>
      <c r="F219" s="32">
        <f t="shared" si="28"/>
        <v>2</v>
      </c>
      <c r="G219">
        <v>8</v>
      </c>
      <c r="H219">
        <v>7</v>
      </c>
      <c r="I219" s="32">
        <f t="shared" si="29"/>
        <v>1</v>
      </c>
      <c r="J219">
        <v>8</v>
      </c>
      <c r="K219">
        <v>8</v>
      </c>
      <c r="L219" s="32">
        <f t="shared" si="30"/>
        <v>0</v>
      </c>
      <c r="M219">
        <v>6</v>
      </c>
      <c r="N219">
        <v>7</v>
      </c>
      <c r="O219" s="32">
        <f t="shared" si="31"/>
        <v>1</v>
      </c>
      <c r="P219">
        <v>7</v>
      </c>
      <c r="Q219">
        <v>7</v>
      </c>
      <c r="R219" s="32">
        <f t="shared" si="32"/>
        <v>0</v>
      </c>
      <c r="S219">
        <v>6</v>
      </c>
      <c r="T219">
        <v>6</v>
      </c>
      <c r="U219" s="32">
        <f t="shared" si="33"/>
        <v>0</v>
      </c>
      <c r="V219">
        <v>7</v>
      </c>
      <c r="W219">
        <v>7</v>
      </c>
      <c r="X219" s="32">
        <f t="shared" si="34"/>
        <v>0</v>
      </c>
      <c r="Y219">
        <v>7</v>
      </c>
      <c r="Z219">
        <v>7</v>
      </c>
      <c r="AA219" s="32">
        <f t="shared" si="35"/>
        <v>0</v>
      </c>
    </row>
    <row r="220" spans="1:27" x14ac:dyDescent="0.45">
      <c r="A220">
        <v>6</v>
      </c>
      <c r="B220">
        <v>7</v>
      </c>
      <c r="C220" s="32">
        <f t="shared" si="27"/>
        <v>1</v>
      </c>
      <c r="D220">
        <v>6</v>
      </c>
      <c r="E220">
        <v>8</v>
      </c>
      <c r="F220" s="32">
        <f t="shared" si="28"/>
        <v>2</v>
      </c>
      <c r="G220">
        <v>8</v>
      </c>
      <c r="H220">
        <v>7</v>
      </c>
      <c r="I220" s="32">
        <f t="shared" si="29"/>
        <v>1</v>
      </c>
      <c r="J220">
        <v>8</v>
      </c>
      <c r="K220">
        <v>8</v>
      </c>
      <c r="L220" s="32">
        <f t="shared" si="30"/>
        <v>0</v>
      </c>
      <c r="M220">
        <v>6</v>
      </c>
      <c r="N220">
        <v>7</v>
      </c>
      <c r="O220" s="32">
        <f t="shared" si="31"/>
        <v>1</v>
      </c>
      <c r="P220">
        <v>7</v>
      </c>
      <c r="Q220">
        <v>7</v>
      </c>
      <c r="R220" s="32">
        <f t="shared" si="32"/>
        <v>0</v>
      </c>
      <c r="S220">
        <v>6</v>
      </c>
      <c r="T220">
        <v>6</v>
      </c>
      <c r="U220" s="32">
        <f t="shared" si="33"/>
        <v>0</v>
      </c>
      <c r="V220">
        <v>7</v>
      </c>
      <c r="W220">
        <v>7</v>
      </c>
      <c r="X220" s="32">
        <f t="shared" si="34"/>
        <v>0</v>
      </c>
      <c r="Y220">
        <v>7</v>
      </c>
      <c r="Z220">
        <v>7</v>
      </c>
      <c r="AA220" s="32">
        <f t="shared" si="35"/>
        <v>0</v>
      </c>
    </row>
    <row r="221" spans="1:27" x14ac:dyDescent="0.45">
      <c r="A221">
        <v>6</v>
      </c>
      <c r="B221">
        <v>7</v>
      </c>
      <c r="C221" s="32">
        <f t="shared" si="27"/>
        <v>1</v>
      </c>
      <c r="D221">
        <v>6</v>
      </c>
      <c r="E221">
        <v>8</v>
      </c>
      <c r="F221" s="32">
        <f t="shared" si="28"/>
        <v>2</v>
      </c>
      <c r="G221">
        <v>8</v>
      </c>
      <c r="H221">
        <v>7</v>
      </c>
      <c r="I221" s="32">
        <f t="shared" si="29"/>
        <v>1</v>
      </c>
      <c r="J221">
        <v>8</v>
      </c>
      <c r="K221">
        <v>8</v>
      </c>
      <c r="L221" s="32">
        <f t="shared" si="30"/>
        <v>0</v>
      </c>
      <c r="M221">
        <v>6</v>
      </c>
      <c r="N221">
        <v>7</v>
      </c>
      <c r="O221" s="32">
        <f t="shared" si="31"/>
        <v>1</v>
      </c>
      <c r="P221">
        <v>7</v>
      </c>
      <c r="Q221">
        <v>7</v>
      </c>
      <c r="R221" s="32">
        <f t="shared" si="32"/>
        <v>0</v>
      </c>
      <c r="S221">
        <v>6</v>
      </c>
      <c r="T221">
        <v>6</v>
      </c>
      <c r="U221" s="32">
        <f t="shared" si="33"/>
        <v>0</v>
      </c>
      <c r="V221">
        <v>7</v>
      </c>
      <c r="W221">
        <v>7</v>
      </c>
      <c r="X221" s="32">
        <f t="shared" si="34"/>
        <v>0</v>
      </c>
      <c r="Y221">
        <v>7</v>
      </c>
      <c r="Z221">
        <v>7</v>
      </c>
      <c r="AA221" s="32">
        <f t="shared" si="35"/>
        <v>0</v>
      </c>
    </row>
    <row r="222" spans="1:27" x14ac:dyDescent="0.45">
      <c r="A222">
        <v>6</v>
      </c>
      <c r="B222">
        <v>7</v>
      </c>
      <c r="C222" s="32">
        <f t="shared" si="27"/>
        <v>1</v>
      </c>
      <c r="D222">
        <v>6</v>
      </c>
      <c r="E222">
        <v>8</v>
      </c>
      <c r="F222" s="32">
        <f t="shared" si="28"/>
        <v>2</v>
      </c>
      <c r="G222">
        <v>8</v>
      </c>
      <c r="H222">
        <v>7</v>
      </c>
      <c r="I222" s="32">
        <f t="shared" si="29"/>
        <v>1</v>
      </c>
      <c r="J222">
        <v>8</v>
      </c>
      <c r="K222">
        <v>8</v>
      </c>
      <c r="L222" s="32">
        <f t="shared" si="30"/>
        <v>0</v>
      </c>
      <c r="M222">
        <v>6</v>
      </c>
      <c r="N222">
        <v>7</v>
      </c>
      <c r="O222" s="32">
        <f t="shared" si="31"/>
        <v>1</v>
      </c>
      <c r="P222">
        <v>7</v>
      </c>
      <c r="Q222">
        <v>7</v>
      </c>
      <c r="R222" s="32">
        <f t="shared" si="32"/>
        <v>0</v>
      </c>
      <c r="S222">
        <v>6</v>
      </c>
      <c r="T222">
        <v>6</v>
      </c>
      <c r="U222" s="32">
        <f t="shared" si="33"/>
        <v>0</v>
      </c>
      <c r="V222">
        <v>7</v>
      </c>
      <c r="W222">
        <v>7</v>
      </c>
      <c r="X222" s="32">
        <f t="shared" si="34"/>
        <v>0</v>
      </c>
      <c r="Y222">
        <v>7</v>
      </c>
      <c r="Z222">
        <v>7</v>
      </c>
      <c r="AA222" s="32">
        <f t="shared" si="35"/>
        <v>0</v>
      </c>
    </row>
    <row r="223" spans="1:27" x14ac:dyDescent="0.45">
      <c r="A223">
        <v>6</v>
      </c>
      <c r="B223">
        <v>7</v>
      </c>
      <c r="C223" s="32">
        <f t="shared" si="27"/>
        <v>1</v>
      </c>
      <c r="D223">
        <v>6</v>
      </c>
      <c r="E223">
        <v>8</v>
      </c>
      <c r="F223" s="32">
        <f t="shared" si="28"/>
        <v>2</v>
      </c>
      <c r="G223">
        <v>8</v>
      </c>
      <c r="H223">
        <v>7</v>
      </c>
      <c r="I223" s="32">
        <f t="shared" si="29"/>
        <v>1</v>
      </c>
      <c r="J223">
        <v>8</v>
      </c>
      <c r="K223">
        <v>8</v>
      </c>
      <c r="L223" s="32">
        <f t="shared" si="30"/>
        <v>0</v>
      </c>
      <c r="M223">
        <v>6</v>
      </c>
      <c r="N223">
        <v>7</v>
      </c>
      <c r="O223" s="32">
        <f t="shared" si="31"/>
        <v>1</v>
      </c>
      <c r="P223">
        <v>7</v>
      </c>
      <c r="Q223">
        <v>7</v>
      </c>
      <c r="R223" s="32">
        <f t="shared" si="32"/>
        <v>0</v>
      </c>
      <c r="S223">
        <v>6</v>
      </c>
      <c r="T223">
        <v>6</v>
      </c>
      <c r="U223" s="32">
        <f t="shared" si="33"/>
        <v>0</v>
      </c>
      <c r="V223">
        <v>7</v>
      </c>
      <c r="W223">
        <v>7</v>
      </c>
      <c r="X223" s="32">
        <f t="shared" si="34"/>
        <v>0</v>
      </c>
      <c r="Y223">
        <v>7</v>
      </c>
      <c r="Z223">
        <v>7</v>
      </c>
      <c r="AA223" s="32">
        <f t="shared" si="35"/>
        <v>0</v>
      </c>
    </row>
    <row r="224" spans="1:27" x14ac:dyDescent="0.45">
      <c r="A224">
        <v>6</v>
      </c>
      <c r="B224">
        <v>7</v>
      </c>
      <c r="C224" s="32">
        <f t="shared" si="27"/>
        <v>1</v>
      </c>
      <c r="D224">
        <v>6</v>
      </c>
      <c r="E224">
        <v>8</v>
      </c>
      <c r="F224" s="32">
        <f t="shared" si="28"/>
        <v>2</v>
      </c>
      <c r="G224">
        <v>8</v>
      </c>
      <c r="H224">
        <v>7</v>
      </c>
      <c r="I224" s="32">
        <f t="shared" si="29"/>
        <v>1</v>
      </c>
      <c r="J224">
        <v>8</v>
      </c>
      <c r="K224">
        <v>8</v>
      </c>
      <c r="L224" s="32">
        <f t="shared" si="30"/>
        <v>0</v>
      </c>
      <c r="M224">
        <v>6</v>
      </c>
      <c r="N224">
        <v>7</v>
      </c>
      <c r="O224" s="32">
        <f t="shared" si="31"/>
        <v>1</v>
      </c>
      <c r="P224">
        <v>7</v>
      </c>
      <c r="Q224">
        <v>7</v>
      </c>
      <c r="R224" s="32">
        <f t="shared" si="32"/>
        <v>0</v>
      </c>
      <c r="S224">
        <v>6</v>
      </c>
      <c r="T224">
        <v>6</v>
      </c>
      <c r="U224" s="32">
        <f t="shared" si="33"/>
        <v>0</v>
      </c>
      <c r="V224">
        <v>7</v>
      </c>
      <c r="W224">
        <v>7</v>
      </c>
      <c r="X224" s="32">
        <f t="shared" si="34"/>
        <v>0</v>
      </c>
      <c r="Y224">
        <v>7</v>
      </c>
      <c r="Z224">
        <v>7</v>
      </c>
      <c r="AA224" s="32">
        <f t="shared" si="35"/>
        <v>0</v>
      </c>
    </row>
    <row r="225" spans="1:27" x14ac:dyDescent="0.45">
      <c r="A225">
        <v>6</v>
      </c>
      <c r="B225">
        <v>7</v>
      </c>
      <c r="C225" s="32">
        <f t="shared" si="27"/>
        <v>1</v>
      </c>
      <c r="D225">
        <v>6</v>
      </c>
      <c r="E225">
        <v>8</v>
      </c>
      <c r="F225" s="32">
        <f t="shared" si="28"/>
        <v>2</v>
      </c>
      <c r="G225">
        <v>8</v>
      </c>
      <c r="H225">
        <v>7</v>
      </c>
      <c r="I225" s="32">
        <f t="shared" si="29"/>
        <v>1</v>
      </c>
      <c r="J225">
        <v>8</v>
      </c>
      <c r="K225">
        <v>8</v>
      </c>
      <c r="L225" s="32">
        <f t="shared" si="30"/>
        <v>0</v>
      </c>
      <c r="M225">
        <v>6</v>
      </c>
      <c r="N225">
        <v>7</v>
      </c>
      <c r="O225" s="32">
        <f t="shared" si="31"/>
        <v>1</v>
      </c>
      <c r="P225">
        <v>7</v>
      </c>
      <c r="Q225">
        <v>7</v>
      </c>
      <c r="R225" s="32">
        <f t="shared" si="32"/>
        <v>0</v>
      </c>
      <c r="S225">
        <v>6</v>
      </c>
      <c r="T225">
        <v>6</v>
      </c>
      <c r="U225" s="32">
        <f t="shared" si="33"/>
        <v>0</v>
      </c>
      <c r="V225">
        <v>7</v>
      </c>
      <c r="W225">
        <v>7</v>
      </c>
      <c r="X225" s="32">
        <f t="shared" si="34"/>
        <v>0</v>
      </c>
      <c r="Y225">
        <v>7</v>
      </c>
      <c r="Z225">
        <v>7</v>
      </c>
      <c r="AA225" s="32">
        <f t="shared" si="35"/>
        <v>0</v>
      </c>
    </row>
    <row r="226" spans="1:27" x14ac:dyDescent="0.45">
      <c r="A226">
        <v>6</v>
      </c>
      <c r="B226">
        <v>7</v>
      </c>
      <c r="C226" s="32">
        <f t="shared" si="27"/>
        <v>1</v>
      </c>
      <c r="D226">
        <v>6</v>
      </c>
      <c r="E226">
        <v>8</v>
      </c>
      <c r="F226" s="32">
        <f t="shared" si="28"/>
        <v>2</v>
      </c>
      <c r="G226">
        <v>8</v>
      </c>
      <c r="H226">
        <v>7</v>
      </c>
      <c r="I226" s="32">
        <f t="shared" si="29"/>
        <v>1</v>
      </c>
      <c r="J226">
        <v>8</v>
      </c>
      <c r="K226">
        <v>8</v>
      </c>
      <c r="L226" s="32">
        <f t="shared" si="30"/>
        <v>0</v>
      </c>
      <c r="M226">
        <v>6</v>
      </c>
      <c r="N226">
        <v>7</v>
      </c>
      <c r="O226" s="32">
        <f t="shared" si="31"/>
        <v>1</v>
      </c>
      <c r="P226">
        <v>7</v>
      </c>
      <c r="Q226">
        <v>7</v>
      </c>
      <c r="R226" s="32">
        <f t="shared" si="32"/>
        <v>0</v>
      </c>
      <c r="S226">
        <v>6</v>
      </c>
      <c r="T226">
        <v>6</v>
      </c>
      <c r="U226" s="32">
        <f t="shared" si="33"/>
        <v>0</v>
      </c>
      <c r="V226">
        <v>7</v>
      </c>
      <c r="W226">
        <v>7</v>
      </c>
      <c r="X226" s="32">
        <f t="shared" si="34"/>
        <v>0</v>
      </c>
      <c r="Y226">
        <v>7</v>
      </c>
      <c r="Z226">
        <v>7</v>
      </c>
      <c r="AA226" s="32">
        <f t="shared" si="35"/>
        <v>0</v>
      </c>
    </row>
    <row r="227" spans="1:27" x14ac:dyDescent="0.45">
      <c r="A227">
        <v>6</v>
      </c>
      <c r="B227">
        <v>7</v>
      </c>
      <c r="C227" s="32">
        <f t="shared" si="27"/>
        <v>1</v>
      </c>
      <c r="D227">
        <v>6</v>
      </c>
      <c r="E227">
        <v>8</v>
      </c>
      <c r="F227" s="32">
        <f t="shared" si="28"/>
        <v>2</v>
      </c>
      <c r="G227">
        <v>8</v>
      </c>
      <c r="H227">
        <v>7</v>
      </c>
      <c r="I227" s="32">
        <f t="shared" si="29"/>
        <v>1</v>
      </c>
      <c r="J227">
        <v>8</v>
      </c>
      <c r="K227">
        <v>8</v>
      </c>
      <c r="L227" s="32">
        <f t="shared" si="30"/>
        <v>0</v>
      </c>
      <c r="M227">
        <v>6</v>
      </c>
      <c r="N227">
        <v>7</v>
      </c>
      <c r="O227" s="32">
        <f t="shared" si="31"/>
        <v>1</v>
      </c>
      <c r="P227">
        <v>7</v>
      </c>
      <c r="Q227">
        <v>7</v>
      </c>
      <c r="R227" s="32">
        <f t="shared" si="32"/>
        <v>0</v>
      </c>
      <c r="S227">
        <v>6</v>
      </c>
      <c r="T227">
        <v>6</v>
      </c>
      <c r="U227" s="32">
        <f t="shared" si="33"/>
        <v>0</v>
      </c>
      <c r="V227">
        <v>7</v>
      </c>
      <c r="W227">
        <v>7</v>
      </c>
      <c r="X227" s="32">
        <f t="shared" si="34"/>
        <v>0</v>
      </c>
      <c r="Y227">
        <v>7</v>
      </c>
      <c r="Z227">
        <v>7</v>
      </c>
      <c r="AA227" s="32">
        <f t="shared" si="35"/>
        <v>0</v>
      </c>
    </row>
    <row r="228" spans="1:27" x14ac:dyDescent="0.45">
      <c r="A228">
        <v>6</v>
      </c>
      <c r="B228">
        <v>7</v>
      </c>
      <c r="C228" s="32">
        <f t="shared" si="27"/>
        <v>1</v>
      </c>
      <c r="D228">
        <v>6</v>
      </c>
      <c r="E228">
        <v>8</v>
      </c>
      <c r="F228" s="32">
        <f t="shared" si="28"/>
        <v>2</v>
      </c>
      <c r="G228">
        <v>8</v>
      </c>
      <c r="H228">
        <v>7</v>
      </c>
      <c r="I228" s="32">
        <f t="shared" si="29"/>
        <v>1</v>
      </c>
      <c r="J228">
        <v>8</v>
      </c>
      <c r="K228">
        <v>8</v>
      </c>
      <c r="L228" s="32">
        <f t="shared" si="30"/>
        <v>0</v>
      </c>
      <c r="M228">
        <v>6</v>
      </c>
      <c r="N228">
        <v>7</v>
      </c>
      <c r="O228" s="32">
        <f t="shared" si="31"/>
        <v>1</v>
      </c>
      <c r="P228">
        <v>7</v>
      </c>
      <c r="Q228">
        <v>7</v>
      </c>
      <c r="R228" s="32">
        <f t="shared" si="32"/>
        <v>0</v>
      </c>
      <c r="S228">
        <v>6</v>
      </c>
      <c r="T228">
        <v>6</v>
      </c>
      <c r="U228" s="32">
        <f t="shared" si="33"/>
        <v>0</v>
      </c>
      <c r="V228">
        <v>7</v>
      </c>
      <c r="W228">
        <v>7</v>
      </c>
      <c r="X228" s="32">
        <f t="shared" si="34"/>
        <v>0</v>
      </c>
      <c r="Y228">
        <v>7</v>
      </c>
      <c r="Z228">
        <v>7</v>
      </c>
      <c r="AA228" s="32">
        <f t="shared" si="35"/>
        <v>0</v>
      </c>
    </row>
    <row r="229" spans="1:27" x14ac:dyDescent="0.45">
      <c r="A229">
        <v>6</v>
      </c>
      <c r="B229">
        <v>7</v>
      </c>
      <c r="C229" s="32">
        <f t="shared" si="27"/>
        <v>1</v>
      </c>
      <c r="D229">
        <v>6</v>
      </c>
      <c r="E229">
        <v>8</v>
      </c>
      <c r="F229" s="32">
        <f t="shared" si="28"/>
        <v>2</v>
      </c>
      <c r="G229">
        <v>8</v>
      </c>
      <c r="H229">
        <v>7</v>
      </c>
      <c r="I229" s="32">
        <f t="shared" si="29"/>
        <v>1</v>
      </c>
      <c r="J229">
        <v>8</v>
      </c>
      <c r="K229">
        <v>8</v>
      </c>
      <c r="L229" s="32">
        <f t="shared" si="30"/>
        <v>0</v>
      </c>
      <c r="M229">
        <v>6</v>
      </c>
      <c r="N229">
        <v>7</v>
      </c>
      <c r="O229" s="32">
        <f t="shared" si="31"/>
        <v>1</v>
      </c>
      <c r="P229">
        <v>7</v>
      </c>
      <c r="Q229">
        <v>7</v>
      </c>
      <c r="R229" s="32">
        <f t="shared" si="32"/>
        <v>0</v>
      </c>
      <c r="S229">
        <v>6</v>
      </c>
      <c r="T229">
        <v>6</v>
      </c>
      <c r="U229" s="32">
        <f t="shared" si="33"/>
        <v>0</v>
      </c>
      <c r="V229">
        <v>7</v>
      </c>
      <c r="W229">
        <v>7</v>
      </c>
      <c r="X229" s="32">
        <f t="shared" si="34"/>
        <v>0</v>
      </c>
      <c r="Y229">
        <v>7</v>
      </c>
      <c r="Z229">
        <v>7</v>
      </c>
      <c r="AA229" s="32">
        <f t="shared" si="35"/>
        <v>0</v>
      </c>
    </row>
    <row r="230" spans="1:27" x14ac:dyDescent="0.45">
      <c r="A230">
        <v>6</v>
      </c>
      <c r="B230">
        <v>7</v>
      </c>
      <c r="C230" s="32">
        <f t="shared" si="27"/>
        <v>1</v>
      </c>
      <c r="D230">
        <v>6</v>
      </c>
      <c r="E230">
        <v>8</v>
      </c>
      <c r="F230" s="32">
        <f t="shared" si="28"/>
        <v>2</v>
      </c>
      <c r="G230">
        <v>8</v>
      </c>
      <c r="H230">
        <v>7</v>
      </c>
      <c r="I230" s="32">
        <f t="shared" si="29"/>
        <v>1</v>
      </c>
      <c r="J230">
        <v>8</v>
      </c>
      <c r="K230">
        <v>8</v>
      </c>
      <c r="L230" s="32">
        <f t="shared" si="30"/>
        <v>0</v>
      </c>
      <c r="M230">
        <v>6</v>
      </c>
      <c r="N230">
        <v>7</v>
      </c>
      <c r="O230" s="32">
        <f t="shared" si="31"/>
        <v>1</v>
      </c>
      <c r="P230">
        <v>7</v>
      </c>
      <c r="Q230">
        <v>7</v>
      </c>
      <c r="R230" s="32">
        <f t="shared" si="32"/>
        <v>0</v>
      </c>
      <c r="S230">
        <v>6</v>
      </c>
      <c r="T230">
        <v>6</v>
      </c>
      <c r="U230" s="32">
        <f t="shared" si="33"/>
        <v>0</v>
      </c>
      <c r="V230">
        <v>7</v>
      </c>
      <c r="W230">
        <v>7</v>
      </c>
      <c r="X230" s="32">
        <f t="shared" si="34"/>
        <v>0</v>
      </c>
      <c r="Y230">
        <v>7</v>
      </c>
      <c r="Z230">
        <v>7</v>
      </c>
      <c r="AA230" s="32">
        <f t="shared" si="35"/>
        <v>0</v>
      </c>
    </row>
    <row r="231" spans="1:27" x14ac:dyDescent="0.45">
      <c r="A231">
        <v>6</v>
      </c>
      <c r="B231">
        <v>7</v>
      </c>
      <c r="C231" s="32">
        <f t="shared" si="27"/>
        <v>1</v>
      </c>
      <c r="D231">
        <v>6</v>
      </c>
      <c r="E231">
        <v>8</v>
      </c>
      <c r="F231" s="32">
        <f t="shared" si="28"/>
        <v>2</v>
      </c>
      <c r="G231">
        <v>8</v>
      </c>
      <c r="H231">
        <v>7</v>
      </c>
      <c r="I231" s="32">
        <f t="shared" si="29"/>
        <v>1</v>
      </c>
      <c r="J231">
        <v>8</v>
      </c>
      <c r="K231">
        <v>8</v>
      </c>
      <c r="L231" s="32">
        <f t="shared" si="30"/>
        <v>0</v>
      </c>
      <c r="M231">
        <v>6</v>
      </c>
      <c r="N231">
        <v>7</v>
      </c>
      <c r="O231" s="32">
        <f t="shared" si="31"/>
        <v>1</v>
      </c>
      <c r="P231">
        <v>7</v>
      </c>
      <c r="Q231">
        <v>7</v>
      </c>
      <c r="R231" s="32">
        <f t="shared" si="32"/>
        <v>0</v>
      </c>
      <c r="S231">
        <v>6</v>
      </c>
      <c r="T231">
        <v>6</v>
      </c>
      <c r="U231" s="32">
        <f t="shared" si="33"/>
        <v>0</v>
      </c>
      <c r="V231">
        <v>7</v>
      </c>
      <c r="W231">
        <v>7</v>
      </c>
      <c r="X231" s="32">
        <f t="shared" si="34"/>
        <v>0</v>
      </c>
      <c r="Y231">
        <v>7</v>
      </c>
      <c r="Z231">
        <v>8</v>
      </c>
      <c r="AA231" s="32">
        <f t="shared" si="35"/>
        <v>1</v>
      </c>
    </row>
    <row r="232" spans="1:27" x14ac:dyDescent="0.45">
      <c r="A232">
        <v>6</v>
      </c>
      <c r="B232">
        <v>7</v>
      </c>
      <c r="C232" s="32">
        <f t="shared" si="27"/>
        <v>1</v>
      </c>
      <c r="D232">
        <v>6</v>
      </c>
      <c r="E232">
        <v>8</v>
      </c>
      <c r="F232" s="32">
        <f t="shared" si="28"/>
        <v>2</v>
      </c>
      <c r="G232">
        <v>8</v>
      </c>
      <c r="H232">
        <v>7</v>
      </c>
      <c r="I232" s="32">
        <f t="shared" si="29"/>
        <v>1</v>
      </c>
      <c r="J232">
        <v>8</v>
      </c>
      <c r="K232">
        <v>8</v>
      </c>
      <c r="L232" s="32">
        <f t="shared" si="30"/>
        <v>0</v>
      </c>
      <c r="M232">
        <v>6</v>
      </c>
      <c r="N232">
        <v>7</v>
      </c>
      <c r="O232" s="32">
        <f t="shared" si="31"/>
        <v>1</v>
      </c>
      <c r="P232">
        <v>7</v>
      </c>
      <c r="Q232">
        <v>7</v>
      </c>
      <c r="R232" s="32">
        <f t="shared" si="32"/>
        <v>0</v>
      </c>
      <c r="S232">
        <v>6</v>
      </c>
      <c r="T232">
        <v>6</v>
      </c>
      <c r="U232" s="32">
        <f t="shared" si="33"/>
        <v>0</v>
      </c>
      <c r="V232">
        <v>7</v>
      </c>
      <c r="W232">
        <v>7</v>
      </c>
      <c r="X232" s="32">
        <f t="shared" si="34"/>
        <v>0</v>
      </c>
      <c r="Y232">
        <v>7</v>
      </c>
      <c r="Z232">
        <v>8</v>
      </c>
      <c r="AA232" s="32">
        <f t="shared" si="35"/>
        <v>1</v>
      </c>
    </row>
    <row r="233" spans="1:27" x14ac:dyDescent="0.45">
      <c r="A233">
        <v>6</v>
      </c>
      <c r="B233">
        <v>7</v>
      </c>
      <c r="C233" s="32">
        <f t="shared" si="27"/>
        <v>1</v>
      </c>
      <c r="D233">
        <v>6</v>
      </c>
      <c r="E233">
        <v>8</v>
      </c>
      <c r="F233" s="32">
        <f t="shared" si="28"/>
        <v>2</v>
      </c>
      <c r="G233">
        <v>8</v>
      </c>
      <c r="H233">
        <v>7</v>
      </c>
      <c r="I233" s="32">
        <f t="shared" si="29"/>
        <v>1</v>
      </c>
      <c r="J233">
        <v>8</v>
      </c>
      <c r="K233">
        <v>8</v>
      </c>
      <c r="L233" s="32">
        <f t="shared" si="30"/>
        <v>0</v>
      </c>
      <c r="M233">
        <v>6</v>
      </c>
      <c r="N233">
        <v>7</v>
      </c>
      <c r="O233" s="32">
        <f t="shared" si="31"/>
        <v>1</v>
      </c>
      <c r="P233">
        <v>7</v>
      </c>
      <c r="Q233">
        <v>7</v>
      </c>
      <c r="R233" s="32">
        <f t="shared" si="32"/>
        <v>0</v>
      </c>
      <c r="S233">
        <v>6</v>
      </c>
      <c r="T233">
        <v>6</v>
      </c>
      <c r="U233" s="32">
        <f t="shared" si="33"/>
        <v>0</v>
      </c>
      <c r="V233">
        <v>7</v>
      </c>
      <c r="W233">
        <v>7</v>
      </c>
      <c r="X233" s="32">
        <f t="shared" si="34"/>
        <v>0</v>
      </c>
      <c r="Y233">
        <v>7</v>
      </c>
      <c r="Z233">
        <v>8</v>
      </c>
      <c r="AA233" s="32">
        <f t="shared" si="35"/>
        <v>1</v>
      </c>
    </row>
    <row r="234" spans="1:27" x14ac:dyDescent="0.45">
      <c r="A234">
        <v>6</v>
      </c>
      <c r="B234">
        <v>7</v>
      </c>
      <c r="C234" s="32">
        <f t="shared" si="27"/>
        <v>1</v>
      </c>
      <c r="D234">
        <v>6</v>
      </c>
      <c r="E234">
        <v>8</v>
      </c>
      <c r="F234" s="32">
        <f t="shared" si="28"/>
        <v>2</v>
      </c>
      <c r="G234">
        <v>8</v>
      </c>
      <c r="H234">
        <v>7</v>
      </c>
      <c r="I234" s="32">
        <f t="shared" si="29"/>
        <v>1</v>
      </c>
      <c r="J234">
        <v>8</v>
      </c>
      <c r="K234">
        <v>8</v>
      </c>
      <c r="L234" s="32">
        <f t="shared" si="30"/>
        <v>0</v>
      </c>
      <c r="M234">
        <v>6</v>
      </c>
      <c r="N234">
        <v>7</v>
      </c>
      <c r="O234" s="32">
        <f t="shared" si="31"/>
        <v>1</v>
      </c>
      <c r="P234">
        <v>7</v>
      </c>
      <c r="Q234">
        <v>7</v>
      </c>
      <c r="R234" s="32">
        <f t="shared" si="32"/>
        <v>0</v>
      </c>
      <c r="S234">
        <v>6</v>
      </c>
      <c r="T234">
        <v>6</v>
      </c>
      <c r="U234" s="32">
        <f t="shared" si="33"/>
        <v>0</v>
      </c>
      <c r="V234">
        <v>7</v>
      </c>
      <c r="W234">
        <v>7</v>
      </c>
      <c r="X234" s="32">
        <f t="shared" si="34"/>
        <v>0</v>
      </c>
      <c r="Y234">
        <v>7</v>
      </c>
      <c r="Z234">
        <v>8</v>
      </c>
      <c r="AA234" s="32">
        <f t="shared" si="35"/>
        <v>1</v>
      </c>
    </row>
    <row r="235" spans="1:27" x14ac:dyDescent="0.45">
      <c r="A235">
        <v>6</v>
      </c>
      <c r="B235">
        <v>7</v>
      </c>
      <c r="C235" s="32">
        <f t="shared" si="27"/>
        <v>1</v>
      </c>
      <c r="D235">
        <v>6</v>
      </c>
      <c r="E235">
        <v>8</v>
      </c>
      <c r="F235" s="32">
        <f t="shared" si="28"/>
        <v>2</v>
      </c>
      <c r="G235">
        <v>8</v>
      </c>
      <c r="H235">
        <v>7</v>
      </c>
      <c r="I235" s="32">
        <f t="shared" si="29"/>
        <v>1</v>
      </c>
      <c r="J235">
        <v>8</v>
      </c>
      <c r="K235">
        <v>8</v>
      </c>
      <c r="L235" s="32">
        <f t="shared" si="30"/>
        <v>0</v>
      </c>
      <c r="M235">
        <v>6</v>
      </c>
      <c r="N235">
        <v>7</v>
      </c>
      <c r="O235" s="32">
        <f t="shared" si="31"/>
        <v>1</v>
      </c>
      <c r="P235">
        <v>7</v>
      </c>
      <c r="Q235">
        <v>7</v>
      </c>
      <c r="R235" s="32">
        <f t="shared" si="32"/>
        <v>0</v>
      </c>
      <c r="S235">
        <v>6</v>
      </c>
      <c r="T235">
        <v>6</v>
      </c>
      <c r="U235" s="32">
        <f t="shared" si="33"/>
        <v>0</v>
      </c>
      <c r="V235">
        <v>7</v>
      </c>
      <c r="W235">
        <v>7</v>
      </c>
      <c r="X235" s="32">
        <f t="shared" si="34"/>
        <v>0</v>
      </c>
      <c r="Y235">
        <v>7</v>
      </c>
      <c r="Z235">
        <v>8</v>
      </c>
      <c r="AA235" s="32">
        <f t="shared" si="35"/>
        <v>1</v>
      </c>
    </row>
    <row r="236" spans="1:27" x14ac:dyDescent="0.45">
      <c r="A236">
        <v>6</v>
      </c>
      <c r="B236">
        <v>7</v>
      </c>
      <c r="C236" s="32">
        <f t="shared" si="27"/>
        <v>1</v>
      </c>
      <c r="D236">
        <v>6</v>
      </c>
      <c r="E236">
        <v>8</v>
      </c>
      <c r="F236" s="32">
        <f t="shared" si="28"/>
        <v>2</v>
      </c>
      <c r="G236">
        <v>8</v>
      </c>
      <c r="H236">
        <v>7</v>
      </c>
      <c r="I236" s="32">
        <f t="shared" si="29"/>
        <v>1</v>
      </c>
      <c r="J236">
        <v>8</v>
      </c>
      <c r="K236">
        <v>8</v>
      </c>
      <c r="L236" s="32">
        <f t="shared" si="30"/>
        <v>0</v>
      </c>
      <c r="M236">
        <v>6</v>
      </c>
      <c r="N236">
        <v>7</v>
      </c>
      <c r="O236" s="32">
        <f t="shared" si="31"/>
        <v>1</v>
      </c>
      <c r="P236">
        <v>7</v>
      </c>
      <c r="Q236">
        <v>7</v>
      </c>
      <c r="R236" s="32">
        <f t="shared" si="32"/>
        <v>0</v>
      </c>
      <c r="S236">
        <v>6</v>
      </c>
      <c r="T236">
        <v>6</v>
      </c>
      <c r="U236" s="32">
        <f t="shared" si="33"/>
        <v>0</v>
      </c>
      <c r="V236">
        <v>7</v>
      </c>
      <c r="W236">
        <v>7</v>
      </c>
      <c r="X236" s="32">
        <f t="shared" si="34"/>
        <v>0</v>
      </c>
      <c r="Y236">
        <v>7</v>
      </c>
      <c r="Z236">
        <v>8</v>
      </c>
      <c r="AA236" s="32">
        <f t="shared" si="35"/>
        <v>1</v>
      </c>
    </row>
    <row r="237" spans="1:27" x14ac:dyDescent="0.45">
      <c r="A237">
        <v>6</v>
      </c>
      <c r="B237">
        <v>8</v>
      </c>
      <c r="C237" s="32">
        <f t="shared" si="27"/>
        <v>2</v>
      </c>
      <c r="D237">
        <v>6</v>
      </c>
      <c r="E237">
        <v>8</v>
      </c>
      <c r="F237" s="32">
        <f t="shared" si="28"/>
        <v>2</v>
      </c>
      <c r="G237">
        <v>8</v>
      </c>
      <c r="H237">
        <v>7</v>
      </c>
      <c r="I237" s="32">
        <f t="shared" si="29"/>
        <v>1</v>
      </c>
      <c r="J237">
        <v>8</v>
      </c>
      <c r="K237">
        <v>8</v>
      </c>
      <c r="L237" s="32">
        <f t="shared" si="30"/>
        <v>0</v>
      </c>
      <c r="M237">
        <v>7</v>
      </c>
      <c r="N237">
        <v>7</v>
      </c>
      <c r="O237" s="32">
        <f t="shared" si="31"/>
        <v>0</v>
      </c>
      <c r="P237">
        <v>7</v>
      </c>
      <c r="Q237">
        <v>7</v>
      </c>
      <c r="R237" s="32">
        <f t="shared" si="32"/>
        <v>0</v>
      </c>
      <c r="S237">
        <v>6</v>
      </c>
      <c r="T237">
        <v>6</v>
      </c>
      <c r="U237" s="32">
        <f t="shared" si="33"/>
        <v>0</v>
      </c>
      <c r="V237">
        <v>7</v>
      </c>
      <c r="W237">
        <v>7</v>
      </c>
      <c r="X237" s="32">
        <f t="shared" si="34"/>
        <v>0</v>
      </c>
      <c r="Y237">
        <v>7</v>
      </c>
      <c r="Z237">
        <v>8</v>
      </c>
      <c r="AA237" s="32">
        <f t="shared" si="35"/>
        <v>1</v>
      </c>
    </row>
    <row r="238" spans="1:27" x14ac:dyDescent="0.45">
      <c r="A238">
        <v>6</v>
      </c>
      <c r="B238">
        <v>8</v>
      </c>
      <c r="C238" s="32">
        <f t="shared" si="27"/>
        <v>2</v>
      </c>
      <c r="D238">
        <v>6</v>
      </c>
      <c r="E238">
        <v>8</v>
      </c>
      <c r="F238" s="32">
        <f t="shared" si="28"/>
        <v>2</v>
      </c>
      <c r="G238">
        <v>8</v>
      </c>
      <c r="H238">
        <v>7</v>
      </c>
      <c r="I238" s="32">
        <f t="shared" si="29"/>
        <v>1</v>
      </c>
      <c r="J238">
        <v>8</v>
      </c>
      <c r="K238">
        <v>8</v>
      </c>
      <c r="L238" s="32">
        <f t="shared" si="30"/>
        <v>0</v>
      </c>
      <c r="M238">
        <v>7</v>
      </c>
      <c r="N238">
        <v>7</v>
      </c>
      <c r="O238" s="32">
        <f t="shared" si="31"/>
        <v>0</v>
      </c>
      <c r="P238">
        <v>7</v>
      </c>
      <c r="Q238">
        <v>7</v>
      </c>
      <c r="R238" s="32">
        <f t="shared" si="32"/>
        <v>0</v>
      </c>
      <c r="S238">
        <v>6</v>
      </c>
      <c r="T238">
        <v>7</v>
      </c>
      <c r="U238" s="32">
        <f t="shared" si="33"/>
        <v>1</v>
      </c>
      <c r="V238">
        <v>7</v>
      </c>
      <c r="W238">
        <v>7</v>
      </c>
      <c r="X238" s="32">
        <f t="shared" si="34"/>
        <v>0</v>
      </c>
      <c r="Y238">
        <v>7</v>
      </c>
      <c r="Z238">
        <v>8</v>
      </c>
      <c r="AA238" s="32">
        <f t="shared" si="35"/>
        <v>1</v>
      </c>
    </row>
    <row r="239" spans="1:27" x14ac:dyDescent="0.45">
      <c r="A239">
        <v>6</v>
      </c>
      <c r="B239">
        <v>8</v>
      </c>
      <c r="C239" s="32">
        <f t="shared" si="27"/>
        <v>2</v>
      </c>
      <c r="D239">
        <v>6</v>
      </c>
      <c r="E239">
        <v>8</v>
      </c>
      <c r="F239" s="32">
        <f t="shared" si="28"/>
        <v>2</v>
      </c>
      <c r="G239">
        <v>8</v>
      </c>
      <c r="H239">
        <v>7</v>
      </c>
      <c r="I239" s="32">
        <f t="shared" si="29"/>
        <v>1</v>
      </c>
      <c r="J239">
        <v>8</v>
      </c>
      <c r="K239">
        <v>8</v>
      </c>
      <c r="L239" s="32">
        <f t="shared" si="30"/>
        <v>0</v>
      </c>
      <c r="M239">
        <v>7</v>
      </c>
      <c r="N239">
        <v>7</v>
      </c>
      <c r="O239" s="32">
        <f t="shared" si="31"/>
        <v>0</v>
      </c>
      <c r="P239">
        <v>7</v>
      </c>
      <c r="Q239">
        <v>7</v>
      </c>
      <c r="R239" s="32">
        <f t="shared" si="32"/>
        <v>0</v>
      </c>
      <c r="S239">
        <v>6</v>
      </c>
      <c r="T239">
        <v>7</v>
      </c>
      <c r="U239" s="32">
        <f t="shared" si="33"/>
        <v>1</v>
      </c>
      <c r="V239">
        <v>7</v>
      </c>
      <c r="W239">
        <v>7</v>
      </c>
      <c r="X239" s="32">
        <f t="shared" si="34"/>
        <v>0</v>
      </c>
      <c r="Y239">
        <v>7</v>
      </c>
      <c r="Z239">
        <v>8</v>
      </c>
      <c r="AA239" s="32">
        <f t="shared" si="35"/>
        <v>1</v>
      </c>
    </row>
    <row r="240" spans="1:27" x14ac:dyDescent="0.45">
      <c r="A240">
        <v>6</v>
      </c>
      <c r="B240">
        <v>8</v>
      </c>
      <c r="C240" s="32">
        <f t="shared" si="27"/>
        <v>2</v>
      </c>
      <c r="D240">
        <v>6</v>
      </c>
      <c r="E240">
        <v>8</v>
      </c>
      <c r="F240" s="32">
        <f t="shared" si="28"/>
        <v>2</v>
      </c>
      <c r="G240">
        <v>8</v>
      </c>
      <c r="H240">
        <v>7</v>
      </c>
      <c r="I240" s="32">
        <f t="shared" si="29"/>
        <v>1</v>
      </c>
      <c r="J240">
        <v>8</v>
      </c>
      <c r="K240">
        <v>8</v>
      </c>
      <c r="L240" s="32">
        <f t="shared" si="30"/>
        <v>0</v>
      </c>
      <c r="M240">
        <v>7</v>
      </c>
      <c r="N240">
        <v>7</v>
      </c>
      <c r="O240" s="32">
        <f t="shared" si="31"/>
        <v>0</v>
      </c>
      <c r="P240">
        <v>7</v>
      </c>
      <c r="Q240">
        <v>7</v>
      </c>
      <c r="R240" s="32">
        <f t="shared" si="32"/>
        <v>0</v>
      </c>
      <c r="S240">
        <v>6</v>
      </c>
      <c r="T240">
        <v>7</v>
      </c>
      <c r="U240" s="32">
        <f t="shared" si="33"/>
        <v>1</v>
      </c>
      <c r="V240">
        <v>7</v>
      </c>
      <c r="W240">
        <v>7</v>
      </c>
      <c r="X240" s="32">
        <f t="shared" si="34"/>
        <v>0</v>
      </c>
      <c r="Y240">
        <v>7</v>
      </c>
      <c r="Z240">
        <v>8</v>
      </c>
      <c r="AA240" s="32">
        <f t="shared" si="35"/>
        <v>1</v>
      </c>
    </row>
    <row r="241" spans="1:27" x14ac:dyDescent="0.45">
      <c r="A241">
        <v>6</v>
      </c>
      <c r="B241">
        <v>8</v>
      </c>
      <c r="C241" s="32">
        <f t="shared" si="27"/>
        <v>2</v>
      </c>
      <c r="D241">
        <v>6</v>
      </c>
      <c r="E241">
        <v>8</v>
      </c>
      <c r="F241" s="32">
        <f t="shared" si="28"/>
        <v>2</v>
      </c>
      <c r="G241">
        <v>8</v>
      </c>
      <c r="H241">
        <v>7</v>
      </c>
      <c r="I241" s="32">
        <f t="shared" si="29"/>
        <v>1</v>
      </c>
      <c r="J241">
        <v>8</v>
      </c>
      <c r="K241">
        <v>8</v>
      </c>
      <c r="L241" s="32">
        <f t="shared" si="30"/>
        <v>0</v>
      </c>
      <c r="M241">
        <v>7</v>
      </c>
      <c r="N241">
        <v>7</v>
      </c>
      <c r="O241" s="32">
        <f t="shared" si="31"/>
        <v>0</v>
      </c>
      <c r="P241">
        <v>7</v>
      </c>
      <c r="Q241">
        <v>7</v>
      </c>
      <c r="R241" s="32">
        <f t="shared" si="32"/>
        <v>0</v>
      </c>
      <c r="S241">
        <v>6</v>
      </c>
      <c r="T241">
        <v>7</v>
      </c>
      <c r="U241" s="32">
        <f t="shared" si="33"/>
        <v>1</v>
      </c>
      <c r="V241">
        <v>7</v>
      </c>
      <c r="W241">
        <v>7</v>
      </c>
      <c r="X241" s="32">
        <f t="shared" si="34"/>
        <v>0</v>
      </c>
      <c r="Y241">
        <v>7</v>
      </c>
      <c r="Z241">
        <v>8</v>
      </c>
      <c r="AA241" s="32">
        <f t="shared" si="35"/>
        <v>1</v>
      </c>
    </row>
    <row r="242" spans="1:27" x14ac:dyDescent="0.45">
      <c r="A242">
        <v>6</v>
      </c>
      <c r="B242">
        <v>8</v>
      </c>
      <c r="C242" s="32">
        <f t="shared" si="27"/>
        <v>2</v>
      </c>
      <c r="D242">
        <v>6</v>
      </c>
      <c r="E242">
        <v>8</v>
      </c>
      <c r="F242" s="32">
        <f t="shared" si="28"/>
        <v>2</v>
      </c>
      <c r="G242">
        <v>8</v>
      </c>
      <c r="H242">
        <v>7</v>
      </c>
      <c r="I242" s="32">
        <f t="shared" si="29"/>
        <v>1</v>
      </c>
      <c r="J242">
        <v>8</v>
      </c>
      <c r="K242">
        <v>8</v>
      </c>
      <c r="L242" s="32">
        <f t="shared" si="30"/>
        <v>0</v>
      </c>
      <c r="M242">
        <v>7</v>
      </c>
      <c r="N242">
        <v>7</v>
      </c>
      <c r="O242" s="32">
        <f t="shared" si="31"/>
        <v>0</v>
      </c>
      <c r="P242">
        <v>7</v>
      </c>
      <c r="Q242">
        <v>7</v>
      </c>
      <c r="R242" s="32">
        <f t="shared" si="32"/>
        <v>0</v>
      </c>
      <c r="S242">
        <v>6</v>
      </c>
      <c r="T242">
        <v>7</v>
      </c>
      <c r="U242" s="32">
        <f t="shared" si="33"/>
        <v>1</v>
      </c>
      <c r="V242">
        <v>7</v>
      </c>
      <c r="W242">
        <v>7</v>
      </c>
      <c r="X242" s="32">
        <f t="shared" si="34"/>
        <v>0</v>
      </c>
      <c r="Y242">
        <v>7</v>
      </c>
      <c r="Z242">
        <v>8</v>
      </c>
      <c r="AA242" s="32">
        <f t="shared" si="35"/>
        <v>1</v>
      </c>
    </row>
    <row r="243" spans="1:27" x14ac:dyDescent="0.45">
      <c r="A243">
        <v>6</v>
      </c>
      <c r="B243">
        <v>8</v>
      </c>
      <c r="C243" s="32">
        <f t="shared" si="27"/>
        <v>2</v>
      </c>
      <c r="D243">
        <v>6</v>
      </c>
      <c r="E243">
        <v>8</v>
      </c>
      <c r="F243" s="32">
        <f t="shared" si="28"/>
        <v>2</v>
      </c>
      <c r="G243">
        <v>8</v>
      </c>
      <c r="H243">
        <v>7</v>
      </c>
      <c r="I243" s="32">
        <f t="shared" si="29"/>
        <v>1</v>
      </c>
      <c r="J243">
        <v>8</v>
      </c>
      <c r="K243">
        <v>8</v>
      </c>
      <c r="L243" s="32">
        <f t="shared" si="30"/>
        <v>0</v>
      </c>
      <c r="M243">
        <v>7</v>
      </c>
      <c r="N243">
        <v>7</v>
      </c>
      <c r="O243" s="32">
        <f t="shared" si="31"/>
        <v>0</v>
      </c>
      <c r="P243">
        <v>7</v>
      </c>
      <c r="Q243">
        <v>7</v>
      </c>
      <c r="R243" s="32">
        <f t="shared" si="32"/>
        <v>0</v>
      </c>
      <c r="S243">
        <v>6</v>
      </c>
      <c r="T243">
        <v>7</v>
      </c>
      <c r="U243" s="32">
        <f t="shared" si="33"/>
        <v>1</v>
      </c>
      <c r="V243">
        <v>7</v>
      </c>
      <c r="W243">
        <v>7</v>
      </c>
      <c r="X243" s="32">
        <f t="shared" si="34"/>
        <v>0</v>
      </c>
      <c r="Y243">
        <v>7</v>
      </c>
      <c r="Z243">
        <v>8</v>
      </c>
      <c r="AA243" s="32">
        <f t="shared" si="35"/>
        <v>1</v>
      </c>
    </row>
    <row r="244" spans="1:27" x14ac:dyDescent="0.45">
      <c r="A244">
        <v>6</v>
      </c>
      <c r="B244">
        <v>8</v>
      </c>
      <c r="C244" s="32">
        <f t="shared" si="27"/>
        <v>2</v>
      </c>
      <c r="D244">
        <v>6</v>
      </c>
      <c r="E244">
        <v>8</v>
      </c>
      <c r="F244" s="32">
        <f t="shared" si="28"/>
        <v>2</v>
      </c>
      <c r="G244">
        <v>8</v>
      </c>
      <c r="H244">
        <v>7</v>
      </c>
      <c r="I244" s="32">
        <f t="shared" si="29"/>
        <v>1</v>
      </c>
      <c r="J244">
        <v>8</v>
      </c>
      <c r="K244">
        <v>8</v>
      </c>
      <c r="L244" s="32">
        <f t="shared" si="30"/>
        <v>0</v>
      </c>
      <c r="M244">
        <v>7</v>
      </c>
      <c r="N244">
        <v>7</v>
      </c>
      <c r="O244" s="32">
        <f t="shared" si="31"/>
        <v>0</v>
      </c>
      <c r="P244">
        <v>7</v>
      </c>
      <c r="Q244">
        <v>7</v>
      </c>
      <c r="R244" s="32">
        <f t="shared" si="32"/>
        <v>0</v>
      </c>
      <c r="S244">
        <v>6</v>
      </c>
      <c r="T244">
        <v>7</v>
      </c>
      <c r="U244" s="32">
        <f t="shared" si="33"/>
        <v>1</v>
      </c>
      <c r="V244">
        <v>7</v>
      </c>
      <c r="W244">
        <v>7</v>
      </c>
      <c r="X244" s="32">
        <f t="shared" si="34"/>
        <v>0</v>
      </c>
      <c r="Y244">
        <v>7</v>
      </c>
      <c r="Z244">
        <v>8</v>
      </c>
      <c r="AA244" s="32">
        <f t="shared" si="35"/>
        <v>1</v>
      </c>
    </row>
    <row r="245" spans="1:27" x14ac:dyDescent="0.45">
      <c r="A245">
        <v>6</v>
      </c>
      <c r="B245">
        <v>8</v>
      </c>
      <c r="C245" s="32">
        <f t="shared" si="27"/>
        <v>2</v>
      </c>
      <c r="D245">
        <v>6</v>
      </c>
      <c r="E245">
        <v>8</v>
      </c>
      <c r="F245" s="32">
        <f t="shared" si="28"/>
        <v>2</v>
      </c>
      <c r="G245">
        <v>8</v>
      </c>
      <c r="H245">
        <v>7</v>
      </c>
      <c r="I245" s="32">
        <f t="shared" si="29"/>
        <v>1</v>
      </c>
      <c r="J245">
        <v>8</v>
      </c>
      <c r="K245">
        <v>8</v>
      </c>
      <c r="L245" s="32">
        <f t="shared" si="30"/>
        <v>0</v>
      </c>
      <c r="M245">
        <v>7</v>
      </c>
      <c r="N245">
        <v>7</v>
      </c>
      <c r="O245" s="32">
        <f t="shared" si="31"/>
        <v>0</v>
      </c>
      <c r="P245">
        <v>7</v>
      </c>
      <c r="Q245">
        <v>7</v>
      </c>
      <c r="R245" s="32">
        <f t="shared" si="32"/>
        <v>0</v>
      </c>
      <c r="S245">
        <v>6</v>
      </c>
      <c r="T245">
        <v>7</v>
      </c>
      <c r="U245" s="32">
        <f t="shared" si="33"/>
        <v>1</v>
      </c>
      <c r="V245">
        <v>7</v>
      </c>
      <c r="W245">
        <v>7</v>
      </c>
      <c r="X245" s="32">
        <f t="shared" si="34"/>
        <v>0</v>
      </c>
      <c r="Y245">
        <v>7</v>
      </c>
      <c r="Z245">
        <v>8</v>
      </c>
      <c r="AA245" s="32">
        <f t="shared" si="35"/>
        <v>1</v>
      </c>
    </row>
    <row r="246" spans="1:27" x14ac:dyDescent="0.45">
      <c r="A246">
        <v>6</v>
      </c>
      <c r="B246">
        <v>8</v>
      </c>
      <c r="C246" s="32">
        <f t="shared" si="27"/>
        <v>2</v>
      </c>
      <c r="D246">
        <v>6</v>
      </c>
      <c r="E246">
        <v>8</v>
      </c>
      <c r="F246" s="32">
        <f t="shared" si="28"/>
        <v>2</v>
      </c>
      <c r="G246">
        <v>8</v>
      </c>
      <c r="H246">
        <v>7</v>
      </c>
      <c r="I246" s="32">
        <f t="shared" si="29"/>
        <v>1</v>
      </c>
      <c r="J246">
        <v>8</v>
      </c>
      <c r="K246">
        <v>8</v>
      </c>
      <c r="L246" s="32">
        <f t="shared" si="30"/>
        <v>0</v>
      </c>
      <c r="M246">
        <v>7</v>
      </c>
      <c r="N246">
        <v>7</v>
      </c>
      <c r="O246" s="32">
        <f t="shared" si="31"/>
        <v>0</v>
      </c>
      <c r="P246">
        <v>7</v>
      </c>
      <c r="Q246">
        <v>7</v>
      </c>
      <c r="R246" s="32">
        <f t="shared" si="32"/>
        <v>0</v>
      </c>
      <c r="S246">
        <v>6</v>
      </c>
      <c r="T246">
        <v>7</v>
      </c>
      <c r="U246" s="32">
        <f t="shared" si="33"/>
        <v>1</v>
      </c>
      <c r="V246">
        <v>7</v>
      </c>
      <c r="W246">
        <v>7</v>
      </c>
      <c r="X246" s="32">
        <f t="shared" si="34"/>
        <v>0</v>
      </c>
      <c r="Y246">
        <v>7</v>
      </c>
      <c r="Z246">
        <v>8</v>
      </c>
      <c r="AA246" s="32">
        <f t="shared" si="35"/>
        <v>1</v>
      </c>
    </row>
    <row r="247" spans="1:27" x14ac:dyDescent="0.45">
      <c r="A247">
        <v>6</v>
      </c>
      <c r="B247">
        <v>8</v>
      </c>
      <c r="C247" s="32">
        <f t="shared" si="27"/>
        <v>2</v>
      </c>
      <c r="D247">
        <v>6</v>
      </c>
      <c r="E247">
        <v>8</v>
      </c>
      <c r="F247" s="32">
        <f t="shared" si="28"/>
        <v>2</v>
      </c>
      <c r="G247">
        <v>8</v>
      </c>
      <c r="H247">
        <v>7</v>
      </c>
      <c r="I247" s="32">
        <f t="shared" si="29"/>
        <v>1</v>
      </c>
      <c r="J247">
        <v>8</v>
      </c>
      <c r="K247">
        <v>8</v>
      </c>
      <c r="L247" s="32">
        <f t="shared" si="30"/>
        <v>0</v>
      </c>
      <c r="M247">
        <v>7</v>
      </c>
      <c r="N247">
        <v>7</v>
      </c>
      <c r="O247" s="32">
        <f t="shared" si="31"/>
        <v>0</v>
      </c>
      <c r="P247">
        <v>7</v>
      </c>
      <c r="Q247">
        <v>7</v>
      </c>
      <c r="R247" s="32">
        <f t="shared" si="32"/>
        <v>0</v>
      </c>
      <c r="S247">
        <v>6</v>
      </c>
      <c r="T247">
        <v>7</v>
      </c>
      <c r="U247" s="32">
        <f t="shared" si="33"/>
        <v>1</v>
      </c>
      <c r="V247">
        <v>7</v>
      </c>
      <c r="W247">
        <v>7</v>
      </c>
      <c r="X247" s="32">
        <f t="shared" si="34"/>
        <v>0</v>
      </c>
      <c r="Y247">
        <v>7</v>
      </c>
      <c r="Z247">
        <v>8</v>
      </c>
      <c r="AA247" s="32">
        <f t="shared" si="35"/>
        <v>1</v>
      </c>
    </row>
    <row r="248" spans="1:27" x14ac:dyDescent="0.45">
      <c r="A248">
        <v>6</v>
      </c>
      <c r="B248">
        <v>8</v>
      </c>
      <c r="C248" s="32">
        <f t="shared" si="27"/>
        <v>2</v>
      </c>
      <c r="D248">
        <v>6</v>
      </c>
      <c r="E248">
        <v>8</v>
      </c>
      <c r="F248" s="32">
        <f t="shared" si="28"/>
        <v>2</v>
      </c>
      <c r="G248">
        <v>8</v>
      </c>
      <c r="H248">
        <v>7</v>
      </c>
      <c r="I248" s="32">
        <f t="shared" si="29"/>
        <v>1</v>
      </c>
      <c r="J248">
        <v>8</v>
      </c>
      <c r="K248">
        <v>8</v>
      </c>
      <c r="L248" s="32">
        <f t="shared" si="30"/>
        <v>0</v>
      </c>
      <c r="M248">
        <v>7</v>
      </c>
      <c r="N248">
        <v>7</v>
      </c>
      <c r="O248" s="32">
        <f t="shared" si="31"/>
        <v>0</v>
      </c>
      <c r="P248">
        <v>7</v>
      </c>
      <c r="Q248">
        <v>7</v>
      </c>
      <c r="R248" s="32">
        <f t="shared" si="32"/>
        <v>0</v>
      </c>
      <c r="S248">
        <v>6</v>
      </c>
      <c r="T248">
        <v>7</v>
      </c>
      <c r="U248" s="32">
        <f t="shared" si="33"/>
        <v>1</v>
      </c>
      <c r="V248">
        <v>7</v>
      </c>
      <c r="W248">
        <v>7</v>
      </c>
      <c r="X248" s="32">
        <f t="shared" si="34"/>
        <v>0</v>
      </c>
      <c r="Y248">
        <v>7</v>
      </c>
      <c r="Z248">
        <v>8</v>
      </c>
      <c r="AA248" s="32">
        <f t="shared" si="35"/>
        <v>1</v>
      </c>
    </row>
    <row r="249" spans="1:27" x14ac:dyDescent="0.45">
      <c r="A249">
        <v>6</v>
      </c>
      <c r="B249">
        <v>8</v>
      </c>
      <c r="C249" s="32">
        <f t="shared" si="27"/>
        <v>2</v>
      </c>
      <c r="D249">
        <v>6</v>
      </c>
      <c r="E249">
        <v>8</v>
      </c>
      <c r="F249" s="32">
        <f t="shared" si="28"/>
        <v>2</v>
      </c>
      <c r="G249">
        <v>8</v>
      </c>
      <c r="H249">
        <v>7</v>
      </c>
      <c r="I249" s="32">
        <f t="shared" si="29"/>
        <v>1</v>
      </c>
      <c r="J249">
        <v>8</v>
      </c>
      <c r="K249">
        <v>8</v>
      </c>
      <c r="L249" s="32">
        <f t="shared" si="30"/>
        <v>0</v>
      </c>
      <c r="M249">
        <v>7</v>
      </c>
      <c r="N249">
        <v>7</v>
      </c>
      <c r="O249" s="32">
        <f t="shared" si="31"/>
        <v>0</v>
      </c>
      <c r="P249">
        <v>7</v>
      </c>
      <c r="Q249">
        <v>7</v>
      </c>
      <c r="R249" s="32">
        <f t="shared" si="32"/>
        <v>0</v>
      </c>
      <c r="S249">
        <v>6</v>
      </c>
      <c r="T249">
        <v>7</v>
      </c>
      <c r="U249" s="32">
        <f t="shared" si="33"/>
        <v>1</v>
      </c>
      <c r="V249">
        <v>7</v>
      </c>
      <c r="W249">
        <v>7</v>
      </c>
      <c r="X249" s="32">
        <f t="shared" si="34"/>
        <v>0</v>
      </c>
      <c r="Y249">
        <v>7</v>
      </c>
      <c r="Z249">
        <v>8</v>
      </c>
      <c r="AA249" s="32">
        <f t="shared" si="35"/>
        <v>1</v>
      </c>
    </row>
    <row r="250" spans="1:27" x14ac:dyDescent="0.45">
      <c r="A250">
        <v>6</v>
      </c>
      <c r="B250">
        <v>8</v>
      </c>
      <c r="C250" s="32">
        <f t="shared" si="27"/>
        <v>2</v>
      </c>
      <c r="D250">
        <v>6</v>
      </c>
      <c r="E250">
        <v>8</v>
      </c>
      <c r="F250" s="32">
        <f t="shared" si="28"/>
        <v>2</v>
      </c>
      <c r="G250">
        <v>8</v>
      </c>
      <c r="H250">
        <v>7</v>
      </c>
      <c r="I250" s="32">
        <f t="shared" si="29"/>
        <v>1</v>
      </c>
      <c r="J250">
        <v>8</v>
      </c>
      <c r="K250">
        <v>8</v>
      </c>
      <c r="L250" s="32">
        <f t="shared" si="30"/>
        <v>0</v>
      </c>
      <c r="M250">
        <v>7</v>
      </c>
      <c r="N250">
        <v>7</v>
      </c>
      <c r="O250" s="32">
        <f t="shared" si="31"/>
        <v>0</v>
      </c>
      <c r="P250">
        <v>7</v>
      </c>
      <c r="Q250">
        <v>8</v>
      </c>
      <c r="R250" s="32">
        <f t="shared" si="32"/>
        <v>1</v>
      </c>
      <c r="S250">
        <v>6</v>
      </c>
      <c r="T250">
        <v>7</v>
      </c>
      <c r="U250" s="32">
        <f t="shared" si="33"/>
        <v>1</v>
      </c>
      <c r="V250">
        <v>7</v>
      </c>
      <c r="W250">
        <v>7</v>
      </c>
      <c r="X250" s="32">
        <f t="shared" si="34"/>
        <v>0</v>
      </c>
      <c r="Y250">
        <v>7</v>
      </c>
      <c r="Z250">
        <v>8</v>
      </c>
      <c r="AA250" s="32">
        <f t="shared" si="35"/>
        <v>1</v>
      </c>
    </row>
    <row r="251" spans="1:27" x14ac:dyDescent="0.45">
      <c r="A251">
        <v>6</v>
      </c>
      <c r="B251">
        <v>8</v>
      </c>
      <c r="C251" s="32">
        <f t="shared" si="27"/>
        <v>2</v>
      </c>
      <c r="D251">
        <v>6</v>
      </c>
      <c r="E251">
        <v>8</v>
      </c>
      <c r="F251" s="32">
        <f t="shared" si="28"/>
        <v>2</v>
      </c>
      <c r="G251">
        <v>8</v>
      </c>
      <c r="H251">
        <v>7</v>
      </c>
      <c r="I251" s="32">
        <f t="shared" si="29"/>
        <v>1</v>
      </c>
      <c r="J251">
        <v>8</v>
      </c>
      <c r="K251">
        <v>8</v>
      </c>
      <c r="L251" s="32">
        <f t="shared" si="30"/>
        <v>0</v>
      </c>
      <c r="M251">
        <v>7</v>
      </c>
      <c r="N251">
        <v>7</v>
      </c>
      <c r="O251" s="32">
        <f t="shared" si="31"/>
        <v>0</v>
      </c>
      <c r="P251">
        <v>7</v>
      </c>
      <c r="Q251">
        <v>8</v>
      </c>
      <c r="R251" s="32">
        <f t="shared" si="32"/>
        <v>1</v>
      </c>
      <c r="S251">
        <v>6</v>
      </c>
      <c r="T251">
        <v>7</v>
      </c>
      <c r="U251" s="32">
        <f t="shared" si="33"/>
        <v>1</v>
      </c>
      <c r="V251">
        <v>7</v>
      </c>
      <c r="W251">
        <v>7</v>
      </c>
      <c r="X251" s="32">
        <f t="shared" si="34"/>
        <v>0</v>
      </c>
      <c r="Y251">
        <v>7</v>
      </c>
      <c r="Z251">
        <v>8</v>
      </c>
      <c r="AA251" s="32">
        <f t="shared" si="35"/>
        <v>1</v>
      </c>
    </row>
    <row r="252" spans="1:27" x14ac:dyDescent="0.45">
      <c r="A252">
        <v>6</v>
      </c>
      <c r="B252">
        <v>8</v>
      </c>
      <c r="C252" s="32">
        <f t="shared" si="27"/>
        <v>2</v>
      </c>
      <c r="D252">
        <v>6</v>
      </c>
      <c r="E252">
        <v>8</v>
      </c>
      <c r="F252" s="32">
        <f t="shared" si="28"/>
        <v>2</v>
      </c>
      <c r="G252">
        <v>8</v>
      </c>
      <c r="H252">
        <v>7</v>
      </c>
      <c r="I252" s="32">
        <f t="shared" si="29"/>
        <v>1</v>
      </c>
      <c r="J252">
        <v>8</v>
      </c>
      <c r="K252">
        <v>8</v>
      </c>
      <c r="L252" s="32">
        <f t="shared" si="30"/>
        <v>0</v>
      </c>
      <c r="M252">
        <v>7</v>
      </c>
      <c r="N252">
        <v>7</v>
      </c>
      <c r="O252" s="32">
        <f t="shared" si="31"/>
        <v>0</v>
      </c>
      <c r="P252">
        <v>7</v>
      </c>
      <c r="Q252">
        <v>8</v>
      </c>
      <c r="R252" s="32">
        <f t="shared" si="32"/>
        <v>1</v>
      </c>
      <c r="S252">
        <v>6</v>
      </c>
      <c r="T252">
        <v>7</v>
      </c>
      <c r="U252" s="32">
        <f t="shared" si="33"/>
        <v>1</v>
      </c>
      <c r="V252">
        <v>7</v>
      </c>
      <c r="W252">
        <v>7</v>
      </c>
      <c r="X252" s="32">
        <f t="shared" si="34"/>
        <v>0</v>
      </c>
      <c r="Y252">
        <v>7</v>
      </c>
      <c r="Z252">
        <v>8</v>
      </c>
      <c r="AA252" s="32">
        <f t="shared" si="35"/>
        <v>1</v>
      </c>
    </row>
    <row r="253" spans="1:27" x14ac:dyDescent="0.45">
      <c r="A253">
        <v>6</v>
      </c>
      <c r="B253">
        <v>8</v>
      </c>
      <c r="C253" s="32">
        <f t="shared" si="27"/>
        <v>2</v>
      </c>
      <c r="D253">
        <v>6</v>
      </c>
      <c r="E253">
        <v>8</v>
      </c>
      <c r="F253" s="32">
        <f t="shared" si="28"/>
        <v>2</v>
      </c>
      <c r="G253">
        <v>8</v>
      </c>
      <c r="H253">
        <v>7</v>
      </c>
      <c r="I253" s="32">
        <f t="shared" si="29"/>
        <v>1</v>
      </c>
      <c r="J253">
        <v>8</v>
      </c>
      <c r="K253">
        <v>8</v>
      </c>
      <c r="L253" s="32">
        <f t="shared" si="30"/>
        <v>0</v>
      </c>
      <c r="M253">
        <v>7</v>
      </c>
      <c r="N253">
        <v>7</v>
      </c>
      <c r="O253" s="32">
        <f t="shared" si="31"/>
        <v>0</v>
      </c>
      <c r="P253">
        <v>7</v>
      </c>
      <c r="Q253">
        <v>8</v>
      </c>
      <c r="R253" s="32">
        <f t="shared" si="32"/>
        <v>1</v>
      </c>
      <c r="S253">
        <v>6</v>
      </c>
      <c r="T253">
        <v>7</v>
      </c>
      <c r="U253" s="32">
        <f t="shared" si="33"/>
        <v>1</v>
      </c>
      <c r="V253">
        <v>7</v>
      </c>
      <c r="W253">
        <v>7</v>
      </c>
      <c r="X253" s="32">
        <f t="shared" si="34"/>
        <v>0</v>
      </c>
      <c r="Y253">
        <v>7</v>
      </c>
      <c r="Z253">
        <v>8</v>
      </c>
      <c r="AA253" s="32">
        <f t="shared" si="35"/>
        <v>1</v>
      </c>
    </row>
    <row r="254" spans="1:27" x14ac:dyDescent="0.45">
      <c r="A254">
        <v>6</v>
      </c>
      <c r="B254">
        <v>8</v>
      </c>
      <c r="C254" s="32">
        <f t="shared" si="27"/>
        <v>2</v>
      </c>
      <c r="D254">
        <v>6</v>
      </c>
      <c r="E254">
        <v>8</v>
      </c>
      <c r="F254" s="32">
        <f t="shared" si="28"/>
        <v>2</v>
      </c>
      <c r="G254">
        <v>8</v>
      </c>
      <c r="H254">
        <v>7</v>
      </c>
      <c r="I254" s="32">
        <f t="shared" si="29"/>
        <v>1</v>
      </c>
      <c r="J254">
        <v>8</v>
      </c>
      <c r="K254">
        <v>8</v>
      </c>
      <c r="L254" s="32">
        <f t="shared" si="30"/>
        <v>0</v>
      </c>
      <c r="M254">
        <v>7</v>
      </c>
      <c r="N254">
        <v>7</v>
      </c>
      <c r="O254" s="32">
        <f t="shared" si="31"/>
        <v>0</v>
      </c>
      <c r="P254">
        <v>7</v>
      </c>
      <c r="Q254">
        <v>8</v>
      </c>
      <c r="R254" s="32">
        <f t="shared" si="32"/>
        <v>1</v>
      </c>
      <c r="S254">
        <v>6</v>
      </c>
      <c r="T254">
        <v>7</v>
      </c>
      <c r="U254" s="32">
        <f t="shared" si="33"/>
        <v>1</v>
      </c>
      <c r="V254">
        <v>7</v>
      </c>
      <c r="W254">
        <v>7</v>
      </c>
      <c r="X254" s="32">
        <f t="shared" si="34"/>
        <v>0</v>
      </c>
      <c r="Y254">
        <v>7</v>
      </c>
      <c r="Z254">
        <v>8</v>
      </c>
      <c r="AA254" s="32">
        <f t="shared" si="35"/>
        <v>1</v>
      </c>
    </row>
    <row r="255" spans="1:27" x14ac:dyDescent="0.45">
      <c r="A255">
        <v>6</v>
      </c>
      <c r="B255">
        <v>8</v>
      </c>
      <c r="C255" s="32">
        <f t="shared" si="27"/>
        <v>2</v>
      </c>
      <c r="D255">
        <v>6</v>
      </c>
      <c r="E255">
        <v>8</v>
      </c>
      <c r="F255" s="32">
        <f t="shared" si="28"/>
        <v>2</v>
      </c>
      <c r="G255">
        <v>8</v>
      </c>
      <c r="H255">
        <v>7</v>
      </c>
      <c r="I255" s="32">
        <f t="shared" si="29"/>
        <v>1</v>
      </c>
      <c r="J255">
        <v>8</v>
      </c>
      <c r="K255">
        <v>8</v>
      </c>
      <c r="L255" s="32">
        <f t="shared" si="30"/>
        <v>0</v>
      </c>
      <c r="M255">
        <v>7</v>
      </c>
      <c r="N255">
        <v>7</v>
      </c>
      <c r="O255" s="32">
        <f t="shared" si="31"/>
        <v>0</v>
      </c>
      <c r="P255">
        <v>7</v>
      </c>
      <c r="Q255">
        <v>8</v>
      </c>
      <c r="R255" s="32">
        <f t="shared" si="32"/>
        <v>1</v>
      </c>
      <c r="S255">
        <v>6</v>
      </c>
      <c r="T255">
        <v>7</v>
      </c>
      <c r="U255" s="32">
        <f t="shared" si="33"/>
        <v>1</v>
      </c>
      <c r="V255">
        <v>7</v>
      </c>
      <c r="W255">
        <v>7</v>
      </c>
      <c r="X255" s="32">
        <f t="shared" si="34"/>
        <v>0</v>
      </c>
      <c r="Y255">
        <v>7</v>
      </c>
      <c r="Z255">
        <v>8</v>
      </c>
      <c r="AA255" s="32">
        <f t="shared" si="35"/>
        <v>1</v>
      </c>
    </row>
    <row r="256" spans="1:27" x14ac:dyDescent="0.45">
      <c r="A256">
        <v>6</v>
      </c>
      <c r="B256">
        <v>8</v>
      </c>
      <c r="C256" s="32">
        <f t="shared" si="27"/>
        <v>2</v>
      </c>
      <c r="D256">
        <v>6</v>
      </c>
      <c r="E256">
        <v>8</v>
      </c>
      <c r="F256" s="32">
        <f t="shared" si="28"/>
        <v>2</v>
      </c>
      <c r="G256">
        <v>8</v>
      </c>
      <c r="H256">
        <v>7</v>
      </c>
      <c r="I256" s="32">
        <f t="shared" si="29"/>
        <v>1</v>
      </c>
      <c r="J256">
        <v>8</v>
      </c>
      <c r="K256">
        <v>8</v>
      </c>
      <c r="L256" s="32">
        <f t="shared" si="30"/>
        <v>0</v>
      </c>
      <c r="M256">
        <v>7</v>
      </c>
      <c r="N256">
        <v>7</v>
      </c>
      <c r="O256" s="32">
        <f t="shared" si="31"/>
        <v>0</v>
      </c>
      <c r="P256">
        <v>7</v>
      </c>
      <c r="Q256">
        <v>8</v>
      </c>
      <c r="R256" s="32">
        <f t="shared" si="32"/>
        <v>1</v>
      </c>
      <c r="S256">
        <v>6</v>
      </c>
      <c r="T256">
        <v>7</v>
      </c>
      <c r="U256" s="32">
        <f t="shared" si="33"/>
        <v>1</v>
      </c>
      <c r="V256">
        <v>7</v>
      </c>
      <c r="W256">
        <v>7</v>
      </c>
      <c r="X256" s="32">
        <f t="shared" si="34"/>
        <v>0</v>
      </c>
      <c r="Y256">
        <v>7</v>
      </c>
      <c r="Z256">
        <v>8</v>
      </c>
      <c r="AA256" s="32">
        <f t="shared" si="35"/>
        <v>1</v>
      </c>
    </row>
    <row r="257" spans="1:27" x14ac:dyDescent="0.45">
      <c r="A257">
        <v>6</v>
      </c>
      <c r="B257">
        <v>8</v>
      </c>
      <c r="C257" s="32">
        <f t="shared" si="27"/>
        <v>2</v>
      </c>
      <c r="D257">
        <v>6</v>
      </c>
      <c r="E257">
        <v>8</v>
      </c>
      <c r="F257" s="32">
        <f t="shared" si="28"/>
        <v>2</v>
      </c>
      <c r="G257">
        <v>8</v>
      </c>
      <c r="H257">
        <v>7</v>
      </c>
      <c r="I257" s="32">
        <f t="shared" si="29"/>
        <v>1</v>
      </c>
      <c r="J257">
        <v>8</v>
      </c>
      <c r="K257">
        <v>8</v>
      </c>
      <c r="L257" s="32">
        <f t="shared" si="30"/>
        <v>0</v>
      </c>
      <c r="M257">
        <v>7</v>
      </c>
      <c r="N257">
        <v>7</v>
      </c>
      <c r="O257" s="32">
        <f t="shared" si="31"/>
        <v>0</v>
      </c>
      <c r="P257">
        <v>7</v>
      </c>
      <c r="Q257">
        <v>8</v>
      </c>
      <c r="R257" s="32">
        <f t="shared" si="32"/>
        <v>1</v>
      </c>
      <c r="S257">
        <v>6</v>
      </c>
      <c r="T257">
        <v>7</v>
      </c>
      <c r="U257" s="32">
        <f t="shared" si="33"/>
        <v>1</v>
      </c>
      <c r="V257">
        <v>7</v>
      </c>
      <c r="W257">
        <v>7</v>
      </c>
      <c r="X257" s="32">
        <f t="shared" si="34"/>
        <v>0</v>
      </c>
      <c r="Y257">
        <v>7</v>
      </c>
      <c r="Z257">
        <v>8</v>
      </c>
      <c r="AA257" s="32">
        <f t="shared" si="35"/>
        <v>1</v>
      </c>
    </row>
    <row r="258" spans="1:27" x14ac:dyDescent="0.45">
      <c r="A258">
        <v>6</v>
      </c>
      <c r="B258">
        <v>8</v>
      </c>
      <c r="C258" s="32">
        <f t="shared" si="27"/>
        <v>2</v>
      </c>
      <c r="D258">
        <v>6</v>
      </c>
      <c r="E258">
        <v>8</v>
      </c>
      <c r="F258" s="32">
        <f t="shared" si="28"/>
        <v>2</v>
      </c>
      <c r="G258">
        <v>8</v>
      </c>
      <c r="H258">
        <v>7</v>
      </c>
      <c r="I258" s="32">
        <f t="shared" si="29"/>
        <v>1</v>
      </c>
      <c r="J258">
        <v>8</v>
      </c>
      <c r="K258">
        <v>8</v>
      </c>
      <c r="L258" s="32">
        <f t="shared" si="30"/>
        <v>0</v>
      </c>
      <c r="M258">
        <v>7</v>
      </c>
      <c r="N258">
        <v>7</v>
      </c>
      <c r="O258" s="32">
        <f t="shared" si="31"/>
        <v>0</v>
      </c>
      <c r="P258">
        <v>7</v>
      </c>
      <c r="Q258">
        <v>8</v>
      </c>
      <c r="R258" s="32">
        <f t="shared" si="32"/>
        <v>1</v>
      </c>
      <c r="S258">
        <v>6</v>
      </c>
      <c r="T258">
        <v>7</v>
      </c>
      <c r="U258" s="32">
        <f t="shared" si="33"/>
        <v>1</v>
      </c>
      <c r="V258">
        <v>7</v>
      </c>
      <c r="W258">
        <v>7</v>
      </c>
      <c r="X258" s="32">
        <f t="shared" si="34"/>
        <v>0</v>
      </c>
      <c r="Y258">
        <v>8</v>
      </c>
      <c r="Z258">
        <v>8</v>
      </c>
      <c r="AA258" s="32">
        <f t="shared" si="35"/>
        <v>0</v>
      </c>
    </row>
    <row r="259" spans="1:27" x14ac:dyDescent="0.45">
      <c r="A259">
        <v>6</v>
      </c>
      <c r="B259">
        <v>8</v>
      </c>
      <c r="C259" s="32">
        <f t="shared" ref="C259:C322" si="36">ABS(B259-A259)</f>
        <v>2</v>
      </c>
      <c r="D259">
        <v>6</v>
      </c>
      <c r="E259">
        <v>8</v>
      </c>
      <c r="F259" s="32">
        <f t="shared" ref="F259:F322" si="37">ABS(E259-D259)</f>
        <v>2</v>
      </c>
      <c r="G259">
        <v>8</v>
      </c>
      <c r="H259">
        <v>7</v>
      </c>
      <c r="I259" s="32">
        <f t="shared" ref="I259:I322" si="38">ABS(H259-G259)</f>
        <v>1</v>
      </c>
      <c r="J259">
        <v>8</v>
      </c>
      <c r="K259">
        <v>8</v>
      </c>
      <c r="L259" s="32">
        <f t="shared" ref="L259:L322" si="39">ABS(K259-J259)</f>
        <v>0</v>
      </c>
      <c r="M259">
        <v>7</v>
      </c>
      <c r="N259">
        <v>7</v>
      </c>
      <c r="O259" s="32">
        <f t="shared" ref="O259:O322" si="40">ABS(N259-M259)</f>
        <v>0</v>
      </c>
      <c r="P259">
        <v>7</v>
      </c>
      <c r="Q259">
        <v>8</v>
      </c>
      <c r="R259" s="32">
        <f t="shared" ref="R259:R322" si="41">ABS(Q259-P259)</f>
        <v>1</v>
      </c>
      <c r="S259">
        <v>6</v>
      </c>
      <c r="T259">
        <v>7</v>
      </c>
      <c r="U259" s="32">
        <f t="shared" ref="U259:U322" si="42">ABS(T259-S259)</f>
        <v>1</v>
      </c>
      <c r="V259">
        <v>7</v>
      </c>
      <c r="W259">
        <v>7</v>
      </c>
      <c r="X259" s="32">
        <f t="shared" ref="X259:X322" si="43">ABS(W259-V259)</f>
        <v>0</v>
      </c>
      <c r="Y259">
        <v>8</v>
      </c>
      <c r="Z259">
        <v>8</v>
      </c>
      <c r="AA259" s="32">
        <f t="shared" ref="AA259:AA322" si="44">ABS(Z259-Y259)</f>
        <v>0</v>
      </c>
    </row>
    <row r="260" spans="1:27" x14ac:dyDescent="0.45">
      <c r="A260">
        <v>6</v>
      </c>
      <c r="B260">
        <v>8</v>
      </c>
      <c r="C260" s="32">
        <f t="shared" si="36"/>
        <v>2</v>
      </c>
      <c r="D260">
        <v>6</v>
      </c>
      <c r="E260">
        <v>8</v>
      </c>
      <c r="F260" s="32">
        <f t="shared" si="37"/>
        <v>2</v>
      </c>
      <c r="G260">
        <v>8</v>
      </c>
      <c r="H260">
        <v>7</v>
      </c>
      <c r="I260" s="32">
        <f t="shared" si="38"/>
        <v>1</v>
      </c>
      <c r="J260">
        <v>8</v>
      </c>
      <c r="K260">
        <v>8</v>
      </c>
      <c r="L260" s="32">
        <f t="shared" si="39"/>
        <v>0</v>
      </c>
      <c r="M260">
        <v>7</v>
      </c>
      <c r="N260">
        <v>7</v>
      </c>
      <c r="O260" s="32">
        <f t="shared" si="40"/>
        <v>0</v>
      </c>
      <c r="P260">
        <v>7</v>
      </c>
      <c r="Q260">
        <v>8</v>
      </c>
      <c r="R260" s="32">
        <f t="shared" si="41"/>
        <v>1</v>
      </c>
      <c r="S260">
        <v>6</v>
      </c>
      <c r="T260">
        <v>7</v>
      </c>
      <c r="U260" s="32">
        <f t="shared" si="42"/>
        <v>1</v>
      </c>
      <c r="V260">
        <v>7</v>
      </c>
      <c r="W260">
        <v>7</v>
      </c>
      <c r="X260" s="32">
        <f t="shared" si="43"/>
        <v>0</v>
      </c>
      <c r="Y260">
        <v>8</v>
      </c>
      <c r="Z260">
        <v>8</v>
      </c>
      <c r="AA260" s="32">
        <f t="shared" si="44"/>
        <v>0</v>
      </c>
    </row>
    <row r="261" spans="1:27" x14ac:dyDescent="0.45">
      <c r="A261">
        <v>6</v>
      </c>
      <c r="B261">
        <v>8</v>
      </c>
      <c r="C261" s="32">
        <f t="shared" si="36"/>
        <v>2</v>
      </c>
      <c r="D261">
        <v>6</v>
      </c>
      <c r="E261">
        <v>8</v>
      </c>
      <c r="F261" s="32">
        <f t="shared" si="37"/>
        <v>2</v>
      </c>
      <c r="G261">
        <v>8</v>
      </c>
      <c r="H261">
        <v>7</v>
      </c>
      <c r="I261" s="32">
        <f t="shared" si="38"/>
        <v>1</v>
      </c>
      <c r="J261">
        <v>8</v>
      </c>
      <c r="K261">
        <v>8</v>
      </c>
      <c r="L261" s="32">
        <f t="shared" si="39"/>
        <v>0</v>
      </c>
      <c r="M261">
        <v>7</v>
      </c>
      <c r="N261">
        <v>7</v>
      </c>
      <c r="O261" s="32">
        <f t="shared" si="40"/>
        <v>0</v>
      </c>
      <c r="P261">
        <v>7</v>
      </c>
      <c r="Q261">
        <v>8</v>
      </c>
      <c r="R261" s="32">
        <f t="shared" si="41"/>
        <v>1</v>
      </c>
      <c r="S261">
        <v>6</v>
      </c>
      <c r="T261">
        <v>7</v>
      </c>
      <c r="U261" s="32">
        <f t="shared" si="42"/>
        <v>1</v>
      </c>
      <c r="V261">
        <v>7</v>
      </c>
      <c r="W261">
        <v>7</v>
      </c>
      <c r="X261" s="32">
        <f t="shared" si="43"/>
        <v>0</v>
      </c>
      <c r="Y261">
        <v>8</v>
      </c>
      <c r="Z261">
        <v>8</v>
      </c>
      <c r="AA261" s="32">
        <f t="shared" si="44"/>
        <v>0</v>
      </c>
    </row>
    <row r="262" spans="1:27" x14ac:dyDescent="0.45">
      <c r="A262">
        <v>6</v>
      </c>
      <c r="B262">
        <v>8</v>
      </c>
      <c r="C262" s="32">
        <f t="shared" si="36"/>
        <v>2</v>
      </c>
      <c r="D262">
        <v>6</v>
      </c>
      <c r="E262">
        <v>8</v>
      </c>
      <c r="F262" s="32">
        <f t="shared" si="37"/>
        <v>2</v>
      </c>
      <c r="G262">
        <v>8</v>
      </c>
      <c r="H262">
        <v>8</v>
      </c>
      <c r="I262" s="32">
        <f t="shared" si="38"/>
        <v>0</v>
      </c>
      <c r="J262">
        <v>8</v>
      </c>
      <c r="K262">
        <v>8</v>
      </c>
      <c r="L262" s="32">
        <f t="shared" si="39"/>
        <v>0</v>
      </c>
      <c r="M262">
        <v>7</v>
      </c>
      <c r="N262">
        <v>7</v>
      </c>
      <c r="O262" s="32">
        <f t="shared" si="40"/>
        <v>0</v>
      </c>
      <c r="P262">
        <v>7</v>
      </c>
      <c r="Q262">
        <v>8</v>
      </c>
      <c r="R262" s="32">
        <f t="shared" si="41"/>
        <v>1</v>
      </c>
      <c r="S262">
        <v>6</v>
      </c>
      <c r="T262">
        <v>7</v>
      </c>
      <c r="U262" s="32">
        <f t="shared" si="42"/>
        <v>1</v>
      </c>
      <c r="V262">
        <v>7</v>
      </c>
      <c r="W262">
        <v>7</v>
      </c>
      <c r="X262" s="32">
        <f t="shared" si="43"/>
        <v>0</v>
      </c>
      <c r="Y262">
        <v>8</v>
      </c>
      <c r="Z262">
        <v>8</v>
      </c>
      <c r="AA262" s="32">
        <f t="shared" si="44"/>
        <v>0</v>
      </c>
    </row>
    <row r="263" spans="1:27" x14ac:dyDescent="0.45">
      <c r="A263">
        <v>6</v>
      </c>
      <c r="B263">
        <v>8</v>
      </c>
      <c r="C263" s="32">
        <f t="shared" si="36"/>
        <v>2</v>
      </c>
      <c r="D263">
        <v>6</v>
      </c>
      <c r="E263">
        <v>8</v>
      </c>
      <c r="F263" s="32">
        <f t="shared" si="37"/>
        <v>2</v>
      </c>
      <c r="G263">
        <v>8</v>
      </c>
      <c r="H263">
        <v>8</v>
      </c>
      <c r="I263" s="32">
        <f t="shared" si="38"/>
        <v>0</v>
      </c>
      <c r="J263">
        <v>8</v>
      </c>
      <c r="K263">
        <v>8</v>
      </c>
      <c r="L263" s="32">
        <f t="shared" si="39"/>
        <v>0</v>
      </c>
      <c r="M263">
        <v>7</v>
      </c>
      <c r="N263">
        <v>7</v>
      </c>
      <c r="O263" s="32">
        <f t="shared" si="40"/>
        <v>0</v>
      </c>
      <c r="P263">
        <v>7</v>
      </c>
      <c r="Q263">
        <v>8</v>
      </c>
      <c r="R263" s="32">
        <f t="shared" si="41"/>
        <v>1</v>
      </c>
      <c r="S263">
        <v>6</v>
      </c>
      <c r="T263">
        <v>7</v>
      </c>
      <c r="U263" s="32">
        <f t="shared" si="42"/>
        <v>1</v>
      </c>
      <c r="V263">
        <v>7</v>
      </c>
      <c r="W263">
        <v>7</v>
      </c>
      <c r="X263" s="32">
        <f t="shared" si="43"/>
        <v>0</v>
      </c>
      <c r="Y263">
        <v>8</v>
      </c>
      <c r="Z263">
        <v>8</v>
      </c>
      <c r="AA263" s="32">
        <f t="shared" si="44"/>
        <v>0</v>
      </c>
    </row>
    <row r="264" spans="1:27" x14ac:dyDescent="0.45">
      <c r="A264">
        <v>6</v>
      </c>
      <c r="B264">
        <v>8</v>
      </c>
      <c r="C264" s="32">
        <f t="shared" si="36"/>
        <v>2</v>
      </c>
      <c r="D264">
        <v>6</v>
      </c>
      <c r="E264">
        <v>8</v>
      </c>
      <c r="F264" s="32">
        <f t="shared" si="37"/>
        <v>2</v>
      </c>
      <c r="G264">
        <v>8</v>
      </c>
      <c r="H264">
        <v>8</v>
      </c>
      <c r="I264" s="32">
        <f t="shared" si="38"/>
        <v>0</v>
      </c>
      <c r="J264">
        <v>8</v>
      </c>
      <c r="K264">
        <v>8</v>
      </c>
      <c r="L264" s="32">
        <f t="shared" si="39"/>
        <v>0</v>
      </c>
      <c r="M264">
        <v>7</v>
      </c>
      <c r="N264">
        <v>7</v>
      </c>
      <c r="O264" s="32">
        <f t="shared" si="40"/>
        <v>0</v>
      </c>
      <c r="P264">
        <v>7</v>
      </c>
      <c r="Q264">
        <v>8</v>
      </c>
      <c r="R264" s="32">
        <f t="shared" si="41"/>
        <v>1</v>
      </c>
      <c r="S264">
        <v>6</v>
      </c>
      <c r="T264">
        <v>7</v>
      </c>
      <c r="U264" s="32">
        <f t="shared" si="42"/>
        <v>1</v>
      </c>
      <c r="V264">
        <v>7</v>
      </c>
      <c r="W264">
        <v>7</v>
      </c>
      <c r="X264" s="32">
        <f t="shared" si="43"/>
        <v>0</v>
      </c>
      <c r="Y264">
        <v>8</v>
      </c>
      <c r="Z264">
        <v>8</v>
      </c>
      <c r="AA264" s="32">
        <f t="shared" si="44"/>
        <v>0</v>
      </c>
    </row>
    <row r="265" spans="1:27" x14ac:dyDescent="0.45">
      <c r="A265">
        <v>6</v>
      </c>
      <c r="B265">
        <v>8</v>
      </c>
      <c r="C265" s="32">
        <f t="shared" si="36"/>
        <v>2</v>
      </c>
      <c r="D265">
        <v>6</v>
      </c>
      <c r="E265">
        <v>8</v>
      </c>
      <c r="F265" s="32">
        <f t="shared" si="37"/>
        <v>2</v>
      </c>
      <c r="G265">
        <v>8</v>
      </c>
      <c r="H265">
        <v>8</v>
      </c>
      <c r="I265" s="32">
        <f t="shared" si="38"/>
        <v>0</v>
      </c>
      <c r="J265">
        <v>8</v>
      </c>
      <c r="K265">
        <v>8</v>
      </c>
      <c r="L265" s="32">
        <f t="shared" si="39"/>
        <v>0</v>
      </c>
      <c r="M265">
        <v>7</v>
      </c>
      <c r="N265">
        <v>7</v>
      </c>
      <c r="O265" s="32">
        <f t="shared" si="40"/>
        <v>0</v>
      </c>
      <c r="P265">
        <v>7</v>
      </c>
      <c r="Q265">
        <v>8</v>
      </c>
      <c r="R265" s="32">
        <f t="shared" si="41"/>
        <v>1</v>
      </c>
      <c r="S265">
        <v>6</v>
      </c>
      <c r="T265">
        <v>7</v>
      </c>
      <c r="U265" s="32">
        <f t="shared" si="42"/>
        <v>1</v>
      </c>
      <c r="V265">
        <v>7</v>
      </c>
      <c r="W265">
        <v>7</v>
      </c>
      <c r="X265" s="32">
        <f t="shared" si="43"/>
        <v>0</v>
      </c>
      <c r="Y265">
        <v>8</v>
      </c>
      <c r="Z265">
        <v>8</v>
      </c>
      <c r="AA265" s="32">
        <f t="shared" si="44"/>
        <v>0</v>
      </c>
    </row>
    <row r="266" spans="1:27" x14ac:dyDescent="0.45">
      <c r="A266">
        <v>6</v>
      </c>
      <c r="B266">
        <v>8</v>
      </c>
      <c r="C266" s="32">
        <f t="shared" si="36"/>
        <v>2</v>
      </c>
      <c r="D266">
        <v>6</v>
      </c>
      <c r="E266">
        <v>8</v>
      </c>
      <c r="F266" s="32">
        <f t="shared" si="37"/>
        <v>2</v>
      </c>
      <c r="G266">
        <v>8</v>
      </c>
      <c r="H266">
        <v>8</v>
      </c>
      <c r="I266" s="32">
        <f t="shared" si="38"/>
        <v>0</v>
      </c>
      <c r="J266">
        <v>8</v>
      </c>
      <c r="K266">
        <v>8</v>
      </c>
      <c r="L266" s="32">
        <f t="shared" si="39"/>
        <v>0</v>
      </c>
      <c r="M266">
        <v>7</v>
      </c>
      <c r="N266">
        <v>7</v>
      </c>
      <c r="O266" s="32">
        <f t="shared" si="40"/>
        <v>0</v>
      </c>
      <c r="P266">
        <v>7</v>
      </c>
      <c r="Q266">
        <v>8</v>
      </c>
      <c r="R266" s="32">
        <f t="shared" si="41"/>
        <v>1</v>
      </c>
      <c r="S266">
        <v>6</v>
      </c>
      <c r="T266">
        <v>7</v>
      </c>
      <c r="U266" s="32">
        <f t="shared" si="42"/>
        <v>1</v>
      </c>
      <c r="V266">
        <v>7</v>
      </c>
      <c r="W266">
        <v>7</v>
      </c>
      <c r="X266" s="32">
        <f t="shared" si="43"/>
        <v>0</v>
      </c>
      <c r="Y266">
        <v>8</v>
      </c>
      <c r="Z266">
        <v>8</v>
      </c>
      <c r="AA266" s="32">
        <f t="shared" si="44"/>
        <v>0</v>
      </c>
    </row>
    <row r="267" spans="1:27" x14ac:dyDescent="0.45">
      <c r="A267">
        <v>6</v>
      </c>
      <c r="B267">
        <v>8</v>
      </c>
      <c r="C267" s="32">
        <f t="shared" si="36"/>
        <v>2</v>
      </c>
      <c r="D267">
        <v>6</v>
      </c>
      <c r="E267">
        <v>8</v>
      </c>
      <c r="F267" s="32">
        <f t="shared" si="37"/>
        <v>2</v>
      </c>
      <c r="G267">
        <v>8</v>
      </c>
      <c r="H267">
        <v>8</v>
      </c>
      <c r="I267" s="32">
        <f t="shared" si="38"/>
        <v>0</v>
      </c>
      <c r="J267">
        <v>8</v>
      </c>
      <c r="K267">
        <v>8</v>
      </c>
      <c r="L267" s="32">
        <f t="shared" si="39"/>
        <v>0</v>
      </c>
      <c r="M267">
        <v>7</v>
      </c>
      <c r="N267">
        <v>7</v>
      </c>
      <c r="O267" s="32">
        <f t="shared" si="40"/>
        <v>0</v>
      </c>
      <c r="P267">
        <v>7</v>
      </c>
      <c r="Q267">
        <v>8</v>
      </c>
      <c r="R267" s="32">
        <f t="shared" si="41"/>
        <v>1</v>
      </c>
      <c r="S267">
        <v>6</v>
      </c>
      <c r="T267">
        <v>7</v>
      </c>
      <c r="U267" s="32">
        <f t="shared" si="42"/>
        <v>1</v>
      </c>
      <c r="V267">
        <v>7</v>
      </c>
      <c r="W267">
        <v>7</v>
      </c>
      <c r="X267" s="32">
        <f t="shared" si="43"/>
        <v>0</v>
      </c>
      <c r="Y267">
        <v>8</v>
      </c>
      <c r="Z267">
        <v>8</v>
      </c>
      <c r="AA267" s="32">
        <f t="shared" si="44"/>
        <v>0</v>
      </c>
    </row>
    <row r="268" spans="1:27" x14ac:dyDescent="0.45">
      <c r="A268">
        <v>6</v>
      </c>
      <c r="B268">
        <v>8</v>
      </c>
      <c r="C268" s="32">
        <f t="shared" si="36"/>
        <v>2</v>
      </c>
      <c r="D268">
        <v>6</v>
      </c>
      <c r="E268">
        <v>8</v>
      </c>
      <c r="F268" s="32">
        <f t="shared" si="37"/>
        <v>2</v>
      </c>
      <c r="G268">
        <v>8</v>
      </c>
      <c r="H268">
        <v>8</v>
      </c>
      <c r="I268" s="32">
        <f t="shared" si="38"/>
        <v>0</v>
      </c>
      <c r="J268">
        <v>8</v>
      </c>
      <c r="K268">
        <v>8</v>
      </c>
      <c r="L268" s="32">
        <f t="shared" si="39"/>
        <v>0</v>
      </c>
      <c r="M268">
        <v>7</v>
      </c>
      <c r="N268">
        <v>7</v>
      </c>
      <c r="O268" s="32">
        <f t="shared" si="40"/>
        <v>0</v>
      </c>
      <c r="P268">
        <v>7</v>
      </c>
      <c r="Q268">
        <v>8</v>
      </c>
      <c r="R268" s="32">
        <f t="shared" si="41"/>
        <v>1</v>
      </c>
      <c r="S268">
        <v>6</v>
      </c>
      <c r="T268">
        <v>7</v>
      </c>
      <c r="U268" s="32">
        <f t="shared" si="42"/>
        <v>1</v>
      </c>
      <c r="V268">
        <v>7</v>
      </c>
      <c r="W268">
        <v>7</v>
      </c>
      <c r="X268" s="32">
        <f t="shared" si="43"/>
        <v>0</v>
      </c>
      <c r="Y268">
        <v>8</v>
      </c>
      <c r="Z268">
        <v>8</v>
      </c>
      <c r="AA268" s="32">
        <f t="shared" si="44"/>
        <v>0</v>
      </c>
    </row>
    <row r="269" spans="1:27" x14ac:dyDescent="0.45">
      <c r="A269">
        <v>6</v>
      </c>
      <c r="B269">
        <v>8</v>
      </c>
      <c r="C269" s="32">
        <f t="shared" si="36"/>
        <v>2</v>
      </c>
      <c r="D269">
        <v>6</v>
      </c>
      <c r="E269">
        <v>8</v>
      </c>
      <c r="F269" s="32">
        <f t="shared" si="37"/>
        <v>2</v>
      </c>
      <c r="G269">
        <v>8</v>
      </c>
      <c r="H269">
        <v>8</v>
      </c>
      <c r="I269" s="32">
        <f t="shared" si="38"/>
        <v>0</v>
      </c>
      <c r="J269">
        <v>8</v>
      </c>
      <c r="K269">
        <v>8</v>
      </c>
      <c r="L269" s="32">
        <f t="shared" si="39"/>
        <v>0</v>
      </c>
      <c r="M269">
        <v>7</v>
      </c>
      <c r="N269">
        <v>7</v>
      </c>
      <c r="O269" s="32">
        <f t="shared" si="40"/>
        <v>0</v>
      </c>
      <c r="P269">
        <v>7</v>
      </c>
      <c r="Q269">
        <v>8</v>
      </c>
      <c r="R269" s="32">
        <f t="shared" si="41"/>
        <v>1</v>
      </c>
      <c r="S269">
        <v>6</v>
      </c>
      <c r="T269">
        <v>7</v>
      </c>
      <c r="U269" s="32">
        <f t="shared" si="42"/>
        <v>1</v>
      </c>
      <c r="V269">
        <v>7</v>
      </c>
      <c r="W269">
        <v>7</v>
      </c>
      <c r="X269" s="32">
        <f t="shared" si="43"/>
        <v>0</v>
      </c>
      <c r="Y269">
        <v>8</v>
      </c>
      <c r="Z269">
        <v>8</v>
      </c>
      <c r="AA269" s="32">
        <f t="shared" si="44"/>
        <v>0</v>
      </c>
    </row>
    <row r="270" spans="1:27" x14ac:dyDescent="0.45">
      <c r="A270">
        <v>6</v>
      </c>
      <c r="B270">
        <v>8</v>
      </c>
      <c r="C270" s="32">
        <f t="shared" si="36"/>
        <v>2</v>
      </c>
      <c r="D270">
        <v>6</v>
      </c>
      <c r="E270">
        <v>8</v>
      </c>
      <c r="F270" s="32">
        <f t="shared" si="37"/>
        <v>2</v>
      </c>
      <c r="G270">
        <v>8</v>
      </c>
      <c r="H270">
        <v>8</v>
      </c>
      <c r="I270" s="32">
        <f t="shared" si="38"/>
        <v>0</v>
      </c>
      <c r="J270">
        <v>8</v>
      </c>
      <c r="K270">
        <v>8</v>
      </c>
      <c r="L270" s="32">
        <f t="shared" si="39"/>
        <v>0</v>
      </c>
      <c r="M270">
        <v>7</v>
      </c>
      <c r="N270">
        <v>7</v>
      </c>
      <c r="O270" s="32">
        <f t="shared" si="40"/>
        <v>0</v>
      </c>
      <c r="P270">
        <v>7</v>
      </c>
      <c r="Q270">
        <v>8</v>
      </c>
      <c r="R270" s="32">
        <f t="shared" si="41"/>
        <v>1</v>
      </c>
      <c r="S270">
        <v>6</v>
      </c>
      <c r="T270">
        <v>7</v>
      </c>
      <c r="U270" s="32">
        <f t="shared" si="42"/>
        <v>1</v>
      </c>
      <c r="V270">
        <v>7</v>
      </c>
      <c r="W270">
        <v>7</v>
      </c>
      <c r="X270" s="32">
        <f t="shared" si="43"/>
        <v>0</v>
      </c>
      <c r="Y270">
        <v>8</v>
      </c>
      <c r="Z270">
        <v>8</v>
      </c>
      <c r="AA270" s="32">
        <f t="shared" si="44"/>
        <v>0</v>
      </c>
    </row>
    <row r="271" spans="1:27" x14ac:dyDescent="0.45">
      <c r="A271">
        <v>6</v>
      </c>
      <c r="B271">
        <v>8</v>
      </c>
      <c r="C271" s="32">
        <f t="shared" si="36"/>
        <v>2</v>
      </c>
      <c r="D271">
        <v>6</v>
      </c>
      <c r="E271">
        <v>8</v>
      </c>
      <c r="F271" s="32">
        <f t="shared" si="37"/>
        <v>2</v>
      </c>
      <c r="G271">
        <v>8</v>
      </c>
      <c r="H271">
        <v>8</v>
      </c>
      <c r="I271" s="32">
        <f t="shared" si="38"/>
        <v>0</v>
      </c>
      <c r="J271">
        <v>8</v>
      </c>
      <c r="K271">
        <v>8</v>
      </c>
      <c r="L271" s="32">
        <f t="shared" si="39"/>
        <v>0</v>
      </c>
      <c r="M271">
        <v>7</v>
      </c>
      <c r="N271">
        <v>7</v>
      </c>
      <c r="O271" s="32">
        <f t="shared" si="40"/>
        <v>0</v>
      </c>
      <c r="P271">
        <v>7</v>
      </c>
      <c r="Q271">
        <v>8</v>
      </c>
      <c r="R271" s="32">
        <f t="shared" si="41"/>
        <v>1</v>
      </c>
      <c r="S271">
        <v>6</v>
      </c>
      <c r="T271">
        <v>7</v>
      </c>
      <c r="U271" s="32">
        <f t="shared" si="42"/>
        <v>1</v>
      </c>
      <c r="V271">
        <v>7</v>
      </c>
      <c r="W271">
        <v>7</v>
      </c>
      <c r="X271" s="32">
        <f t="shared" si="43"/>
        <v>0</v>
      </c>
      <c r="Y271">
        <v>8</v>
      </c>
      <c r="Z271">
        <v>8</v>
      </c>
      <c r="AA271" s="32">
        <f t="shared" si="44"/>
        <v>0</v>
      </c>
    </row>
    <row r="272" spans="1:27" x14ac:dyDescent="0.45">
      <c r="A272">
        <v>6</v>
      </c>
      <c r="B272">
        <v>8</v>
      </c>
      <c r="C272" s="32">
        <f t="shared" si="36"/>
        <v>2</v>
      </c>
      <c r="D272">
        <v>6</v>
      </c>
      <c r="E272">
        <v>8</v>
      </c>
      <c r="F272" s="32">
        <f t="shared" si="37"/>
        <v>2</v>
      </c>
      <c r="G272">
        <v>8</v>
      </c>
      <c r="H272">
        <v>8</v>
      </c>
      <c r="I272" s="32">
        <f t="shared" si="38"/>
        <v>0</v>
      </c>
      <c r="J272">
        <v>8</v>
      </c>
      <c r="K272">
        <v>8</v>
      </c>
      <c r="L272" s="32">
        <f t="shared" si="39"/>
        <v>0</v>
      </c>
      <c r="M272">
        <v>7</v>
      </c>
      <c r="N272">
        <v>7</v>
      </c>
      <c r="O272" s="32">
        <f t="shared" si="40"/>
        <v>0</v>
      </c>
      <c r="P272">
        <v>7</v>
      </c>
      <c r="Q272">
        <v>8</v>
      </c>
      <c r="R272" s="32">
        <f t="shared" si="41"/>
        <v>1</v>
      </c>
      <c r="S272">
        <v>6</v>
      </c>
      <c r="T272">
        <v>7</v>
      </c>
      <c r="U272" s="32">
        <f t="shared" si="42"/>
        <v>1</v>
      </c>
      <c r="V272">
        <v>7</v>
      </c>
      <c r="W272">
        <v>7</v>
      </c>
      <c r="X272" s="32">
        <f t="shared" si="43"/>
        <v>0</v>
      </c>
      <c r="Y272">
        <v>8</v>
      </c>
      <c r="Z272">
        <v>8</v>
      </c>
      <c r="AA272" s="32">
        <f t="shared" si="44"/>
        <v>0</v>
      </c>
    </row>
    <row r="273" spans="1:27" x14ac:dyDescent="0.45">
      <c r="A273">
        <v>6</v>
      </c>
      <c r="B273">
        <v>8</v>
      </c>
      <c r="C273" s="32">
        <f t="shared" si="36"/>
        <v>2</v>
      </c>
      <c r="D273">
        <v>6</v>
      </c>
      <c r="E273">
        <v>8</v>
      </c>
      <c r="F273" s="32">
        <f t="shared" si="37"/>
        <v>2</v>
      </c>
      <c r="G273">
        <v>8</v>
      </c>
      <c r="H273">
        <v>8</v>
      </c>
      <c r="I273" s="32">
        <f t="shared" si="38"/>
        <v>0</v>
      </c>
      <c r="J273">
        <v>8</v>
      </c>
      <c r="K273">
        <v>8</v>
      </c>
      <c r="L273" s="32">
        <f t="shared" si="39"/>
        <v>0</v>
      </c>
      <c r="M273">
        <v>7</v>
      </c>
      <c r="N273">
        <v>7</v>
      </c>
      <c r="O273" s="32">
        <f t="shared" si="40"/>
        <v>0</v>
      </c>
      <c r="P273">
        <v>7</v>
      </c>
      <c r="Q273">
        <v>8</v>
      </c>
      <c r="R273" s="32">
        <f t="shared" si="41"/>
        <v>1</v>
      </c>
      <c r="S273">
        <v>6</v>
      </c>
      <c r="T273">
        <v>7</v>
      </c>
      <c r="U273" s="32">
        <f t="shared" si="42"/>
        <v>1</v>
      </c>
      <c r="V273">
        <v>7</v>
      </c>
      <c r="W273">
        <v>7</v>
      </c>
      <c r="X273" s="32">
        <f t="shared" si="43"/>
        <v>0</v>
      </c>
      <c r="Y273">
        <v>8</v>
      </c>
      <c r="Z273">
        <v>8</v>
      </c>
      <c r="AA273" s="32">
        <f t="shared" si="44"/>
        <v>0</v>
      </c>
    </row>
    <row r="274" spans="1:27" x14ac:dyDescent="0.45">
      <c r="A274">
        <v>6</v>
      </c>
      <c r="B274">
        <v>8</v>
      </c>
      <c r="C274" s="32">
        <f t="shared" si="36"/>
        <v>2</v>
      </c>
      <c r="D274">
        <v>6</v>
      </c>
      <c r="E274">
        <v>8</v>
      </c>
      <c r="F274" s="32">
        <f t="shared" si="37"/>
        <v>2</v>
      </c>
      <c r="G274">
        <v>8</v>
      </c>
      <c r="H274">
        <v>8</v>
      </c>
      <c r="I274" s="32">
        <f t="shared" si="38"/>
        <v>0</v>
      </c>
      <c r="J274">
        <v>8</v>
      </c>
      <c r="K274">
        <v>8</v>
      </c>
      <c r="L274" s="32">
        <f t="shared" si="39"/>
        <v>0</v>
      </c>
      <c r="M274">
        <v>7</v>
      </c>
      <c r="N274">
        <v>7</v>
      </c>
      <c r="O274" s="32">
        <f t="shared" si="40"/>
        <v>0</v>
      </c>
      <c r="P274">
        <v>7</v>
      </c>
      <c r="Q274">
        <v>8</v>
      </c>
      <c r="R274" s="32">
        <f t="shared" si="41"/>
        <v>1</v>
      </c>
      <c r="S274">
        <v>6</v>
      </c>
      <c r="T274">
        <v>7</v>
      </c>
      <c r="U274" s="32">
        <f t="shared" si="42"/>
        <v>1</v>
      </c>
      <c r="V274">
        <v>7</v>
      </c>
      <c r="W274">
        <v>7</v>
      </c>
      <c r="X274" s="32">
        <f t="shared" si="43"/>
        <v>0</v>
      </c>
      <c r="Y274">
        <v>8</v>
      </c>
      <c r="Z274">
        <v>8</v>
      </c>
      <c r="AA274" s="32">
        <f t="shared" si="44"/>
        <v>0</v>
      </c>
    </row>
    <row r="275" spans="1:27" x14ac:dyDescent="0.45">
      <c r="A275">
        <v>6</v>
      </c>
      <c r="B275">
        <v>8</v>
      </c>
      <c r="C275" s="32">
        <f t="shared" si="36"/>
        <v>2</v>
      </c>
      <c r="D275">
        <v>6</v>
      </c>
      <c r="E275">
        <v>8</v>
      </c>
      <c r="F275" s="32">
        <f t="shared" si="37"/>
        <v>2</v>
      </c>
      <c r="G275">
        <v>8</v>
      </c>
      <c r="H275">
        <v>8</v>
      </c>
      <c r="I275" s="32">
        <f t="shared" si="38"/>
        <v>0</v>
      </c>
      <c r="J275">
        <v>8</v>
      </c>
      <c r="K275">
        <v>8</v>
      </c>
      <c r="L275" s="32">
        <f t="shared" si="39"/>
        <v>0</v>
      </c>
      <c r="M275">
        <v>7</v>
      </c>
      <c r="N275">
        <v>7</v>
      </c>
      <c r="O275" s="32">
        <f t="shared" si="40"/>
        <v>0</v>
      </c>
      <c r="P275">
        <v>7</v>
      </c>
      <c r="Q275">
        <v>8</v>
      </c>
      <c r="R275" s="32">
        <f t="shared" si="41"/>
        <v>1</v>
      </c>
      <c r="S275">
        <v>6</v>
      </c>
      <c r="T275">
        <v>7</v>
      </c>
      <c r="U275" s="32">
        <f t="shared" si="42"/>
        <v>1</v>
      </c>
      <c r="V275">
        <v>7</v>
      </c>
      <c r="W275">
        <v>7</v>
      </c>
      <c r="X275" s="32">
        <f t="shared" si="43"/>
        <v>0</v>
      </c>
      <c r="Y275">
        <v>8</v>
      </c>
      <c r="Z275">
        <v>8</v>
      </c>
      <c r="AA275" s="32">
        <f t="shared" si="44"/>
        <v>0</v>
      </c>
    </row>
    <row r="276" spans="1:27" x14ac:dyDescent="0.45">
      <c r="A276">
        <v>6</v>
      </c>
      <c r="B276">
        <v>8</v>
      </c>
      <c r="C276" s="32">
        <f t="shared" si="36"/>
        <v>2</v>
      </c>
      <c r="D276">
        <v>6</v>
      </c>
      <c r="E276">
        <v>8</v>
      </c>
      <c r="F276" s="32">
        <f t="shared" si="37"/>
        <v>2</v>
      </c>
      <c r="G276">
        <v>8</v>
      </c>
      <c r="H276">
        <v>8</v>
      </c>
      <c r="I276" s="32">
        <f t="shared" si="38"/>
        <v>0</v>
      </c>
      <c r="J276">
        <v>8</v>
      </c>
      <c r="K276">
        <v>8</v>
      </c>
      <c r="L276" s="32">
        <f t="shared" si="39"/>
        <v>0</v>
      </c>
      <c r="M276">
        <v>7</v>
      </c>
      <c r="N276">
        <v>7</v>
      </c>
      <c r="O276" s="32">
        <f t="shared" si="40"/>
        <v>0</v>
      </c>
      <c r="P276">
        <v>7</v>
      </c>
      <c r="Q276">
        <v>8</v>
      </c>
      <c r="R276" s="32">
        <f t="shared" si="41"/>
        <v>1</v>
      </c>
      <c r="S276">
        <v>6</v>
      </c>
      <c r="T276">
        <v>7</v>
      </c>
      <c r="U276" s="32">
        <f t="shared" si="42"/>
        <v>1</v>
      </c>
      <c r="V276">
        <v>7</v>
      </c>
      <c r="W276">
        <v>7</v>
      </c>
      <c r="X276" s="32">
        <f t="shared" si="43"/>
        <v>0</v>
      </c>
      <c r="Y276">
        <v>8</v>
      </c>
      <c r="Z276">
        <v>8</v>
      </c>
      <c r="AA276" s="32">
        <f t="shared" si="44"/>
        <v>0</v>
      </c>
    </row>
    <row r="277" spans="1:27" x14ac:dyDescent="0.45">
      <c r="A277">
        <v>6</v>
      </c>
      <c r="B277">
        <v>8</v>
      </c>
      <c r="C277" s="32">
        <f t="shared" si="36"/>
        <v>2</v>
      </c>
      <c r="D277">
        <v>6</v>
      </c>
      <c r="E277">
        <v>8</v>
      </c>
      <c r="F277" s="32">
        <f t="shared" si="37"/>
        <v>2</v>
      </c>
      <c r="G277">
        <v>8</v>
      </c>
      <c r="H277">
        <v>8</v>
      </c>
      <c r="I277" s="32">
        <f t="shared" si="38"/>
        <v>0</v>
      </c>
      <c r="J277">
        <v>8</v>
      </c>
      <c r="K277">
        <v>8</v>
      </c>
      <c r="L277" s="32">
        <f t="shared" si="39"/>
        <v>0</v>
      </c>
      <c r="M277">
        <v>7</v>
      </c>
      <c r="N277">
        <v>8</v>
      </c>
      <c r="O277" s="32">
        <f t="shared" si="40"/>
        <v>1</v>
      </c>
      <c r="P277">
        <v>7</v>
      </c>
      <c r="Q277">
        <v>8</v>
      </c>
      <c r="R277" s="32">
        <f t="shared" si="41"/>
        <v>1</v>
      </c>
      <c r="S277">
        <v>6</v>
      </c>
      <c r="T277">
        <v>7</v>
      </c>
      <c r="U277" s="32">
        <f t="shared" si="42"/>
        <v>1</v>
      </c>
      <c r="V277">
        <v>7</v>
      </c>
      <c r="W277">
        <v>7</v>
      </c>
      <c r="X277" s="32">
        <f t="shared" si="43"/>
        <v>0</v>
      </c>
      <c r="Y277">
        <v>8</v>
      </c>
      <c r="Z277">
        <v>8</v>
      </c>
      <c r="AA277" s="32">
        <f t="shared" si="44"/>
        <v>0</v>
      </c>
    </row>
    <row r="278" spans="1:27" x14ac:dyDescent="0.45">
      <c r="A278">
        <v>6</v>
      </c>
      <c r="B278">
        <v>8</v>
      </c>
      <c r="C278" s="32">
        <f t="shared" si="36"/>
        <v>2</v>
      </c>
      <c r="D278">
        <v>6</v>
      </c>
      <c r="E278">
        <v>8</v>
      </c>
      <c r="F278" s="32">
        <f t="shared" si="37"/>
        <v>2</v>
      </c>
      <c r="G278">
        <v>8</v>
      </c>
      <c r="H278">
        <v>8</v>
      </c>
      <c r="I278" s="32">
        <f t="shared" si="38"/>
        <v>0</v>
      </c>
      <c r="J278">
        <v>8</v>
      </c>
      <c r="K278">
        <v>8</v>
      </c>
      <c r="L278" s="32">
        <f t="shared" si="39"/>
        <v>0</v>
      </c>
      <c r="M278">
        <v>7</v>
      </c>
      <c r="N278">
        <v>8</v>
      </c>
      <c r="O278" s="32">
        <f t="shared" si="40"/>
        <v>1</v>
      </c>
      <c r="P278">
        <v>7</v>
      </c>
      <c r="Q278">
        <v>8</v>
      </c>
      <c r="R278" s="32">
        <f t="shared" si="41"/>
        <v>1</v>
      </c>
      <c r="S278">
        <v>6</v>
      </c>
      <c r="T278">
        <v>7</v>
      </c>
      <c r="U278" s="32">
        <f t="shared" si="42"/>
        <v>1</v>
      </c>
      <c r="V278">
        <v>7</v>
      </c>
      <c r="W278">
        <v>7</v>
      </c>
      <c r="X278" s="32">
        <f t="shared" si="43"/>
        <v>0</v>
      </c>
      <c r="Y278">
        <v>8</v>
      </c>
      <c r="Z278">
        <v>8</v>
      </c>
      <c r="AA278" s="32">
        <f t="shared" si="44"/>
        <v>0</v>
      </c>
    </row>
    <row r="279" spans="1:27" x14ac:dyDescent="0.45">
      <c r="A279">
        <v>6</v>
      </c>
      <c r="B279">
        <v>8</v>
      </c>
      <c r="C279" s="32">
        <f t="shared" si="36"/>
        <v>2</v>
      </c>
      <c r="D279">
        <v>6</v>
      </c>
      <c r="E279">
        <v>8</v>
      </c>
      <c r="F279" s="32">
        <f t="shared" si="37"/>
        <v>2</v>
      </c>
      <c r="G279">
        <v>8</v>
      </c>
      <c r="H279">
        <v>8</v>
      </c>
      <c r="I279" s="32">
        <f t="shared" si="38"/>
        <v>0</v>
      </c>
      <c r="J279">
        <v>8</v>
      </c>
      <c r="K279">
        <v>8</v>
      </c>
      <c r="L279" s="32">
        <f t="shared" si="39"/>
        <v>0</v>
      </c>
      <c r="M279">
        <v>7</v>
      </c>
      <c r="N279">
        <v>8</v>
      </c>
      <c r="O279" s="32">
        <f t="shared" si="40"/>
        <v>1</v>
      </c>
      <c r="P279">
        <v>7</v>
      </c>
      <c r="Q279">
        <v>8</v>
      </c>
      <c r="R279" s="32">
        <f t="shared" si="41"/>
        <v>1</v>
      </c>
      <c r="S279">
        <v>6</v>
      </c>
      <c r="T279">
        <v>7</v>
      </c>
      <c r="U279" s="32">
        <f t="shared" si="42"/>
        <v>1</v>
      </c>
      <c r="V279">
        <v>7</v>
      </c>
      <c r="W279">
        <v>7</v>
      </c>
      <c r="X279" s="32">
        <f t="shared" si="43"/>
        <v>0</v>
      </c>
      <c r="Y279">
        <v>8</v>
      </c>
      <c r="Z279">
        <v>8</v>
      </c>
      <c r="AA279" s="32">
        <f t="shared" si="44"/>
        <v>0</v>
      </c>
    </row>
    <row r="280" spans="1:27" x14ac:dyDescent="0.45">
      <c r="A280">
        <v>6</v>
      </c>
      <c r="B280">
        <v>8</v>
      </c>
      <c r="C280" s="32">
        <f t="shared" si="36"/>
        <v>2</v>
      </c>
      <c r="D280">
        <v>6</v>
      </c>
      <c r="E280">
        <v>8</v>
      </c>
      <c r="F280" s="32">
        <f t="shared" si="37"/>
        <v>2</v>
      </c>
      <c r="G280">
        <v>8</v>
      </c>
      <c r="H280">
        <v>8</v>
      </c>
      <c r="I280" s="32">
        <f t="shared" si="38"/>
        <v>0</v>
      </c>
      <c r="J280">
        <v>8</v>
      </c>
      <c r="K280">
        <v>8</v>
      </c>
      <c r="L280" s="32">
        <f t="shared" si="39"/>
        <v>0</v>
      </c>
      <c r="M280">
        <v>7</v>
      </c>
      <c r="N280">
        <v>8</v>
      </c>
      <c r="O280" s="32">
        <f t="shared" si="40"/>
        <v>1</v>
      </c>
      <c r="P280">
        <v>7</v>
      </c>
      <c r="Q280">
        <v>8</v>
      </c>
      <c r="R280" s="32">
        <f t="shared" si="41"/>
        <v>1</v>
      </c>
      <c r="S280">
        <v>6</v>
      </c>
      <c r="T280">
        <v>7</v>
      </c>
      <c r="U280" s="32">
        <f t="shared" si="42"/>
        <v>1</v>
      </c>
      <c r="V280">
        <v>7</v>
      </c>
      <c r="W280">
        <v>7</v>
      </c>
      <c r="X280" s="32">
        <f t="shared" si="43"/>
        <v>0</v>
      </c>
      <c r="Y280">
        <v>8</v>
      </c>
      <c r="Z280">
        <v>8</v>
      </c>
      <c r="AA280" s="32">
        <f t="shared" si="44"/>
        <v>0</v>
      </c>
    </row>
    <row r="281" spans="1:27" x14ac:dyDescent="0.45">
      <c r="A281">
        <v>6</v>
      </c>
      <c r="B281">
        <v>8</v>
      </c>
      <c r="C281" s="32">
        <f t="shared" si="36"/>
        <v>2</v>
      </c>
      <c r="D281">
        <v>6</v>
      </c>
      <c r="E281">
        <v>8</v>
      </c>
      <c r="F281" s="32">
        <f t="shared" si="37"/>
        <v>2</v>
      </c>
      <c r="G281">
        <v>8</v>
      </c>
      <c r="H281">
        <v>8</v>
      </c>
      <c r="I281" s="32">
        <f t="shared" si="38"/>
        <v>0</v>
      </c>
      <c r="J281">
        <v>8</v>
      </c>
      <c r="K281">
        <v>8</v>
      </c>
      <c r="L281" s="32">
        <f t="shared" si="39"/>
        <v>0</v>
      </c>
      <c r="M281">
        <v>7</v>
      </c>
      <c r="N281">
        <v>8</v>
      </c>
      <c r="O281" s="32">
        <f t="shared" si="40"/>
        <v>1</v>
      </c>
      <c r="P281">
        <v>7</v>
      </c>
      <c r="Q281">
        <v>8</v>
      </c>
      <c r="R281" s="32">
        <f t="shared" si="41"/>
        <v>1</v>
      </c>
      <c r="S281">
        <v>6</v>
      </c>
      <c r="T281">
        <v>7</v>
      </c>
      <c r="U281" s="32">
        <f t="shared" si="42"/>
        <v>1</v>
      </c>
      <c r="V281">
        <v>7</v>
      </c>
      <c r="W281">
        <v>7</v>
      </c>
      <c r="X281" s="32">
        <f t="shared" si="43"/>
        <v>0</v>
      </c>
      <c r="Y281">
        <v>8</v>
      </c>
      <c r="Z281">
        <v>8</v>
      </c>
      <c r="AA281" s="32">
        <f t="shared" si="44"/>
        <v>0</v>
      </c>
    </row>
    <row r="282" spans="1:27" x14ac:dyDescent="0.45">
      <c r="A282">
        <v>6</v>
      </c>
      <c r="B282">
        <v>8</v>
      </c>
      <c r="C282" s="32">
        <f t="shared" si="36"/>
        <v>2</v>
      </c>
      <c r="D282">
        <v>6</v>
      </c>
      <c r="E282">
        <v>8</v>
      </c>
      <c r="F282" s="32">
        <f t="shared" si="37"/>
        <v>2</v>
      </c>
      <c r="G282">
        <v>8</v>
      </c>
      <c r="H282">
        <v>8</v>
      </c>
      <c r="I282" s="32">
        <f t="shared" si="38"/>
        <v>0</v>
      </c>
      <c r="J282">
        <v>8</v>
      </c>
      <c r="K282">
        <v>8</v>
      </c>
      <c r="L282" s="32">
        <f t="shared" si="39"/>
        <v>0</v>
      </c>
      <c r="M282">
        <v>7</v>
      </c>
      <c r="N282">
        <v>8</v>
      </c>
      <c r="O282" s="32">
        <f t="shared" si="40"/>
        <v>1</v>
      </c>
      <c r="P282">
        <v>7</v>
      </c>
      <c r="Q282">
        <v>8</v>
      </c>
      <c r="R282" s="32">
        <f t="shared" si="41"/>
        <v>1</v>
      </c>
      <c r="S282">
        <v>6</v>
      </c>
      <c r="T282">
        <v>7</v>
      </c>
      <c r="U282" s="32">
        <f t="shared" si="42"/>
        <v>1</v>
      </c>
      <c r="V282">
        <v>7</v>
      </c>
      <c r="W282">
        <v>7</v>
      </c>
      <c r="X282" s="32">
        <f t="shared" si="43"/>
        <v>0</v>
      </c>
      <c r="Y282">
        <v>8</v>
      </c>
      <c r="Z282">
        <v>8</v>
      </c>
      <c r="AA282" s="32">
        <f t="shared" si="44"/>
        <v>0</v>
      </c>
    </row>
    <row r="283" spans="1:27" x14ac:dyDescent="0.45">
      <c r="A283">
        <v>6</v>
      </c>
      <c r="B283">
        <v>8</v>
      </c>
      <c r="C283" s="32">
        <f t="shared" si="36"/>
        <v>2</v>
      </c>
      <c r="D283">
        <v>6</v>
      </c>
      <c r="E283">
        <v>8</v>
      </c>
      <c r="F283" s="32">
        <f t="shared" si="37"/>
        <v>2</v>
      </c>
      <c r="G283">
        <v>8</v>
      </c>
      <c r="H283">
        <v>8</v>
      </c>
      <c r="I283" s="32">
        <f t="shared" si="38"/>
        <v>0</v>
      </c>
      <c r="J283">
        <v>8</v>
      </c>
      <c r="K283">
        <v>8</v>
      </c>
      <c r="L283" s="32">
        <f t="shared" si="39"/>
        <v>0</v>
      </c>
      <c r="M283">
        <v>7</v>
      </c>
      <c r="N283">
        <v>8</v>
      </c>
      <c r="O283" s="32">
        <f t="shared" si="40"/>
        <v>1</v>
      </c>
      <c r="P283">
        <v>7</v>
      </c>
      <c r="Q283">
        <v>8</v>
      </c>
      <c r="R283" s="32">
        <f t="shared" si="41"/>
        <v>1</v>
      </c>
      <c r="S283">
        <v>6</v>
      </c>
      <c r="T283">
        <v>7</v>
      </c>
      <c r="U283" s="32">
        <f t="shared" si="42"/>
        <v>1</v>
      </c>
      <c r="V283">
        <v>7</v>
      </c>
      <c r="W283">
        <v>8</v>
      </c>
      <c r="X283" s="32">
        <f t="shared" si="43"/>
        <v>1</v>
      </c>
      <c r="Y283">
        <v>8</v>
      </c>
      <c r="Z283">
        <v>8</v>
      </c>
      <c r="AA283" s="32">
        <f t="shared" si="44"/>
        <v>0</v>
      </c>
    </row>
    <row r="284" spans="1:27" x14ac:dyDescent="0.45">
      <c r="A284">
        <v>6</v>
      </c>
      <c r="B284">
        <v>8</v>
      </c>
      <c r="C284" s="32">
        <f t="shared" si="36"/>
        <v>2</v>
      </c>
      <c r="D284">
        <v>6</v>
      </c>
      <c r="E284">
        <v>8</v>
      </c>
      <c r="F284" s="32">
        <f t="shared" si="37"/>
        <v>2</v>
      </c>
      <c r="G284">
        <v>8</v>
      </c>
      <c r="H284">
        <v>8</v>
      </c>
      <c r="I284" s="32">
        <f t="shared" si="38"/>
        <v>0</v>
      </c>
      <c r="J284">
        <v>8</v>
      </c>
      <c r="K284">
        <v>8</v>
      </c>
      <c r="L284" s="32">
        <f t="shared" si="39"/>
        <v>0</v>
      </c>
      <c r="M284">
        <v>7</v>
      </c>
      <c r="N284">
        <v>8</v>
      </c>
      <c r="O284" s="32">
        <f t="shared" si="40"/>
        <v>1</v>
      </c>
      <c r="P284">
        <v>7</v>
      </c>
      <c r="Q284">
        <v>8</v>
      </c>
      <c r="R284" s="32">
        <f t="shared" si="41"/>
        <v>1</v>
      </c>
      <c r="S284">
        <v>6</v>
      </c>
      <c r="T284">
        <v>7</v>
      </c>
      <c r="U284" s="32">
        <f t="shared" si="42"/>
        <v>1</v>
      </c>
      <c r="V284">
        <v>7</v>
      </c>
      <c r="W284">
        <v>8</v>
      </c>
      <c r="X284" s="32">
        <f t="shared" si="43"/>
        <v>1</v>
      </c>
      <c r="Y284">
        <v>8</v>
      </c>
      <c r="Z284">
        <v>8</v>
      </c>
      <c r="AA284" s="32">
        <f t="shared" si="44"/>
        <v>0</v>
      </c>
    </row>
    <row r="285" spans="1:27" x14ac:dyDescent="0.45">
      <c r="A285">
        <v>6</v>
      </c>
      <c r="B285">
        <v>8</v>
      </c>
      <c r="C285" s="32">
        <f t="shared" si="36"/>
        <v>2</v>
      </c>
      <c r="D285">
        <v>6</v>
      </c>
      <c r="E285">
        <v>8</v>
      </c>
      <c r="F285" s="32">
        <f t="shared" si="37"/>
        <v>2</v>
      </c>
      <c r="G285">
        <v>8</v>
      </c>
      <c r="H285">
        <v>8</v>
      </c>
      <c r="I285" s="32">
        <f t="shared" si="38"/>
        <v>0</v>
      </c>
      <c r="J285">
        <v>8</v>
      </c>
      <c r="K285">
        <v>8</v>
      </c>
      <c r="L285" s="32">
        <f t="shared" si="39"/>
        <v>0</v>
      </c>
      <c r="M285">
        <v>7</v>
      </c>
      <c r="N285">
        <v>8</v>
      </c>
      <c r="O285" s="32">
        <f t="shared" si="40"/>
        <v>1</v>
      </c>
      <c r="P285">
        <v>7</v>
      </c>
      <c r="Q285">
        <v>8</v>
      </c>
      <c r="R285" s="32">
        <f t="shared" si="41"/>
        <v>1</v>
      </c>
      <c r="S285">
        <v>6</v>
      </c>
      <c r="T285">
        <v>7</v>
      </c>
      <c r="U285" s="32">
        <f t="shared" si="42"/>
        <v>1</v>
      </c>
      <c r="V285">
        <v>7</v>
      </c>
      <c r="W285">
        <v>8</v>
      </c>
      <c r="X285" s="32">
        <f t="shared" si="43"/>
        <v>1</v>
      </c>
      <c r="Y285">
        <v>8</v>
      </c>
      <c r="Z285">
        <v>8</v>
      </c>
      <c r="AA285" s="32">
        <f t="shared" si="44"/>
        <v>0</v>
      </c>
    </row>
    <row r="286" spans="1:27" x14ac:dyDescent="0.45">
      <c r="A286">
        <v>6</v>
      </c>
      <c r="B286">
        <v>8</v>
      </c>
      <c r="C286" s="32">
        <f t="shared" si="36"/>
        <v>2</v>
      </c>
      <c r="D286">
        <v>6</v>
      </c>
      <c r="E286">
        <v>8</v>
      </c>
      <c r="F286" s="32">
        <f t="shared" si="37"/>
        <v>2</v>
      </c>
      <c r="G286">
        <v>8</v>
      </c>
      <c r="H286">
        <v>8</v>
      </c>
      <c r="I286" s="32">
        <f t="shared" si="38"/>
        <v>0</v>
      </c>
      <c r="J286">
        <v>8</v>
      </c>
      <c r="K286">
        <v>8</v>
      </c>
      <c r="L286" s="32">
        <f t="shared" si="39"/>
        <v>0</v>
      </c>
      <c r="M286">
        <v>7</v>
      </c>
      <c r="N286">
        <v>8</v>
      </c>
      <c r="O286" s="32">
        <f t="shared" si="40"/>
        <v>1</v>
      </c>
      <c r="P286">
        <v>7</v>
      </c>
      <c r="Q286">
        <v>8</v>
      </c>
      <c r="R286" s="32">
        <f t="shared" si="41"/>
        <v>1</v>
      </c>
      <c r="S286">
        <v>6</v>
      </c>
      <c r="T286">
        <v>7</v>
      </c>
      <c r="U286" s="32">
        <f t="shared" si="42"/>
        <v>1</v>
      </c>
      <c r="V286">
        <v>7</v>
      </c>
      <c r="W286">
        <v>8</v>
      </c>
      <c r="X286" s="32">
        <f t="shared" si="43"/>
        <v>1</v>
      </c>
      <c r="Y286">
        <v>8</v>
      </c>
      <c r="Z286">
        <v>8</v>
      </c>
      <c r="AA286" s="32">
        <f t="shared" si="44"/>
        <v>0</v>
      </c>
    </row>
    <row r="287" spans="1:27" x14ac:dyDescent="0.45">
      <c r="A287">
        <v>6</v>
      </c>
      <c r="B287">
        <v>8</v>
      </c>
      <c r="C287" s="32">
        <f t="shared" si="36"/>
        <v>2</v>
      </c>
      <c r="D287">
        <v>6</v>
      </c>
      <c r="E287">
        <v>8</v>
      </c>
      <c r="F287" s="32">
        <f t="shared" si="37"/>
        <v>2</v>
      </c>
      <c r="G287">
        <v>8</v>
      </c>
      <c r="H287">
        <v>8</v>
      </c>
      <c r="I287" s="32">
        <f t="shared" si="38"/>
        <v>0</v>
      </c>
      <c r="J287">
        <v>8</v>
      </c>
      <c r="K287">
        <v>8</v>
      </c>
      <c r="L287" s="32">
        <f t="shared" si="39"/>
        <v>0</v>
      </c>
      <c r="M287">
        <v>7</v>
      </c>
      <c r="N287">
        <v>8</v>
      </c>
      <c r="O287" s="32">
        <f t="shared" si="40"/>
        <v>1</v>
      </c>
      <c r="P287">
        <v>7</v>
      </c>
      <c r="Q287">
        <v>8</v>
      </c>
      <c r="R287" s="32">
        <f t="shared" si="41"/>
        <v>1</v>
      </c>
      <c r="S287">
        <v>6</v>
      </c>
      <c r="T287">
        <v>7</v>
      </c>
      <c r="U287" s="32">
        <f t="shared" si="42"/>
        <v>1</v>
      </c>
      <c r="V287">
        <v>7</v>
      </c>
      <c r="W287">
        <v>8</v>
      </c>
      <c r="X287" s="32">
        <f t="shared" si="43"/>
        <v>1</v>
      </c>
      <c r="Y287">
        <v>8</v>
      </c>
      <c r="Z287">
        <v>8</v>
      </c>
      <c r="AA287" s="32">
        <f t="shared" si="44"/>
        <v>0</v>
      </c>
    </row>
    <row r="288" spans="1:27" x14ac:dyDescent="0.45">
      <c r="A288">
        <v>6</v>
      </c>
      <c r="B288">
        <v>8</v>
      </c>
      <c r="C288" s="32">
        <f t="shared" si="36"/>
        <v>2</v>
      </c>
      <c r="D288">
        <v>6</v>
      </c>
      <c r="E288">
        <v>8</v>
      </c>
      <c r="F288" s="32">
        <f t="shared" si="37"/>
        <v>2</v>
      </c>
      <c r="G288">
        <v>8</v>
      </c>
      <c r="H288">
        <v>8</v>
      </c>
      <c r="I288" s="32">
        <f t="shared" si="38"/>
        <v>0</v>
      </c>
      <c r="J288">
        <v>8</v>
      </c>
      <c r="K288">
        <v>8</v>
      </c>
      <c r="L288" s="32">
        <f t="shared" si="39"/>
        <v>0</v>
      </c>
      <c r="M288">
        <v>7</v>
      </c>
      <c r="N288">
        <v>8</v>
      </c>
      <c r="O288" s="32">
        <f t="shared" si="40"/>
        <v>1</v>
      </c>
      <c r="P288">
        <v>7</v>
      </c>
      <c r="Q288">
        <v>8</v>
      </c>
      <c r="R288" s="32">
        <f t="shared" si="41"/>
        <v>1</v>
      </c>
      <c r="S288">
        <v>6</v>
      </c>
      <c r="T288">
        <v>7</v>
      </c>
      <c r="U288" s="32">
        <f t="shared" si="42"/>
        <v>1</v>
      </c>
      <c r="V288">
        <v>7</v>
      </c>
      <c r="W288">
        <v>8</v>
      </c>
      <c r="X288" s="32">
        <f t="shared" si="43"/>
        <v>1</v>
      </c>
      <c r="Y288">
        <v>8</v>
      </c>
      <c r="Z288">
        <v>8</v>
      </c>
      <c r="AA288" s="32">
        <f t="shared" si="44"/>
        <v>0</v>
      </c>
    </row>
    <row r="289" spans="1:27" x14ac:dyDescent="0.45">
      <c r="A289">
        <v>6</v>
      </c>
      <c r="B289">
        <v>8</v>
      </c>
      <c r="C289" s="32">
        <f t="shared" si="36"/>
        <v>2</v>
      </c>
      <c r="D289">
        <v>6</v>
      </c>
      <c r="E289">
        <v>8</v>
      </c>
      <c r="F289" s="32">
        <f t="shared" si="37"/>
        <v>2</v>
      </c>
      <c r="G289">
        <v>8</v>
      </c>
      <c r="H289">
        <v>8</v>
      </c>
      <c r="I289" s="32">
        <f t="shared" si="38"/>
        <v>0</v>
      </c>
      <c r="J289">
        <v>8</v>
      </c>
      <c r="K289">
        <v>8</v>
      </c>
      <c r="L289" s="32">
        <f t="shared" si="39"/>
        <v>0</v>
      </c>
      <c r="M289">
        <v>7</v>
      </c>
      <c r="N289">
        <v>8</v>
      </c>
      <c r="O289" s="32">
        <f t="shared" si="40"/>
        <v>1</v>
      </c>
      <c r="P289">
        <v>7</v>
      </c>
      <c r="Q289">
        <v>8</v>
      </c>
      <c r="R289" s="32">
        <f t="shared" si="41"/>
        <v>1</v>
      </c>
      <c r="S289">
        <v>6</v>
      </c>
      <c r="T289">
        <v>7</v>
      </c>
      <c r="U289" s="32">
        <f t="shared" si="42"/>
        <v>1</v>
      </c>
      <c r="V289">
        <v>7</v>
      </c>
      <c r="W289">
        <v>8</v>
      </c>
      <c r="X289" s="32">
        <f t="shared" si="43"/>
        <v>1</v>
      </c>
      <c r="Y289">
        <v>8</v>
      </c>
      <c r="Z289">
        <v>8</v>
      </c>
      <c r="AA289" s="32">
        <f t="shared" si="44"/>
        <v>0</v>
      </c>
    </row>
    <row r="290" spans="1:27" x14ac:dyDescent="0.45">
      <c r="A290">
        <v>6</v>
      </c>
      <c r="B290">
        <v>8</v>
      </c>
      <c r="C290" s="32">
        <f t="shared" si="36"/>
        <v>2</v>
      </c>
      <c r="D290">
        <v>6</v>
      </c>
      <c r="E290">
        <v>8</v>
      </c>
      <c r="F290" s="32">
        <f t="shared" si="37"/>
        <v>2</v>
      </c>
      <c r="G290">
        <v>8</v>
      </c>
      <c r="H290">
        <v>8</v>
      </c>
      <c r="I290" s="32">
        <f t="shared" si="38"/>
        <v>0</v>
      </c>
      <c r="J290">
        <v>8</v>
      </c>
      <c r="K290">
        <v>8</v>
      </c>
      <c r="L290" s="32">
        <f t="shared" si="39"/>
        <v>0</v>
      </c>
      <c r="M290">
        <v>7</v>
      </c>
      <c r="N290">
        <v>8</v>
      </c>
      <c r="O290" s="32">
        <f t="shared" si="40"/>
        <v>1</v>
      </c>
      <c r="P290">
        <v>7</v>
      </c>
      <c r="Q290">
        <v>8</v>
      </c>
      <c r="R290" s="32">
        <f t="shared" si="41"/>
        <v>1</v>
      </c>
      <c r="S290">
        <v>6</v>
      </c>
      <c r="T290">
        <v>7</v>
      </c>
      <c r="U290" s="32">
        <f t="shared" si="42"/>
        <v>1</v>
      </c>
      <c r="V290">
        <v>7</v>
      </c>
      <c r="W290">
        <v>8</v>
      </c>
      <c r="X290" s="32">
        <f t="shared" si="43"/>
        <v>1</v>
      </c>
      <c r="Y290">
        <v>8</v>
      </c>
      <c r="Z290">
        <v>8</v>
      </c>
      <c r="AA290" s="32">
        <f t="shared" si="44"/>
        <v>0</v>
      </c>
    </row>
    <row r="291" spans="1:27" x14ac:dyDescent="0.45">
      <c r="A291">
        <v>6</v>
      </c>
      <c r="B291">
        <v>8</v>
      </c>
      <c r="C291" s="32">
        <f t="shared" si="36"/>
        <v>2</v>
      </c>
      <c r="D291">
        <v>6</v>
      </c>
      <c r="E291">
        <v>8</v>
      </c>
      <c r="F291" s="32">
        <f t="shared" si="37"/>
        <v>2</v>
      </c>
      <c r="G291">
        <v>8</v>
      </c>
      <c r="H291">
        <v>8</v>
      </c>
      <c r="I291" s="32">
        <f t="shared" si="38"/>
        <v>0</v>
      </c>
      <c r="J291">
        <v>8</v>
      </c>
      <c r="K291">
        <v>8</v>
      </c>
      <c r="L291" s="32">
        <f t="shared" si="39"/>
        <v>0</v>
      </c>
      <c r="M291">
        <v>7</v>
      </c>
      <c r="N291">
        <v>8</v>
      </c>
      <c r="O291" s="32">
        <f t="shared" si="40"/>
        <v>1</v>
      </c>
      <c r="P291">
        <v>7</v>
      </c>
      <c r="Q291">
        <v>8</v>
      </c>
      <c r="R291" s="32">
        <f t="shared" si="41"/>
        <v>1</v>
      </c>
      <c r="S291">
        <v>6</v>
      </c>
      <c r="T291">
        <v>8</v>
      </c>
      <c r="U291" s="32">
        <f t="shared" si="42"/>
        <v>2</v>
      </c>
      <c r="V291">
        <v>7</v>
      </c>
      <c r="W291">
        <v>8</v>
      </c>
      <c r="X291" s="32">
        <f t="shared" si="43"/>
        <v>1</v>
      </c>
      <c r="Y291">
        <v>8</v>
      </c>
      <c r="Z291">
        <v>8</v>
      </c>
      <c r="AA291" s="32">
        <f t="shared" si="44"/>
        <v>0</v>
      </c>
    </row>
    <row r="292" spans="1:27" x14ac:dyDescent="0.45">
      <c r="A292">
        <v>6</v>
      </c>
      <c r="B292">
        <v>8</v>
      </c>
      <c r="C292" s="32">
        <f t="shared" si="36"/>
        <v>2</v>
      </c>
      <c r="D292">
        <v>6</v>
      </c>
      <c r="E292">
        <v>8</v>
      </c>
      <c r="F292" s="32">
        <f t="shared" si="37"/>
        <v>2</v>
      </c>
      <c r="G292">
        <v>8</v>
      </c>
      <c r="H292">
        <v>8</v>
      </c>
      <c r="I292" s="32">
        <f t="shared" si="38"/>
        <v>0</v>
      </c>
      <c r="J292">
        <v>8</v>
      </c>
      <c r="K292">
        <v>8</v>
      </c>
      <c r="L292" s="32">
        <f t="shared" si="39"/>
        <v>0</v>
      </c>
      <c r="M292">
        <v>7</v>
      </c>
      <c r="N292">
        <v>8</v>
      </c>
      <c r="O292" s="32">
        <f t="shared" si="40"/>
        <v>1</v>
      </c>
      <c r="P292">
        <v>7</v>
      </c>
      <c r="Q292">
        <v>8</v>
      </c>
      <c r="R292" s="32">
        <f t="shared" si="41"/>
        <v>1</v>
      </c>
      <c r="S292">
        <v>6</v>
      </c>
      <c r="T292">
        <v>8</v>
      </c>
      <c r="U292" s="32">
        <f t="shared" si="42"/>
        <v>2</v>
      </c>
      <c r="V292">
        <v>7</v>
      </c>
      <c r="W292">
        <v>8</v>
      </c>
      <c r="X292" s="32">
        <f t="shared" si="43"/>
        <v>1</v>
      </c>
      <c r="Y292">
        <v>8</v>
      </c>
      <c r="Z292">
        <v>8</v>
      </c>
      <c r="AA292" s="32">
        <f t="shared" si="44"/>
        <v>0</v>
      </c>
    </row>
    <row r="293" spans="1:27" x14ac:dyDescent="0.45">
      <c r="A293">
        <v>6</v>
      </c>
      <c r="B293">
        <v>8</v>
      </c>
      <c r="C293" s="32">
        <f t="shared" si="36"/>
        <v>2</v>
      </c>
      <c r="D293">
        <v>6</v>
      </c>
      <c r="E293">
        <v>8</v>
      </c>
      <c r="F293" s="32">
        <f t="shared" si="37"/>
        <v>2</v>
      </c>
      <c r="G293">
        <v>8</v>
      </c>
      <c r="H293">
        <v>8</v>
      </c>
      <c r="I293" s="32">
        <f t="shared" si="38"/>
        <v>0</v>
      </c>
      <c r="J293">
        <v>8</v>
      </c>
      <c r="K293">
        <v>8</v>
      </c>
      <c r="L293" s="32">
        <f t="shared" si="39"/>
        <v>0</v>
      </c>
      <c r="M293">
        <v>7</v>
      </c>
      <c r="N293">
        <v>8</v>
      </c>
      <c r="O293" s="32">
        <f t="shared" si="40"/>
        <v>1</v>
      </c>
      <c r="P293">
        <v>7</v>
      </c>
      <c r="Q293">
        <v>8</v>
      </c>
      <c r="R293" s="32">
        <f t="shared" si="41"/>
        <v>1</v>
      </c>
      <c r="S293">
        <v>6</v>
      </c>
      <c r="T293">
        <v>8</v>
      </c>
      <c r="U293" s="32">
        <f t="shared" si="42"/>
        <v>2</v>
      </c>
      <c r="V293">
        <v>7</v>
      </c>
      <c r="W293">
        <v>8</v>
      </c>
      <c r="X293" s="32">
        <f t="shared" si="43"/>
        <v>1</v>
      </c>
      <c r="Y293">
        <v>8</v>
      </c>
      <c r="Z293">
        <v>8</v>
      </c>
      <c r="AA293" s="32">
        <f t="shared" si="44"/>
        <v>0</v>
      </c>
    </row>
    <row r="294" spans="1:27" x14ac:dyDescent="0.45">
      <c r="A294">
        <v>6</v>
      </c>
      <c r="B294">
        <v>8</v>
      </c>
      <c r="C294" s="32">
        <f t="shared" si="36"/>
        <v>2</v>
      </c>
      <c r="D294">
        <v>6</v>
      </c>
      <c r="E294">
        <v>8</v>
      </c>
      <c r="F294" s="32">
        <f t="shared" si="37"/>
        <v>2</v>
      </c>
      <c r="G294">
        <v>8</v>
      </c>
      <c r="H294">
        <v>8</v>
      </c>
      <c r="I294" s="32">
        <f t="shared" si="38"/>
        <v>0</v>
      </c>
      <c r="J294">
        <v>8</v>
      </c>
      <c r="K294">
        <v>8</v>
      </c>
      <c r="L294" s="32">
        <f t="shared" si="39"/>
        <v>0</v>
      </c>
      <c r="M294">
        <v>7</v>
      </c>
      <c r="N294">
        <v>8</v>
      </c>
      <c r="O294" s="32">
        <f t="shared" si="40"/>
        <v>1</v>
      </c>
      <c r="P294">
        <v>7</v>
      </c>
      <c r="Q294">
        <v>8</v>
      </c>
      <c r="R294" s="32">
        <f t="shared" si="41"/>
        <v>1</v>
      </c>
      <c r="S294">
        <v>6</v>
      </c>
      <c r="T294">
        <v>8</v>
      </c>
      <c r="U294" s="32">
        <f t="shared" si="42"/>
        <v>2</v>
      </c>
      <c r="V294">
        <v>7</v>
      </c>
      <c r="W294">
        <v>8</v>
      </c>
      <c r="X294" s="32">
        <f t="shared" si="43"/>
        <v>1</v>
      </c>
      <c r="Y294">
        <v>8</v>
      </c>
      <c r="Z294">
        <v>8</v>
      </c>
      <c r="AA294" s="32">
        <f t="shared" si="44"/>
        <v>0</v>
      </c>
    </row>
    <row r="295" spans="1:27" x14ac:dyDescent="0.45">
      <c r="A295">
        <v>6</v>
      </c>
      <c r="B295">
        <v>8</v>
      </c>
      <c r="C295" s="32">
        <f t="shared" si="36"/>
        <v>2</v>
      </c>
      <c r="D295">
        <v>6</v>
      </c>
      <c r="E295">
        <v>8</v>
      </c>
      <c r="F295" s="32">
        <f t="shared" si="37"/>
        <v>2</v>
      </c>
      <c r="G295">
        <v>8</v>
      </c>
      <c r="H295">
        <v>8</v>
      </c>
      <c r="I295" s="32">
        <f t="shared" si="38"/>
        <v>0</v>
      </c>
      <c r="J295">
        <v>8</v>
      </c>
      <c r="K295">
        <v>8</v>
      </c>
      <c r="L295" s="32">
        <f t="shared" si="39"/>
        <v>0</v>
      </c>
      <c r="M295">
        <v>7</v>
      </c>
      <c r="N295">
        <v>8</v>
      </c>
      <c r="O295" s="32">
        <f t="shared" si="40"/>
        <v>1</v>
      </c>
      <c r="P295">
        <v>7</v>
      </c>
      <c r="Q295">
        <v>8</v>
      </c>
      <c r="R295" s="32">
        <f t="shared" si="41"/>
        <v>1</v>
      </c>
      <c r="S295">
        <v>6</v>
      </c>
      <c r="T295">
        <v>8</v>
      </c>
      <c r="U295" s="32">
        <f t="shared" si="42"/>
        <v>2</v>
      </c>
      <c r="V295">
        <v>7</v>
      </c>
      <c r="W295">
        <v>8</v>
      </c>
      <c r="X295" s="32">
        <f t="shared" si="43"/>
        <v>1</v>
      </c>
      <c r="Y295">
        <v>8</v>
      </c>
      <c r="Z295">
        <v>8</v>
      </c>
      <c r="AA295" s="32">
        <f t="shared" si="44"/>
        <v>0</v>
      </c>
    </row>
    <row r="296" spans="1:27" x14ac:dyDescent="0.45">
      <c r="A296">
        <v>6</v>
      </c>
      <c r="B296">
        <v>8</v>
      </c>
      <c r="C296" s="32">
        <f t="shared" si="36"/>
        <v>2</v>
      </c>
      <c r="D296">
        <v>6</v>
      </c>
      <c r="E296">
        <v>8</v>
      </c>
      <c r="F296" s="32">
        <f t="shared" si="37"/>
        <v>2</v>
      </c>
      <c r="G296">
        <v>8</v>
      </c>
      <c r="H296">
        <v>8</v>
      </c>
      <c r="I296" s="32">
        <f t="shared" si="38"/>
        <v>0</v>
      </c>
      <c r="J296">
        <v>9</v>
      </c>
      <c r="K296">
        <v>8</v>
      </c>
      <c r="L296" s="32">
        <f t="shared" si="39"/>
        <v>1</v>
      </c>
      <c r="M296">
        <v>7</v>
      </c>
      <c r="N296">
        <v>8</v>
      </c>
      <c r="O296" s="32">
        <f t="shared" si="40"/>
        <v>1</v>
      </c>
      <c r="P296">
        <v>7</v>
      </c>
      <c r="Q296">
        <v>8</v>
      </c>
      <c r="R296" s="32">
        <f t="shared" si="41"/>
        <v>1</v>
      </c>
      <c r="S296">
        <v>6</v>
      </c>
      <c r="T296">
        <v>8</v>
      </c>
      <c r="U296" s="32">
        <f t="shared" si="42"/>
        <v>2</v>
      </c>
      <c r="V296">
        <v>7</v>
      </c>
      <c r="W296">
        <v>8</v>
      </c>
      <c r="X296" s="32">
        <f t="shared" si="43"/>
        <v>1</v>
      </c>
      <c r="Y296">
        <v>8</v>
      </c>
      <c r="Z296">
        <v>8</v>
      </c>
      <c r="AA296" s="32">
        <f t="shared" si="44"/>
        <v>0</v>
      </c>
    </row>
    <row r="297" spans="1:27" x14ac:dyDescent="0.45">
      <c r="A297">
        <v>6</v>
      </c>
      <c r="B297">
        <v>8</v>
      </c>
      <c r="C297" s="32">
        <f t="shared" si="36"/>
        <v>2</v>
      </c>
      <c r="D297">
        <v>6</v>
      </c>
      <c r="E297">
        <v>8</v>
      </c>
      <c r="F297" s="32">
        <f t="shared" si="37"/>
        <v>2</v>
      </c>
      <c r="G297">
        <v>8</v>
      </c>
      <c r="H297">
        <v>8</v>
      </c>
      <c r="I297" s="32">
        <f t="shared" si="38"/>
        <v>0</v>
      </c>
      <c r="J297">
        <v>9</v>
      </c>
      <c r="K297">
        <v>8</v>
      </c>
      <c r="L297" s="32">
        <f t="shared" si="39"/>
        <v>1</v>
      </c>
      <c r="M297">
        <v>7</v>
      </c>
      <c r="N297">
        <v>8</v>
      </c>
      <c r="O297" s="32">
        <f t="shared" si="40"/>
        <v>1</v>
      </c>
      <c r="P297">
        <v>8</v>
      </c>
      <c r="Q297">
        <v>8</v>
      </c>
      <c r="R297" s="32">
        <f t="shared" si="41"/>
        <v>0</v>
      </c>
      <c r="S297">
        <v>6</v>
      </c>
      <c r="T297">
        <v>8</v>
      </c>
      <c r="U297" s="32">
        <f t="shared" si="42"/>
        <v>2</v>
      </c>
      <c r="V297">
        <v>7</v>
      </c>
      <c r="W297">
        <v>8</v>
      </c>
      <c r="X297" s="32">
        <f t="shared" si="43"/>
        <v>1</v>
      </c>
      <c r="Y297">
        <v>8</v>
      </c>
      <c r="Z297">
        <v>8</v>
      </c>
      <c r="AA297" s="32">
        <f t="shared" si="44"/>
        <v>0</v>
      </c>
    </row>
    <row r="298" spans="1:27" x14ac:dyDescent="0.45">
      <c r="A298">
        <v>6</v>
      </c>
      <c r="B298">
        <v>8</v>
      </c>
      <c r="C298" s="32">
        <f t="shared" si="36"/>
        <v>2</v>
      </c>
      <c r="D298">
        <v>6</v>
      </c>
      <c r="E298">
        <v>8</v>
      </c>
      <c r="F298" s="32">
        <f t="shared" si="37"/>
        <v>2</v>
      </c>
      <c r="G298">
        <v>8</v>
      </c>
      <c r="H298">
        <v>8</v>
      </c>
      <c r="I298" s="32">
        <f t="shared" si="38"/>
        <v>0</v>
      </c>
      <c r="J298">
        <v>9</v>
      </c>
      <c r="K298">
        <v>8</v>
      </c>
      <c r="L298" s="32">
        <f t="shared" si="39"/>
        <v>1</v>
      </c>
      <c r="M298">
        <v>7</v>
      </c>
      <c r="N298">
        <v>8</v>
      </c>
      <c r="O298" s="32">
        <f t="shared" si="40"/>
        <v>1</v>
      </c>
      <c r="P298">
        <v>8</v>
      </c>
      <c r="Q298">
        <v>8</v>
      </c>
      <c r="R298" s="32">
        <f t="shared" si="41"/>
        <v>0</v>
      </c>
      <c r="S298">
        <v>6</v>
      </c>
      <c r="T298">
        <v>8</v>
      </c>
      <c r="U298" s="32">
        <f t="shared" si="42"/>
        <v>2</v>
      </c>
      <c r="V298">
        <v>7</v>
      </c>
      <c r="W298">
        <v>8</v>
      </c>
      <c r="X298" s="32">
        <f t="shared" si="43"/>
        <v>1</v>
      </c>
      <c r="Y298">
        <v>8</v>
      </c>
      <c r="Z298">
        <v>8</v>
      </c>
      <c r="AA298" s="32">
        <f t="shared" si="44"/>
        <v>0</v>
      </c>
    </row>
    <row r="299" spans="1:27" x14ac:dyDescent="0.45">
      <c r="A299">
        <v>6</v>
      </c>
      <c r="B299">
        <v>8</v>
      </c>
      <c r="C299" s="32">
        <f t="shared" si="36"/>
        <v>2</v>
      </c>
      <c r="D299">
        <v>6</v>
      </c>
      <c r="E299">
        <v>8</v>
      </c>
      <c r="F299" s="32">
        <f t="shared" si="37"/>
        <v>2</v>
      </c>
      <c r="G299">
        <v>8</v>
      </c>
      <c r="H299">
        <v>8</v>
      </c>
      <c r="I299" s="32">
        <f t="shared" si="38"/>
        <v>0</v>
      </c>
      <c r="J299">
        <v>9</v>
      </c>
      <c r="K299">
        <v>8</v>
      </c>
      <c r="L299" s="32">
        <f t="shared" si="39"/>
        <v>1</v>
      </c>
      <c r="M299">
        <v>7</v>
      </c>
      <c r="N299">
        <v>8</v>
      </c>
      <c r="O299" s="32">
        <f t="shared" si="40"/>
        <v>1</v>
      </c>
      <c r="P299">
        <v>8</v>
      </c>
      <c r="Q299">
        <v>8</v>
      </c>
      <c r="R299" s="32">
        <f t="shared" si="41"/>
        <v>0</v>
      </c>
      <c r="S299">
        <v>6</v>
      </c>
      <c r="T299">
        <v>8</v>
      </c>
      <c r="U299" s="32">
        <f t="shared" si="42"/>
        <v>2</v>
      </c>
      <c r="V299">
        <v>7</v>
      </c>
      <c r="W299">
        <v>8</v>
      </c>
      <c r="X299" s="32">
        <f t="shared" si="43"/>
        <v>1</v>
      </c>
      <c r="Y299">
        <v>8</v>
      </c>
      <c r="Z299">
        <v>8</v>
      </c>
      <c r="AA299" s="32">
        <f t="shared" si="44"/>
        <v>0</v>
      </c>
    </row>
    <row r="300" spans="1:27" x14ac:dyDescent="0.45">
      <c r="A300">
        <v>6</v>
      </c>
      <c r="B300">
        <v>8</v>
      </c>
      <c r="C300" s="32">
        <f t="shared" si="36"/>
        <v>2</v>
      </c>
      <c r="D300">
        <v>6</v>
      </c>
      <c r="E300">
        <v>8</v>
      </c>
      <c r="F300" s="32">
        <f t="shared" si="37"/>
        <v>2</v>
      </c>
      <c r="G300">
        <v>8</v>
      </c>
      <c r="H300">
        <v>8</v>
      </c>
      <c r="I300" s="32">
        <f t="shared" si="38"/>
        <v>0</v>
      </c>
      <c r="J300">
        <v>9</v>
      </c>
      <c r="K300">
        <v>8</v>
      </c>
      <c r="L300" s="32">
        <f t="shared" si="39"/>
        <v>1</v>
      </c>
      <c r="M300">
        <v>7</v>
      </c>
      <c r="N300">
        <v>8</v>
      </c>
      <c r="O300" s="32">
        <f t="shared" si="40"/>
        <v>1</v>
      </c>
      <c r="P300">
        <v>8</v>
      </c>
      <c r="Q300">
        <v>8</v>
      </c>
      <c r="R300" s="32">
        <f t="shared" si="41"/>
        <v>0</v>
      </c>
      <c r="S300">
        <v>6</v>
      </c>
      <c r="T300">
        <v>8</v>
      </c>
      <c r="U300" s="32">
        <f t="shared" si="42"/>
        <v>2</v>
      </c>
      <c r="V300">
        <v>7</v>
      </c>
      <c r="W300">
        <v>8</v>
      </c>
      <c r="X300" s="32">
        <f t="shared" si="43"/>
        <v>1</v>
      </c>
      <c r="Y300">
        <v>8</v>
      </c>
      <c r="Z300">
        <v>8</v>
      </c>
      <c r="AA300" s="32">
        <f t="shared" si="44"/>
        <v>0</v>
      </c>
    </row>
    <row r="301" spans="1:27" x14ac:dyDescent="0.45">
      <c r="A301">
        <v>6</v>
      </c>
      <c r="B301">
        <v>8</v>
      </c>
      <c r="C301" s="32">
        <f t="shared" si="36"/>
        <v>2</v>
      </c>
      <c r="D301">
        <v>6</v>
      </c>
      <c r="E301">
        <v>8</v>
      </c>
      <c r="F301" s="32">
        <f t="shared" si="37"/>
        <v>2</v>
      </c>
      <c r="G301">
        <v>8</v>
      </c>
      <c r="H301">
        <v>8</v>
      </c>
      <c r="I301" s="32">
        <f t="shared" si="38"/>
        <v>0</v>
      </c>
      <c r="J301">
        <v>9</v>
      </c>
      <c r="K301">
        <v>8</v>
      </c>
      <c r="L301" s="32">
        <f t="shared" si="39"/>
        <v>1</v>
      </c>
      <c r="M301">
        <v>7</v>
      </c>
      <c r="N301">
        <v>8</v>
      </c>
      <c r="O301" s="32">
        <f t="shared" si="40"/>
        <v>1</v>
      </c>
      <c r="P301">
        <v>8</v>
      </c>
      <c r="Q301">
        <v>8</v>
      </c>
      <c r="R301" s="32">
        <f t="shared" si="41"/>
        <v>0</v>
      </c>
      <c r="S301">
        <v>6</v>
      </c>
      <c r="T301">
        <v>8</v>
      </c>
      <c r="U301" s="32">
        <f t="shared" si="42"/>
        <v>2</v>
      </c>
      <c r="V301">
        <v>7</v>
      </c>
      <c r="W301">
        <v>8</v>
      </c>
      <c r="X301" s="32">
        <f t="shared" si="43"/>
        <v>1</v>
      </c>
      <c r="Y301">
        <v>8</v>
      </c>
      <c r="Z301">
        <v>8</v>
      </c>
      <c r="AA301" s="32">
        <f t="shared" si="44"/>
        <v>0</v>
      </c>
    </row>
    <row r="302" spans="1:27" x14ac:dyDescent="0.45">
      <c r="A302">
        <v>6</v>
      </c>
      <c r="B302">
        <v>8</v>
      </c>
      <c r="C302" s="32">
        <f t="shared" si="36"/>
        <v>2</v>
      </c>
      <c r="D302">
        <v>6</v>
      </c>
      <c r="E302">
        <v>8</v>
      </c>
      <c r="F302" s="32">
        <f t="shared" si="37"/>
        <v>2</v>
      </c>
      <c r="G302">
        <v>8</v>
      </c>
      <c r="H302">
        <v>8</v>
      </c>
      <c r="I302" s="32">
        <f t="shared" si="38"/>
        <v>0</v>
      </c>
      <c r="J302">
        <v>9</v>
      </c>
      <c r="K302">
        <v>8</v>
      </c>
      <c r="L302" s="32">
        <f t="shared" si="39"/>
        <v>1</v>
      </c>
      <c r="M302">
        <v>7</v>
      </c>
      <c r="N302">
        <v>8</v>
      </c>
      <c r="O302" s="32">
        <f t="shared" si="40"/>
        <v>1</v>
      </c>
      <c r="P302">
        <v>8</v>
      </c>
      <c r="Q302">
        <v>8</v>
      </c>
      <c r="R302" s="32">
        <f t="shared" si="41"/>
        <v>0</v>
      </c>
      <c r="S302">
        <v>6</v>
      </c>
      <c r="T302">
        <v>8</v>
      </c>
      <c r="U302" s="32">
        <f t="shared" si="42"/>
        <v>2</v>
      </c>
      <c r="V302">
        <v>7</v>
      </c>
      <c r="W302">
        <v>8</v>
      </c>
      <c r="X302" s="32">
        <f t="shared" si="43"/>
        <v>1</v>
      </c>
      <c r="Y302">
        <v>8</v>
      </c>
      <c r="Z302">
        <v>8</v>
      </c>
      <c r="AA302" s="32">
        <f t="shared" si="44"/>
        <v>0</v>
      </c>
    </row>
    <row r="303" spans="1:27" x14ac:dyDescent="0.45">
      <c r="A303">
        <v>6</v>
      </c>
      <c r="B303">
        <v>8</v>
      </c>
      <c r="C303" s="32">
        <f t="shared" si="36"/>
        <v>2</v>
      </c>
      <c r="D303">
        <v>6</v>
      </c>
      <c r="E303">
        <v>8</v>
      </c>
      <c r="F303" s="32">
        <f t="shared" si="37"/>
        <v>2</v>
      </c>
      <c r="G303">
        <v>8</v>
      </c>
      <c r="H303">
        <v>8</v>
      </c>
      <c r="I303" s="32">
        <f t="shared" si="38"/>
        <v>0</v>
      </c>
      <c r="J303">
        <v>9</v>
      </c>
      <c r="K303">
        <v>9</v>
      </c>
      <c r="L303" s="32">
        <f t="shared" si="39"/>
        <v>0</v>
      </c>
      <c r="M303">
        <v>7</v>
      </c>
      <c r="N303">
        <v>8</v>
      </c>
      <c r="O303" s="32">
        <f t="shared" si="40"/>
        <v>1</v>
      </c>
      <c r="P303">
        <v>8</v>
      </c>
      <c r="Q303">
        <v>8</v>
      </c>
      <c r="R303" s="32">
        <f t="shared" si="41"/>
        <v>0</v>
      </c>
      <c r="S303">
        <v>6</v>
      </c>
      <c r="T303">
        <v>8</v>
      </c>
      <c r="U303" s="32">
        <f t="shared" si="42"/>
        <v>2</v>
      </c>
      <c r="V303">
        <v>7</v>
      </c>
      <c r="W303">
        <v>8</v>
      </c>
      <c r="X303" s="32">
        <f t="shared" si="43"/>
        <v>1</v>
      </c>
      <c r="Y303">
        <v>8</v>
      </c>
      <c r="Z303">
        <v>8</v>
      </c>
      <c r="AA303" s="32">
        <f t="shared" si="44"/>
        <v>0</v>
      </c>
    </row>
    <row r="304" spans="1:27" x14ac:dyDescent="0.45">
      <c r="A304">
        <v>6</v>
      </c>
      <c r="B304">
        <v>8</v>
      </c>
      <c r="C304" s="32">
        <f t="shared" si="36"/>
        <v>2</v>
      </c>
      <c r="D304">
        <v>6</v>
      </c>
      <c r="E304">
        <v>9</v>
      </c>
      <c r="F304" s="32">
        <f t="shared" si="37"/>
        <v>3</v>
      </c>
      <c r="G304">
        <v>8</v>
      </c>
      <c r="H304">
        <v>8</v>
      </c>
      <c r="I304" s="32">
        <f t="shared" si="38"/>
        <v>0</v>
      </c>
      <c r="J304">
        <v>9</v>
      </c>
      <c r="K304">
        <v>9</v>
      </c>
      <c r="L304" s="32">
        <f t="shared" si="39"/>
        <v>0</v>
      </c>
      <c r="M304">
        <v>7</v>
      </c>
      <c r="N304">
        <v>8</v>
      </c>
      <c r="O304" s="32">
        <f t="shared" si="40"/>
        <v>1</v>
      </c>
      <c r="P304">
        <v>8</v>
      </c>
      <c r="Q304">
        <v>8</v>
      </c>
      <c r="R304" s="32">
        <f t="shared" si="41"/>
        <v>0</v>
      </c>
      <c r="S304">
        <v>6</v>
      </c>
      <c r="T304">
        <v>8</v>
      </c>
      <c r="U304" s="32">
        <f t="shared" si="42"/>
        <v>2</v>
      </c>
      <c r="V304">
        <v>7</v>
      </c>
      <c r="W304">
        <v>8</v>
      </c>
      <c r="X304" s="32">
        <f t="shared" si="43"/>
        <v>1</v>
      </c>
      <c r="Y304">
        <v>8</v>
      </c>
      <c r="Z304">
        <v>8</v>
      </c>
      <c r="AA304" s="32">
        <f t="shared" si="44"/>
        <v>0</v>
      </c>
    </row>
    <row r="305" spans="1:27" x14ac:dyDescent="0.45">
      <c r="A305">
        <v>6</v>
      </c>
      <c r="B305">
        <v>8</v>
      </c>
      <c r="C305" s="32">
        <f t="shared" si="36"/>
        <v>2</v>
      </c>
      <c r="D305">
        <v>6</v>
      </c>
      <c r="E305">
        <v>9</v>
      </c>
      <c r="F305" s="32">
        <f t="shared" si="37"/>
        <v>3</v>
      </c>
      <c r="G305">
        <v>8</v>
      </c>
      <c r="H305">
        <v>8</v>
      </c>
      <c r="I305" s="32">
        <f t="shared" si="38"/>
        <v>0</v>
      </c>
      <c r="J305">
        <v>9</v>
      </c>
      <c r="K305">
        <v>9</v>
      </c>
      <c r="L305" s="32">
        <f t="shared" si="39"/>
        <v>0</v>
      </c>
      <c r="M305">
        <v>7</v>
      </c>
      <c r="N305">
        <v>8</v>
      </c>
      <c r="O305" s="32">
        <f t="shared" si="40"/>
        <v>1</v>
      </c>
      <c r="P305">
        <v>8</v>
      </c>
      <c r="Q305">
        <v>8</v>
      </c>
      <c r="R305" s="32">
        <f t="shared" si="41"/>
        <v>0</v>
      </c>
      <c r="S305">
        <v>6</v>
      </c>
      <c r="T305">
        <v>8</v>
      </c>
      <c r="U305" s="32">
        <f t="shared" si="42"/>
        <v>2</v>
      </c>
      <c r="V305">
        <v>7</v>
      </c>
      <c r="W305">
        <v>8</v>
      </c>
      <c r="X305" s="32">
        <f t="shared" si="43"/>
        <v>1</v>
      </c>
      <c r="Y305">
        <v>8</v>
      </c>
      <c r="Z305">
        <v>8</v>
      </c>
      <c r="AA305" s="32">
        <f t="shared" si="44"/>
        <v>0</v>
      </c>
    </row>
    <row r="306" spans="1:27" x14ac:dyDescent="0.45">
      <c r="A306">
        <v>6</v>
      </c>
      <c r="B306">
        <v>8</v>
      </c>
      <c r="C306" s="32">
        <f t="shared" si="36"/>
        <v>2</v>
      </c>
      <c r="D306">
        <v>6</v>
      </c>
      <c r="E306">
        <v>9</v>
      </c>
      <c r="F306" s="32">
        <f t="shared" si="37"/>
        <v>3</v>
      </c>
      <c r="G306">
        <v>8</v>
      </c>
      <c r="H306">
        <v>8</v>
      </c>
      <c r="I306" s="32">
        <f t="shared" si="38"/>
        <v>0</v>
      </c>
      <c r="J306">
        <v>9</v>
      </c>
      <c r="K306">
        <v>9</v>
      </c>
      <c r="L306" s="32">
        <f t="shared" si="39"/>
        <v>0</v>
      </c>
      <c r="M306">
        <v>7</v>
      </c>
      <c r="N306">
        <v>8</v>
      </c>
      <c r="O306" s="32">
        <f t="shared" si="40"/>
        <v>1</v>
      </c>
      <c r="P306">
        <v>8</v>
      </c>
      <c r="Q306">
        <v>8</v>
      </c>
      <c r="R306" s="32">
        <f t="shared" si="41"/>
        <v>0</v>
      </c>
      <c r="S306">
        <v>6</v>
      </c>
      <c r="T306">
        <v>8</v>
      </c>
      <c r="U306" s="32">
        <f t="shared" si="42"/>
        <v>2</v>
      </c>
      <c r="V306">
        <v>7</v>
      </c>
      <c r="W306">
        <v>8</v>
      </c>
      <c r="X306" s="32">
        <f t="shared" si="43"/>
        <v>1</v>
      </c>
      <c r="Y306">
        <v>8</v>
      </c>
      <c r="Z306">
        <v>8</v>
      </c>
      <c r="AA306" s="32">
        <f t="shared" si="44"/>
        <v>0</v>
      </c>
    </row>
    <row r="307" spans="1:27" x14ac:dyDescent="0.45">
      <c r="A307">
        <v>6</v>
      </c>
      <c r="B307">
        <v>8</v>
      </c>
      <c r="C307" s="32">
        <f t="shared" si="36"/>
        <v>2</v>
      </c>
      <c r="D307">
        <v>6</v>
      </c>
      <c r="E307">
        <v>9</v>
      </c>
      <c r="F307" s="32">
        <f t="shared" si="37"/>
        <v>3</v>
      </c>
      <c r="G307">
        <v>8</v>
      </c>
      <c r="H307">
        <v>8</v>
      </c>
      <c r="I307" s="32">
        <f t="shared" si="38"/>
        <v>0</v>
      </c>
      <c r="J307">
        <v>9</v>
      </c>
      <c r="K307">
        <v>9</v>
      </c>
      <c r="L307" s="32">
        <f t="shared" si="39"/>
        <v>0</v>
      </c>
      <c r="M307">
        <v>7</v>
      </c>
      <c r="N307">
        <v>8</v>
      </c>
      <c r="O307" s="32">
        <f t="shared" si="40"/>
        <v>1</v>
      </c>
      <c r="P307">
        <v>8</v>
      </c>
      <c r="Q307">
        <v>8</v>
      </c>
      <c r="R307" s="32">
        <f t="shared" si="41"/>
        <v>0</v>
      </c>
      <c r="S307">
        <v>6</v>
      </c>
      <c r="T307">
        <v>8</v>
      </c>
      <c r="U307" s="32">
        <f t="shared" si="42"/>
        <v>2</v>
      </c>
      <c r="V307">
        <v>7</v>
      </c>
      <c r="W307">
        <v>8</v>
      </c>
      <c r="X307" s="32">
        <f t="shared" si="43"/>
        <v>1</v>
      </c>
      <c r="Y307">
        <v>8</v>
      </c>
      <c r="Z307">
        <v>8</v>
      </c>
      <c r="AA307" s="32">
        <f t="shared" si="44"/>
        <v>0</v>
      </c>
    </row>
    <row r="308" spans="1:27" x14ac:dyDescent="0.45">
      <c r="A308">
        <v>6</v>
      </c>
      <c r="B308">
        <v>8</v>
      </c>
      <c r="C308" s="32">
        <f t="shared" si="36"/>
        <v>2</v>
      </c>
      <c r="D308">
        <v>6</v>
      </c>
      <c r="E308">
        <v>9</v>
      </c>
      <c r="F308" s="32">
        <f t="shared" si="37"/>
        <v>3</v>
      </c>
      <c r="G308">
        <v>8</v>
      </c>
      <c r="H308">
        <v>8</v>
      </c>
      <c r="I308" s="32">
        <f t="shared" si="38"/>
        <v>0</v>
      </c>
      <c r="J308">
        <v>9</v>
      </c>
      <c r="K308">
        <v>9</v>
      </c>
      <c r="L308" s="32">
        <f t="shared" si="39"/>
        <v>0</v>
      </c>
      <c r="M308">
        <v>7</v>
      </c>
      <c r="N308">
        <v>8</v>
      </c>
      <c r="O308" s="32">
        <f t="shared" si="40"/>
        <v>1</v>
      </c>
      <c r="P308">
        <v>8</v>
      </c>
      <c r="Q308">
        <v>8</v>
      </c>
      <c r="R308" s="32">
        <f t="shared" si="41"/>
        <v>0</v>
      </c>
      <c r="S308">
        <v>6</v>
      </c>
      <c r="T308">
        <v>8</v>
      </c>
      <c r="U308" s="32">
        <f t="shared" si="42"/>
        <v>2</v>
      </c>
      <c r="V308">
        <v>7</v>
      </c>
      <c r="W308">
        <v>8</v>
      </c>
      <c r="X308" s="32">
        <f t="shared" si="43"/>
        <v>1</v>
      </c>
      <c r="Y308">
        <v>8</v>
      </c>
      <c r="Z308">
        <v>8</v>
      </c>
      <c r="AA308" s="32">
        <f t="shared" si="44"/>
        <v>0</v>
      </c>
    </row>
    <row r="309" spans="1:27" x14ac:dyDescent="0.45">
      <c r="A309">
        <v>6</v>
      </c>
      <c r="B309">
        <v>8</v>
      </c>
      <c r="C309" s="32">
        <f t="shared" si="36"/>
        <v>2</v>
      </c>
      <c r="D309">
        <v>6</v>
      </c>
      <c r="E309">
        <v>9</v>
      </c>
      <c r="F309" s="32">
        <f t="shared" si="37"/>
        <v>3</v>
      </c>
      <c r="G309">
        <v>8</v>
      </c>
      <c r="H309">
        <v>8</v>
      </c>
      <c r="I309" s="32">
        <f t="shared" si="38"/>
        <v>0</v>
      </c>
      <c r="J309">
        <v>9</v>
      </c>
      <c r="K309">
        <v>9</v>
      </c>
      <c r="L309" s="32">
        <f t="shared" si="39"/>
        <v>0</v>
      </c>
      <c r="M309">
        <v>7</v>
      </c>
      <c r="N309">
        <v>8</v>
      </c>
      <c r="O309" s="32">
        <f t="shared" si="40"/>
        <v>1</v>
      </c>
      <c r="P309">
        <v>8</v>
      </c>
      <c r="Q309">
        <v>8</v>
      </c>
      <c r="R309" s="32">
        <f t="shared" si="41"/>
        <v>0</v>
      </c>
      <c r="S309">
        <v>6</v>
      </c>
      <c r="T309">
        <v>8</v>
      </c>
      <c r="U309" s="32">
        <f t="shared" si="42"/>
        <v>2</v>
      </c>
      <c r="V309">
        <v>7</v>
      </c>
      <c r="W309">
        <v>8</v>
      </c>
      <c r="X309" s="32">
        <f t="shared" si="43"/>
        <v>1</v>
      </c>
      <c r="Y309">
        <v>8</v>
      </c>
      <c r="Z309">
        <v>8</v>
      </c>
      <c r="AA309" s="32">
        <f t="shared" si="44"/>
        <v>0</v>
      </c>
    </row>
    <row r="310" spans="1:27" x14ac:dyDescent="0.45">
      <c r="A310">
        <v>6</v>
      </c>
      <c r="B310">
        <v>8</v>
      </c>
      <c r="C310" s="32">
        <f t="shared" si="36"/>
        <v>2</v>
      </c>
      <c r="D310">
        <v>6</v>
      </c>
      <c r="E310">
        <v>9</v>
      </c>
      <c r="F310" s="32">
        <f t="shared" si="37"/>
        <v>3</v>
      </c>
      <c r="G310">
        <v>8</v>
      </c>
      <c r="H310">
        <v>8</v>
      </c>
      <c r="I310" s="32">
        <f t="shared" si="38"/>
        <v>0</v>
      </c>
      <c r="J310">
        <v>9</v>
      </c>
      <c r="K310">
        <v>9</v>
      </c>
      <c r="L310" s="32">
        <f t="shared" si="39"/>
        <v>0</v>
      </c>
      <c r="M310">
        <v>7</v>
      </c>
      <c r="N310">
        <v>8</v>
      </c>
      <c r="O310" s="32">
        <f t="shared" si="40"/>
        <v>1</v>
      </c>
      <c r="P310">
        <v>8</v>
      </c>
      <c r="Q310">
        <v>8</v>
      </c>
      <c r="R310" s="32">
        <f t="shared" si="41"/>
        <v>0</v>
      </c>
      <c r="S310">
        <v>6</v>
      </c>
      <c r="T310">
        <v>8</v>
      </c>
      <c r="U310" s="32">
        <f t="shared" si="42"/>
        <v>2</v>
      </c>
      <c r="V310">
        <v>7</v>
      </c>
      <c r="W310">
        <v>8</v>
      </c>
      <c r="X310" s="32">
        <f t="shared" si="43"/>
        <v>1</v>
      </c>
      <c r="Y310">
        <v>8</v>
      </c>
      <c r="Z310">
        <v>8</v>
      </c>
      <c r="AA310" s="32">
        <f t="shared" si="44"/>
        <v>0</v>
      </c>
    </row>
    <row r="311" spans="1:27" x14ac:dyDescent="0.45">
      <c r="A311">
        <v>6</v>
      </c>
      <c r="B311">
        <v>8</v>
      </c>
      <c r="C311" s="32">
        <f t="shared" si="36"/>
        <v>2</v>
      </c>
      <c r="D311">
        <v>6</v>
      </c>
      <c r="E311">
        <v>9</v>
      </c>
      <c r="F311" s="32">
        <f t="shared" si="37"/>
        <v>3</v>
      </c>
      <c r="G311">
        <v>8</v>
      </c>
      <c r="H311">
        <v>8</v>
      </c>
      <c r="I311" s="32">
        <f t="shared" si="38"/>
        <v>0</v>
      </c>
      <c r="J311">
        <v>9</v>
      </c>
      <c r="K311">
        <v>9</v>
      </c>
      <c r="L311" s="32">
        <f t="shared" si="39"/>
        <v>0</v>
      </c>
      <c r="M311">
        <v>7</v>
      </c>
      <c r="N311">
        <v>8</v>
      </c>
      <c r="O311" s="32">
        <f t="shared" si="40"/>
        <v>1</v>
      </c>
      <c r="P311">
        <v>8</v>
      </c>
      <c r="Q311">
        <v>8</v>
      </c>
      <c r="R311" s="32">
        <f t="shared" si="41"/>
        <v>0</v>
      </c>
      <c r="S311">
        <v>6</v>
      </c>
      <c r="T311">
        <v>8</v>
      </c>
      <c r="U311" s="32">
        <f t="shared" si="42"/>
        <v>2</v>
      </c>
      <c r="V311">
        <v>7</v>
      </c>
      <c r="W311">
        <v>8</v>
      </c>
      <c r="X311" s="32">
        <f t="shared" si="43"/>
        <v>1</v>
      </c>
      <c r="Y311">
        <v>8</v>
      </c>
      <c r="Z311">
        <v>8</v>
      </c>
      <c r="AA311" s="32">
        <f t="shared" si="44"/>
        <v>0</v>
      </c>
    </row>
    <row r="312" spans="1:27" x14ac:dyDescent="0.45">
      <c r="A312">
        <v>6</v>
      </c>
      <c r="B312">
        <v>8</v>
      </c>
      <c r="C312" s="32">
        <f t="shared" si="36"/>
        <v>2</v>
      </c>
      <c r="D312">
        <v>6</v>
      </c>
      <c r="E312">
        <v>9</v>
      </c>
      <c r="F312" s="32">
        <f t="shared" si="37"/>
        <v>3</v>
      </c>
      <c r="G312">
        <v>8</v>
      </c>
      <c r="H312">
        <v>8</v>
      </c>
      <c r="I312" s="32">
        <f t="shared" si="38"/>
        <v>0</v>
      </c>
      <c r="J312">
        <v>9</v>
      </c>
      <c r="K312">
        <v>9</v>
      </c>
      <c r="L312" s="32">
        <f t="shared" si="39"/>
        <v>0</v>
      </c>
      <c r="M312">
        <v>7</v>
      </c>
      <c r="N312">
        <v>8</v>
      </c>
      <c r="O312" s="32">
        <f t="shared" si="40"/>
        <v>1</v>
      </c>
      <c r="P312">
        <v>8</v>
      </c>
      <c r="Q312">
        <v>8</v>
      </c>
      <c r="R312" s="32">
        <f t="shared" si="41"/>
        <v>0</v>
      </c>
      <c r="S312">
        <v>6</v>
      </c>
      <c r="T312">
        <v>8</v>
      </c>
      <c r="U312" s="32">
        <f t="shared" si="42"/>
        <v>2</v>
      </c>
      <c r="V312">
        <v>7</v>
      </c>
      <c r="W312">
        <v>8</v>
      </c>
      <c r="X312" s="32">
        <f t="shared" si="43"/>
        <v>1</v>
      </c>
      <c r="Y312">
        <v>8</v>
      </c>
      <c r="Z312">
        <v>8</v>
      </c>
      <c r="AA312" s="32">
        <f t="shared" si="44"/>
        <v>0</v>
      </c>
    </row>
    <row r="313" spans="1:27" x14ac:dyDescent="0.45">
      <c r="A313">
        <v>6</v>
      </c>
      <c r="B313">
        <v>8</v>
      </c>
      <c r="C313" s="32">
        <f t="shared" si="36"/>
        <v>2</v>
      </c>
      <c r="D313">
        <v>6</v>
      </c>
      <c r="E313">
        <v>9</v>
      </c>
      <c r="F313" s="32">
        <f t="shared" si="37"/>
        <v>3</v>
      </c>
      <c r="G313">
        <v>8</v>
      </c>
      <c r="H313">
        <v>8</v>
      </c>
      <c r="I313" s="32">
        <f t="shared" si="38"/>
        <v>0</v>
      </c>
      <c r="J313">
        <v>9</v>
      </c>
      <c r="K313">
        <v>9</v>
      </c>
      <c r="L313" s="32">
        <f t="shared" si="39"/>
        <v>0</v>
      </c>
      <c r="M313">
        <v>7</v>
      </c>
      <c r="N313">
        <v>8</v>
      </c>
      <c r="O313" s="32">
        <f t="shared" si="40"/>
        <v>1</v>
      </c>
      <c r="P313">
        <v>8</v>
      </c>
      <c r="Q313">
        <v>8</v>
      </c>
      <c r="R313" s="32">
        <f t="shared" si="41"/>
        <v>0</v>
      </c>
      <c r="S313">
        <v>6</v>
      </c>
      <c r="T313">
        <v>8</v>
      </c>
      <c r="U313" s="32">
        <f t="shared" si="42"/>
        <v>2</v>
      </c>
      <c r="V313">
        <v>7</v>
      </c>
      <c r="W313">
        <v>8</v>
      </c>
      <c r="X313" s="32">
        <f t="shared" si="43"/>
        <v>1</v>
      </c>
      <c r="Y313">
        <v>8</v>
      </c>
      <c r="Z313">
        <v>8</v>
      </c>
      <c r="AA313" s="32">
        <f t="shared" si="44"/>
        <v>0</v>
      </c>
    </row>
    <row r="314" spans="1:27" x14ac:dyDescent="0.45">
      <c r="A314">
        <v>6</v>
      </c>
      <c r="B314">
        <v>8</v>
      </c>
      <c r="C314" s="32">
        <f t="shared" si="36"/>
        <v>2</v>
      </c>
      <c r="D314">
        <v>6</v>
      </c>
      <c r="E314">
        <v>9</v>
      </c>
      <c r="F314" s="32">
        <f t="shared" si="37"/>
        <v>3</v>
      </c>
      <c r="G314">
        <v>8</v>
      </c>
      <c r="H314">
        <v>8</v>
      </c>
      <c r="I314" s="32">
        <f t="shared" si="38"/>
        <v>0</v>
      </c>
      <c r="J314">
        <v>9</v>
      </c>
      <c r="K314">
        <v>9</v>
      </c>
      <c r="L314" s="32">
        <f t="shared" si="39"/>
        <v>0</v>
      </c>
      <c r="M314">
        <v>7</v>
      </c>
      <c r="N314">
        <v>8</v>
      </c>
      <c r="O314" s="32">
        <f t="shared" si="40"/>
        <v>1</v>
      </c>
      <c r="P314">
        <v>8</v>
      </c>
      <c r="Q314">
        <v>8</v>
      </c>
      <c r="R314" s="32">
        <f t="shared" si="41"/>
        <v>0</v>
      </c>
      <c r="S314">
        <v>6</v>
      </c>
      <c r="T314">
        <v>8</v>
      </c>
      <c r="U314" s="32">
        <f t="shared" si="42"/>
        <v>2</v>
      </c>
      <c r="V314">
        <v>7</v>
      </c>
      <c r="W314">
        <v>8</v>
      </c>
      <c r="X314" s="32">
        <f t="shared" si="43"/>
        <v>1</v>
      </c>
      <c r="Y314">
        <v>8</v>
      </c>
      <c r="Z314">
        <v>8</v>
      </c>
      <c r="AA314" s="32">
        <f t="shared" si="44"/>
        <v>0</v>
      </c>
    </row>
    <row r="315" spans="1:27" x14ac:dyDescent="0.45">
      <c r="A315">
        <v>6</v>
      </c>
      <c r="B315">
        <v>8</v>
      </c>
      <c r="C315" s="32">
        <f t="shared" si="36"/>
        <v>2</v>
      </c>
      <c r="D315">
        <v>6</v>
      </c>
      <c r="E315">
        <v>9</v>
      </c>
      <c r="F315" s="32">
        <f t="shared" si="37"/>
        <v>3</v>
      </c>
      <c r="G315">
        <v>8</v>
      </c>
      <c r="H315">
        <v>8</v>
      </c>
      <c r="I315" s="32">
        <f t="shared" si="38"/>
        <v>0</v>
      </c>
      <c r="J315">
        <v>9</v>
      </c>
      <c r="K315">
        <v>9</v>
      </c>
      <c r="L315" s="32">
        <f t="shared" si="39"/>
        <v>0</v>
      </c>
      <c r="M315">
        <v>7</v>
      </c>
      <c r="N315">
        <v>8</v>
      </c>
      <c r="O315" s="32">
        <f t="shared" si="40"/>
        <v>1</v>
      </c>
      <c r="P315">
        <v>8</v>
      </c>
      <c r="Q315">
        <v>8</v>
      </c>
      <c r="R315" s="32">
        <f t="shared" si="41"/>
        <v>0</v>
      </c>
      <c r="S315">
        <v>6</v>
      </c>
      <c r="T315">
        <v>8</v>
      </c>
      <c r="U315" s="32">
        <f t="shared" si="42"/>
        <v>2</v>
      </c>
      <c r="V315">
        <v>7</v>
      </c>
      <c r="W315">
        <v>8</v>
      </c>
      <c r="X315" s="32">
        <f t="shared" si="43"/>
        <v>1</v>
      </c>
      <c r="Y315">
        <v>8</v>
      </c>
      <c r="Z315">
        <v>8</v>
      </c>
      <c r="AA315" s="32">
        <f t="shared" si="44"/>
        <v>0</v>
      </c>
    </row>
    <row r="316" spans="1:27" x14ac:dyDescent="0.45">
      <c r="A316">
        <v>6</v>
      </c>
      <c r="B316">
        <v>9</v>
      </c>
      <c r="C316" s="32">
        <f t="shared" si="36"/>
        <v>3</v>
      </c>
      <c r="D316">
        <v>6</v>
      </c>
      <c r="E316">
        <v>9</v>
      </c>
      <c r="F316" s="32">
        <f t="shared" si="37"/>
        <v>3</v>
      </c>
      <c r="G316">
        <v>8</v>
      </c>
      <c r="H316">
        <v>8</v>
      </c>
      <c r="I316" s="32">
        <f t="shared" si="38"/>
        <v>0</v>
      </c>
      <c r="J316">
        <v>9</v>
      </c>
      <c r="K316">
        <v>9</v>
      </c>
      <c r="L316" s="32">
        <f t="shared" si="39"/>
        <v>0</v>
      </c>
      <c r="M316">
        <v>7</v>
      </c>
      <c r="N316">
        <v>8</v>
      </c>
      <c r="O316" s="32">
        <f t="shared" si="40"/>
        <v>1</v>
      </c>
      <c r="P316">
        <v>8</v>
      </c>
      <c r="Q316">
        <v>8</v>
      </c>
      <c r="R316" s="32">
        <f t="shared" si="41"/>
        <v>0</v>
      </c>
      <c r="S316">
        <v>7</v>
      </c>
      <c r="T316">
        <v>8</v>
      </c>
      <c r="U316" s="32">
        <f t="shared" si="42"/>
        <v>1</v>
      </c>
      <c r="V316">
        <v>7</v>
      </c>
      <c r="W316">
        <v>8</v>
      </c>
      <c r="X316" s="32">
        <f t="shared" si="43"/>
        <v>1</v>
      </c>
      <c r="Y316">
        <v>8</v>
      </c>
      <c r="Z316">
        <v>8</v>
      </c>
      <c r="AA316" s="32">
        <f t="shared" si="44"/>
        <v>0</v>
      </c>
    </row>
    <row r="317" spans="1:27" x14ac:dyDescent="0.45">
      <c r="A317">
        <v>6</v>
      </c>
      <c r="B317">
        <v>9</v>
      </c>
      <c r="C317" s="32">
        <f t="shared" si="36"/>
        <v>3</v>
      </c>
      <c r="D317">
        <v>6</v>
      </c>
      <c r="E317">
        <v>9</v>
      </c>
      <c r="F317" s="32">
        <f t="shared" si="37"/>
        <v>3</v>
      </c>
      <c r="G317">
        <v>8</v>
      </c>
      <c r="H317">
        <v>8</v>
      </c>
      <c r="I317" s="32">
        <f t="shared" si="38"/>
        <v>0</v>
      </c>
      <c r="J317">
        <v>9</v>
      </c>
      <c r="K317">
        <v>9</v>
      </c>
      <c r="L317" s="32">
        <f t="shared" si="39"/>
        <v>0</v>
      </c>
      <c r="M317">
        <v>7</v>
      </c>
      <c r="N317">
        <v>8</v>
      </c>
      <c r="O317" s="32">
        <f t="shared" si="40"/>
        <v>1</v>
      </c>
      <c r="P317">
        <v>8</v>
      </c>
      <c r="Q317">
        <v>8</v>
      </c>
      <c r="R317" s="32">
        <f t="shared" si="41"/>
        <v>0</v>
      </c>
      <c r="S317">
        <v>7</v>
      </c>
      <c r="T317">
        <v>8</v>
      </c>
      <c r="U317" s="32">
        <f t="shared" si="42"/>
        <v>1</v>
      </c>
      <c r="V317">
        <v>7</v>
      </c>
      <c r="W317">
        <v>8</v>
      </c>
      <c r="X317" s="32">
        <f t="shared" si="43"/>
        <v>1</v>
      </c>
      <c r="Y317">
        <v>8</v>
      </c>
      <c r="Z317">
        <v>8</v>
      </c>
      <c r="AA317" s="32">
        <f t="shared" si="44"/>
        <v>0</v>
      </c>
    </row>
    <row r="318" spans="1:27" x14ac:dyDescent="0.45">
      <c r="A318">
        <v>6</v>
      </c>
      <c r="B318">
        <v>9</v>
      </c>
      <c r="C318" s="32">
        <f t="shared" si="36"/>
        <v>3</v>
      </c>
      <c r="D318">
        <v>6</v>
      </c>
      <c r="E318">
        <v>9</v>
      </c>
      <c r="F318" s="32">
        <f t="shared" si="37"/>
        <v>3</v>
      </c>
      <c r="G318">
        <v>8</v>
      </c>
      <c r="H318">
        <v>8</v>
      </c>
      <c r="I318" s="32">
        <f t="shared" si="38"/>
        <v>0</v>
      </c>
      <c r="J318">
        <v>9</v>
      </c>
      <c r="K318">
        <v>9</v>
      </c>
      <c r="L318" s="32">
        <f t="shared" si="39"/>
        <v>0</v>
      </c>
      <c r="M318">
        <v>7</v>
      </c>
      <c r="N318">
        <v>8</v>
      </c>
      <c r="O318" s="32">
        <f t="shared" si="40"/>
        <v>1</v>
      </c>
      <c r="P318">
        <v>8</v>
      </c>
      <c r="Q318">
        <v>8</v>
      </c>
      <c r="R318" s="32">
        <f t="shared" si="41"/>
        <v>0</v>
      </c>
      <c r="S318">
        <v>7</v>
      </c>
      <c r="T318">
        <v>8</v>
      </c>
      <c r="U318" s="32">
        <f t="shared" si="42"/>
        <v>1</v>
      </c>
      <c r="V318">
        <v>7</v>
      </c>
      <c r="W318">
        <v>8</v>
      </c>
      <c r="X318" s="32">
        <f t="shared" si="43"/>
        <v>1</v>
      </c>
      <c r="Y318">
        <v>8</v>
      </c>
      <c r="Z318">
        <v>8</v>
      </c>
      <c r="AA318" s="32">
        <f t="shared" si="44"/>
        <v>0</v>
      </c>
    </row>
    <row r="319" spans="1:27" x14ac:dyDescent="0.45">
      <c r="A319">
        <v>6</v>
      </c>
      <c r="B319">
        <v>9</v>
      </c>
      <c r="C319" s="32">
        <f t="shared" si="36"/>
        <v>3</v>
      </c>
      <c r="D319">
        <v>7</v>
      </c>
      <c r="E319">
        <v>9</v>
      </c>
      <c r="F319" s="32">
        <f t="shared" si="37"/>
        <v>2</v>
      </c>
      <c r="G319">
        <v>8</v>
      </c>
      <c r="H319">
        <v>8</v>
      </c>
      <c r="I319" s="32">
        <f t="shared" si="38"/>
        <v>0</v>
      </c>
      <c r="J319">
        <v>9</v>
      </c>
      <c r="K319">
        <v>9</v>
      </c>
      <c r="L319" s="32">
        <f t="shared" si="39"/>
        <v>0</v>
      </c>
      <c r="M319">
        <v>7</v>
      </c>
      <c r="N319">
        <v>8</v>
      </c>
      <c r="O319" s="32">
        <f t="shared" si="40"/>
        <v>1</v>
      </c>
      <c r="P319">
        <v>8</v>
      </c>
      <c r="Q319">
        <v>8</v>
      </c>
      <c r="R319" s="32">
        <f t="shared" si="41"/>
        <v>0</v>
      </c>
      <c r="S319">
        <v>7</v>
      </c>
      <c r="T319">
        <v>8</v>
      </c>
      <c r="U319" s="32">
        <f t="shared" si="42"/>
        <v>1</v>
      </c>
      <c r="V319">
        <v>7</v>
      </c>
      <c r="W319">
        <v>8</v>
      </c>
      <c r="X319" s="32">
        <f t="shared" si="43"/>
        <v>1</v>
      </c>
      <c r="Y319">
        <v>8</v>
      </c>
      <c r="Z319">
        <v>9</v>
      </c>
      <c r="AA319" s="32">
        <f t="shared" si="44"/>
        <v>1</v>
      </c>
    </row>
    <row r="320" spans="1:27" x14ac:dyDescent="0.45">
      <c r="A320">
        <v>6</v>
      </c>
      <c r="B320">
        <v>9</v>
      </c>
      <c r="C320" s="32">
        <f t="shared" si="36"/>
        <v>3</v>
      </c>
      <c r="D320">
        <v>7</v>
      </c>
      <c r="E320">
        <v>9</v>
      </c>
      <c r="F320" s="32">
        <f t="shared" si="37"/>
        <v>2</v>
      </c>
      <c r="G320">
        <v>8</v>
      </c>
      <c r="H320">
        <v>8</v>
      </c>
      <c r="I320" s="32">
        <f t="shared" si="38"/>
        <v>0</v>
      </c>
      <c r="J320">
        <v>9</v>
      </c>
      <c r="K320">
        <v>9</v>
      </c>
      <c r="L320" s="32">
        <f t="shared" si="39"/>
        <v>0</v>
      </c>
      <c r="M320">
        <v>7</v>
      </c>
      <c r="N320">
        <v>8</v>
      </c>
      <c r="O320" s="32">
        <f t="shared" si="40"/>
        <v>1</v>
      </c>
      <c r="P320">
        <v>8</v>
      </c>
      <c r="Q320">
        <v>9</v>
      </c>
      <c r="R320" s="32">
        <f t="shared" si="41"/>
        <v>1</v>
      </c>
      <c r="S320">
        <v>7</v>
      </c>
      <c r="T320">
        <v>8</v>
      </c>
      <c r="U320" s="32">
        <f t="shared" si="42"/>
        <v>1</v>
      </c>
      <c r="V320">
        <v>7</v>
      </c>
      <c r="W320">
        <v>8</v>
      </c>
      <c r="X320" s="32">
        <f t="shared" si="43"/>
        <v>1</v>
      </c>
      <c r="Y320">
        <v>8</v>
      </c>
      <c r="Z320">
        <v>9</v>
      </c>
      <c r="AA320" s="32">
        <f t="shared" si="44"/>
        <v>1</v>
      </c>
    </row>
    <row r="321" spans="1:27" x14ac:dyDescent="0.45">
      <c r="A321">
        <v>6</v>
      </c>
      <c r="B321">
        <v>9</v>
      </c>
      <c r="C321" s="32">
        <f t="shared" si="36"/>
        <v>3</v>
      </c>
      <c r="D321">
        <v>7</v>
      </c>
      <c r="E321">
        <v>9</v>
      </c>
      <c r="F321" s="32">
        <f t="shared" si="37"/>
        <v>2</v>
      </c>
      <c r="G321">
        <v>8</v>
      </c>
      <c r="H321">
        <v>8</v>
      </c>
      <c r="I321" s="32">
        <f t="shared" si="38"/>
        <v>0</v>
      </c>
      <c r="J321">
        <v>9</v>
      </c>
      <c r="K321">
        <v>9</v>
      </c>
      <c r="L321" s="32">
        <f t="shared" si="39"/>
        <v>0</v>
      </c>
      <c r="M321">
        <v>7</v>
      </c>
      <c r="N321">
        <v>8</v>
      </c>
      <c r="O321" s="32">
        <f t="shared" si="40"/>
        <v>1</v>
      </c>
      <c r="P321">
        <v>8</v>
      </c>
      <c r="Q321">
        <v>9</v>
      </c>
      <c r="R321" s="32">
        <f t="shared" si="41"/>
        <v>1</v>
      </c>
      <c r="S321">
        <v>7</v>
      </c>
      <c r="T321">
        <v>8</v>
      </c>
      <c r="U321" s="32">
        <f t="shared" si="42"/>
        <v>1</v>
      </c>
      <c r="V321">
        <v>7</v>
      </c>
      <c r="W321">
        <v>8</v>
      </c>
      <c r="X321" s="32">
        <f t="shared" si="43"/>
        <v>1</v>
      </c>
      <c r="Y321">
        <v>8</v>
      </c>
      <c r="Z321">
        <v>9</v>
      </c>
      <c r="AA321" s="32">
        <f t="shared" si="44"/>
        <v>1</v>
      </c>
    </row>
    <row r="322" spans="1:27" x14ac:dyDescent="0.45">
      <c r="A322">
        <v>6</v>
      </c>
      <c r="B322">
        <v>9</v>
      </c>
      <c r="C322" s="32">
        <f t="shared" si="36"/>
        <v>3</v>
      </c>
      <c r="D322">
        <v>7</v>
      </c>
      <c r="E322">
        <v>9</v>
      </c>
      <c r="F322" s="32">
        <f t="shared" si="37"/>
        <v>2</v>
      </c>
      <c r="G322">
        <v>8</v>
      </c>
      <c r="H322">
        <v>8</v>
      </c>
      <c r="I322" s="32">
        <f t="shared" si="38"/>
        <v>0</v>
      </c>
      <c r="J322">
        <v>9</v>
      </c>
      <c r="K322">
        <v>9</v>
      </c>
      <c r="L322" s="32">
        <f t="shared" si="39"/>
        <v>0</v>
      </c>
      <c r="M322">
        <v>7</v>
      </c>
      <c r="N322">
        <v>8</v>
      </c>
      <c r="O322" s="32">
        <f t="shared" si="40"/>
        <v>1</v>
      </c>
      <c r="P322">
        <v>8</v>
      </c>
      <c r="Q322">
        <v>9</v>
      </c>
      <c r="R322" s="32">
        <f t="shared" si="41"/>
        <v>1</v>
      </c>
      <c r="S322">
        <v>7</v>
      </c>
      <c r="T322">
        <v>8</v>
      </c>
      <c r="U322" s="32">
        <f t="shared" si="42"/>
        <v>1</v>
      </c>
      <c r="V322">
        <v>7</v>
      </c>
      <c r="W322">
        <v>8</v>
      </c>
      <c r="X322" s="32">
        <f t="shared" si="43"/>
        <v>1</v>
      </c>
      <c r="Y322">
        <v>8</v>
      </c>
      <c r="Z322">
        <v>9</v>
      </c>
      <c r="AA322" s="32">
        <f t="shared" si="44"/>
        <v>1</v>
      </c>
    </row>
    <row r="323" spans="1:27" x14ac:dyDescent="0.45">
      <c r="A323">
        <v>6</v>
      </c>
      <c r="B323">
        <v>9</v>
      </c>
      <c r="C323" s="32">
        <f t="shared" ref="C323:C386" si="45">ABS(B323-A323)</f>
        <v>3</v>
      </c>
      <c r="D323">
        <v>7</v>
      </c>
      <c r="E323">
        <v>9</v>
      </c>
      <c r="F323" s="32">
        <f t="shared" ref="F323:F386" si="46">ABS(E323-D323)</f>
        <v>2</v>
      </c>
      <c r="G323">
        <v>8</v>
      </c>
      <c r="H323">
        <v>8</v>
      </c>
      <c r="I323" s="32">
        <f t="shared" ref="I323:I386" si="47">ABS(H323-G323)</f>
        <v>0</v>
      </c>
      <c r="J323">
        <v>9</v>
      </c>
      <c r="K323">
        <v>9</v>
      </c>
      <c r="L323" s="32">
        <f t="shared" ref="L323:L386" si="48">ABS(K323-J323)</f>
        <v>0</v>
      </c>
      <c r="M323">
        <v>7</v>
      </c>
      <c r="N323">
        <v>8</v>
      </c>
      <c r="O323" s="32">
        <f t="shared" ref="O323:O386" si="49">ABS(N323-M323)</f>
        <v>1</v>
      </c>
      <c r="P323">
        <v>8</v>
      </c>
      <c r="Q323">
        <v>9</v>
      </c>
      <c r="R323" s="32">
        <f t="shared" ref="R323:R386" si="50">ABS(Q323-P323)</f>
        <v>1</v>
      </c>
      <c r="S323">
        <v>7</v>
      </c>
      <c r="T323">
        <v>8</v>
      </c>
      <c r="U323" s="32">
        <f t="shared" ref="U323:U386" si="51">ABS(T323-S323)</f>
        <v>1</v>
      </c>
      <c r="V323">
        <v>7</v>
      </c>
      <c r="W323">
        <v>8</v>
      </c>
      <c r="X323" s="32">
        <f t="shared" ref="X323:X386" si="52">ABS(W323-V323)</f>
        <v>1</v>
      </c>
      <c r="Y323">
        <v>8</v>
      </c>
      <c r="Z323">
        <v>9</v>
      </c>
      <c r="AA323" s="32">
        <f t="shared" ref="AA323:AA386" si="53">ABS(Z323-Y323)</f>
        <v>1</v>
      </c>
    </row>
    <row r="324" spans="1:27" x14ac:dyDescent="0.45">
      <c r="A324">
        <v>6</v>
      </c>
      <c r="B324">
        <v>9</v>
      </c>
      <c r="C324" s="32">
        <f t="shared" si="45"/>
        <v>3</v>
      </c>
      <c r="D324">
        <v>7</v>
      </c>
      <c r="E324">
        <v>9</v>
      </c>
      <c r="F324" s="32">
        <f t="shared" si="46"/>
        <v>2</v>
      </c>
      <c r="G324">
        <v>8</v>
      </c>
      <c r="H324">
        <v>8</v>
      </c>
      <c r="I324" s="32">
        <f t="shared" si="47"/>
        <v>0</v>
      </c>
      <c r="J324">
        <v>9</v>
      </c>
      <c r="K324">
        <v>9</v>
      </c>
      <c r="L324" s="32">
        <f t="shared" si="48"/>
        <v>0</v>
      </c>
      <c r="M324">
        <v>7</v>
      </c>
      <c r="N324">
        <v>8</v>
      </c>
      <c r="O324" s="32">
        <f t="shared" si="49"/>
        <v>1</v>
      </c>
      <c r="P324">
        <v>8</v>
      </c>
      <c r="Q324">
        <v>9</v>
      </c>
      <c r="R324" s="32">
        <f t="shared" si="50"/>
        <v>1</v>
      </c>
      <c r="S324">
        <v>7</v>
      </c>
      <c r="T324">
        <v>8</v>
      </c>
      <c r="U324" s="32">
        <f t="shared" si="51"/>
        <v>1</v>
      </c>
      <c r="V324">
        <v>7</v>
      </c>
      <c r="W324">
        <v>8</v>
      </c>
      <c r="X324" s="32">
        <f t="shared" si="52"/>
        <v>1</v>
      </c>
      <c r="Y324">
        <v>8</v>
      </c>
      <c r="Z324">
        <v>9</v>
      </c>
      <c r="AA324" s="32">
        <f t="shared" si="53"/>
        <v>1</v>
      </c>
    </row>
    <row r="325" spans="1:27" x14ac:dyDescent="0.45">
      <c r="A325">
        <v>6</v>
      </c>
      <c r="B325">
        <v>9</v>
      </c>
      <c r="C325" s="32">
        <f t="shared" si="45"/>
        <v>3</v>
      </c>
      <c r="D325">
        <v>7</v>
      </c>
      <c r="E325">
        <v>9</v>
      </c>
      <c r="F325" s="32">
        <f t="shared" si="46"/>
        <v>2</v>
      </c>
      <c r="G325">
        <v>8</v>
      </c>
      <c r="H325">
        <v>8</v>
      </c>
      <c r="I325" s="32">
        <f t="shared" si="47"/>
        <v>0</v>
      </c>
      <c r="J325">
        <v>9</v>
      </c>
      <c r="K325">
        <v>9</v>
      </c>
      <c r="L325" s="32">
        <f t="shared" si="48"/>
        <v>0</v>
      </c>
      <c r="M325">
        <v>7</v>
      </c>
      <c r="N325">
        <v>8</v>
      </c>
      <c r="O325" s="32">
        <f t="shared" si="49"/>
        <v>1</v>
      </c>
      <c r="P325">
        <v>8</v>
      </c>
      <c r="Q325">
        <v>9</v>
      </c>
      <c r="R325" s="32">
        <f t="shared" si="50"/>
        <v>1</v>
      </c>
      <c r="S325">
        <v>7</v>
      </c>
      <c r="T325">
        <v>8</v>
      </c>
      <c r="U325" s="32">
        <f t="shared" si="51"/>
        <v>1</v>
      </c>
      <c r="V325">
        <v>7</v>
      </c>
      <c r="W325">
        <v>8</v>
      </c>
      <c r="X325" s="32">
        <f t="shared" si="52"/>
        <v>1</v>
      </c>
      <c r="Y325">
        <v>8</v>
      </c>
      <c r="Z325">
        <v>9</v>
      </c>
      <c r="AA325" s="32">
        <f t="shared" si="53"/>
        <v>1</v>
      </c>
    </row>
    <row r="326" spans="1:27" x14ac:dyDescent="0.45">
      <c r="A326">
        <v>6</v>
      </c>
      <c r="B326">
        <v>9</v>
      </c>
      <c r="C326" s="32">
        <f t="shared" si="45"/>
        <v>3</v>
      </c>
      <c r="D326">
        <v>7</v>
      </c>
      <c r="E326">
        <v>9</v>
      </c>
      <c r="F326" s="32">
        <f t="shared" si="46"/>
        <v>2</v>
      </c>
      <c r="G326">
        <v>8</v>
      </c>
      <c r="H326">
        <v>8</v>
      </c>
      <c r="I326" s="32">
        <f t="shared" si="47"/>
        <v>0</v>
      </c>
      <c r="J326">
        <v>9</v>
      </c>
      <c r="K326">
        <v>9</v>
      </c>
      <c r="L326" s="32">
        <f t="shared" si="48"/>
        <v>0</v>
      </c>
      <c r="M326">
        <v>7</v>
      </c>
      <c r="N326">
        <v>8</v>
      </c>
      <c r="O326" s="32">
        <f t="shared" si="49"/>
        <v>1</v>
      </c>
      <c r="P326">
        <v>8</v>
      </c>
      <c r="Q326">
        <v>9</v>
      </c>
      <c r="R326" s="32">
        <f t="shared" si="50"/>
        <v>1</v>
      </c>
      <c r="S326">
        <v>7</v>
      </c>
      <c r="T326">
        <v>8</v>
      </c>
      <c r="U326" s="32">
        <f t="shared" si="51"/>
        <v>1</v>
      </c>
      <c r="V326">
        <v>7</v>
      </c>
      <c r="W326">
        <v>8</v>
      </c>
      <c r="X326" s="32">
        <f t="shared" si="52"/>
        <v>1</v>
      </c>
      <c r="Y326">
        <v>8</v>
      </c>
      <c r="Z326">
        <v>9</v>
      </c>
      <c r="AA326" s="32">
        <f t="shared" si="53"/>
        <v>1</v>
      </c>
    </row>
    <row r="327" spans="1:27" x14ac:dyDescent="0.45">
      <c r="A327">
        <v>6</v>
      </c>
      <c r="B327">
        <v>9</v>
      </c>
      <c r="C327" s="32">
        <f t="shared" si="45"/>
        <v>3</v>
      </c>
      <c r="D327">
        <v>7</v>
      </c>
      <c r="E327">
        <v>9</v>
      </c>
      <c r="F327" s="32">
        <f t="shared" si="46"/>
        <v>2</v>
      </c>
      <c r="G327">
        <v>8</v>
      </c>
      <c r="H327">
        <v>8</v>
      </c>
      <c r="I327" s="32">
        <f t="shared" si="47"/>
        <v>0</v>
      </c>
      <c r="J327">
        <v>9</v>
      </c>
      <c r="K327">
        <v>9</v>
      </c>
      <c r="L327" s="32">
        <f t="shared" si="48"/>
        <v>0</v>
      </c>
      <c r="M327">
        <v>7</v>
      </c>
      <c r="N327">
        <v>8</v>
      </c>
      <c r="O327" s="32">
        <f t="shared" si="49"/>
        <v>1</v>
      </c>
      <c r="P327">
        <v>8</v>
      </c>
      <c r="Q327">
        <v>9</v>
      </c>
      <c r="R327" s="32">
        <f t="shared" si="50"/>
        <v>1</v>
      </c>
      <c r="S327">
        <v>7</v>
      </c>
      <c r="T327">
        <v>8</v>
      </c>
      <c r="U327" s="32">
        <f t="shared" si="51"/>
        <v>1</v>
      </c>
      <c r="V327">
        <v>7</v>
      </c>
      <c r="W327">
        <v>8</v>
      </c>
      <c r="X327" s="32">
        <f t="shared" si="52"/>
        <v>1</v>
      </c>
      <c r="Y327">
        <v>8</v>
      </c>
      <c r="Z327">
        <v>9</v>
      </c>
      <c r="AA327" s="32">
        <f t="shared" si="53"/>
        <v>1</v>
      </c>
    </row>
    <row r="328" spans="1:27" x14ac:dyDescent="0.45">
      <c r="A328">
        <v>6</v>
      </c>
      <c r="B328">
        <v>9</v>
      </c>
      <c r="C328" s="32">
        <f t="shared" si="45"/>
        <v>3</v>
      </c>
      <c r="D328">
        <v>7</v>
      </c>
      <c r="E328">
        <v>9</v>
      </c>
      <c r="F328" s="32">
        <f t="shared" si="46"/>
        <v>2</v>
      </c>
      <c r="G328">
        <v>8</v>
      </c>
      <c r="H328">
        <v>8</v>
      </c>
      <c r="I328" s="32">
        <f t="shared" si="47"/>
        <v>0</v>
      </c>
      <c r="J328">
        <v>9</v>
      </c>
      <c r="K328">
        <v>9</v>
      </c>
      <c r="L328" s="32">
        <f t="shared" si="48"/>
        <v>0</v>
      </c>
      <c r="M328">
        <v>7</v>
      </c>
      <c r="N328">
        <v>8</v>
      </c>
      <c r="O328" s="32">
        <f t="shared" si="49"/>
        <v>1</v>
      </c>
      <c r="P328">
        <v>8</v>
      </c>
      <c r="Q328">
        <v>9</v>
      </c>
      <c r="R328" s="32">
        <f t="shared" si="50"/>
        <v>1</v>
      </c>
      <c r="S328">
        <v>7</v>
      </c>
      <c r="T328">
        <v>8</v>
      </c>
      <c r="U328" s="32">
        <f t="shared" si="51"/>
        <v>1</v>
      </c>
      <c r="V328">
        <v>7</v>
      </c>
      <c r="W328">
        <v>8</v>
      </c>
      <c r="X328" s="32">
        <f t="shared" si="52"/>
        <v>1</v>
      </c>
      <c r="Y328">
        <v>8</v>
      </c>
      <c r="Z328">
        <v>9</v>
      </c>
      <c r="AA328" s="32">
        <f t="shared" si="53"/>
        <v>1</v>
      </c>
    </row>
    <row r="329" spans="1:27" x14ac:dyDescent="0.45">
      <c r="A329">
        <v>6</v>
      </c>
      <c r="B329">
        <v>9</v>
      </c>
      <c r="C329" s="32">
        <f t="shared" si="45"/>
        <v>3</v>
      </c>
      <c r="D329">
        <v>7</v>
      </c>
      <c r="E329">
        <v>9</v>
      </c>
      <c r="F329" s="32">
        <f t="shared" si="46"/>
        <v>2</v>
      </c>
      <c r="G329">
        <v>8</v>
      </c>
      <c r="H329">
        <v>8</v>
      </c>
      <c r="I329" s="32">
        <f t="shared" si="47"/>
        <v>0</v>
      </c>
      <c r="J329">
        <v>9</v>
      </c>
      <c r="K329">
        <v>9</v>
      </c>
      <c r="L329" s="32">
        <f t="shared" si="48"/>
        <v>0</v>
      </c>
      <c r="M329">
        <v>7</v>
      </c>
      <c r="N329">
        <v>8</v>
      </c>
      <c r="O329" s="32">
        <f t="shared" si="49"/>
        <v>1</v>
      </c>
      <c r="P329">
        <v>8</v>
      </c>
      <c r="Q329">
        <v>9</v>
      </c>
      <c r="R329" s="32">
        <f t="shared" si="50"/>
        <v>1</v>
      </c>
      <c r="S329">
        <v>7</v>
      </c>
      <c r="T329">
        <v>8</v>
      </c>
      <c r="U329" s="32">
        <f t="shared" si="51"/>
        <v>1</v>
      </c>
      <c r="V329">
        <v>7</v>
      </c>
      <c r="W329">
        <v>8</v>
      </c>
      <c r="X329" s="32">
        <f t="shared" si="52"/>
        <v>1</v>
      </c>
      <c r="Y329">
        <v>8</v>
      </c>
      <c r="Z329">
        <v>9</v>
      </c>
      <c r="AA329" s="32">
        <f t="shared" si="53"/>
        <v>1</v>
      </c>
    </row>
    <row r="330" spans="1:27" x14ac:dyDescent="0.45">
      <c r="A330">
        <v>6</v>
      </c>
      <c r="B330">
        <v>9</v>
      </c>
      <c r="C330" s="32">
        <f t="shared" si="45"/>
        <v>3</v>
      </c>
      <c r="D330">
        <v>7</v>
      </c>
      <c r="E330">
        <v>9</v>
      </c>
      <c r="F330" s="32">
        <f t="shared" si="46"/>
        <v>2</v>
      </c>
      <c r="G330">
        <v>8</v>
      </c>
      <c r="H330">
        <v>8</v>
      </c>
      <c r="I330" s="32">
        <f t="shared" si="47"/>
        <v>0</v>
      </c>
      <c r="J330">
        <v>9</v>
      </c>
      <c r="K330">
        <v>9</v>
      </c>
      <c r="L330" s="32">
        <f t="shared" si="48"/>
        <v>0</v>
      </c>
      <c r="M330">
        <v>7</v>
      </c>
      <c r="N330">
        <v>8</v>
      </c>
      <c r="O330" s="32">
        <f t="shared" si="49"/>
        <v>1</v>
      </c>
      <c r="P330">
        <v>8</v>
      </c>
      <c r="Q330">
        <v>9</v>
      </c>
      <c r="R330" s="32">
        <f t="shared" si="50"/>
        <v>1</v>
      </c>
      <c r="S330">
        <v>7</v>
      </c>
      <c r="T330">
        <v>8</v>
      </c>
      <c r="U330" s="32">
        <f t="shared" si="51"/>
        <v>1</v>
      </c>
      <c r="V330">
        <v>7</v>
      </c>
      <c r="W330">
        <v>8</v>
      </c>
      <c r="X330" s="32">
        <f t="shared" si="52"/>
        <v>1</v>
      </c>
      <c r="Y330">
        <v>8</v>
      </c>
      <c r="Z330">
        <v>9</v>
      </c>
      <c r="AA330" s="32">
        <f t="shared" si="53"/>
        <v>1</v>
      </c>
    </row>
    <row r="331" spans="1:27" x14ac:dyDescent="0.45">
      <c r="A331">
        <v>6</v>
      </c>
      <c r="B331">
        <v>9</v>
      </c>
      <c r="C331" s="32">
        <f t="shared" si="45"/>
        <v>3</v>
      </c>
      <c r="D331">
        <v>7</v>
      </c>
      <c r="E331">
        <v>9</v>
      </c>
      <c r="F331" s="32">
        <f t="shared" si="46"/>
        <v>2</v>
      </c>
      <c r="G331">
        <v>8</v>
      </c>
      <c r="H331">
        <v>8</v>
      </c>
      <c r="I331" s="32">
        <f t="shared" si="47"/>
        <v>0</v>
      </c>
      <c r="J331">
        <v>9</v>
      </c>
      <c r="K331">
        <v>9</v>
      </c>
      <c r="L331" s="32">
        <f t="shared" si="48"/>
        <v>0</v>
      </c>
      <c r="M331">
        <v>7</v>
      </c>
      <c r="N331">
        <v>8</v>
      </c>
      <c r="O331" s="32">
        <f t="shared" si="49"/>
        <v>1</v>
      </c>
      <c r="P331">
        <v>8</v>
      </c>
      <c r="Q331">
        <v>9</v>
      </c>
      <c r="R331" s="32">
        <f t="shared" si="50"/>
        <v>1</v>
      </c>
      <c r="S331">
        <v>7</v>
      </c>
      <c r="T331">
        <v>8</v>
      </c>
      <c r="U331" s="32">
        <f t="shared" si="51"/>
        <v>1</v>
      </c>
      <c r="V331">
        <v>7</v>
      </c>
      <c r="W331">
        <v>8</v>
      </c>
      <c r="X331" s="32">
        <f t="shared" si="52"/>
        <v>1</v>
      </c>
      <c r="Y331">
        <v>8</v>
      </c>
      <c r="Z331">
        <v>9</v>
      </c>
      <c r="AA331" s="32">
        <f t="shared" si="53"/>
        <v>1</v>
      </c>
    </row>
    <row r="332" spans="1:27" x14ac:dyDescent="0.45">
      <c r="A332">
        <v>6</v>
      </c>
      <c r="B332">
        <v>9</v>
      </c>
      <c r="C332" s="32">
        <f t="shared" si="45"/>
        <v>3</v>
      </c>
      <c r="D332">
        <v>7</v>
      </c>
      <c r="E332">
        <v>9</v>
      </c>
      <c r="F332" s="32">
        <f t="shared" si="46"/>
        <v>2</v>
      </c>
      <c r="G332">
        <v>8</v>
      </c>
      <c r="H332">
        <v>8</v>
      </c>
      <c r="I332" s="32">
        <f t="shared" si="47"/>
        <v>0</v>
      </c>
      <c r="J332">
        <v>9</v>
      </c>
      <c r="K332">
        <v>9</v>
      </c>
      <c r="L332" s="32">
        <f t="shared" si="48"/>
        <v>0</v>
      </c>
      <c r="M332">
        <v>7</v>
      </c>
      <c r="N332">
        <v>8</v>
      </c>
      <c r="O332" s="32">
        <f t="shared" si="49"/>
        <v>1</v>
      </c>
      <c r="P332">
        <v>8</v>
      </c>
      <c r="Q332">
        <v>9</v>
      </c>
      <c r="R332" s="32">
        <f t="shared" si="50"/>
        <v>1</v>
      </c>
      <c r="S332">
        <v>7</v>
      </c>
      <c r="T332">
        <v>8</v>
      </c>
      <c r="U332" s="32">
        <f t="shared" si="51"/>
        <v>1</v>
      </c>
      <c r="V332">
        <v>7</v>
      </c>
      <c r="W332">
        <v>8</v>
      </c>
      <c r="X332" s="32">
        <f t="shared" si="52"/>
        <v>1</v>
      </c>
      <c r="Y332">
        <v>8</v>
      </c>
      <c r="Z332">
        <v>9</v>
      </c>
      <c r="AA332" s="32">
        <f t="shared" si="53"/>
        <v>1</v>
      </c>
    </row>
    <row r="333" spans="1:27" x14ac:dyDescent="0.45">
      <c r="A333">
        <v>6</v>
      </c>
      <c r="B333">
        <v>9</v>
      </c>
      <c r="C333" s="32">
        <f t="shared" si="45"/>
        <v>3</v>
      </c>
      <c r="D333">
        <v>7</v>
      </c>
      <c r="E333">
        <v>9</v>
      </c>
      <c r="F333" s="32">
        <f t="shared" si="46"/>
        <v>2</v>
      </c>
      <c r="G333">
        <v>8</v>
      </c>
      <c r="H333">
        <v>9</v>
      </c>
      <c r="I333" s="32">
        <f t="shared" si="47"/>
        <v>1</v>
      </c>
      <c r="J333">
        <v>9</v>
      </c>
      <c r="K333">
        <v>9</v>
      </c>
      <c r="L333" s="32">
        <f t="shared" si="48"/>
        <v>0</v>
      </c>
      <c r="M333">
        <v>7</v>
      </c>
      <c r="N333">
        <v>9</v>
      </c>
      <c r="O333" s="32">
        <f t="shared" si="49"/>
        <v>2</v>
      </c>
      <c r="P333">
        <v>8</v>
      </c>
      <c r="Q333">
        <v>9</v>
      </c>
      <c r="R333" s="32">
        <f t="shared" si="50"/>
        <v>1</v>
      </c>
      <c r="S333">
        <v>7</v>
      </c>
      <c r="T333">
        <v>8</v>
      </c>
      <c r="U333" s="32">
        <f t="shared" si="51"/>
        <v>1</v>
      </c>
      <c r="V333">
        <v>7</v>
      </c>
      <c r="W333">
        <v>8</v>
      </c>
      <c r="X333" s="32">
        <f t="shared" si="52"/>
        <v>1</v>
      </c>
      <c r="Y333">
        <v>8</v>
      </c>
      <c r="Z333">
        <v>9</v>
      </c>
      <c r="AA333" s="32">
        <f t="shared" si="53"/>
        <v>1</v>
      </c>
    </row>
    <row r="334" spans="1:27" x14ac:dyDescent="0.45">
      <c r="A334">
        <v>6</v>
      </c>
      <c r="B334">
        <v>9</v>
      </c>
      <c r="C334" s="32">
        <f t="shared" si="45"/>
        <v>3</v>
      </c>
      <c r="D334">
        <v>7</v>
      </c>
      <c r="E334">
        <v>9</v>
      </c>
      <c r="F334" s="32">
        <f t="shared" si="46"/>
        <v>2</v>
      </c>
      <c r="G334">
        <v>8</v>
      </c>
      <c r="H334">
        <v>9</v>
      </c>
      <c r="I334" s="32">
        <f t="shared" si="47"/>
        <v>1</v>
      </c>
      <c r="J334">
        <v>9</v>
      </c>
      <c r="K334">
        <v>9</v>
      </c>
      <c r="L334" s="32">
        <f t="shared" si="48"/>
        <v>0</v>
      </c>
      <c r="M334">
        <v>7</v>
      </c>
      <c r="N334">
        <v>9</v>
      </c>
      <c r="O334" s="32">
        <f t="shared" si="49"/>
        <v>2</v>
      </c>
      <c r="P334">
        <v>8</v>
      </c>
      <c r="Q334">
        <v>9</v>
      </c>
      <c r="R334" s="32">
        <f t="shared" si="50"/>
        <v>1</v>
      </c>
      <c r="S334">
        <v>7</v>
      </c>
      <c r="T334">
        <v>8</v>
      </c>
      <c r="U334" s="32">
        <f t="shared" si="51"/>
        <v>1</v>
      </c>
      <c r="V334">
        <v>7</v>
      </c>
      <c r="W334">
        <v>8</v>
      </c>
      <c r="X334" s="32">
        <f t="shared" si="52"/>
        <v>1</v>
      </c>
      <c r="Y334">
        <v>8</v>
      </c>
      <c r="Z334">
        <v>9</v>
      </c>
      <c r="AA334" s="32">
        <f t="shared" si="53"/>
        <v>1</v>
      </c>
    </row>
    <row r="335" spans="1:27" x14ac:dyDescent="0.45">
      <c r="A335">
        <v>6</v>
      </c>
      <c r="B335">
        <v>9</v>
      </c>
      <c r="C335" s="32">
        <f t="shared" si="45"/>
        <v>3</v>
      </c>
      <c r="D335">
        <v>7</v>
      </c>
      <c r="E335">
        <v>9</v>
      </c>
      <c r="F335" s="32">
        <f t="shared" si="46"/>
        <v>2</v>
      </c>
      <c r="G335">
        <v>8</v>
      </c>
      <c r="H335">
        <v>9</v>
      </c>
      <c r="I335" s="32">
        <f t="shared" si="47"/>
        <v>1</v>
      </c>
      <c r="J335">
        <v>9</v>
      </c>
      <c r="K335">
        <v>9</v>
      </c>
      <c r="L335" s="32">
        <f t="shared" si="48"/>
        <v>0</v>
      </c>
      <c r="M335">
        <v>7</v>
      </c>
      <c r="N335">
        <v>9</v>
      </c>
      <c r="O335" s="32">
        <f t="shared" si="49"/>
        <v>2</v>
      </c>
      <c r="P335">
        <v>8</v>
      </c>
      <c r="Q335">
        <v>9</v>
      </c>
      <c r="R335" s="32">
        <f t="shared" si="50"/>
        <v>1</v>
      </c>
      <c r="S335">
        <v>7</v>
      </c>
      <c r="T335">
        <v>8</v>
      </c>
      <c r="U335" s="32">
        <f t="shared" si="51"/>
        <v>1</v>
      </c>
      <c r="V335">
        <v>7</v>
      </c>
      <c r="W335">
        <v>8</v>
      </c>
      <c r="X335" s="32">
        <f t="shared" si="52"/>
        <v>1</v>
      </c>
      <c r="Y335">
        <v>8</v>
      </c>
      <c r="Z335">
        <v>9</v>
      </c>
      <c r="AA335" s="32">
        <f t="shared" si="53"/>
        <v>1</v>
      </c>
    </row>
    <row r="336" spans="1:27" x14ac:dyDescent="0.45">
      <c r="A336">
        <v>6</v>
      </c>
      <c r="B336">
        <v>9</v>
      </c>
      <c r="C336" s="32">
        <f t="shared" si="45"/>
        <v>3</v>
      </c>
      <c r="D336">
        <v>7</v>
      </c>
      <c r="E336">
        <v>9</v>
      </c>
      <c r="F336" s="32">
        <f t="shared" si="46"/>
        <v>2</v>
      </c>
      <c r="G336">
        <v>8</v>
      </c>
      <c r="H336">
        <v>9</v>
      </c>
      <c r="I336" s="32">
        <f t="shared" si="47"/>
        <v>1</v>
      </c>
      <c r="J336">
        <v>9</v>
      </c>
      <c r="K336">
        <v>9</v>
      </c>
      <c r="L336" s="32">
        <f t="shared" si="48"/>
        <v>0</v>
      </c>
      <c r="M336">
        <v>7</v>
      </c>
      <c r="N336">
        <v>9</v>
      </c>
      <c r="O336" s="32">
        <f t="shared" si="49"/>
        <v>2</v>
      </c>
      <c r="P336">
        <v>8</v>
      </c>
      <c r="Q336">
        <v>9</v>
      </c>
      <c r="R336" s="32">
        <f t="shared" si="50"/>
        <v>1</v>
      </c>
      <c r="S336">
        <v>7</v>
      </c>
      <c r="T336">
        <v>8</v>
      </c>
      <c r="U336" s="32">
        <f t="shared" si="51"/>
        <v>1</v>
      </c>
      <c r="V336">
        <v>7</v>
      </c>
      <c r="W336">
        <v>8</v>
      </c>
      <c r="X336" s="32">
        <f t="shared" si="52"/>
        <v>1</v>
      </c>
      <c r="Y336">
        <v>8</v>
      </c>
      <c r="Z336">
        <v>9</v>
      </c>
      <c r="AA336" s="32">
        <f t="shared" si="53"/>
        <v>1</v>
      </c>
    </row>
    <row r="337" spans="1:27" x14ac:dyDescent="0.45">
      <c r="A337">
        <v>6</v>
      </c>
      <c r="B337">
        <v>9</v>
      </c>
      <c r="C337" s="32">
        <f t="shared" si="45"/>
        <v>3</v>
      </c>
      <c r="D337">
        <v>7</v>
      </c>
      <c r="E337">
        <v>9</v>
      </c>
      <c r="F337" s="32">
        <f t="shared" si="46"/>
        <v>2</v>
      </c>
      <c r="G337">
        <v>8</v>
      </c>
      <c r="H337">
        <v>9</v>
      </c>
      <c r="I337" s="32">
        <f t="shared" si="47"/>
        <v>1</v>
      </c>
      <c r="J337">
        <v>9</v>
      </c>
      <c r="K337">
        <v>9</v>
      </c>
      <c r="L337" s="32">
        <f t="shared" si="48"/>
        <v>0</v>
      </c>
      <c r="M337">
        <v>7</v>
      </c>
      <c r="N337">
        <v>9</v>
      </c>
      <c r="O337" s="32">
        <f t="shared" si="49"/>
        <v>2</v>
      </c>
      <c r="P337">
        <v>8</v>
      </c>
      <c r="Q337">
        <v>9</v>
      </c>
      <c r="R337" s="32">
        <f t="shared" si="50"/>
        <v>1</v>
      </c>
      <c r="S337">
        <v>7</v>
      </c>
      <c r="T337">
        <v>8</v>
      </c>
      <c r="U337" s="32">
        <f t="shared" si="51"/>
        <v>1</v>
      </c>
      <c r="V337">
        <v>7</v>
      </c>
      <c r="W337">
        <v>8</v>
      </c>
      <c r="X337" s="32">
        <f t="shared" si="52"/>
        <v>1</v>
      </c>
      <c r="Y337">
        <v>8</v>
      </c>
      <c r="Z337">
        <v>9</v>
      </c>
      <c r="AA337" s="32">
        <f t="shared" si="53"/>
        <v>1</v>
      </c>
    </row>
    <row r="338" spans="1:27" x14ac:dyDescent="0.45">
      <c r="A338">
        <v>6</v>
      </c>
      <c r="B338">
        <v>9</v>
      </c>
      <c r="C338" s="32">
        <f t="shared" si="45"/>
        <v>3</v>
      </c>
      <c r="D338">
        <v>7</v>
      </c>
      <c r="E338">
        <v>9</v>
      </c>
      <c r="F338" s="32">
        <f t="shared" si="46"/>
        <v>2</v>
      </c>
      <c r="G338">
        <v>8</v>
      </c>
      <c r="H338">
        <v>9</v>
      </c>
      <c r="I338" s="32">
        <f t="shared" si="47"/>
        <v>1</v>
      </c>
      <c r="J338">
        <v>9</v>
      </c>
      <c r="K338">
        <v>9</v>
      </c>
      <c r="L338" s="32">
        <f t="shared" si="48"/>
        <v>0</v>
      </c>
      <c r="M338">
        <v>7</v>
      </c>
      <c r="N338">
        <v>9</v>
      </c>
      <c r="O338" s="32">
        <f t="shared" si="49"/>
        <v>2</v>
      </c>
      <c r="P338">
        <v>8</v>
      </c>
      <c r="Q338">
        <v>9</v>
      </c>
      <c r="R338" s="32">
        <f t="shared" si="50"/>
        <v>1</v>
      </c>
      <c r="S338">
        <v>7</v>
      </c>
      <c r="T338">
        <v>8</v>
      </c>
      <c r="U338" s="32">
        <f t="shared" si="51"/>
        <v>1</v>
      </c>
      <c r="V338">
        <v>7</v>
      </c>
      <c r="W338">
        <v>8</v>
      </c>
      <c r="X338" s="32">
        <f t="shared" si="52"/>
        <v>1</v>
      </c>
      <c r="Y338">
        <v>8</v>
      </c>
      <c r="Z338">
        <v>9</v>
      </c>
      <c r="AA338" s="32">
        <f t="shared" si="53"/>
        <v>1</v>
      </c>
    </row>
    <row r="339" spans="1:27" x14ac:dyDescent="0.45">
      <c r="A339">
        <v>6</v>
      </c>
      <c r="B339">
        <v>9</v>
      </c>
      <c r="C339" s="32">
        <f t="shared" si="45"/>
        <v>3</v>
      </c>
      <c r="D339">
        <v>7</v>
      </c>
      <c r="E339">
        <v>9</v>
      </c>
      <c r="F339" s="32">
        <f t="shared" si="46"/>
        <v>2</v>
      </c>
      <c r="G339">
        <v>8</v>
      </c>
      <c r="H339">
        <v>9</v>
      </c>
      <c r="I339" s="32">
        <f t="shared" si="47"/>
        <v>1</v>
      </c>
      <c r="J339">
        <v>9</v>
      </c>
      <c r="K339">
        <v>9</v>
      </c>
      <c r="L339" s="32">
        <f t="shared" si="48"/>
        <v>0</v>
      </c>
      <c r="M339">
        <v>7</v>
      </c>
      <c r="N339">
        <v>9</v>
      </c>
      <c r="O339" s="32">
        <f t="shared" si="49"/>
        <v>2</v>
      </c>
      <c r="P339">
        <v>8</v>
      </c>
      <c r="Q339">
        <v>9</v>
      </c>
      <c r="R339" s="32">
        <f t="shared" si="50"/>
        <v>1</v>
      </c>
      <c r="S339">
        <v>7</v>
      </c>
      <c r="T339">
        <v>8</v>
      </c>
      <c r="U339" s="32">
        <f t="shared" si="51"/>
        <v>1</v>
      </c>
      <c r="V339">
        <v>7</v>
      </c>
      <c r="W339">
        <v>8</v>
      </c>
      <c r="X339" s="32">
        <f t="shared" si="52"/>
        <v>1</v>
      </c>
      <c r="Y339">
        <v>8</v>
      </c>
      <c r="Z339">
        <v>9</v>
      </c>
      <c r="AA339" s="32">
        <f t="shared" si="53"/>
        <v>1</v>
      </c>
    </row>
    <row r="340" spans="1:27" x14ac:dyDescent="0.45">
      <c r="A340">
        <v>6</v>
      </c>
      <c r="B340">
        <v>9</v>
      </c>
      <c r="C340" s="32">
        <f t="shared" si="45"/>
        <v>3</v>
      </c>
      <c r="D340">
        <v>7</v>
      </c>
      <c r="E340">
        <v>9</v>
      </c>
      <c r="F340" s="32">
        <f t="shared" si="46"/>
        <v>2</v>
      </c>
      <c r="G340">
        <v>8</v>
      </c>
      <c r="H340">
        <v>9</v>
      </c>
      <c r="I340" s="32">
        <f t="shared" si="47"/>
        <v>1</v>
      </c>
      <c r="J340">
        <v>9</v>
      </c>
      <c r="K340">
        <v>9</v>
      </c>
      <c r="L340" s="32">
        <f t="shared" si="48"/>
        <v>0</v>
      </c>
      <c r="M340">
        <v>7</v>
      </c>
      <c r="N340">
        <v>9</v>
      </c>
      <c r="O340" s="32">
        <f t="shared" si="49"/>
        <v>2</v>
      </c>
      <c r="P340">
        <v>8</v>
      </c>
      <c r="Q340">
        <v>9</v>
      </c>
      <c r="R340" s="32">
        <f t="shared" si="50"/>
        <v>1</v>
      </c>
      <c r="S340">
        <v>7</v>
      </c>
      <c r="T340">
        <v>8</v>
      </c>
      <c r="U340" s="32">
        <f t="shared" si="51"/>
        <v>1</v>
      </c>
      <c r="V340">
        <v>7</v>
      </c>
      <c r="W340">
        <v>8</v>
      </c>
      <c r="X340" s="32">
        <f t="shared" si="52"/>
        <v>1</v>
      </c>
      <c r="Y340">
        <v>8</v>
      </c>
      <c r="Z340">
        <v>9</v>
      </c>
      <c r="AA340" s="32">
        <f t="shared" si="53"/>
        <v>1</v>
      </c>
    </row>
    <row r="341" spans="1:27" x14ac:dyDescent="0.45">
      <c r="A341">
        <v>6</v>
      </c>
      <c r="B341">
        <v>9</v>
      </c>
      <c r="C341" s="32">
        <f t="shared" si="45"/>
        <v>3</v>
      </c>
      <c r="D341">
        <v>7</v>
      </c>
      <c r="E341">
        <v>9</v>
      </c>
      <c r="F341" s="32">
        <f t="shared" si="46"/>
        <v>2</v>
      </c>
      <c r="G341">
        <v>8</v>
      </c>
      <c r="H341">
        <v>9</v>
      </c>
      <c r="I341" s="32">
        <f t="shared" si="47"/>
        <v>1</v>
      </c>
      <c r="J341">
        <v>9</v>
      </c>
      <c r="K341">
        <v>9</v>
      </c>
      <c r="L341" s="32">
        <f t="shared" si="48"/>
        <v>0</v>
      </c>
      <c r="M341">
        <v>7</v>
      </c>
      <c r="N341">
        <v>9</v>
      </c>
      <c r="O341" s="32">
        <f t="shared" si="49"/>
        <v>2</v>
      </c>
      <c r="P341">
        <v>8</v>
      </c>
      <c r="Q341">
        <v>9</v>
      </c>
      <c r="R341" s="32">
        <f t="shared" si="50"/>
        <v>1</v>
      </c>
      <c r="S341">
        <v>7</v>
      </c>
      <c r="T341">
        <v>9</v>
      </c>
      <c r="U341" s="32">
        <f t="shared" si="51"/>
        <v>2</v>
      </c>
      <c r="V341">
        <v>7</v>
      </c>
      <c r="W341">
        <v>8</v>
      </c>
      <c r="X341" s="32">
        <f t="shared" si="52"/>
        <v>1</v>
      </c>
      <c r="Y341">
        <v>8</v>
      </c>
      <c r="Z341">
        <v>9</v>
      </c>
      <c r="AA341" s="32">
        <f t="shared" si="53"/>
        <v>1</v>
      </c>
    </row>
    <row r="342" spans="1:27" x14ac:dyDescent="0.45">
      <c r="A342">
        <v>7</v>
      </c>
      <c r="B342">
        <v>9</v>
      </c>
      <c r="C342" s="32">
        <f t="shared" si="45"/>
        <v>2</v>
      </c>
      <c r="D342">
        <v>7</v>
      </c>
      <c r="E342">
        <v>9</v>
      </c>
      <c r="F342" s="32">
        <f t="shared" si="46"/>
        <v>2</v>
      </c>
      <c r="G342">
        <v>8</v>
      </c>
      <c r="H342">
        <v>9</v>
      </c>
      <c r="I342" s="32">
        <f t="shared" si="47"/>
        <v>1</v>
      </c>
      <c r="J342">
        <v>9</v>
      </c>
      <c r="K342">
        <v>9</v>
      </c>
      <c r="L342" s="32">
        <f t="shared" si="48"/>
        <v>0</v>
      </c>
      <c r="M342">
        <v>7</v>
      </c>
      <c r="N342">
        <v>9</v>
      </c>
      <c r="O342" s="32">
        <f t="shared" si="49"/>
        <v>2</v>
      </c>
      <c r="P342">
        <v>8</v>
      </c>
      <c r="Q342">
        <v>9</v>
      </c>
      <c r="R342" s="32">
        <f t="shared" si="50"/>
        <v>1</v>
      </c>
      <c r="S342">
        <v>7</v>
      </c>
      <c r="T342">
        <v>9</v>
      </c>
      <c r="U342" s="32">
        <f t="shared" si="51"/>
        <v>2</v>
      </c>
      <c r="V342">
        <v>7</v>
      </c>
      <c r="W342">
        <v>8</v>
      </c>
      <c r="X342" s="32">
        <f t="shared" si="52"/>
        <v>1</v>
      </c>
      <c r="Y342">
        <v>8</v>
      </c>
      <c r="Z342">
        <v>9</v>
      </c>
      <c r="AA342" s="32">
        <f t="shared" si="53"/>
        <v>1</v>
      </c>
    </row>
    <row r="343" spans="1:27" x14ac:dyDescent="0.45">
      <c r="A343">
        <v>7</v>
      </c>
      <c r="B343">
        <v>9</v>
      </c>
      <c r="C343" s="32">
        <f t="shared" si="45"/>
        <v>2</v>
      </c>
      <c r="D343">
        <v>7</v>
      </c>
      <c r="E343">
        <v>9</v>
      </c>
      <c r="F343" s="32">
        <f t="shared" si="46"/>
        <v>2</v>
      </c>
      <c r="G343">
        <v>8</v>
      </c>
      <c r="H343">
        <v>9</v>
      </c>
      <c r="I343" s="32">
        <f t="shared" si="47"/>
        <v>1</v>
      </c>
      <c r="J343">
        <v>9</v>
      </c>
      <c r="K343">
        <v>9</v>
      </c>
      <c r="L343" s="32">
        <f t="shared" si="48"/>
        <v>0</v>
      </c>
      <c r="M343">
        <v>7</v>
      </c>
      <c r="N343">
        <v>9</v>
      </c>
      <c r="O343" s="32">
        <f t="shared" si="49"/>
        <v>2</v>
      </c>
      <c r="P343">
        <v>8</v>
      </c>
      <c r="Q343">
        <v>9</v>
      </c>
      <c r="R343" s="32">
        <f t="shared" si="50"/>
        <v>1</v>
      </c>
      <c r="S343">
        <v>7</v>
      </c>
      <c r="T343">
        <v>9</v>
      </c>
      <c r="U343" s="32">
        <f t="shared" si="51"/>
        <v>2</v>
      </c>
      <c r="V343">
        <v>7</v>
      </c>
      <c r="W343">
        <v>8</v>
      </c>
      <c r="X343" s="32">
        <f t="shared" si="52"/>
        <v>1</v>
      </c>
      <c r="Y343">
        <v>8</v>
      </c>
      <c r="Z343">
        <v>9</v>
      </c>
      <c r="AA343" s="32">
        <f t="shared" si="53"/>
        <v>1</v>
      </c>
    </row>
    <row r="344" spans="1:27" x14ac:dyDescent="0.45">
      <c r="A344">
        <v>7</v>
      </c>
      <c r="B344">
        <v>9</v>
      </c>
      <c r="C344" s="32">
        <f t="shared" si="45"/>
        <v>2</v>
      </c>
      <c r="D344">
        <v>7</v>
      </c>
      <c r="E344">
        <v>9</v>
      </c>
      <c r="F344" s="32">
        <f t="shared" si="46"/>
        <v>2</v>
      </c>
      <c r="G344">
        <v>8</v>
      </c>
      <c r="H344">
        <v>9</v>
      </c>
      <c r="I344" s="32">
        <f t="shared" si="47"/>
        <v>1</v>
      </c>
      <c r="J344">
        <v>9</v>
      </c>
      <c r="K344">
        <v>9</v>
      </c>
      <c r="L344" s="32">
        <f t="shared" si="48"/>
        <v>0</v>
      </c>
      <c r="M344">
        <v>7</v>
      </c>
      <c r="N344">
        <v>9</v>
      </c>
      <c r="O344" s="32">
        <f t="shared" si="49"/>
        <v>2</v>
      </c>
      <c r="P344">
        <v>8</v>
      </c>
      <c r="Q344">
        <v>9</v>
      </c>
      <c r="R344" s="32">
        <f t="shared" si="50"/>
        <v>1</v>
      </c>
      <c r="S344">
        <v>7</v>
      </c>
      <c r="T344">
        <v>9</v>
      </c>
      <c r="U344" s="32">
        <f t="shared" si="51"/>
        <v>2</v>
      </c>
      <c r="V344">
        <v>7</v>
      </c>
      <c r="W344">
        <v>8</v>
      </c>
      <c r="X344" s="32">
        <f t="shared" si="52"/>
        <v>1</v>
      </c>
      <c r="Y344">
        <v>8</v>
      </c>
      <c r="Z344">
        <v>9</v>
      </c>
      <c r="AA344" s="32">
        <f t="shared" si="53"/>
        <v>1</v>
      </c>
    </row>
    <row r="345" spans="1:27" x14ac:dyDescent="0.45">
      <c r="A345">
        <v>7</v>
      </c>
      <c r="B345">
        <v>9</v>
      </c>
      <c r="C345" s="32">
        <f t="shared" si="45"/>
        <v>2</v>
      </c>
      <c r="D345">
        <v>7</v>
      </c>
      <c r="E345">
        <v>9</v>
      </c>
      <c r="F345" s="32">
        <f t="shared" si="46"/>
        <v>2</v>
      </c>
      <c r="G345">
        <v>8</v>
      </c>
      <c r="H345">
        <v>9</v>
      </c>
      <c r="I345" s="32">
        <f t="shared" si="47"/>
        <v>1</v>
      </c>
      <c r="J345">
        <v>9</v>
      </c>
      <c r="K345">
        <v>9</v>
      </c>
      <c r="L345" s="32">
        <f t="shared" si="48"/>
        <v>0</v>
      </c>
      <c r="M345">
        <v>7</v>
      </c>
      <c r="N345">
        <v>9</v>
      </c>
      <c r="O345" s="32">
        <f t="shared" si="49"/>
        <v>2</v>
      </c>
      <c r="P345">
        <v>8</v>
      </c>
      <c r="Q345">
        <v>9</v>
      </c>
      <c r="R345" s="32">
        <f t="shared" si="50"/>
        <v>1</v>
      </c>
      <c r="S345">
        <v>7</v>
      </c>
      <c r="T345">
        <v>9</v>
      </c>
      <c r="U345" s="32">
        <f t="shared" si="51"/>
        <v>2</v>
      </c>
      <c r="V345">
        <v>7</v>
      </c>
      <c r="W345">
        <v>9</v>
      </c>
      <c r="X345" s="32">
        <f t="shared" si="52"/>
        <v>2</v>
      </c>
      <c r="Y345">
        <v>8</v>
      </c>
      <c r="Z345">
        <v>9</v>
      </c>
      <c r="AA345" s="32">
        <f t="shared" si="53"/>
        <v>1</v>
      </c>
    </row>
    <row r="346" spans="1:27" x14ac:dyDescent="0.45">
      <c r="A346">
        <v>7</v>
      </c>
      <c r="B346">
        <v>9</v>
      </c>
      <c r="C346" s="32">
        <f t="shared" si="45"/>
        <v>2</v>
      </c>
      <c r="D346">
        <v>7</v>
      </c>
      <c r="E346">
        <v>9</v>
      </c>
      <c r="F346" s="32">
        <f t="shared" si="46"/>
        <v>2</v>
      </c>
      <c r="G346">
        <v>8</v>
      </c>
      <c r="H346">
        <v>9</v>
      </c>
      <c r="I346" s="32">
        <f t="shared" si="47"/>
        <v>1</v>
      </c>
      <c r="J346">
        <v>9</v>
      </c>
      <c r="K346">
        <v>9</v>
      </c>
      <c r="L346" s="32">
        <f t="shared" si="48"/>
        <v>0</v>
      </c>
      <c r="M346">
        <v>7</v>
      </c>
      <c r="N346">
        <v>9</v>
      </c>
      <c r="O346" s="32">
        <f t="shared" si="49"/>
        <v>2</v>
      </c>
      <c r="P346">
        <v>8</v>
      </c>
      <c r="Q346">
        <v>9</v>
      </c>
      <c r="R346" s="32">
        <f t="shared" si="50"/>
        <v>1</v>
      </c>
      <c r="S346">
        <v>7</v>
      </c>
      <c r="T346">
        <v>9</v>
      </c>
      <c r="U346" s="32">
        <f t="shared" si="51"/>
        <v>2</v>
      </c>
      <c r="V346">
        <v>7</v>
      </c>
      <c r="W346">
        <v>9</v>
      </c>
      <c r="X346" s="32">
        <f t="shared" si="52"/>
        <v>2</v>
      </c>
      <c r="Y346">
        <v>8</v>
      </c>
      <c r="Z346">
        <v>10</v>
      </c>
      <c r="AA346" s="32">
        <f t="shared" si="53"/>
        <v>2</v>
      </c>
    </row>
    <row r="347" spans="1:27" x14ac:dyDescent="0.45">
      <c r="A347">
        <v>7</v>
      </c>
      <c r="B347">
        <v>9</v>
      </c>
      <c r="C347" s="32">
        <f t="shared" si="45"/>
        <v>2</v>
      </c>
      <c r="D347">
        <v>7</v>
      </c>
      <c r="E347">
        <v>9</v>
      </c>
      <c r="F347" s="32">
        <f t="shared" si="46"/>
        <v>2</v>
      </c>
      <c r="G347">
        <v>8</v>
      </c>
      <c r="H347">
        <v>9</v>
      </c>
      <c r="I347" s="32">
        <f t="shared" si="47"/>
        <v>1</v>
      </c>
      <c r="J347">
        <v>9</v>
      </c>
      <c r="K347">
        <v>9</v>
      </c>
      <c r="L347" s="32">
        <f t="shared" si="48"/>
        <v>0</v>
      </c>
      <c r="M347">
        <v>7</v>
      </c>
      <c r="N347">
        <v>9</v>
      </c>
      <c r="O347" s="32">
        <f t="shared" si="49"/>
        <v>2</v>
      </c>
      <c r="P347">
        <v>8</v>
      </c>
      <c r="Q347">
        <v>9</v>
      </c>
      <c r="R347" s="32">
        <f t="shared" si="50"/>
        <v>1</v>
      </c>
      <c r="S347">
        <v>7</v>
      </c>
      <c r="T347">
        <v>9</v>
      </c>
      <c r="U347" s="32">
        <f t="shared" si="51"/>
        <v>2</v>
      </c>
      <c r="V347">
        <v>7</v>
      </c>
      <c r="W347">
        <v>9</v>
      </c>
      <c r="X347" s="32">
        <f t="shared" si="52"/>
        <v>2</v>
      </c>
      <c r="Y347">
        <v>8</v>
      </c>
      <c r="Z347">
        <v>10</v>
      </c>
      <c r="AA347" s="32">
        <f t="shared" si="53"/>
        <v>2</v>
      </c>
    </row>
    <row r="348" spans="1:27" x14ac:dyDescent="0.45">
      <c r="A348">
        <v>7</v>
      </c>
      <c r="B348">
        <v>9</v>
      </c>
      <c r="C348" s="32">
        <f t="shared" si="45"/>
        <v>2</v>
      </c>
      <c r="D348">
        <v>7</v>
      </c>
      <c r="E348">
        <v>9</v>
      </c>
      <c r="F348" s="32">
        <f t="shared" si="46"/>
        <v>2</v>
      </c>
      <c r="G348">
        <v>8</v>
      </c>
      <c r="H348">
        <v>9</v>
      </c>
      <c r="I348" s="32">
        <f t="shared" si="47"/>
        <v>1</v>
      </c>
      <c r="J348">
        <v>9</v>
      </c>
      <c r="K348">
        <v>9</v>
      </c>
      <c r="L348" s="32">
        <f t="shared" si="48"/>
        <v>0</v>
      </c>
      <c r="M348">
        <v>7</v>
      </c>
      <c r="N348">
        <v>9</v>
      </c>
      <c r="O348" s="32">
        <f t="shared" si="49"/>
        <v>2</v>
      </c>
      <c r="P348">
        <v>8</v>
      </c>
      <c r="Q348">
        <v>9</v>
      </c>
      <c r="R348" s="32">
        <f t="shared" si="50"/>
        <v>1</v>
      </c>
      <c r="S348">
        <v>7</v>
      </c>
      <c r="T348">
        <v>9</v>
      </c>
      <c r="U348" s="32">
        <f t="shared" si="51"/>
        <v>2</v>
      </c>
      <c r="V348">
        <v>7</v>
      </c>
      <c r="W348">
        <v>9</v>
      </c>
      <c r="X348" s="32">
        <f t="shared" si="52"/>
        <v>2</v>
      </c>
      <c r="Y348">
        <v>8</v>
      </c>
      <c r="Z348">
        <v>10</v>
      </c>
      <c r="AA348" s="32">
        <f t="shared" si="53"/>
        <v>2</v>
      </c>
    </row>
    <row r="349" spans="1:27" x14ac:dyDescent="0.45">
      <c r="A349">
        <v>7</v>
      </c>
      <c r="B349">
        <v>10</v>
      </c>
      <c r="C349" s="32">
        <f t="shared" si="45"/>
        <v>3</v>
      </c>
      <c r="D349">
        <v>7</v>
      </c>
      <c r="E349">
        <v>9</v>
      </c>
      <c r="F349" s="32">
        <f t="shared" si="46"/>
        <v>2</v>
      </c>
      <c r="G349">
        <v>8</v>
      </c>
      <c r="H349">
        <v>9</v>
      </c>
      <c r="I349" s="32">
        <f t="shared" si="47"/>
        <v>1</v>
      </c>
      <c r="J349">
        <v>9</v>
      </c>
      <c r="K349">
        <v>9</v>
      </c>
      <c r="L349" s="32">
        <f t="shared" si="48"/>
        <v>0</v>
      </c>
      <c r="M349">
        <v>7</v>
      </c>
      <c r="N349">
        <v>9</v>
      </c>
      <c r="O349" s="32">
        <f t="shared" si="49"/>
        <v>2</v>
      </c>
      <c r="P349">
        <v>8</v>
      </c>
      <c r="Q349">
        <v>9</v>
      </c>
      <c r="R349" s="32">
        <f t="shared" si="50"/>
        <v>1</v>
      </c>
      <c r="S349">
        <v>7</v>
      </c>
      <c r="T349">
        <v>9</v>
      </c>
      <c r="U349" s="32">
        <f t="shared" si="51"/>
        <v>2</v>
      </c>
      <c r="V349">
        <v>7</v>
      </c>
      <c r="W349">
        <v>9</v>
      </c>
      <c r="X349" s="32">
        <f t="shared" si="52"/>
        <v>2</v>
      </c>
      <c r="Y349">
        <v>8</v>
      </c>
      <c r="Z349">
        <v>10</v>
      </c>
      <c r="AA349" s="32">
        <f t="shared" si="53"/>
        <v>2</v>
      </c>
    </row>
    <row r="350" spans="1:27" x14ac:dyDescent="0.45">
      <c r="A350">
        <v>7</v>
      </c>
      <c r="B350">
        <v>10</v>
      </c>
      <c r="C350" s="32">
        <f t="shared" si="45"/>
        <v>3</v>
      </c>
      <c r="D350">
        <v>7</v>
      </c>
      <c r="E350">
        <v>9</v>
      </c>
      <c r="F350" s="32">
        <f t="shared" si="46"/>
        <v>2</v>
      </c>
      <c r="G350">
        <v>8</v>
      </c>
      <c r="H350">
        <v>9</v>
      </c>
      <c r="I350" s="32">
        <f t="shared" si="47"/>
        <v>1</v>
      </c>
      <c r="J350">
        <v>9</v>
      </c>
      <c r="K350">
        <v>9</v>
      </c>
      <c r="L350" s="32">
        <f t="shared" si="48"/>
        <v>0</v>
      </c>
      <c r="M350">
        <v>7</v>
      </c>
      <c r="N350">
        <v>9</v>
      </c>
      <c r="O350" s="32">
        <f t="shared" si="49"/>
        <v>2</v>
      </c>
      <c r="P350">
        <v>8</v>
      </c>
      <c r="Q350">
        <v>9</v>
      </c>
      <c r="R350" s="32">
        <f t="shared" si="50"/>
        <v>1</v>
      </c>
      <c r="S350">
        <v>7</v>
      </c>
      <c r="T350">
        <v>9</v>
      </c>
      <c r="U350" s="32">
        <f t="shared" si="51"/>
        <v>2</v>
      </c>
      <c r="V350">
        <v>8</v>
      </c>
      <c r="W350">
        <v>9</v>
      </c>
      <c r="X350" s="32">
        <f t="shared" si="52"/>
        <v>1</v>
      </c>
      <c r="Y350">
        <v>8</v>
      </c>
      <c r="Z350">
        <v>10</v>
      </c>
      <c r="AA350" s="32">
        <f t="shared" si="53"/>
        <v>2</v>
      </c>
    </row>
    <row r="351" spans="1:27" x14ac:dyDescent="0.45">
      <c r="A351">
        <v>7</v>
      </c>
      <c r="B351">
        <v>10</v>
      </c>
      <c r="C351" s="32">
        <f t="shared" si="45"/>
        <v>3</v>
      </c>
      <c r="D351">
        <v>7</v>
      </c>
      <c r="E351">
        <v>9</v>
      </c>
      <c r="F351" s="32">
        <f t="shared" si="46"/>
        <v>2</v>
      </c>
      <c r="G351">
        <v>8</v>
      </c>
      <c r="H351">
        <v>9</v>
      </c>
      <c r="I351" s="32">
        <f t="shared" si="47"/>
        <v>1</v>
      </c>
      <c r="J351">
        <v>9</v>
      </c>
      <c r="K351">
        <v>9</v>
      </c>
      <c r="L351" s="32">
        <f t="shared" si="48"/>
        <v>0</v>
      </c>
      <c r="M351">
        <v>7</v>
      </c>
      <c r="N351">
        <v>9</v>
      </c>
      <c r="O351" s="32">
        <f t="shared" si="49"/>
        <v>2</v>
      </c>
      <c r="P351">
        <v>8</v>
      </c>
      <c r="Q351">
        <v>9</v>
      </c>
      <c r="R351" s="32">
        <f t="shared" si="50"/>
        <v>1</v>
      </c>
      <c r="S351">
        <v>7</v>
      </c>
      <c r="T351">
        <v>9</v>
      </c>
      <c r="U351" s="32">
        <f t="shared" si="51"/>
        <v>2</v>
      </c>
      <c r="V351">
        <v>8</v>
      </c>
      <c r="W351">
        <v>9</v>
      </c>
      <c r="X351" s="32">
        <f t="shared" si="52"/>
        <v>1</v>
      </c>
      <c r="Y351">
        <v>8</v>
      </c>
      <c r="Z351">
        <v>10</v>
      </c>
      <c r="AA351" s="32">
        <f t="shared" si="53"/>
        <v>2</v>
      </c>
    </row>
    <row r="352" spans="1:27" x14ac:dyDescent="0.45">
      <c r="A352">
        <v>7</v>
      </c>
      <c r="B352">
        <v>10</v>
      </c>
      <c r="C352" s="32">
        <f t="shared" si="45"/>
        <v>3</v>
      </c>
      <c r="D352">
        <v>7</v>
      </c>
      <c r="E352">
        <v>10</v>
      </c>
      <c r="F352" s="32">
        <f t="shared" si="46"/>
        <v>3</v>
      </c>
      <c r="G352">
        <v>8</v>
      </c>
      <c r="H352">
        <v>9</v>
      </c>
      <c r="I352" s="32">
        <f t="shared" si="47"/>
        <v>1</v>
      </c>
      <c r="J352">
        <v>9</v>
      </c>
      <c r="K352">
        <v>9</v>
      </c>
      <c r="L352" s="32">
        <f t="shared" si="48"/>
        <v>0</v>
      </c>
      <c r="M352">
        <v>7</v>
      </c>
      <c r="N352">
        <v>9</v>
      </c>
      <c r="O352" s="32">
        <f t="shared" si="49"/>
        <v>2</v>
      </c>
      <c r="P352">
        <v>8</v>
      </c>
      <c r="Q352">
        <v>9</v>
      </c>
      <c r="R352" s="32">
        <f t="shared" si="50"/>
        <v>1</v>
      </c>
      <c r="S352">
        <v>7</v>
      </c>
      <c r="T352">
        <v>9</v>
      </c>
      <c r="U352" s="32">
        <f t="shared" si="51"/>
        <v>2</v>
      </c>
      <c r="V352">
        <v>8</v>
      </c>
      <c r="W352">
        <v>9</v>
      </c>
      <c r="X352" s="32">
        <f t="shared" si="52"/>
        <v>1</v>
      </c>
      <c r="Y352">
        <v>8</v>
      </c>
      <c r="Z352">
        <v>10</v>
      </c>
      <c r="AA352" s="32">
        <f t="shared" si="53"/>
        <v>2</v>
      </c>
    </row>
    <row r="353" spans="1:27" x14ac:dyDescent="0.45">
      <c r="A353">
        <v>7</v>
      </c>
      <c r="B353">
        <v>10</v>
      </c>
      <c r="C353" s="32">
        <f t="shared" si="45"/>
        <v>3</v>
      </c>
      <c r="D353">
        <v>7</v>
      </c>
      <c r="E353">
        <v>10</v>
      </c>
      <c r="F353" s="32">
        <f t="shared" si="46"/>
        <v>3</v>
      </c>
      <c r="G353">
        <v>8</v>
      </c>
      <c r="H353">
        <v>9</v>
      </c>
      <c r="I353" s="32">
        <f t="shared" si="47"/>
        <v>1</v>
      </c>
      <c r="J353">
        <v>9</v>
      </c>
      <c r="K353">
        <v>9</v>
      </c>
      <c r="L353" s="32">
        <f t="shared" si="48"/>
        <v>0</v>
      </c>
      <c r="M353">
        <v>7</v>
      </c>
      <c r="N353">
        <v>9</v>
      </c>
      <c r="O353" s="32">
        <f t="shared" si="49"/>
        <v>2</v>
      </c>
      <c r="P353">
        <v>8</v>
      </c>
      <c r="Q353">
        <v>9</v>
      </c>
      <c r="R353" s="32">
        <f t="shared" si="50"/>
        <v>1</v>
      </c>
      <c r="S353">
        <v>7</v>
      </c>
      <c r="T353">
        <v>9</v>
      </c>
      <c r="U353" s="32">
        <f t="shared" si="51"/>
        <v>2</v>
      </c>
      <c r="V353">
        <v>8</v>
      </c>
      <c r="W353">
        <v>9</v>
      </c>
      <c r="X353" s="32">
        <f t="shared" si="52"/>
        <v>1</v>
      </c>
      <c r="Y353">
        <v>8</v>
      </c>
      <c r="Z353">
        <v>10</v>
      </c>
      <c r="AA353" s="32">
        <f t="shared" si="53"/>
        <v>2</v>
      </c>
    </row>
    <row r="354" spans="1:27" x14ac:dyDescent="0.45">
      <c r="A354">
        <v>7</v>
      </c>
      <c r="B354">
        <v>10</v>
      </c>
      <c r="C354" s="32">
        <f t="shared" si="45"/>
        <v>3</v>
      </c>
      <c r="D354">
        <v>7</v>
      </c>
      <c r="E354">
        <v>10</v>
      </c>
      <c r="F354" s="32">
        <f t="shared" si="46"/>
        <v>3</v>
      </c>
      <c r="G354">
        <v>8</v>
      </c>
      <c r="H354">
        <v>9</v>
      </c>
      <c r="I354" s="32">
        <f t="shared" si="47"/>
        <v>1</v>
      </c>
      <c r="J354">
        <v>9</v>
      </c>
      <c r="K354">
        <v>9</v>
      </c>
      <c r="L354" s="32">
        <f t="shared" si="48"/>
        <v>0</v>
      </c>
      <c r="M354">
        <v>7</v>
      </c>
      <c r="N354">
        <v>9</v>
      </c>
      <c r="O354" s="32">
        <f t="shared" si="49"/>
        <v>2</v>
      </c>
      <c r="P354">
        <v>8</v>
      </c>
      <c r="Q354">
        <v>9</v>
      </c>
      <c r="R354" s="32">
        <f t="shared" si="50"/>
        <v>1</v>
      </c>
      <c r="S354">
        <v>7</v>
      </c>
      <c r="T354">
        <v>9</v>
      </c>
      <c r="U354" s="32">
        <f t="shared" si="51"/>
        <v>2</v>
      </c>
      <c r="V354">
        <v>8</v>
      </c>
      <c r="W354">
        <v>9</v>
      </c>
      <c r="X354" s="32">
        <f t="shared" si="52"/>
        <v>1</v>
      </c>
      <c r="Y354">
        <v>8</v>
      </c>
      <c r="Z354">
        <v>10</v>
      </c>
      <c r="AA354" s="32">
        <f t="shared" si="53"/>
        <v>2</v>
      </c>
    </row>
    <row r="355" spans="1:27" x14ac:dyDescent="0.45">
      <c r="A355">
        <v>7</v>
      </c>
      <c r="B355">
        <v>10</v>
      </c>
      <c r="C355" s="32">
        <f t="shared" si="45"/>
        <v>3</v>
      </c>
      <c r="D355">
        <v>7</v>
      </c>
      <c r="E355">
        <v>10</v>
      </c>
      <c r="F355" s="32">
        <f t="shared" si="46"/>
        <v>3</v>
      </c>
      <c r="G355">
        <v>8</v>
      </c>
      <c r="H355">
        <v>9</v>
      </c>
      <c r="I355" s="32">
        <f t="shared" si="47"/>
        <v>1</v>
      </c>
      <c r="J355">
        <v>9</v>
      </c>
      <c r="K355">
        <v>9</v>
      </c>
      <c r="L355" s="32">
        <f t="shared" si="48"/>
        <v>0</v>
      </c>
      <c r="M355">
        <v>7</v>
      </c>
      <c r="N355">
        <v>9</v>
      </c>
      <c r="O355" s="32">
        <f t="shared" si="49"/>
        <v>2</v>
      </c>
      <c r="P355">
        <v>8</v>
      </c>
      <c r="Q355">
        <v>9</v>
      </c>
      <c r="R355" s="32">
        <f t="shared" si="50"/>
        <v>1</v>
      </c>
      <c r="S355">
        <v>7</v>
      </c>
      <c r="T355">
        <v>9</v>
      </c>
      <c r="U355" s="32">
        <f t="shared" si="51"/>
        <v>2</v>
      </c>
      <c r="V355">
        <v>8</v>
      </c>
      <c r="W355">
        <v>9</v>
      </c>
      <c r="X355" s="32">
        <f t="shared" si="52"/>
        <v>1</v>
      </c>
      <c r="Y355">
        <v>8</v>
      </c>
      <c r="Z355">
        <v>10</v>
      </c>
      <c r="AA355" s="32">
        <f t="shared" si="53"/>
        <v>2</v>
      </c>
    </row>
    <row r="356" spans="1:27" x14ac:dyDescent="0.45">
      <c r="A356">
        <v>7</v>
      </c>
      <c r="B356">
        <v>10</v>
      </c>
      <c r="C356" s="32">
        <f t="shared" si="45"/>
        <v>3</v>
      </c>
      <c r="D356">
        <v>7</v>
      </c>
      <c r="E356">
        <v>10</v>
      </c>
      <c r="F356" s="32">
        <f t="shared" si="46"/>
        <v>3</v>
      </c>
      <c r="G356">
        <v>8</v>
      </c>
      <c r="H356">
        <v>9</v>
      </c>
      <c r="I356" s="32">
        <f t="shared" si="47"/>
        <v>1</v>
      </c>
      <c r="J356">
        <v>9</v>
      </c>
      <c r="K356">
        <v>9</v>
      </c>
      <c r="L356" s="32">
        <f t="shared" si="48"/>
        <v>0</v>
      </c>
      <c r="M356">
        <v>7</v>
      </c>
      <c r="N356">
        <v>9</v>
      </c>
      <c r="O356" s="32">
        <f t="shared" si="49"/>
        <v>2</v>
      </c>
      <c r="P356">
        <v>8</v>
      </c>
      <c r="Q356">
        <v>9</v>
      </c>
      <c r="R356" s="32">
        <f t="shared" si="50"/>
        <v>1</v>
      </c>
      <c r="S356">
        <v>7</v>
      </c>
      <c r="T356">
        <v>9</v>
      </c>
      <c r="U356" s="32">
        <f t="shared" si="51"/>
        <v>2</v>
      </c>
      <c r="V356">
        <v>8</v>
      </c>
      <c r="W356">
        <v>9</v>
      </c>
      <c r="X356" s="32">
        <f t="shared" si="52"/>
        <v>1</v>
      </c>
      <c r="Y356">
        <v>8</v>
      </c>
      <c r="Z356">
        <v>10</v>
      </c>
      <c r="AA356" s="32">
        <f t="shared" si="53"/>
        <v>2</v>
      </c>
    </row>
    <row r="357" spans="1:27" x14ac:dyDescent="0.45">
      <c r="A357">
        <v>7</v>
      </c>
      <c r="B357">
        <v>10</v>
      </c>
      <c r="C357" s="32">
        <f t="shared" si="45"/>
        <v>3</v>
      </c>
      <c r="D357">
        <v>7</v>
      </c>
      <c r="E357">
        <v>10</v>
      </c>
      <c r="F357" s="32">
        <f t="shared" si="46"/>
        <v>3</v>
      </c>
      <c r="G357">
        <v>8</v>
      </c>
      <c r="H357">
        <v>9</v>
      </c>
      <c r="I357" s="32">
        <f t="shared" si="47"/>
        <v>1</v>
      </c>
      <c r="J357">
        <v>9</v>
      </c>
      <c r="K357">
        <v>9</v>
      </c>
      <c r="L357" s="32">
        <f t="shared" si="48"/>
        <v>0</v>
      </c>
      <c r="M357">
        <v>7</v>
      </c>
      <c r="N357">
        <v>9</v>
      </c>
      <c r="O357" s="32">
        <f t="shared" si="49"/>
        <v>2</v>
      </c>
      <c r="P357">
        <v>8</v>
      </c>
      <c r="Q357">
        <v>10</v>
      </c>
      <c r="R357" s="32">
        <f t="shared" si="50"/>
        <v>2</v>
      </c>
      <c r="S357">
        <v>7</v>
      </c>
      <c r="T357">
        <v>9</v>
      </c>
      <c r="U357" s="32">
        <f t="shared" si="51"/>
        <v>2</v>
      </c>
      <c r="V357">
        <v>8</v>
      </c>
      <c r="W357">
        <v>9</v>
      </c>
      <c r="X357" s="32">
        <f t="shared" si="52"/>
        <v>1</v>
      </c>
      <c r="Y357">
        <v>8</v>
      </c>
      <c r="Z357">
        <v>10</v>
      </c>
      <c r="AA357" s="32">
        <f t="shared" si="53"/>
        <v>2</v>
      </c>
    </row>
    <row r="358" spans="1:27" x14ac:dyDescent="0.45">
      <c r="A358">
        <v>7</v>
      </c>
      <c r="B358">
        <v>10</v>
      </c>
      <c r="C358" s="32">
        <f t="shared" si="45"/>
        <v>3</v>
      </c>
      <c r="D358">
        <v>7</v>
      </c>
      <c r="E358">
        <v>10</v>
      </c>
      <c r="F358" s="32">
        <f t="shared" si="46"/>
        <v>3</v>
      </c>
      <c r="G358">
        <v>8</v>
      </c>
      <c r="H358">
        <v>9</v>
      </c>
      <c r="I358" s="32">
        <f t="shared" si="47"/>
        <v>1</v>
      </c>
      <c r="J358">
        <v>9</v>
      </c>
      <c r="K358">
        <v>9</v>
      </c>
      <c r="L358" s="32">
        <f t="shared" si="48"/>
        <v>0</v>
      </c>
      <c r="M358">
        <v>7</v>
      </c>
      <c r="N358">
        <v>9</v>
      </c>
      <c r="O358" s="32">
        <f t="shared" si="49"/>
        <v>2</v>
      </c>
      <c r="P358">
        <v>8</v>
      </c>
      <c r="Q358">
        <v>10</v>
      </c>
      <c r="R358" s="32">
        <f t="shared" si="50"/>
        <v>2</v>
      </c>
      <c r="S358">
        <v>7</v>
      </c>
      <c r="T358">
        <v>9</v>
      </c>
      <c r="U358" s="32">
        <f t="shared" si="51"/>
        <v>2</v>
      </c>
      <c r="V358">
        <v>8</v>
      </c>
      <c r="W358">
        <v>9</v>
      </c>
      <c r="X358" s="32">
        <f t="shared" si="52"/>
        <v>1</v>
      </c>
      <c r="Y358">
        <v>8</v>
      </c>
      <c r="Z358">
        <v>10</v>
      </c>
      <c r="AA358" s="32">
        <f t="shared" si="53"/>
        <v>2</v>
      </c>
    </row>
    <row r="359" spans="1:27" x14ac:dyDescent="0.45">
      <c r="A359">
        <v>7</v>
      </c>
      <c r="B359">
        <v>10</v>
      </c>
      <c r="C359" s="32">
        <f t="shared" si="45"/>
        <v>3</v>
      </c>
      <c r="D359">
        <v>7</v>
      </c>
      <c r="E359">
        <v>10</v>
      </c>
      <c r="F359" s="32">
        <f t="shared" si="46"/>
        <v>3</v>
      </c>
      <c r="G359">
        <v>8</v>
      </c>
      <c r="H359">
        <v>9</v>
      </c>
      <c r="I359" s="32">
        <f t="shared" si="47"/>
        <v>1</v>
      </c>
      <c r="J359">
        <v>9</v>
      </c>
      <c r="K359">
        <v>9</v>
      </c>
      <c r="L359" s="32">
        <f t="shared" si="48"/>
        <v>0</v>
      </c>
      <c r="M359">
        <v>7</v>
      </c>
      <c r="N359">
        <v>9</v>
      </c>
      <c r="O359" s="32">
        <f t="shared" si="49"/>
        <v>2</v>
      </c>
      <c r="P359">
        <v>8</v>
      </c>
      <c r="Q359">
        <v>10</v>
      </c>
      <c r="R359" s="32">
        <f t="shared" si="50"/>
        <v>2</v>
      </c>
      <c r="S359">
        <v>7</v>
      </c>
      <c r="T359">
        <v>9</v>
      </c>
      <c r="U359" s="32">
        <f t="shared" si="51"/>
        <v>2</v>
      </c>
      <c r="V359">
        <v>8</v>
      </c>
      <c r="W359">
        <v>9</v>
      </c>
      <c r="X359" s="32">
        <f t="shared" si="52"/>
        <v>1</v>
      </c>
      <c r="Y359">
        <v>8</v>
      </c>
      <c r="Z359">
        <v>10</v>
      </c>
      <c r="AA359" s="32">
        <f t="shared" si="53"/>
        <v>2</v>
      </c>
    </row>
    <row r="360" spans="1:27" x14ac:dyDescent="0.45">
      <c r="A360">
        <v>7</v>
      </c>
      <c r="B360">
        <v>10</v>
      </c>
      <c r="C360" s="32">
        <f t="shared" si="45"/>
        <v>3</v>
      </c>
      <c r="D360">
        <v>7</v>
      </c>
      <c r="E360">
        <v>10</v>
      </c>
      <c r="F360" s="32">
        <f t="shared" si="46"/>
        <v>3</v>
      </c>
      <c r="G360">
        <v>8</v>
      </c>
      <c r="H360">
        <v>9</v>
      </c>
      <c r="I360" s="32">
        <f t="shared" si="47"/>
        <v>1</v>
      </c>
      <c r="J360">
        <v>9</v>
      </c>
      <c r="K360">
        <v>9</v>
      </c>
      <c r="L360" s="32">
        <f t="shared" si="48"/>
        <v>0</v>
      </c>
      <c r="M360">
        <v>7</v>
      </c>
      <c r="N360">
        <v>9</v>
      </c>
      <c r="O360" s="32">
        <f t="shared" si="49"/>
        <v>2</v>
      </c>
      <c r="P360">
        <v>8</v>
      </c>
      <c r="Q360">
        <v>10</v>
      </c>
      <c r="R360" s="32">
        <f t="shared" si="50"/>
        <v>2</v>
      </c>
      <c r="S360">
        <v>7</v>
      </c>
      <c r="T360">
        <v>9</v>
      </c>
      <c r="U360" s="32">
        <f t="shared" si="51"/>
        <v>2</v>
      </c>
      <c r="V360">
        <v>8</v>
      </c>
      <c r="W360">
        <v>9</v>
      </c>
      <c r="X360" s="32">
        <f t="shared" si="52"/>
        <v>1</v>
      </c>
      <c r="Y360">
        <v>8</v>
      </c>
      <c r="Z360">
        <v>10</v>
      </c>
      <c r="AA360" s="32">
        <f t="shared" si="53"/>
        <v>2</v>
      </c>
    </row>
    <row r="361" spans="1:27" x14ac:dyDescent="0.45">
      <c r="A361">
        <v>7</v>
      </c>
      <c r="B361">
        <v>10</v>
      </c>
      <c r="C361" s="32">
        <f t="shared" si="45"/>
        <v>3</v>
      </c>
      <c r="D361">
        <v>7</v>
      </c>
      <c r="E361">
        <v>10</v>
      </c>
      <c r="F361" s="32">
        <f t="shared" si="46"/>
        <v>3</v>
      </c>
      <c r="G361">
        <v>8</v>
      </c>
      <c r="H361">
        <v>9</v>
      </c>
      <c r="I361" s="32">
        <f t="shared" si="47"/>
        <v>1</v>
      </c>
      <c r="J361">
        <v>9</v>
      </c>
      <c r="K361">
        <v>9</v>
      </c>
      <c r="L361" s="32">
        <f t="shared" si="48"/>
        <v>0</v>
      </c>
      <c r="M361">
        <v>7</v>
      </c>
      <c r="N361">
        <v>9</v>
      </c>
      <c r="O361" s="32">
        <f t="shared" si="49"/>
        <v>2</v>
      </c>
      <c r="P361">
        <v>8</v>
      </c>
      <c r="Q361">
        <v>10</v>
      </c>
      <c r="R361" s="32">
        <f t="shared" si="50"/>
        <v>2</v>
      </c>
      <c r="S361">
        <v>7</v>
      </c>
      <c r="T361">
        <v>9</v>
      </c>
      <c r="U361" s="32">
        <f t="shared" si="51"/>
        <v>2</v>
      </c>
      <c r="V361">
        <v>8</v>
      </c>
      <c r="W361">
        <v>9</v>
      </c>
      <c r="X361" s="32">
        <f t="shared" si="52"/>
        <v>1</v>
      </c>
      <c r="Y361">
        <v>8</v>
      </c>
      <c r="Z361">
        <v>10</v>
      </c>
      <c r="AA361" s="32">
        <f t="shared" si="53"/>
        <v>2</v>
      </c>
    </row>
    <row r="362" spans="1:27" x14ac:dyDescent="0.45">
      <c r="A362">
        <v>7</v>
      </c>
      <c r="B362">
        <v>10</v>
      </c>
      <c r="C362" s="32">
        <f t="shared" si="45"/>
        <v>3</v>
      </c>
      <c r="D362">
        <v>7</v>
      </c>
      <c r="E362">
        <v>10</v>
      </c>
      <c r="F362" s="32">
        <f t="shared" si="46"/>
        <v>3</v>
      </c>
      <c r="G362">
        <v>8</v>
      </c>
      <c r="H362">
        <v>9</v>
      </c>
      <c r="I362" s="32">
        <f t="shared" si="47"/>
        <v>1</v>
      </c>
      <c r="J362">
        <v>9</v>
      </c>
      <c r="K362">
        <v>9</v>
      </c>
      <c r="L362" s="32">
        <f t="shared" si="48"/>
        <v>0</v>
      </c>
      <c r="M362">
        <v>7</v>
      </c>
      <c r="N362">
        <v>9</v>
      </c>
      <c r="O362" s="32">
        <f t="shared" si="49"/>
        <v>2</v>
      </c>
      <c r="P362">
        <v>8</v>
      </c>
      <c r="Q362">
        <v>10</v>
      </c>
      <c r="R362" s="32">
        <f t="shared" si="50"/>
        <v>2</v>
      </c>
      <c r="S362">
        <v>7</v>
      </c>
      <c r="T362">
        <v>9</v>
      </c>
      <c r="U362" s="32">
        <f t="shared" si="51"/>
        <v>2</v>
      </c>
      <c r="V362">
        <v>8</v>
      </c>
      <c r="W362">
        <v>9</v>
      </c>
      <c r="X362" s="32">
        <f t="shared" si="52"/>
        <v>1</v>
      </c>
      <c r="Y362">
        <v>8</v>
      </c>
      <c r="Z362">
        <v>10</v>
      </c>
      <c r="AA362" s="32">
        <f t="shared" si="53"/>
        <v>2</v>
      </c>
    </row>
    <row r="363" spans="1:27" x14ac:dyDescent="0.45">
      <c r="A363">
        <v>7</v>
      </c>
      <c r="B363">
        <v>10</v>
      </c>
      <c r="C363" s="32">
        <f t="shared" si="45"/>
        <v>3</v>
      </c>
      <c r="D363">
        <v>7</v>
      </c>
      <c r="E363">
        <v>10</v>
      </c>
      <c r="F363" s="32">
        <f t="shared" si="46"/>
        <v>3</v>
      </c>
      <c r="G363">
        <v>8</v>
      </c>
      <c r="H363">
        <v>9</v>
      </c>
      <c r="I363" s="32">
        <f t="shared" si="47"/>
        <v>1</v>
      </c>
      <c r="J363">
        <v>9</v>
      </c>
      <c r="K363">
        <v>9</v>
      </c>
      <c r="L363" s="32">
        <f t="shared" si="48"/>
        <v>0</v>
      </c>
      <c r="M363">
        <v>7</v>
      </c>
      <c r="N363">
        <v>9</v>
      </c>
      <c r="O363" s="32">
        <f t="shared" si="49"/>
        <v>2</v>
      </c>
      <c r="P363">
        <v>8</v>
      </c>
      <c r="Q363">
        <v>10</v>
      </c>
      <c r="R363" s="32">
        <f t="shared" si="50"/>
        <v>2</v>
      </c>
      <c r="S363">
        <v>7</v>
      </c>
      <c r="T363">
        <v>9</v>
      </c>
      <c r="U363" s="32">
        <f t="shared" si="51"/>
        <v>2</v>
      </c>
      <c r="V363">
        <v>8</v>
      </c>
      <c r="W363">
        <v>9</v>
      </c>
      <c r="X363" s="32">
        <f t="shared" si="52"/>
        <v>1</v>
      </c>
      <c r="Y363">
        <v>8</v>
      </c>
      <c r="Z363">
        <v>10</v>
      </c>
      <c r="AA363" s="32">
        <f t="shared" si="53"/>
        <v>2</v>
      </c>
    </row>
    <row r="364" spans="1:27" x14ac:dyDescent="0.45">
      <c r="A364">
        <v>7</v>
      </c>
      <c r="B364">
        <v>10</v>
      </c>
      <c r="C364" s="32">
        <f t="shared" si="45"/>
        <v>3</v>
      </c>
      <c r="D364">
        <v>7</v>
      </c>
      <c r="E364">
        <v>10</v>
      </c>
      <c r="F364" s="32">
        <f t="shared" si="46"/>
        <v>3</v>
      </c>
      <c r="G364">
        <v>8</v>
      </c>
      <c r="H364">
        <v>9</v>
      </c>
      <c r="I364" s="32">
        <f t="shared" si="47"/>
        <v>1</v>
      </c>
      <c r="J364">
        <v>9</v>
      </c>
      <c r="K364">
        <v>10</v>
      </c>
      <c r="L364" s="32">
        <f t="shared" si="48"/>
        <v>1</v>
      </c>
      <c r="M364">
        <v>7</v>
      </c>
      <c r="N364">
        <v>10</v>
      </c>
      <c r="O364" s="32">
        <f t="shared" si="49"/>
        <v>3</v>
      </c>
      <c r="P364">
        <v>8</v>
      </c>
      <c r="Q364">
        <v>10</v>
      </c>
      <c r="R364" s="32">
        <f t="shared" si="50"/>
        <v>2</v>
      </c>
      <c r="S364">
        <v>7</v>
      </c>
      <c r="T364">
        <v>9</v>
      </c>
      <c r="U364" s="32">
        <f t="shared" si="51"/>
        <v>2</v>
      </c>
      <c r="V364">
        <v>8</v>
      </c>
      <c r="W364">
        <v>9</v>
      </c>
      <c r="X364" s="32">
        <f t="shared" si="52"/>
        <v>1</v>
      </c>
      <c r="Y364">
        <v>8</v>
      </c>
      <c r="Z364">
        <v>10</v>
      </c>
      <c r="AA364" s="32">
        <f t="shared" si="53"/>
        <v>2</v>
      </c>
    </row>
    <row r="365" spans="1:27" x14ac:dyDescent="0.45">
      <c r="A365">
        <v>7</v>
      </c>
      <c r="B365">
        <v>10</v>
      </c>
      <c r="C365" s="32">
        <f t="shared" si="45"/>
        <v>3</v>
      </c>
      <c r="D365">
        <v>7</v>
      </c>
      <c r="E365">
        <v>10</v>
      </c>
      <c r="F365" s="32">
        <f t="shared" si="46"/>
        <v>3</v>
      </c>
      <c r="G365">
        <v>8</v>
      </c>
      <c r="H365">
        <v>9</v>
      </c>
      <c r="I365" s="32">
        <f t="shared" si="47"/>
        <v>1</v>
      </c>
      <c r="J365">
        <v>9</v>
      </c>
      <c r="K365">
        <v>10</v>
      </c>
      <c r="L365" s="32">
        <f t="shared" si="48"/>
        <v>1</v>
      </c>
      <c r="M365">
        <v>7</v>
      </c>
      <c r="N365">
        <v>10</v>
      </c>
      <c r="O365" s="32">
        <f t="shared" si="49"/>
        <v>3</v>
      </c>
      <c r="P365">
        <v>8</v>
      </c>
      <c r="Q365">
        <v>10</v>
      </c>
      <c r="R365" s="32">
        <f t="shared" si="50"/>
        <v>2</v>
      </c>
      <c r="S365">
        <v>7</v>
      </c>
      <c r="T365">
        <v>9</v>
      </c>
      <c r="U365" s="32">
        <f t="shared" si="51"/>
        <v>2</v>
      </c>
      <c r="V365">
        <v>8</v>
      </c>
      <c r="W365">
        <v>9</v>
      </c>
      <c r="X365" s="32">
        <f t="shared" si="52"/>
        <v>1</v>
      </c>
      <c r="Y365">
        <v>8</v>
      </c>
      <c r="Z365">
        <v>10</v>
      </c>
      <c r="AA365" s="32">
        <f t="shared" si="53"/>
        <v>2</v>
      </c>
    </row>
    <row r="366" spans="1:27" x14ac:dyDescent="0.45">
      <c r="A366">
        <v>7</v>
      </c>
      <c r="B366">
        <v>10</v>
      </c>
      <c r="C366" s="32">
        <f t="shared" si="45"/>
        <v>3</v>
      </c>
      <c r="D366">
        <v>7</v>
      </c>
      <c r="E366">
        <v>10</v>
      </c>
      <c r="F366" s="32">
        <f t="shared" si="46"/>
        <v>3</v>
      </c>
      <c r="G366">
        <v>8</v>
      </c>
      <c r="H366">
        <v>9</v>
      </c>
      <c r="I366" s="32">
        <f t="shared" si="47"/>
        <v>1</v>
      </c>
      <c r="J366">
        <v>9</v>
      </c>
      <c r="K366">
        <v>10</v>
      </c>
      <c r="L366" s="32">
        <f t="shared" si="48"/>
        <v>1</v>
      </c>
      <c r="M366">
        <v>7</v>
      </c>
      <c r="N366">
        <v>10</v>
      </c>
      <c r="O366" s="32">
        <f t="shared" si="49"/>
        <v>3</v>
      </c>
      <c r="P366">
        <v>8</v>
      </c>
      <c r="Q366">
        <v>10</v>
      </c>
      <c r="R366" s="32">
        <f t="shared" si="50"/>
        <v>2</v>
      </c>
      <c r="S366">
        <v>7</v>
      </c>
      <c r="T366">
        <v>9</v>
      </c>
      <c r="U366" s="32">
        <f t="shared" si="51"/>
        <v>2</v>
      </c>
      <c r="V366">
        <v>8</v>
      </c>
      <c r="W366">
        <v>9</v>
      </c>
      <c r="X366" s="32">
        <f t="shared" si="52"/>
        <v>1</v>
      </c>
      <c r="Y366">
        <v>8</v>
      </c>
      <c r="Z366">
        <v>10</v>
      </c>
      <c r="AA366" s="32">
        <f t="shared" si="53"/>
        <v>2</v>
      </c>
    </row>
    <row r="367" spans="1:27" x14ac:dyDescent="0.45">
      <c r="A367">
        <v>7</v>
      </c>
      <c r="B367">
        <v>10</v>
      </c>
      <c r="C367" s="32">
        <f t="shared" si="45"/>
        <v>3</v>
      </c>
      <c r="D367">
        <v>7</v>
      </c>
      <c r="E367">
        <v>10</v>
      </c>
      <c r="F367" s="32">
        <f t="shared" si="46"/>
        <v>3</v>
      </c>
      <c r="G367">
        <v>8</v>
      </c>
      <c r="H367">
        <v>9</v>
      </c>
      <c r="I367" s="32">
        <f t="shared" si="47"/>
        <v>1</v>
      </c>
      <c r="J367">
        <v>9</v>
      </c>
      <c r="K367">
        <v>10</v>
      </c>
      <c r="L367" s="32">
        <f t="shared" si="48"/>
        <v>1</v>
      </c>
      <c r="M367">
        <v>7</v>
      </c>
      <c r="N367">
        <v>10</v>
      </c>
      <c r="O367" s="32">
        <f t="shared" si="49"/>
        <v>3</v>
      </c>
      <c r="P367">
        <v>8</v>
      </c>
      <c r="Q367">
        <v>10</v>
      </c>
      <c r="R367" s="32">
        <f t="shared" si="50"/>
        <v>2</v>
      </c>
      <c r="S367">
        <v>7</v>
      </c>
      <c r="T367">
        <v>10</v>
      </c>
      <c r="U367" s="32">
        <f t="shared" si="51"/>
        <v>3</v>
      </c>
      <c r="V367">
        <v>8</v>
      </c>
      <c r="W367">
        <v>9</v>
      </c>
      <c r="X367" s="32">
        <f t="shared" si="52"/>
        <v>1</v>
      </c>
      <c r="Y367">
        <v>8</v>
      </c>
      <c r="Z367">
        <v>10</v>
      </c>
      <c r="AA367" s="32">
        <f t="shared" si="53"/>
        <v>2</v>
      </c>
    </row>
    <row r="368" spans="1:27" x14ac:dyDescent="0.45">
      <c r="A368">
        <v>7</v>
      </c>
      <c r="B368">
        <v>10</v>
      </c>
      <c r="C368" s="32">
        <f t="shared" si="45"/>
        <v>3</v>
      </c>
      <c r="D368">
        <v>7</v>
      </c>
      <c r="E368">
        <v>10</v>
      </c>
      <c r="F368" s="32">
        <f t="shared" si="46"/>
        <v>3</v>
      </c>
      <c r="G368">
        <v>8</v>
      </c>
      <c r="H368">
        <v>9</v>
      </c>
      <c r="I368" s="32">
        <f t="shared" si="47"/>
        <v>1</v>
      </c>
      <c r="J368">
        <v>9</v>
      </c>
      <c r="K368">
        <v>10</v>
      </c>
      <c r="L368" s="32">
        <f t="shared" si="48"/>
        <v>1</v>
      </c>
      <c r="M368">
        <v>7</v>
      </c>
      <c r="N368">
        <v>10</v>
      </c>
      <c r="O368" s="32">
        <f t="shared" si="49"/>
        <v>3</v>
      </c>
      <c r="P368">
        <v>8</v>
      </c>
      <c r="Q368">
        <v>10</v>
      </c>
      <c r="R368" s="32">
        <f t="shared" si="50"/>
        <v>2</v>
      </c>
      <c r="S368">
        <v>7</v>
      </c>
      <c r="T368">
        <v>10</v>
      </c>
      <c r="U368" s="32">
        <f t="shared" si="51"/>
        <v>3</v>
      </c>
      <c r="V368">
        <v>8</v>
      </c>
      <c r="W368">
        <v>9</v>
      </c>
      <c r="X368" s="32">
        <f t="shared" si="52"/>
        <v>1</v>
      </c>
      <c r="Y368">
        <v>8</v>
      </c>
      <c r="Z368">
        <v>10</v>
      </c>
      <c r="AA368" s="32">
        <f t="shared" si="53"/>
        <v>2</v>
      </c>
    </row>
    <row r="369" spans="1:27" x14ac:dyDescent="0.45">
      <c r="A369">
        <v>7</v>
      </c>
      <c r="B369">
        <v>10</v>
      </c>
      <c r="C369" s="32">
        <f t="shared" si="45"/>
        <v>3</v>
      </c>
      <c r="D369">
        <v>7</v>
      </c>
      <c r="E369">
        <v>10</v>
      </c>
      <c r="F369" s="32">
        <f t="shared" si="46"/>
        <v>3</v>
      </c>
      <c r="G369">
        <v>8</v>
      </c>
      <c r="H369">
        <v>10</v>
      </c>
      <c r="I369" s="32">
        <f t="shared" si="47"/>
        <v>2</v>
      </c>
      <c r="J369">
        <v>9</v>
      </c>
      <c r="K369">
        <v>10</v>
      </c>
      <c r="L369" s="32">
        <f t="shared" si="48"/>
        <v>1</v>
      </c>
      <c r="M369">
        <v>7</v>
      </c>
      <c r="N369">
        <v>10</v>
      </c>
      <c r="O369" s="32">
        <f t="shared" si="49"/>
        <v>3</v>
      </c>
      <c r="P369">
        <v>8</v>
      </c>
      <c r="Q369">
        <v>10</v>
      </c>
      <c r="R369" s="32">
        <f t="shared" si="50"/>
        <v>2</v>
      </c>
      <c r="S369">
        <v>7</v>
      </c>
      <c r="T369">
        <v>10</v>
      </c>
      <c r="U369" s="32">
        <f t="shared" si="51"/>
        <v>3</v>
      </c>
      <c r="V369">
        <v>8</v>
      </c>
      <c r="W369">
        <v>9</v>
      </c>
      <c r="X369" s="32">
        <f t="shared" si="52"/>
        <v>1</v>
      </c>
      <c r="Y369">
        <v>8</v>
      </c>
      <c r="Z369">
        <v>10</v>
      </c>
      <c r="AA369" s="32">
        <f t="shared" si="53"/>
        <v>2</v>
      </c>
    </row>
    <row r="370" spans="1:27" x14ac:dyDescent="0.45">
      <c r="A370">
        <v>7</v>
      </c>
      <c r="B370">
        <v>10</v>
      </c>
      <c r="C370" s="32">
        <f t="shared" si="45"/>
        <v>3</v>
      </c>
      <c r="D370">
        <v>7</v>
      </c>
      <c r="E370">
        <v>10</v>
      </c>
      <c r="F370" s="32">
        <f t="shared" si="46"/>
        <v>3</v>
      </c>
      <c r="G370">
        <v>8</v>
      </c>
      <c r="H370">
        <v>10</v>
      </c>
      <c r="I370" s="32">
        <f t="shared" si="47"/>
        <v>2</v>
      </c>
      <c r="J370">
        <v>9</v>
      </c>
      <c r="K370">
        <v>10</v>
      </c>
      <c r="L370" s="32">
        <f t="shared" si="48"/>
        <v>1</v>
      </c>
      <c r="M370">
        <v>7</v>
      </c>
      <c r="N370">
        <v>10</v>
      </c>
      <c r="O370" s="32">
        <f t="shared" si="49"/>
        <v>3</v>
      </c>
      <c r="P370">
        <v>8</v>
      </c>
      <c r="Q370">
        <v>10</v>
      </c>
      <c r="R370" s="32">
        <f t="shared" si="50"/>
        <v>2</v>
      </c>
      <c r="S370">
        <v>7</v>
      </c>
      <c r="T370">
        <v>10</v>
      </c>
      <c r="U370" s="32">
        <f t="shared" si="51"/>
        <v>3</v>
      </c>
      <c r="V370">
        <v>8</v>
      </c>
      <c r="W370">
        <v>10</v>
      </c>
      <c r="X370" s="32">
        <f t="shared" si="52"/>
        <v>2</v>
      </c>
      <c r="Y370">
        <v>8</v>
      </c>
      <c r="Z370">
        <v>10</v>
      </c>
      <c r="AA370" s="32">
        <f t="shared" si="53"/>
        <v>2</v>
      </c>
    </row>
    <row r="371" spans="1:27" x14ac:dyDescent="0.45">
      <c r="A371">
        <v>7</v>
      </c>
      <c r="B371">
        <v>10</v>
      </c>
      <c r="C371" s="32">
        <f t="shared" si="45"/>
        <v>3</v>
      </c>
      <c r="D371">
        <v>7</v>
      </c>
      <c r="E371">
        <v>10</v>
      </c>
      <c r="F371" s="32">
        <f t="shared" si="46"/>
        <v>3</v>
      </c>
      <c r="G371">
        <v>8</v>
      </c>
      <c r="H371">
        <v>10</v>
      </c>
      <c r="I371" s="32">
        <f t="shared" si="47"/>
        <v>2</v>
      </c>
      <c r="J371">
        <v>9</v>
      </c>
      <c r="K371">
        <v>10</v>
      </c>
      <c r="L371" s="32">
        <f t="shared" si="48"/>
        <v>1</v>
      </c>
      <c r="M371">
        <v>7</v>
      </c>
      <c r="N371">
        <v>10</v>
      </c>
      <c r="O371" s="32">
        <f t="shared" si="49"/>
        <v>3</v>
      </c>
      <c r="P371">
        <v>8</v>
      </c>
      <c r="Q371">
        <v>10</v>
      </c>
      <c r="R371" s="32">
        <f t="shared" si="50"/>
        <v>2</v>
      </c>
      <c r="S371">
        <v>7</v>
      </c>
      <c r="T371">
        <v>10</v>
      </c>
      <c r="U371" s="32">
        <f t="shared" si="51"/>
        <v>3</v>
      </c>
      <c r="V371">
        <v>8</v>
      </c>
      <c r="W371">
        <v>10</v>
      </c>
      <c r="X371" s="32">
        <f t="shared" si="52"/>
        <v>2</v>
      </c>
      <c r="Y371">
        <v>8</v>
      </c>
      <c r="Z371">
        <v>10</v>
      </c>
      <c r="AA371" s="32">
        <f t="shared" si="53"/>
        <v>2</v>
      </c>
    </row>
    <row r="372" spans="1:27" x14ac:dyDescent="0.45">
      <c r="A372">
        <v>7</v>
      </c>
      <c r="B372">
        <v>10</v>
      </c>
      <c r="C372" s="32">
        <f t="shared" si="45"/>
        <v>3</v>
      </c>
      <c r="D372">
        <v>7</v>
      </c>
      <c r="E372">
        <v>10</v>
      </c>
      <c r="F372" s="32">
        <f t="shared" si="46"/>
        <v>3</v>
      </c>
      <c r="G372">
        <v>8</v>
      </c>
      <c r="H372">
        <v>10</v>
      </c>
      <c r="I372" s="32">
        <f t="shared" si="47"/>
        <v>2</v>
      </c>
      <c r="J372">
        <v>9</v>
      </c>
      <c r="K372">
        <v>10</v>
      </c>
      <c r="L372" s="32">
        <f t="shared" si="48"/>
        <v>1</v>
      </c>
      <c r="M372">
        <v>7</v>
      </c>
      <c r="N372">
        <v>10</v>
      </c>
      <c r="O372" s="32">
        <f t="shared" si="49"/>
        <v>3</v>
      </c>
      <c r="P372">
        <v>8</v>
      </c>
      <c r="Q372">
        <v>10</v>
      </c>
      <c r="R372" s="32">
        <f t="shared" si="50"/>
        <v>2</v>
      </c>
      <c r="S372">
        <v>7</v>
      </c>
      <c r="T372">
        <v>10</v>
      </c>
      <c r="U372" s="32">
        <f t="shared" si="51"/>
        <v>3</v>
      </c>
      <c r="V372">
        <v>8</v>
      </c>
      <c r="W372">
        <v>10</v>
      </c>
      <c r="X372" s="32">
        <f t="shared" si="52"/>
        <v>2</v>
      </c>
      <c r="Y372">
        <v>8</v>
      </c>
      <c r="Z372">
        <v>10</v>
      </c>
      <c r="AA372" s="32">
        <f t="shared" si="53"/>
        <v>2</v>
      </c>
    </row>
    <row r="373" spans="1:27" x14ac:dyDescent="0.45">
      <c r="A373">
        <v>7</v>
      </c>
      <c r="B373">
        <v>10</v>
      </c>
      <c r="C373" s="32">
        <f t="shared" si="45"/>
        <v>3</v>
      </c>
      <c r="D373">
        <v>7</v>
      </c>
      <c r="E373">
        <v>10</v>
      </c>
      <c r="F373" s="32">
        <f t="shared" si="46"/>
        <v>3</v>
      </c>
      <c r="G373">
        <v>8</v>
      </c>
      <c r="H373">
        <v>10</v>
      </c>
      <c r="I373" s="32">
        <f t="shared" si="47"/>
        <v>2</v>
      </c>
      <c r="J373">
        <v>9</v>
      </c>
      <c r="K373">
        <v>10</v>
      </c>
      <c r="L373" s="32">
        <f t="shared" si="48"/>
        <v>1</v>
      </c>
      <c r="M373">
        <v>7</v>
      </c>
      <c r="N373">
        <v>10</v>
      </c>
      <c r="O373" s="32">
        <f t="shared" si="49"/>
        <v>3</v>
      </c>
      <c r="P373">
        <v>8</v>
      </c>
      <c r="Q373">
        <v>10</v>
      </c>
      <c r="R373" s="32">
        <f t="shared" si="50"/>
        <v>2</v>
      </c>
      <c r="S373">
        <v>7</v>
      </c>
      <c r="T373">
        <v>10</v>
      </c>
      <c r="U373" s="32">
        <f t="shared" si="51"/>
        <v>3</v>
      </c>
      <c r="V373">
        <v>8</v>
      </c>
      <c r="W373">
        <v>10</v>
      </c>
      <c r="X373" s="32">
        <f t="shared" si="52"/>
        <v>2</v>
      </c>
      <c r="Y373">
        <v>8</v>
      </c>
      <c r="Z373">
        <v>10</v>
      </c>
      <c r="AA373" s="32">
        <f t="shared" si="53"/>
        <v>2</v>
      </c>
    </row>
    <row r="374" spans="1:27" x14ac:dyDescent="0.45">
      <c r="A374">
        <v>7</v>
      </c>
      <c r="B374">
        <v>10</v>
      </c>
      <c r="C374" s="32">
        <f t="shared" si="45"/>
        <v>3</v>
      </c>
      <c r="D374">
        <v>7</v>
      </c>
      <c r="E374">
        <v>10</v>
      </c>
      <c r="F374" s="32">
        <f t="shared" si="46"/>
        <v>3</v>
      </c>
      <c r="G374">
        <v>8</v>
      </c>
      <c r="H374">
        <v>10</v>
      </c>
      <c r="I374" s="32">
        <f t="shared" si="47"/>
        <v>2</v>
      </c>
      <c r="J374">
        <v>9</v>
      </c>
      <c r="K374">
        <v>10</v>
      </c>
      <c r="L374" s="32">
        <f t="shared" si="48"/>
        <v>1</v>
      </c>
      <c r="M374">
        <v>7</v>
      </c>
      <c r="N374">
        <v>10</v>
      </c>
      <c r="O374" s="32">
        <f t="shared" si="49"/>
        <v>3</v>
      </c>
      <c r="P374">
        <v>8</v>
      </c>
      <c r="Q374">
        <v>10</v>
      </c>
      <c r="R374" s="32">
        <f t="shared" si="50"/>
        <v>2</v>
      </c>
      <c r="S374">
        <v>7</v>
      </c>
      <c r="T374">
        <v>10</v>
      </c>
      <c r="U374" s="32">
        <f t="shared" si="51"/>
        <v>3</v>
      </c>
      <c r="V374">
        <v>8</v>
      </c>
      <c r="W374">
        <v>10</v>
      </c>
      <c r="X374" s="32">
        <f t="shared" si="52"/>
        <v>2</v>
      </c>
      <c r="Y374">
        <v>8</v>
      </c>
      <c r="Z374">
        <v>10</v>
      </c>
      <c r="AA374" s="32">
        <f t="shared" si="53"/>
        <v>2</v>
      </c>
    </row>
    <row r="375" spans="1:27" x14ac:dyDescent="0.45">
      <c r="A375">
        <v>7</v>
      </c>
      <c r="B375">
        <v>10</v>
      </c>
      <c r="C375" s="32">
        <f t="shared" si="45"/>
        <v>3</v>
      </c>
      <c r="D375">
        <v>7</v>
      </c>
      <c r="E375">
        <v>10</v>
      </c>
      <c r="F375" s="32">
        <f t="shared" si="46"/>
        <v>3</v>
      </c>
      <c r="G375">
        <v>8</v>
      </c>
      <c r="H375">
        <v>10</v>
      </c>
      <c r="I375" s="32">
        <f t="shared" si="47"/>
        <v>2</v>
      </c>
      <c r="J375">
        <v>9</v>
      </c>
      <c r="K375">
        <v>10</v>
      </c>
      <c r="L375" s="32">
        <f t="shared" si="48"/>
        <v>1</v>
      </c>
      <c r="M375">
        <v>7</v>
      </c>
      <c r="N375">
        <v>10</v>
      </c>
      <c r="O375" s="32">
        <f t="shared" si="49"/>
        <v>3</v>
      </c>
      <c r="P375">
        <v>8</v>
      </c>
      <c r="Q375">
        <v>10</v>
      </c>
      <c r="R375" s="32">
        <f t="shared" si="50"/>
        <v>2</v>
      </c>
      <c r="S375">
        <v>7</v>
      </c>
      <c r="T375">
        <v>10</v>
      </c>
      <c r="U375" s="32">
        <f t="shared" si="51"/>
        <v>3</v>
      </c>
      <c r="V375">
        <v>8</v>
      </c>
      <c r="W375">
        <v>10</v>
      </c>
      <c r="X375" s="32">
        <f t="shared" si="52"/>
        <v>2</v>
      </c>
      <c r="Y375">
        <v>8</v>
      </c>
      <c r="Z375">
        <v>10</v>
      </c>
      <c r="AA375" s="32">
        <f t="shared" si="53"/>
        <v>2</v>
      </c>
    </row>
    <row r="376" spans="1:27" x14ac:dyDescent="0.45">
      <c r="A376">
        <v>7</v>
      </c>
      <c r="B376">
        <v>10</v>
      </c>
      <c r="C376" s="32">
        <f t="shared" si="45"/>
        <v>3</v>
      </c>
      <c r="D376">
        <v>7</v>
      </c>
      <c r="E376">
        <v>10</v>
      </c>
      <c r="F376" s="32">
        <f t="shared" si="46"/>
        <v>3</v>
      </c>
      <c r="G376">
        <v>8</v>
      </c>
      <c r="H376">
        <v>10</v>
      </c>
      <c r="I376" s="32">
        <f t="shared" si="47"/>
        <v>2</v>
      </c>
      <c r="J376">
        <v>9</v>
      </c>
      <c r="K376">
        <v>10</v>
      </c>
      <c r="L376" s="32">
        <f t="shared" si="48"/>
        <v>1</v>
      </c>
      <c r="M376">
        <v>8</v>
      </c>
      <c r="N376">
        <v>10</v>
      </c>
      <c r="O376" s="32">
        <f t="shared" si="49"/>
        <v>2</v>
      </c>
      <c r="P376">
        <v>8</v>
      </c>
      <c r="Q376">
        <v>10</v>
      </c>
      <c r="R376" s="32">
        <f t="shared" si="50"/>
        <v>2</v>
      </c>
      <c r="S376">
        <v>7</v>
      </c>
      <c r="T376">
        <v>10</v>
      </c>
      <c r="U376" s="32">
        <f t="shared" si="51"/>
        <v>3</v>
      </c>
      <c r="V376">
        <v>8</v>
      </c>
      <c r="W376">
        <v>10</v>
      </c>
      <c r="X376" s="32">
        <f t="shared" si="52"/>
        <v>2</v>
      </c>
      <c r="Y376">
        <v>8</v>
      </c>
      <c r="Z376">
        <v>10</v>
      </c>
      <c r="AA376" s="32">
        <f t="shared" si="53"/>
        <v>2</v>
      </c>
    </row>
    <row r="377" spans="1:27" x14ac:dyDescent="0.45">
      <c r="A377">
        <v>7</v>
      </c>
      <c r="B377">
        <v>10</v>
      </c>
      <c r="C377" s="32">
        <f t="shared" si="45"/>
        <v>3</v>
      </c>
      <c r="D377">
        <v>7</v>
      </c>
      <c r="E377">
        <v>10</v>
      </c>
      <c r="F377" s="32">
        <f t="shared" si="46"/>
        <v>3</v>
      </c>
      <c r="G377">
        <v>8</v>
      </c>
      <c r="H377">
        <v>10</v>
      </c>
      <c r="I377" s="32">
        <f t="shared" si="47"/>
        <v>2</v>
      </c>
      <c r="J377">
        <v>9</v>
      </c>
      <c r="K377">
        <v>10</v>
      </c>
      <c r="L377" s="32">
        <f t="shared" si="48"/>
        <v>1</v>
      </c>
      <c r="M377">
        <v>8</v>
      </c>
      <c r="N377">
        <v>10</v>
      </c>
      <c r="O377" s="32">
        <f t="shared" si="49"/>
        <v>2</v>
      </c>
      <c r="P377">
        <v>8</v>
      </c>
      <c r="Q377">
        <v>10</v>
      </c>
      <c r="R377" s="32">
        <f t="shared" si="50"/>
        <v>2</v>
      </c>
      <c r="S377">
        <v>7</v>
      </c>
      <c r="T377">
        <v>10</v>
      </c>
      <c r="U377" s="32">
        <f t="shared" si="51"/>
        <v>3</v>
      </c>
      <c r="V377">
        <v>8</v>
      </c>
      <c r="W377">
        <v>10</v>
      </c>
      <c r="X377" s="32">
        <f t="shared" si="52"/>
        <v>2</v>
      </c>
      <c r="Y377">
        <v>9</v>
      </c>
      <c r="Z377">
        <v>10</v>
      </c>
      <c r="AA377" s="32">
        <f t="shared" si="53"/>
        <v>1</v>
      </c>
    </row>
    <row r="378" spans="1:27" x14ac:dyDescent="0.45">
      <c r="A378">
        <v>7</v>
      </c>
      <c r="B378">
        <v>10</v>
      </c>
      <c r="C378" s="32">
        <f t="shared" si="45"/>
        <v>3</v>
      </c>
      <c r="D378">
        <v>7</v>
      </c>
      <c r="E378">
        <v>10</v>
      </c>
      <c r="F378" s="32">
        <f t="shared" si="46"/>
        <v>3</v>
      </c>
      <c r="G378">
        <v>8</v>
      </c>
      <c r="H378">
        <v>10</v>
      </c>
      <c r="I378" s="32">
        <f t="shared" si="47"/>
        <v>2</v>
      </c>
      <c r="J378">
        <v>9</v>
      </c>
      <c r="K378">
        <v>10</v>
      </c>
      <c r="L378" s="32">
        <f t="shared" si="48"/>
        <v>1</v>
      </c>
      <c r="M378">
        <v>8</v>
      </c>
      <c r="N378">
        <v>10</v>
      </c>
      <c r="O378" s="32">
        <f t="shared" si="49"/>
        <v>2</v>
      </c>
      <c r="P378">
        <v>8</v>
      </c>
      <c r="Q378">
        <v>10</v>
      </c>
      <c r="R378" s="32">
        <f t="shared" si="50"/>
        <v>2</v>
      </c>
      <c r="S378">
        <v>7</v>
      </c>
      <c r="T378">
        <v>10</v>
      </c>
      <c r="U378" s="32">
        <f t="shared" si="51"/>
        <v>3</v>
      </c>
      <c r="V378">
        <v>8</v>
      </c>
      <c r="W378">
        <v>10</v>
      </c>
      <c r="X378" s="32">
        <f t="shared" si="52"/>
        <v>2</v>
      </c>
      <c r="Y378">
        <v>9</v>
      </c>
      <c r="Z378">
        <v>10</v>
      </c>
      <c r="AA378" s="32">
        <f t="shared" si="53"/>
        <v>1</v>
      </c>
    </row>
    <row r="379" spans="1:27" x14ac:dyDescent="0.45">
      <c r="A379">
        <v>7</v>
      </c>
      <c r="B379">
        <v>10</v>
      </c>
      <c r="C379" s="32">
        <f t="shared" si="45"/>
        <v>3</v>
      </c>
      <c r="D379">
        <v>7</v>
      </c>
      <c r="E379">
        <v>10</v>
      </c>
      <c r="F379" s="32">
        <f t="shared" si="46"/>
        <v>3</v>
      </c>
      <c r="G379">
        <v>8</v>
      </c>
      <c r="H379">
        <v>10</v>
      </c>
      <c r="I379" s="32">
        <f t="shared" si="47"/>
        <v>2</v>
      </c>
      <c r="J379">
        <v>9</v>
      </c>
      <c r="K379">
        <v>10</v>
      </c>
      <c r="L379" s="32">
        <f t="shared" si="48"/>
        <v>1</v>
      </c>
      <c r="M379">
        <v>8</v>
      </c>
      <c r="N379">
        <v>10</v>
      </c>
      <c r="O379" s="32">
        <f t="shared" si="49"/>
        <v>2</v>
      </c>
      <c r="P379">
        <v>8</v>
      </c>
      <c r="Q379">
        <v>10</v>
      </c>
      <c r="R379" s="32">
        <f t="shared" si="50"/>
        <v>2</v>
      </c>
      <c r="S379">
        <v>7</v>
      </c>
      <c r="T379">
        <v>10</v>
      </c>
      <c r="U379" s="32">
        <f t="shared" si="51"/>
        <v>3</v>
      </c>
      <c r="V379">
        <v>8</v>
      </c>
      <c r="W379">
        <v>10</v>
      </c>
      <c r="X379" s="32">
        <f t="shared" si="52"/>
        <v>2</v>
      </c>
      <c r="Y379">
        <v>9</v>
      </c>
      <c r="Z379">
        <v>10</v>
      </c>
      <c r="AA379" s="32">
        <f t="shared" si="53"/>
        <v>1</v>
      </c>
    </row>
    <row r="380" spans="1:27" x14ac:dyDescent="0.45">
      <c r="A380">
        <v>7</v>
      </c>
      <c r="B380">
        <v>10</v>
      </c>
      <c r="C380" s="32">
        <f t="shared" si="45"/>
        <v>3</v>
      </c>
      <c r="D380">
        <v>7</v>
      </c>
      <c r="E380">
        <v>10</v>
      </c>
      <c r="F380" s="32">
        <f t="shared" si="46"/>
        <v>3</v>
      </c>
      <c r="G380">
        <v>8</v>
      </c>
      <c r="H380">
        <v>10</v>
      </c>
      <c r="I380" s="32">
        <f t="shared" si="47"/>
        <v>2</v>
      </c>
      <c r="J380">
        <v>9</v>
      </c>
      <c r="K380">
        <v>10</v>
      </c>
      <c r="L380" s="32">
        <f t="shared" si="48"/>
        <v>1</v>
      </c>
      <c r="M380">
        <v>8</v>
      </c>
      <c r="N380">
        <v>10</v>
      </c>
      <c r="O380" s="32">
        <f t="shared" si="49"/>
        <v>2</v>
      </c>
      <c r="P380">
        <v>8</v>
      </c>
      <c r="Q380">
        <v>10</v>
      </c>
      <c r="R380" s="32">
        <f t="shared" si="50"/>
        <v>2</v>
      </c>
      <c r="S380">
        <v>7</v>
      </c>
      <c r="T380">
        <v>10</v>
      </c>
      <c r="U380" s="32">
        <f t="shared" si="51"/>
        <v>3</v>
      </c>
      <c r="V380">
        <v>8</v>
      </c>
      <c r="W380">
        <v>10</v>
      </c>
      <c r="X380" s="32">
        <f t="shared" si="52"/>
        <v>2</v>
      </c>
      <c r="Y380">
        <v>9</v>
      </c>
      <c r="Z380">
        <v>10</v>
      </c>
      <c r="AA380" s="32">
        <f t="shared" si="53"/>
        <v>1</v>
      </c>
    </row>
    <row r="381" spans="1:27" x14ac:dyDescent="0.45">
      <c r="A381">
        <v>7</v>
      </c>
      <c r="B381">
        <v>10</v>
      </c>
      <c r="C381" s="32">
        <f t="shared" si="45"/>
        <v>3</v>
      </c>
      <c r="D381">
        <v>7</v>
      </c>
      <c r="E381">
        <v>10</v>
      </c>
      <c r="F381" s="32">
        <f t="shared" si="46"/>
        <v>3</v>
      </c>
      <c r="G381">
        <v>8</v>
      </c>
      <c r="H381">
        <v>10</v>
      </c>
      <c r="I381" s="32">
        <f t="shared" si="47"/>
        <v>2</v>
      </c>
      <c r="J381">
        <v>9</v>
      </c>
      <c r="K381">
        <v>10</v>
      </c>
      <c r="L381" s="32">
        <f t="shared" si="48"/>
        <v>1</v>
      </c>
      <c r="M381">
        <v>8</v>
      </c>
      <c r="N381">
        <v>10</v>
      </c>
      <c r="O381" s="32">
        <f t="shared" si="49"/>
        <v>2</v>
      </c>
      <c r="P381">
        <v>8</v>
      </c>
      <c r="Q381">
        <v>10</v>
      </c>
      <c r="R381" s="32">
        <f t="shared" si="50"/>
        <v>2</v>
      </c>
      <c r="S381">
        <v>7</v>
      </c>
      <c r="T381">
        <v>10</v>
      </c>
      <c r="U381" s="32">
        <f t="shared" si="51"/>
        <v>3</v>
      </c>
      <c r="V381">
        <v>8</v>
      </c>
      <c r="W381">
        <v>10</v>
      </c>
      <c r="X381" s="32">
        <f t="shared" si="52"/>
        <v>2</v>
      </c>
      <c r="Y381">
        <v>9</v>
      </c>
      <c r="Z381">
        <v>10</v>
      </c>
      <c r="AA381" s="32">
        <f t="shared" si="53"/>
        <v>1</v>
      </c>
    </row>
    <row r="382" spans="1:27" x14ac:dyDescent="0.45">
      <c r="A382">
        <v>7</v>
      </c>
      <c r="B382">
        <v>10</v>
      </c>
      <c r="C382" s="32">
        <f t="shared" si="45"/>
        <v>3</v>
      </c>
      <c r="D382">
        <v>7</v>
      </c>
      <c r="E382">
        <v>10</v>
      </c>
      <c r="F382" s="32">
        <f t="shared" si="46"/>
        <v>3</v>
      </c>
      <c r="G382">
        <v>8</v>
      </c>
      <c r="H382">
        <v>10</v>
      </c>
      <c r="I382" s="32">
        <f t="shared" si="47"/>
        <v>2</v>
      </c>
      <c r="J382">
        <v>9</v>
      </c>
      <c r="K382">
        <v>10</v>
      </c>
      <c r="L382" s="32">
        <f t="shared" si="48"/>
        <v>1</v>
      </c>
      <c r="M382">
        <v>8</v>
      </c>
      <c r="N382">
        <v>10</v>
      </c>
      <c r="O382" s="32">
        <f t="shared" si="49"/>
        <v>2</v>
      </c>
      <c r="P382">
        <v>8</v>
      </c>
      <c r="Q382">
        <v>10</v>
      </c>
      <c r="R382" s="32">
        <f t="shared" si="50"/>
        <v>2</v>
      </c>
      <c r="S382">
        <v>7</v>
      </c>
      <c r="T382">
        <v>10</v>
      </c>
      <c r="U382" s="32">
        <f t="shared" si="51"/>
        <v>3</v>
      </c>
      <c r="V382">
        <v>8</v>
      </c>
      <c r="W382">
        <v>10</v>
      </c>
      <c r="X382" s="32">
        <f t="shared" si="52"/>
        <v>2</v>
      </c>
      <c r="Y382">
        <v>9</v>
      </c>
      <c r="Z382">
        <v>10</v>
      </c>
      <c r="AA382" s="32">
        <f t="shared" si="53"/>
        <v>1</v>
      </c>
    </row>
    <row r="383" spans="1:27" x14ac:dyDescent="0.45">
      <c r="A383">
        <v>7</v>
      </c>
      <c r="B383">
        <v>10</v>
      </c>
      <c r="C383" s="32">
        <f t="shared" si="45"/>
        <v>3</v>
      </c>
      <c r="D383">
        <v>7</v>
      </c>
      <c r="E383">
        <v>10</v>
      </c>
      <c r="F383" s="32">
        <f t="shared" si="46"/>
        <v>3</v>
      </c>
      <c r="G383">
        <v>8</v>
      </c>
      <c r="H383">
        <v>10</v>
      </c>
      <c r="I383" s="32">
        <f t="shared" si="47"/>
        <v>2</v>
      </c>
      <c r="J383">
        <v>9</v>
      </c>
      <c r="K383">
        <v>10</v>
      </c>
      <c r="L383" s="32">
        <f t="shared" si="48"/>
        <v>1</v>
      </c>
      <c r="M383">
        <v>8</v>
      </c>
      <c r="N383">
        <v>10</v>
      </c>
      <c r="O383" s="32">
        <f t="shared" si="49"/>
        <v>2</v>
      </c>
      <c r="P383">
        <v>8</v>
      </c>
      <c r="Q383">
        <v>10</v>
      </c>
      <c r="R383" s="32">
        <f t="shared" si="50"/>
        <v>2</v>
      </c>
      <c r="S383">
        <v>7</v>
      </c>
      <c r="T383">
        <v>10</v>
      </c>
      <c r="U383" s="32">
        <f t="shared" si="51"/>
        <v>3</v>
      </c>
      <c r="V383">
        <v>8</v>
      </c>
      <c r="W383">
        <v>10</v>
      </c>
      <c r="X383" s="32">
        <f t="shared" si="52"/>
        <v>2</v>
      </c>
      <c r="Y383">
        <v>9</v>
      </c>
      <c r="Z383">
        <v>10</v>
      </c>
      <c r="AA383" s="32">
        <f t="shared" si="53"/>
        <v>1</v>
      </c>
    </row>
    <row r="384" spans="1:27" x14ac:dyDescent="0.45">
      <c r="A384">
        <v>7</v>
      </c>
      <c r="B384">
        <v>10</v>
      </c>
      <c r="C384" s="32">
        <f t="shared" si="45"/>
        <v>3</v>
      </c>
      <c r="D384">
        <v>7</v>
      </c>
      <c r="E384">
        <v>10</v>
      </c>
      <c r="F384" s="32">
        <f t="shared" si="46"/>
        <v>3</v>
      </c>
      <c r="G384">
        <v>8</v>
      </c>
      <c r="H384">
        <v>10</v>
      </c>
      <c r="I384" s="32">
        <f t="shared" si="47"/>
        <v>2</v>
      </c>
      <c r="J384">
        <v>9</v>
      </c>
      <c r="K384">
        <v>10</v>
      </c>
      <c r="L384" s="32">
        <f t="shared" si="48"/>
        <v>1</v>
      </c>
      <c r="M384">
        <v>8</v>
      </c>
      <c r="N384">
        <v>10</v>
      </c>
      <c r="O384" s="32">
        <f t="shared" si="49"/>
        <v>2</v>
      </c>
      <c r="P384">
        <v>8</v>
      </c>
      <c r="Q384">
        <v>10</v>
      </c>
      <c r="R384" s="32">
        <f t="shared" si="50"/>
        <v>2</v>
      </c>
      <c r="S384">
        <v>7</v>
      </c>
      <c r="T384">
        <v>10</v>
      </c>
      <c r="U384" s="32">
        <f t="shared" si="51"/>
        <v>3</v>
      </c>
      <c r="V384">
        <v>8</v>
      </c>
      <c r="W384">
        <v>10</v>
      </c>
      <c r="X384" s="32">
        <f t="shared" si="52"/>
        <v>2</v>
      </c>
      <c r="Y384">
        <v>9</v>
      </c>
      <c r="Z384">
        <v>10</v>
      </c>
      <c r="AA384" s="32">
        <f t="shared" si="53"/>
        <v>1</v>
      </c>
    </row>
    <row r="385" spans="1:27" x14ac:dyDescent="0.45">
      <c r="A385">
        <v>7</v>
      </c>
      <c r="B385">
        <v>10</v>
      </c>
      <c r="C385" s="32">
        <f t="shared" si="45"/>
        <v>3</v>
      </c>
      <c r="D385">
        <v>7</v>
      </c>
      <c r="E385">
        <v>10</v>
      </c>
      <c r="F385" s="32">
        <f t="shared" si="46"/>
        <v>3</v>
      </c>
      <c r="G385">
        <v>8</v>
      </c>
      <c r="H385">
        <v>10</v>
      </c>
      <c r="I385" s="32">
        <f t="shared" si="47"/>
        <v>2</v>
      </c>
      <c r="J385">
        <v>9</v>
      </c>
      <c r="K385">
        <v>10</v>
      </c>
      <c r="L385" s="32">
        <f t="shared" si="48"/>
        <v>1</v>
      </c>
      <c r="M385">
        <v>8</v>
      </c>
      <c r="N385">
        <v>10</v>
      </c>
      <c r="O385" s="32">
        <f t="shared" si="49"/>
        <v>2</v>
      </c>
      <c r="P385">
        <v>8</v>
      </c>
      <c r="Q385">
        <v>10</v>
      </c>
      <c r="R385" s="32">
        <f t="shared" si="50"/>
        <v>2</v>
      </c>
      <c r="S385">
        <v>7</v>
      </c>
      <c r="T385">
        <v>10</v>
      </c>
      <c r="U385" s="32">
        <f t="shared" si="51"/>
        <v>3</v>
      </c>
      <c r="V385">
        <v>8</v>
      </c>
      <c r="W385">
        <v>10</v>
      </c>
      <c r="X385" s="32">
        <f t="shared" si="52"/>
        <v>2</v>
      </c>
      <c r="Y385">
        <v>9</v>
      </c>
      <c r="Z385">
        <v>10</v>
      </c>
      <c r="AA385" s="32">
        <f t="shared" si="53"/>
        <v>1</v>
      </c>
    </row>
    <row r="386" spans="1:27" x14ac:dyDescent="0.45">
      <c r="A386">
        <v>7</v>
      </c>
      <c r="B386">
        <v>10</v>
      </c>
      <c r="C386" s="32">
        <f t="shared" si="45"/>
        <v>3</v>
      </c>
      <c r="D386">
        <v>7</v>
      </c>
      <c r="E386">
        <v>10</v>
      </c>
      <c r="F386" s="32">
        <f t="shared" si="46"/>
        <v>3</v>
      </c>
      <c r="G386">
        <v>8</v>
      </c>
      <c r="H386">
        <v>10</v>
      </c>
      <c r="I386" s="32">
        <f t="shared" si="47"/>
        <v>2</v>
      </c>
      <c r="J386">
        <v>9</v>
      </c>
      <c r="K386">
        <v>10</v>
      </c>
      <c r="L386" s="32">
        <f t="shared" si="48"/>
        <v>1</v>
      </c>
      <c r="M386">
        <v>8</v>
      </c>
      <c r="N386">
        <v>10</v>
      </c>
      <c r="O386" s="32">
        <f t="shared" si="49"/>
        <v>2</v>
      </c>
      <c r="P386">
        <v>8</v>
      </c>
      <c r="Q386">
        <v>10</v>
      </c>
      <c r="R386" s="32">
        <f t="shared" si="50"/>
        <v>2</v>
      </c>
      <c r="S386">
        <v>7</v>
      </c>
      <c r="T386">
        <v>10</v>
      </c>
      <c r="U386" s="32">
        <f t="shared" si="51"/>
        <v>3</v>
      </c>
      <c r="V386">
        <v>8</v>
      </c>
      <c r="W386">
        <v>10</v>
      </c>
      <c r="X386" s="32">
        <f t="shared" si="52"/>
        <v>2</v>
      </c>
      <c r="Y386">
        <v>9</v>
      </c>
      <c r="Z386">
        <v>10</v>
      </c>
      <c r="AA386" s="32">
        <f t="shared" si="53"/>
        <v>1</v>
      </c>
    </row>
    <row r="387" spans="1:27" x14ac:dyDescent="0.45">
      <c r="A387">
        <v>7</v>
      </c>
      <c r="B387">
        <v>10</v>
      </c>
      <c r="C387" s="32">
        <f t="shared" ref="C387:C404" si="54">ABS(B387-A387)</f>
        <v>3</v>
      </c>
      <c r="D387">
        <v>7</v>
      </c>
      <c r="E387">
        <v>10</v>
      </c>
      <c r="F387" s="32">
        <f t="shared" ref="F387:F404" si="55">ABS(E387-D387)</f>
        <v>3</v>
      </c>
      <c r="G387">
        <v>8</v>
      </c>
      <c r="H387">
        <v>10</v>
      </c>
      <c r="I387" s="32">
        <f t="shared" ref="I387:I404" si="56">ABS(H387-G387)</f>
        <v>2</v>
      </c>
      <c r="J387">
        <v>9</v>
      </c>
      <c r="K387">
        <v>10</v>
      </c>
      <c r="L387" s="32">
        <f t="shared" ref="L387:L404" si="57">ABS(K387-J387)</f>
        <v>1</v>
      </c>
      <c r="M387">
        <v>8</v>
      </c>
      <c r="N387">
        <v>10</v>
      </c>
      <c r="O387" s="32">
        <f t="shared" ref="O387:O404" si="58">ABS(N387-M387)</f>
        <v>2</v>
      </c>
      <c r="P387">
        <v>8</v>
      </c>
      <c r="Q387">
        <v>10</v>
      </c>
      <c r="R387" s="32">
        <f t="shared" ref="R387:R404" si="59">ABS(Q387-P387)</f>
        <v>2</v>
      </c>
      <c r="S387">
        <v>7</v>
      </c>
      <c r="T387">
        <v>10</v>
      </c>
      <c r="U387" s="32">
        <f t="shared" ref="U387:U404" si="60">ABS(T387-S387)</f>
        <v>3</v>
      </c>
      <c r="V387">
        <v>8</v>
      </c>
      <c r="W387">
        <v>10</v>
      </c>
      <c r="X387" s="32">
        <f t="shared" ref="X387:X404" si="61">ABS(W387-V387)</f>
        <v>2</v>
      </c>
      <c r="Y387">
        <v>9</v>
      </c>
      <c r="Z387">
        <v>10</v>
      </c>
      <c r="AA387" s="32">
        <f t="shared" ref="AA387:AA404" si="62">ABS(Z387-Y387)</f>
        <v>1</v>
      </c>
    </row>
    <row r="388" spans="1:27" x14ac:dyDescent="0.45">
      <c r="A388">
        <v>7</v>
      </c>
      <c r="B388">
        <v>10</v>
      </c>
      <c r="C388" s="32">
        <f t="shared" si="54"/>
        <v>3</v>
      </c>
      <c r="D388">
        <v>7</v>
      </c>
      <c r="E388">
        <v>10</v>
      </c>
      <c r="F388" s="32">
        <f t="shared" si="55"/>
        <v>3</v>
      </c>
      <c r="G388">
        <v>8</v>
      </c>
      <c r="H388">
        <v>10</v>
      </c>
      <c r="I388" s="32">
        <f t="shared" si="56"/>
        <v>2</v>
      </c>
      <c r="J388">
        <v>9</v>
      </c>
      <c r="K388">
        <v>10</v>
      </c>
      <c r="L388" s="32">
        <f t="shared" si="57"/>
        <v>1</v>
      </c>
      <c r="M388">
        <v>8</v>
      </c>
      <c r="N388">
        <v>10</v>
      </c>
      <c r="O388" s="32">
        <f t="shared" si="58"/>
        <v>2</v>
      </c>
      <c r="P388">
        <v>8</v>
      </c>
      <c r="Q388">
        <v>10</v>
      </c>
      <c r="R388" s="32">
        <f t="shared" si="59"/>
        <v>2</v>
      </c>
      <c r="S388">
        <v>7</v>
      </c>
      <c r="T388">
        <v>10</v>
      </c>
      <c r="U388" s="32">
        <f t="shared" si="60"/>
        <v>3</v>
      </c>
      <c r="V388">
        <v>8</v>
      </c>
      <c r="W388">
        <v>10</v>
      </c>
      <c r="X388" s="32">
        <f t="shared" si="61"/>
        <v>2</v>
      </c>
      <c r="Y388">
        <v>9</v>
      </c>
      <c r="Z388">
        <v>10</v>
      </c>
      <c r="AA388" s="32">
        <f t="shared" si="62"/>
        <v>1</v>
      </c>
    </row>
    <row r="389" spans="1:27" x14ac:dyDescent="0.45">
      <c r="A389">
        <v>7</v>
      </c>
      <c r="B389">
        <v>10</v>
      </c>
      <c r="C389" s="32">
        <f t="shared" si="54"/>
        <v>3</v>
      </c>
      <c r="D389">
        <v>7</v>
      </c>
      <c r="E389">
        <v>10</v>
      </c>
      <c r="F389" s="32">
        <f t="shared" si="55"/>
        <v>3</v>
      </c>
      <c r="G389">
        <v>9</v>
      </c>
      <c r="H389">
        <v>10</v>
      </c>
      <c r="I389" s="32">
        <f t="shared" si="56"/>
        <v>1</v>
      </c>
      <c r="J389">
        <v>9</v>
      </c>
      <c r="K389">
        <v>10</v>
      </c>
      <c r="L389" s="32">
        <f t="shared" si="57"/>
        <v>1</v>
      </c>
      <c r="M389">
        <v>8</v>
      </c>
      <c r="N389">
        <v>10</v>
      </c>
      <c r="O389" s="32">
        <f t="shared" si="58"/>
        <v>2</v>
      </c>
      <c r="P389">
        <v>8</v>
      </c>
      <c r="Q389">
        <v>10</v>
      </c>
      <c r="R389" s="32">
        <f t="shared" si="59"/>
        <v>2</v>
      </c>
      <c r="S389">
        <v>7</v>
      </c>
      <c r="T389">
        <v>10</v>
      </c>
      <c r="U389" s="32">
        <f t="shared" si="60"/>
        <v>3</v>
      </c>
      <c r="V389">
        <v>8</v>
      </c>
      <c r="W389">
        <v>10</v>
      </c>
      <c r="X389" s="32">
        <f t="shared" si="61"/>
        <v>2</v>
      </c>
      <c r="Y389">
        <v>9</v>
      </c>
      <c r="Z389">
        <v>10</v>
      </c>
      <c r="AA389" s="32">
        <f t="shared" si="62"/>
        <v>1</v>
      </c>
    </row>
    <row r="390" spans="1:27" x14ac:dyDescent="0.45">
      <c r="A390">
        <v>7</v>
      </c>
      <c r="B390">
        <v>10</v>
      </c>
      <c r="C390" s="32">
        <f t="shared" si="54"/>
        <v>3</v>
      </c>
      <c r="D390">
        <v>7</v>
      </c>
      <c r="E390">
        <v>10</v>
      </c>
      <c r="F390" s="32">
        <f t="shared" si="55"/>
        <v>3</v>
      </c>
      <c r="G390">
        <v>9</v>
      </c>
      <c r="H390">
        <v>10</v>
      </c>
      <c r="I390" s="32">
        <f t="shared" si="56"/>
        <v>1</v>
      </c>
      <c r="J390">
        <v>9</v>
      </c>
      <c r="K390">
        <v>10</v>
      </c>
      <c r="L390" s="32">
        <f t="shared" si="57"/>
        <v>1</v>
      </c>
      <c r="M390">
        <v>8</v>
      </c>
      <c r="N390">
        <v>10</v>
      </c>
      <c r="O390" s="32">
        <f t="shared" si="58"/>
        <v>2</v>
      </c>
      <c r="P390">
        <v>8</v>
      </c>
      <c r="Q390">
        <v>10</v>
      </c>
      <c r="R390" s="32">
        <f t="shared" si="59"/>
        <v>2</v>
      </c>
      <c r="S390">
        <v>7</v>
      </c>
      <c r="T390">
        <v>10</v>
      </c>
      <c r="U390" s="32">
        <f t="shared" si="60"/>
        <v>3</v>
      </c>
      <c r="V390">
        <v>8</v>
      </c>
      <c r="W390">
        <v>10</v>
      </c>
      <c r="X390" s="32">
        <f t="shared" si="61"/>
        <v>2</v>
      </c>
      <c r="Y390">
        <v>9</v>
      </c>
      <c r="Z390">
        <v>10</v>
      </c>
      <c r="AA390" s="32">
        <f t="shared" si="62"/>
        <v>1</v>
      </c>
    </row>
    <row r="391" spans="1:27" x14ac:dyDescent="0.45">
      <c r="A391">
        <v>7</v>
      </c>
      <c r="B391">
        <v>10</v>
      </c>
      <c r="C391" s="32">
        <f t="shared" si="54"/>
        <v>3</v>
      </c>
      <c r="D391">
        <v>7</v>
      </c>
      <c r="E391">
        <v>10</v>
      </c>
      <c r="F391" s="32">
        <f t="shared" si="55"/>
        <v>3</v>
      </c>
      <c r="G391">
        <v>9</v>
      </c>
      <c r="H391">
        <v>10</v>
      </c>
      <c r="I391" s="32">
        <f t="shared" si="56"/>
        <v>1</v>
      </c>
      <c r="J391">
        <v>9</v>
      </c>
      <c r="K391">
        <v>10</v>
      </c>
      <c r="L391" s="32">
        <f t="shared" si="57"/>
        <v>1</v>
      </c>
      <c r="M391">
        <v>8</v>
      </c>
      <c r="N391">
        <v>10</v>
      </c>
      <c r="O391" s="32">
        <f t="shared" si="58"/>
        <v>2</v>
      </c>
      <c r="P391">
        <v>8</v>
      </c>
      <c r="Q391">
        <v>10</v>
      </c>
      <c r="R391" s="32">
        <f t="shared" si="59"/>
        <v>2</v>
      </c>
      <c r="S391">
        <v>7</v>
      </c>
      <c r="T391">
        <v>10</v>
      </c>
      <c r="U391" s="32">
        <f t="shared" si="60"/>
        <v>3</v>
      </c>
      <c r="V391">
        <v>8</v>
      </c>
      <c r="W391">
        <v>10</v>
      </c>
      <c r="X391" s="32">
        <f t="shared" si="61"/>
        <v>2</v>
      </c>
      <c r="Y391">
        <v>9</v>
      </c>
      <c r="Z391">
        <v>10</v>
      </c>
      <c r="AA391" s="32">
        <f t="shared" si="62"/>
        <v>1</v>
      </c>
    </row>
    <row r="392" spans="1:27" x14ac:dyDescent="0.45">
      <c r="A392">
        <v>7</v>
      </c>
      <c r="B392">
        <v>10</v>
      </c>
      <c r="C392" s="32">
        <f t="shared" si="54"/>
        <v>3</v>
      </c>
      <c r="D392">
        <v>7</v>
      </c>
      <c r="E392">
        <v>10</v>
      </c>
      <c r="F392" s="32">
        <f t="shared" si="55"/>
        <v>3</v>
      </c>
      <c r="G392">
        <v>9</v>
      </c>
      <c r="H392">
        <v>10</v>
      </c>
      <c r="I392" s="32">
        <f t="shared" si="56"/>
        <v>1</v>
      </c>
      <c r="J392">
        <v>9</v>
      </c>
      <c r="K392">
        <v>10</v>
      </c>
      <c r="L392" s="32">
        <f t="shared" si="57"/>
        <v>1</v>
      </c>
      <c r="M392">
        <v>8</v>
      </c>
      <c r="N392">
        <v>10</v>
      </c>
      <c r="O392" s="32">
        <f t="shared" si="58"/>
        <v>2</v>
      </c>
      <c r="P392">
        <v>8</v>
      </c>
      <c r="Q392">
        <v>10</v>
      </c>
      <c r="R392" s="32">
        <f t="shared" si="59"/>
        <v>2</v>
      </c>
      <c r="S392">
        <v>7</v>
      </c>
      <c r="T392">
        <v>10</v>
      </c>
      <c r="U392" s="32">
        <f t="shared" si="60"/>
        <v>3</v>
      </c>
      <c r="V392">
        <v>8</v>
      </c>
      <c r="W392">
        <v>10</v>
      </c>
      <c r="X392" s="32">
        <f t="shared" si="61"/>
        <v>2</v>
      </c>
      <c r="Y392">
        <v>9</v>
      </c>
      <c r="Z392">
        <v>10</v>
      </c>
      <c r="AA392" s="32">
        <f t="shared" si="62"/>
        <v>1</v>
      </c>
    </row>
    <row r="393" spans="1:27" x14ac:dyDescent="0.45">
      <c r="A393">
        <v>7</v>
      </c>
      <c r="B393">
        <v>10</v>
      </c>
      <c r="C393" s="32">
        <f t="shared" si="54"/>
        <v>3</v>
      </c>
      <c r="D393">
        <v>7</v>
      </c>
      <c r="E393">
        <v>10</v>
      </c>
      <c r="F393" s="32">
        <f t="shared" si="55"/>
        <v>3</v>
      </c>
      <c r="G393">
        <v>9</v>
      </c>
      <c r="H393">
        <v>10</v>
      </c>
      <c r="I393" s="32">
        <f t="shared" si="56"/>
        <v>1</v>
      </c>
      <c r="J393">
        <v>9</v>
      </c>
      <c r="K393">
        <v>10</v>
      </c>
      <c r="L393" s="32">
        <f t="shared" si="57"/>
        <v>1</v>
      </c>
      <c r="M393">
        <v>8</v>
      </c>
      <c r="N393">
        <v>10</v>
      </c>
      <c r="O393" s="32">
        <f t="shared" si="58"/>
        <v>2</v>
      </c>
      <c r="P393">
        <v>8</v>
      </c>
      <c r="Q393">
        <v>10</v>
      </c>
      <c r="R393" s="32">
        <f t="shared" si="59"/>
        <v>2</v>
      </c>
      <c r="S393">
        <v>7</v>
      </c>
      <c r="T393">
        <v>10</v>
      </c>
      <c r="U393" s="32">
        <f t="shared" si="60"/>
        <v>3</v>
      </c>
      <c r="V393">
        <v>8</v>
      </c>
      <c r="W393">
        <v>10</v>
      </c>
      <c r="X393" s="32">
        <f t="shared" si="61"/>
        <v>2</v>
      </c>
      <c r="Y393">
        <v>9</v>
      </c>
      <c r="Z393">
        <v>10</v>
      </c>
      <c r="AA393" s="32">
        <f t="shared" si="62"/>
        <v>1</v>
      </c>
    </row>
    <row r="394" spans="1:27" x14ac:dyDescent="0.45">
      <c r="A394">
        <v>7</v>
      </c>
      <c r="B394">
        <v>10</v>
      </c>
      <c r="C394" s="32">
        <f t="shared" si="54"/>
        <v>3</v>
      </c>
      <c r="D394">
        <v>7</v>
      </c>
      <c r="E394">
        <v>10</v>
      </c>
      <c r="F394" s="32">
        <f t="shared" si="55"/>
        <v>3</v>
      </c>
      <c r="G394">
        <v>9</v>
      </c>
      <c r="H394">
        <v>10</v>
      </c>
      <c r="I394" s="32">
        <f t="shared" si="56"/>
        <v>1</v>
      </c>
      <c r="J394">
        <v>9</v>
      </c>
      <c r="K394">
        <v>10</v>
      </c>
      <c r="L394" s="32">
        <f t="shared" si="57"/>
        <v>1</v>
      </c>
      <c r="M394">
        <v>8</v>
      </c>
      <c r="N394">
        <v>10</v>
      </c>
      <c r="O394" s="32">
        <f t="shared" si="58"/>
        <v>2</v>
      </c>
      <c r="P394">
        <v>8</v>
      </c>
      <c r="Q394">
        <v>10</v>
      </c>
      <c r="R394" s="32">
        <f t="shared" si="59"/>
        <v>2</v>
      </c>
      <c r="S394">
        <v>7</v>
      </c>
      <c r="T394">
        <v>10</v>
      </c>
      <c r="U394" s="32">
        <f t="shared" si="60"/>
        <v>3</v>
      </c>
      <c r="V394">
        <v>8</v>
      </c>
      <c r="W394">
        <v>10</v>
      </c>
      <c r="X394" s="32">
        <f t="shared" si="61"/>
        <v>2</v>
      </c>
      <c r="Y394">
        <v>9</v>
      </c>
      <c r="Z394">
        <v>10</v>
      </c>
      <c r="AA394" s="32">
        <f t="shared" si="62"/>
        <v>1</v>
      </c>
    </row>
    <row r="395" spans="1:27" x14ac:dyDescent="0.45">
      <c r="A395">
        <v>7</v>
      </c>
      <c r="B395">
        <v>10</v>
      </c>
      <c r="C395" s="32">
        <f t="shared" si="54"/>
        <v>3</v>
      </c>
      <c r="D395">
        <v>7</v>
      </c>
      <c r="E395">
        <v>10</v>
      </c>
      <c r="F395" s="32">
        <f t="shared" si="55"/>
        <v>3</v>
      </c>
      <c r="G395">
        <v>9</v>
      </c>
      <c r="H395">
        <v>10</v>
      </c>
      <c r="I395" s="32">
        <f t="shared" si="56"/>
        <v>1</v>
      </c>
      <c r="J395">
        <v>9</v>
      </c>
      <c r="K395">
        <v>10</v>
      </c>
      <c r="L395" s="32">
        <f t="shared" si="57"/>
        <v>1</v>
      </c>
      <c r="M395">
        <v>8</v>
      </c>
      <c r="N395">
        <v>10</v>
      </c>
      <c r="O395" s="32">
        <f t="shared" si="58"/>
        <v>2</v>
      </c>
      <c r="P395">
        <v>8</v>
      </c>
      <c r="Q395">
        <v>10</v>
      </c>
      <c r="R395" s="32">
        <f t="shared" si="59"/>
        <v>2</v>
      </c>
      <c r="S395">
        <v>7</v>
      </c>
      <c r="T395">
        <v>10</v>
      </c>
      <c r="U395" s="32">
        <f t="shared" si="60"/>
        <v>3</v>
      </c>
      <c r="V395">
        <v>8</v>
      </c>
      <c r="W395">
        <v>10</v>
      </c>
      <c r="X395" s="32">
        <f t="shared" si="61"/>
        <v>2</v>
      </c>
      <c r="Y395">
        <v>9</v>
      </c>
      <c r="Z395">
        <v>10</v>
      </c>
      <c r="AA395" s="32">
        <f t="shared" si="62"/>
        <v>1</v>
      </c>
    </row>
    <row r="396" spans="1:27" x14ac:dyDescent="0.45">
      <c r="A396">
        <v>7</v>
      </c>
      <c r="B396">
        <v>10</v>
      </c>
      <c r="C396" s="32">
        <f t="shared" si="54"/>
        <v>3</v>
      </c>
      <c r="D396">
        <v>7</v>
      </c>
      <c r="E396">
        <v>10</v>
      </c>
      <c r="F396" s="32">
        <f t="shared" si="55"/>
        <v>3</v>
      </c>
      <c r="G396">
        <v>9</v>
      </c>
      <c r="H396">
        <v>10</v>
      </c>
      <c r="I396" s="32">
        <f t="shared" si="56"/>
        <v>1</v>
      </c>
      <c r="J396">
        <v>9</v>
      </c>
      <c r="K396">
        <v>10</v>
      </c>
      <c r="L396" s="32">
        <f t="shared" si="57"/>
        <v>1</v>
      </c>
      <c r="M396">
        <v>8</v>
      </c>
      <c r="N396">
        <v>10</v>
      </c>
      <c r="O396" s="32">
        <f t="shared" si="58"/>
        <v>2</v>
      </c>
      <c r="P396">
        <v>8</v>
      </c>
      <c r="Q396">
        <v>10</v>
      </c>
      <c r="R396" s="32">
        <f t="shared" si="59"/>
        <v>2</v>
      </c>
      <c r="S396">
        <v>7</v>
      </c>
      <c r="T396">
        <v>10</v>
      </c>
      <c r="U396" s="32">
        <f t="shared" si="60"/>
        <v>3</v>
      </c>
      <c r="V396">
        <v>8</v>
      </c>
      <c r="W396">
        <v>10</v>
      </c>
      <c r="X396" s="32">
        <f t="shared" si="61"/>
        <v>2</v>
      </c>
      <c r="Y396">
        <v>9</v>
      </c>
      <c r="Z396">
        <v>10</v>
      </c>
      <c r="AA396" s="32">
        <f t="shared" si="62"/>
        <v>1</v>
      </c>
    </row>
    <row r="397" spans="1:27" x14ac:dyDescent="0.45">
      <c r="A397">
        <v>7</v>
      </c>
      <c r="B397">
        <v>10</v>
      </c>
      <c r="C397" s="32">
        <f t="shared" si="54"/>
        <v>3</v>
      </c>
      <c r="D397">
        <v>7</v>
      </c>
      <c r="E397">
        <v>10</v>
      </c>
      <c r="F397" s="32">
        <f t="shared" si="55"/>
        <v>3</v>
      </c>
      <c r="G397">
        <v>9</v>
      </c>
      <c r="H397">
        <v>10</v>
      </c>
      <c r="I397" s="32">
        <f t="shared" si="56"/>
        <v>1</v>
      </c>
      <c r="J397">
        <v>9</v>
      </c>
      <c r="K397">
        <v>10</v>
      </c>
      <c r="L397" s="32">
        <f t="shared" si="57"/>
        <v>1</v>
      </c>
      <c r="M397">
        <v>8</v>
      </c>
      <c r="N397">
        <v>10</v>
      </c>
      <c r="O397" s="32">
        <f t="shared" si="58"/>
        <v>2</v>
      </c>
      <c r="P397">
        <v>9</v>
      </c>
      <c r="Q397">
        <v>10</v>
      </c>
      <c r="R397" s="32">
        <f t="shared" si="59"/>
        <v>1</v>
      </c>
      <c r="S397">
        <v>7</v>
      </c>
      <c r="T397">
        <v>10</v>
      </c>
      <c r="U397" s="32">
        <f t="shared" si="60"/>
        <v>3</v>
      </c>
      <c r="V397">
        <v>8</v>
      </c>
      <c r="W397">
        <v>10</v>
      </c>
      <c r="X397" s="32">
        <f t="shared" si="61"/>
        <v>2</v>
      </c>
      <c r="Y397">
        <v>9</v>
      </c>
      <c r="Z397">
        <v>10</v>
      </c>
      <c r="AA397" s="32">
        <f t="shared" si="62"/>
        <v>1</v>
      </c>
    </row>
    <row r="398" spans="1:27" x14ac:dyDescent="0.45">
      <c r="A398">
        <v>7</v>
      </c>
      <c r="B398">
        <v>10</v>
      </c>
      <c r="C398" s="32">
        <f t="shared" si="54"/>
        <v>3</v>
      </c>
      <c r="D398">
        <v>7</v>
      </c>
      <c r="E398">
        <v>10</v>
      </c>
      <c r="F398" s="32">
        <f t="shared" si="55"/>
        <v>3</v>
      </c>
      <c r="G398">
        <v>9</v>
      </c>
      <c r="H398">
        <v>10</v>
      </c>
      <c r="I398" s="32">
        <f t="shared" si="56"/>
        <v>1</v>
      </c>
      <c r="J398">
        <v>9</v>
      </c>
      <c r="K398">
        <v>10</v>
      </c>
      <c r="L398" s="32">
        <f t="shared" si="57"/>
        <v>1</v>
      </c>
      <c r="M398">
        <v>8</v>
      </c>
      <c r="N398">
        <v>10</v>
      </c>
      <c r="O398" s="32">
        <f t="shared" si="58"/>
        <v>2</v>
      </c>
      <c r="P398">
        <v>9</v>
      </c>
      <c r="Q398">
        <v>10</v>
      </c>
      <c r="R398" s="32">
        <f t="shared" si="59"/>
        <v>1</v>
      </c>
      <c r="S398">
        <v>7</v>
      </c>
      <c r="T398">
        <v>10</v>
      </c>
      <c r="U398" s="32">
        <f t="shared" si="60"/>
        <v>3</v>
      </c>
      <c r="V398">
        <v>8</v>
      </c>
      <c r="W398">
        <v>10</v>
      </c>
      <c r="X398" s="32">
        <f t="shared" si="61"/>
        <v>2</v>
      </c>
      <c r="Y398">
        <v>9</v>
      </c>
      <c r="Z398">
        <v>10</v>
      </c>
      <c r="AA398" s="32">
        <f t="shared" si="62"/>
        <v>1</v>
      </c>
    </row>
    <row r="399" spans="1:27" x14ac:dyDescent="0.45">
      <c r="A399">
        <v>7</v>
      </c>
      <c r="B399">
        <v>10</v>
      </c>
      <c r="C399" s="32">
        <f t="shared" si="54"/>
        <v>3</v>
      </c>
      <c r="D399">
        <v>7</v>
      </c>
      <c r="E399">
        <v>10</v>
      </c>
      <c r="F399" s="32">
        <f t="shared" si="55"/>
        <v>3</v>
      </c>
      <c r="G399">
        <v>9</v>
      </c>
      <c r="H399">
        <v>10</v>
      </c>
      <c r="I399" s="32">
        <f t="shared" si="56"/>
        <v>1</v>
      </c>
      <c r="J399">
        <v>9</v>
      </c>
      <c r="K399">
        <v>10</v>
      </c>
      <c r="L399" s="32">
        <f t="shared" si="57"/>
        <v>1</v>
      </c>
      <c r="M399">
        <v>9</v>
      </c>
      <c r="N399">
        <v>10</v>
      </c>
      <c r="O399" s="32">
        <f t="shared" si="58"/>
        <v>1</v>
      </c>
      <c r="P399">
        <v>9</v>
      </c>
      <c r="Q399">
        <v>10</v>
      </c>
      <c r="R399" s="32">
        <f t="shared" si="59"/>
        <v>1</v>
      </c>
      <c r="S399">
        <v>8</v>
      </c>
      <c r="T399">
        <v>10</v>
      </c>
      <c r="U399" s="32">
        <f t="shared" si="60"/>
        <v>2</v>
      </c>
      <c r="V399">
        <v>8</v>
      </c>
      <c r="W399">
        <v>10</v>
      </c>
      <c r="X399" s="32">
        <f t="shared" si="61"/>
        <v>2</v>
      </c>
      <c r="Y399">
        <v>9</v>
      </c>
      <c r="Z399">
        <v>10</v>
      </c>
      <c r="AA399" s="32">
        <f t="shared" si="62"/>
        <v>1</v>
      </c>
    </row>
    <row r="400" spans="1:27" x14ac:dyDescent="0.45">
      <c r="A400">
        <v>7</v>
      </c>
      <c r="B400">
        <v>10</v>
      </c>
      <c r="C400" s="32">
        <f t="shared" si="54"/>
        <v>3</v>
      </c>
      <c r="D400">
        <v>7</v>
      </c>
      <c r="E400">
        <v>10</v>
      </c>
      <c r="F400" s="32">
        <f t="shared" si="55"/>
        <v>3</v>
      </c>
      <c r="G400">
        <v>9</v>
      </c>
      <c r="H400">
        <v>10</v>
      </c>
      <c r="I400" s="32">
        <f t="shared" si="56"/>
        <v>1</v>
      </c>
      <c r="J400">
        <v>9</v>
      </c>
      <c r="K400">
        <v>10</v>
      </c>
      <c r="L400" s="32">
        <f t="shared" si="57"/>
        <v>1</v>
      </c>
      <c r="M400">
        <v>9</v>
      </c>
      <c r="N400">
        <v>10</v>
      </c>
      <c r="O400" s="32">
        <f t="shared" si="58"/>
        <v>1</v>
      </c>
      <c r="P400">
        <v>9</v>
      </c>
      <c r="Q400">
        <v>10</v>
      </c>
      <c r="R400" s="32">
        <f t="shared" si="59"/>
        <v>1</v>
      </c>
      <c r="S400">
        <v>8</v>
      </c>
      <c r="T400">
        <v>10</v>
      </c>
      <c r="U400" s="32">
        <f t="shared" si="60"/>
        <v>2</v>
      </c>
      <c r="V400">
        <v>9</v>
      </c>
      <c r="W400">
        <v>10</v>
      </c>
      <c r="X400" s="32">
        <f t="shared" si="61"/>
        <v>1</v>
      </c>
      <c r="Y400">
        <v>9</v>
      </c>
      <c r="Z400">
        <v>10</v>
      </c>
      <c r="AA400" s="32">
        <f t="shared" si="62"/>
        <v>1</v>
      </c>
    </row>
    <row r="401" spans="1:27" x14ac:dyDescent="0.45">
      <c r="A401">
        <v>7</v>
      </c>
      <c r="B401">
        <v>10</v>
      </c>
      <c r="C401" s="32">
        <f t="shared" si="54"/>
        <v>3</v>
      </c>
      <c r="D401">
        <v>7</v>
      </c>
      <c r="E401">
        <v>10</v>
      </c>
      <c r="F401" s="32">
        <f t="shared" si="55"/>
        <v>3</v>
      </c>
      <c r="G401">
        <v>9</v>
      </c>
      <c r="H401">
        <v>10</v>
      </c>
      <c r="I401" s="32">
        <f t="shared" si="56"/>
        <v>1</v>
      </c>
      <c r="J401">
        <v>9</v>
      </c>
      <c r="K401">
        <v>10</v>
      </c>
      <c r="L401" s="32">
        <f t="shared" si="57"/>
        <v>1</v>
      </c>
      <c r="M401">
        <v>9</v>
      </c>
      <c r="N401">
        <v>10</v>
      </c>
      <c r="O401" s="32">
        <f t="shared" si="58"/>
        <v>1</v>
      </c>
      <c r="P401">
        <v>9</v>
      </c>
      <c r="Q401">
        <v>10</v>
      </c>
      <c r="R401" s="32">
        <f t="shared" si="59"/>
        <v>1</v>
      </c>
      <c r="S401">
        <v>8</v>
      </c>
      <c r="T401">
        <v>10</v>
      </c>
      <c r="U401" s="32">
        <f t="shared" si="60"/>
        <v>2</v>
      </c>
      <c r="V401">
        <v>9</v>
      </c>
      <c r="W401">
        <v>10</v>
      </c>
      <c r="X401" s="32">
        <f t="shared" si="61"/>
        <v>1</v>
      </c>
      <c r="Y401">
        <v>9</v>
      </c>
      <c r="Z401">
        <v>10</v>
      </c>
      <c r="AA401" s="32">
        <f t="shared" si="62"/>
        <v>1</v>
      </c>
    </row>
    <row r="402" spans="1:27" x14ac:dyDescent="0.45">
      <c r="A402">
        <v>7</v>
      </c>
      <c r="B402">
        <v>10</v>
      </c>
      <c r="C402" s="32">
        <f t="shared" si="54"/>
        <v>3</v>
      </c>
      <c r="D402">
        <v>8</v>
      </c>
      <c r="E402">
        <v>10</v>
      </c>
      <c r="F402" s="32">
        <f t="shared" si="55"/>
        <v>2</v>
      </c>
      <c r="G402">
        <v>9</v>
      </c>
      <c r="H402">
        <v>10</v>
      </c>
      <c r="I402" s="32">
        <f t="shared" si="56"/>
        <v>1</v>
      </c>
      <c r="J402">
        <v>9</v>
      </c>
      <c r="K402">
        <v>10</v>
      </c>
      <c r="L402" s="32">
        <f t="shared" si="57"/>
        <v>1</v>
      </c>
      <c r="M402">
        <v>9</v>
      </c>
      <c r="N402">
        <v>10</v>
      </c>
      <c r="O402" s="32">
        <f t="shared" si="58"/>
        <v>1</v>
      </c>
      <c r="P402">
        <v>9</v>
      </c>
      <c r="Q402">
        <v>10</v>
      </c>
      <c r="R402" s="32">
        <f t="shared" si="59"/>
        <v>1</v>
      </c>
      <c r="S402">
        <v>8</v>
      </c>
      <c r="T402">
        <v>10</v>
      </c>
      <c r="U402" s="32">
        <f t="shared" si="60"/>
        <v>2</v>
      </c>
      <c r="V402">
        <v>9</v>
      </c>
      <c r="W402">
        <v>10</v>
      </c>
      <c r="X402" s="32">
        <f t="shared" si="61"/>
        <v>1</v>
      </c>
      <c r="Y402">
        <v>9</v>
      </c>
      <c r="Z402">
        <v>10</v>
      </c>
      <c r="AA402" s="32">
        <f t="shared" si="62"/>
        <v>1</v>
      </c>
    </row>
    <row r="403" spans="1:27" x14ac:dyDescent="0.45">
      <c r="A403">
        <v>8</v>
      </c>
      <c r="B403">
        <v>10</v>
      </c>
      <c r="C403" s="32">
        <f t="shared" si="54"/>
        <v>2</v>
      </c>
      <c r="D403">
        <v>8</v>
      </c>
      <c r="E403">
        <v>10</v>
      </c>
      <c r="F403" s="32">
        <f t="shared" si="55"/>
        <v>2</v>
      </c>
      <c r="G403">
        <v>9</v>
      </c>
      <c r="H403">
        <v>10</v>
      </c>
      <c r="I403" s="32">
        <f t="shared" si="56"/>
        <v>1</v>
      </c>
      <c r="J403">
        <v>9</v>
      </c>
      <c r="K403">
        <v>10</v>
      </c>
      <c r="L403" s="32">
        <f t="shared" si="57"/>
        <v>1</v>
      </c>
      <c r="M403">
        <v>9</v>
      </c>
      <c r="N403">
        <v>10</v>
      </c>
      <c r="O403" s="32">
        <f t="shared" si="58"/>
        <v>1</v>
      </c>
      <c r="P403">
        <v>9</v>
      </c>
      <c r="Q403">
        <v>10</v>
      </c>
      <c r="R403" s="32">
        <f t="shared" si="59"/>
        <v>1</v>
      </c>
      <c r="S403">
        <v>8</v>
      </c>
      <c r="T403">
        <v>10</v>
      </c>
      <c r="U403" s="32">
        <f t="shared" si="60"/>
        <v>2</v>
      </c>
      <c r="V403">
        <v>9</v>
      </c>
      <c r="W403">
        <v>10</v>
      </c>
      <c r="X403" s="32">
        <f t="shared" si="61"/>
        <v>1</v>
      </c>
      <c r="Y403">
        <v>9</v>
      </c>
      <c r="Z403">
        <v>10</v>
      </c>
      <c r="AA403" s="32">
        <f t="shared" si="62"/>
        <v>1</v>
      </c>
    </row>
    <row r="404" spans="1:27" x14ac:dyDescent="0.45">
      <c r="A404">
        <v>8</v>
      </c>
      <c r="B404" s="36">
        <v>10</v>
      </c>
      <c r="C404" s="32">
        <f t="shared" si="54"/>
        <v>2</v>
      </c>
      <c r="D404">
        <v>8</v>
      </c>
      <c r="E404">
        <v>10</v>
      </c>
      <c r="F404" s="32">
        <f t="shared" si="55"/>
        <v>2</v>
      </c>
      <c r="G404">
        <v>9</v>
      </c>
      <c r="H404">
        <v>10</v>
      </c>
      <c r="I404" s="32">
        <f t="shared" si="56"/>
        <v>1</v>
      </c>
      <c r="J404">
        <v>9</v>
      </c>
      <c r="K404">
        <v>10</v>
      </c>
      <c r="L404" s="32">
        <f t="shared" si="57"/>
        <v>1</v>
      </c>
      <c r="M404">
        <v>9</v>
      </c>
      <c r="N404">
        <v>10</v>
      </c>
      <c r="O404" s="32">
        <f t="shared" si="58"/>
        <v>1</v>
      </c>
      <c r="P404">
        <v>9</v>
      </c>
      <c r="Q404">
        <v>10</v>
      </c>
      <c r="R404" s="32">
        <f t="shared" si="59"/>
        <v>1</v>
      </c>
      <c r="S404">
        <v>8</v>
      </c>
      <c r="T404">
        <v>10</v>
      </c>
      <c r="U404" s="32">
        <f t="shared" si="60"/>
        <v>2</v>
      </c>
      <c r="V404">
        <v>9</v>
      </c>
      <c r="W404">
        <v>10</v>
      </c>
      <c r="X404" s="32">
        <f t="shared" si="61"/>
        <v>1</v>
      </c>
      <c r="Y404">
        <v>9</v>
      </c>
      <c r="Z404">
        <v>10</v>
      </c>
      <c r="AA404" s="32">
        <f t="shared" si="62"/>
        <v>1</v>
      </c>
    </row>
    <row r="405" spans="1:27" x14ac:dyDescent="0.45">
      <c r="C405">
        <f>AVERAGE(C2:C404)</f>
        <v>1.4143920595533499</v>
      </c>
      <c r="F405">
        <f>AVERAGE(F2:F404)</f>
        <v>1.6401985111662531</v>
      </c>
      <c r="I405">
        <f>AVERAGE(I2:I404)</f>
        <v>1.9255583126550868</v>
      </c>
      <c r="L405">
        <f>AVERAGE(L2:L404)</f>
        <v>0.75682382133995041</v>
      </c>
      <c r="O405">
        <f>AVERAGE(O2:O404)</f>
        <v>0.88089330024813894</v>
      </c>
      <c r="R405">
        <f>AVERAGE(R2:R404)</f>
        <v>1.1017369727047146</v>
      </c>
      <c r="U405">
        <f>AVERAGE(U2:U404)</f>
        <v>1.2382133995037221</v>
      </c>
      <c r="X405">
        <f>AVERAGE(X2:X404)</f>
        <v>0.794044665012407</v>
      </c>
      <c r="AA405">
        <f>AVERAGE(AA2:AA404)</f>
        <v>0.66253101736972708</v>
      </c>
    </row>
  </sheetData>
  <sortState xmlns:xlrd2="http://schemas.microsoft.com/office/spreadsheetml/2017/richdata2" ref="Y2:Y404">
    <sortCondition ref="Y2:Y4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E2" sqref="E2"/>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199</v>
      </c>
      <c r="F1" s="5" t="s">
        <v>198</v>
      </c>
      <c r="G1" s="1" t="s">
        <v>7</v>
      </c>
      <c r="H1" s="1" t="s">
        <v>8</v>
      </c>
      <c r="I1" s="1" t="s">
        <v>9</v>
      </c>
      <c r="J1" s="1" t="s">
        <v>10</v>
      </c>
      <c r="K1" s="1" t="s">
        <v>11</v>
      </c>
      <c r="L1" s="1" t="s">
        <v>12</v>
      </c>
    </row>
    <row r="2" spans="1:13" x14ac:dyDescent="0.45">
      <c r="A2" s="4" t="s">
        <v>13</v>
      </c>
      <c r="B2" s="33">
        <f>step3_combined_data!U405</f>
        <v>1.8833746898263026</v>
      </c>
      <c r="C2" s="15">
        <f>CM_REPORT!E7</f>
        <v>0.41191066997518611</v>
      </c>
      <c r="D2" s="24">
        <f>CM_REPORT!E8</f>
        <v>-4.400605469999809E-2</v>
      </c>
      <c r="E2" s="34">
        <f>(ABS(J2-G2)+ABS(K2-H2)+ABS(L2-I2))/2</f>
        <v>0.22580645161290322</v>
      </c>
      <c r="F2" s="37">
        <f>EMD!C405</f>
        <v>1.4143920595533499</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7.4441687344913151E-3</v>
      </c>
      <c r="K2" s="15">
        <f>step3_combined_data!R407/step3_combined_data!R409</f>
        <v>0.67245657568238215</v>
      </c>
      <c r="L2" s="15">
        <f>step3_combined_data!R408/step3_combined_data!R409</f>
        <v>0.32009925558312657</v>
      </c>
      <c r="M2" s="25">
        <f>J2+K2+L2</f>
        <v>1</v>
      </c>
    </row>
    <row r="3" spans="1:13" x14ac:dyDescent="0.45">
      <c r="A3" s="4" t="s">
        <v>14</v>
      </c>
      <c r="B3" s="33">
        <f>step3_combined_data!Z405</f>
        <v>1.8660049627791564</v>
      </c>
      <c r="C3" s="15">
        <f>CM_REPORT!E16</f>
        <v>0.4491315136476427</v>
      </c>
      <c r="D3" s="24">
        <f>CM_REPORT!E17</f>
        <v>1.0035038376342927E-2</v>
      </c>
      <c r="E3" s="34">
        <f t="shared" ref="E3:E10" si="0">(ABS(J3-G3)+ABS(K3-H3)+ABS(L3-I3))/2</f>
        <v>0.10918114143920594</v>
      </c>
      <c r="F3" s="37">
        <f>EMD!F405</f>
        <v>1.6401985111662531</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2.4813895781637717E-3</v>
      </c>
      <c r="K3" s="15">
        <f>step3_combined_data!W407/step3_combined_data!W409</f>
        <v>0.49379652605459057</v>
      </c>
      <c r="L3" s="15">
        <f>step3_combined_data!W408/step3_combined_data!W409</f>
        <v>0.50372208436724564</v>
      </c>
      <c r="M3" s="25">
        <f t="shared" ref="M3:M10" si="1">J3+K3+L3</f>
        <v>1</v>
      </c>
    </row>
    <row r="4" spans="1:13" x14ac:dyDescent="0.45">
      <c r="A4" s="4" t="s">
        <v>15</v>
      </c>
      <c r="B4" s="33">
        <f>step3_combined_data!AE405</f>
        <v>2.4466501240694791</v>
      </c>
      <c r="C4" s="15">
        <f>CM_REPORT!E26</f>
        <v>0.35483870967741937</v>
      </c>
      <c r="D4" s="24">
        <f>CM_REPORT!E27</f>
        <v>-6.394655108739912E-2</v>
      </c>
      <c r="E4" s="34">
        <f t="shared" si="0"/>
        <v>0.19354838709677422</v>
      </c>
      <c r="F4" s="37">
        <f>EMD!I405</f>
        <v>1.9255583126550868</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1.2406947890818859E-2</v>
      </c>
      <c r="K4" s="15">
        <f>step3_combined_data!AB407/step3_combined_data!AB409</f>
        <v>0.45409429280397023</v>
      </c>
      <c r="L4" s="15">
        <f>step3_combined_data!AB408/step3_combined_data!AB409</f>
        <v>0.53349875930521096</v>
      </c>
      <c r="M4" s="25">
        <f t="shared" si="1"/>
        <v>1</v>
      </c>
    </row>
    <row r="5" spans="1:13" x14ac:dyDescent="0.45">
      <c r="A5" s="4" t="s">
        <v>16</v>
      </c>
      <c r="B5" s="33">
        <f>step3_combined_data!AJ405</f>
        <v>1.7196029776674937</v>
      </c>
      <c r="C5" s="15">
        <f>CM_REPORT!E36</f>
        <v>0.43283582089552236</v>
      </c>
      <c r="D5" s="24">
        <f>CM_REPORT!E37</f>
        <v>-9.0382084637402021E-2</v>
      </c>
      <c r="E5" s="34">
        <f t="shared" si="0"/>
        <v>0.21265879041516983</v>
      </c>
      <c r="F5" s="37">
        <f>EMD!L405</f>
        <v>0.75682382133995041</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7.462686567164179E-3</v>
      </c>
      <c r="K5" s="15">
        <f>step3_combined_data!AG407/step3_combined_data!AG409</f>
        <v>0.29104477611940299</v>
      </c>
      <c r="L5" s="15">
        <f>step3_combined_data!AG408/step3_combined_data!AG409</f>
        <v>0.70149253731343286</v>
      </c>
      <c r="M5" s="25">
        <f t="shared" si="1"/>
        <v>1</v>
      </c>
    </row>
    <row r="6" spans="1:13" x14ac:dyDescent="0.45">
      <c r="A6" s="4" t="s">
        <v>17</v>
      </c>
      <c r="B6" s="33">
        <f>step3_combined_data!AO405</f>
        <v>1.9950372208436724</v>
      </c>
      <c r="C6" s="15">
        <f>CM_REPORT!E46</f>
        <v>0.47014925373134331</v>
      </c>
      <c r="D6" s="24">
        <f>CM_REPORT!E47</f>
        <v>9.5842326258775978E-3</v>
      </c>
      <c r="E6" s="34">
        <f t="shared" si="0"/>
        <v>0.13397651938817082</v>
      </c>
      <c r="F6" s="37">
        <f>EMD!O405</f>
        <v>0.88089330024813894</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7.462686567164179E-3</v>
      </c>
      <c r="K6" s="15">
        <f>step3_combined_data!AL407/step3_combined_data!AL409</f>
        <v>0.6691542288557214</v>
      </c>
      <c r="L6" s="15">
        <f>step3_combined_data!AL408/step3_combined_data!AL409</f>
        <v>0.32338308457711445</v>
      </c>
      <c r="M6" s="25">
        <f t="shared" si="1"/>
        <v>1</v>
      </c>
    </row>
    <row r="7" spans="1:13" x14ac:dyDescent="0.45">
      <c r="A7" s="4" t="s">
        <v>18</v>
      </c>
      <c r="B7" s="33">
        <f>step3_combined_data!AT405</f>
        <v>2.0868486352357318</v>
      </c>
      <c r="C7" s="15">
        <f>CM_REPORT!E56</f>
        <v>0.43283582089552236</v>
      </c>
      <c r="D7" s="24">
        <f>CM_REPORT!E57</f>
        <v>2.3335660938515124E-2</v>
      </c>
      <c r="E7" s="34">
        <f t="shared" si="0"/>
        <v>0.21751663518635114</v>
      </c>
      <c r="F7" s="37">
        <f>EMD!R405</f>
        <v>1.1017369727047146</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9.9502487562189053E-3</v>
      </c>
      <c r="K7" s="15">
        <f>step3_combined_data!AQ407/step3_combined_data!AQ409</f>
        <v>0.65920398009950254</v>
      </c>
      <c r="L7" s="15">
        <f>step3_combined_data!AQ408/step3_combined_data!AQ409</f>
        <v>0.3308457711442786</v>
      </c>
      <c r="M7" s="25">
        <f t="shared" si="1"/>
        <v>1</v>
      </c>
    </row>
    <row r="8" spans="1:13" x14ac:dyDescent="0.45">
      <c r="A8" s="4" t="s">
        <v>19</v>
      </c>
      <c r="B8" s="33">
        <f>step3_combined_data!AY405</f>
        <v>2.1091811414392061</v>
      </c>
      <c r="C8" s="15">
        <f>CM_REPORT!E66</f>
        <v>0.49625935162094764</v>
      </c>
      <c r="D8" s="24">
        <f>CM_REPORT!E67</f>
        <v>3.0097838478737506E-2</v>
      </c>
      <c r="E8" s="34">
        <f t="shared" si="0"/>
        <v>0.26203721465566854</v>
      </c>
      <c r="F8" s="37">
        <f>EMD!U405</f>
        <v>1.2382133995037221</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4.488778054862843E-2</v>
      </c>
      <c r="K8" s="15">
        <f>step3_combined_data!AV407/step3_combined_data!AV409</f>
        <v>0.80049875311720697</v>
      </c>
      <c r="L8" s="15">
        <f>step3_combined_data!AV408/step3_combined_data!AV409</f>
        <v>0.15461346633416459</v>
      </c>
      <c r="M8" s="25">
        <f t="shared" si="1"/>
        <v>1</v>
      </c>
    </row>
    <row r="9" spans="1:13" x14ac:dyDescent="0.45">
      <c r="A9" s="4" t="s">
        <v>20</v>
      </c>
      <c r="B9" s="33">
        <f>step3_combined_data!BD405</f>
        <v>1.8188585607940446</v>
      </c>
      <c r="C9" s="15">
        <f>CM_REPORT!E75</f>
        <v>0.54114713216957611</v>
      </c>
      <c r="D9" s="24">
        <f>CM_REPORT!E76</f>
        <v>2.5273900573333015E-2</v>
      </c>
      <c r="E9" s="34">
        <f t="shared" si="0"/>
        <v>0.27223504514148877</v>
      </c>
      <c r="F9" s="37">
        <f>EMD!X405</f>
        <v>0.794044665012407</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5.9850374064837904E-2</v>
      </c>
      <c r="K9" s="15">
        <f>step3_combined_data!BA407/step3_combined_data!BA409</f>
        <v>0.85536159600997508</v>
      </c>
      <c r="L9" s="15">
        <f>step3_combined_data!BA408/step3_combined_data!BA409</f>
        <v>8.4788029925187039E-2</v>
      </c>
      <c r="M9" s="25">
        <f t="shared" si="1"/>
        <v>1</v>
      </c>
    </row>
    <row r="10" spans="1:13" x14ac:dyDescent="0.45">
      <c r="A10" s="4" t="s">
        <v>21</v>
      </c>
      <c r="B10" s="33">
        <f>step3_combined_data!BI405</f>
        <v>1.8560794044665012</v>
      </c>
      <c r="C10" s="15">
        <f>CM_REPORT!E85</f>
        <v>0.48872180451127817</v>
      </c>
      <c r="D10" s="24">
        <f>CM_REPORT!E86</f>
        <v>5.9773447265393513E-2</v>
      </c>
      <c r="E10" s="34">
        <f t="shared" si="0"/>
        <v>0.17274576018209298</v>
      </c>
      <c r="F10" s="37">
        <f>EMD!AA405</f>
        <v>0.66253101736972708</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2.0050125313283207E-2</v>
      </c>
      <c r="K10" s="15">
        <f>step3_combined_data!BF407/step3_combined_data!BF409</f>
        <v>0.65413533834586468</v>
      </c>
      <c r="L10" s="15">
        <f>step3_combined_data!BF408/step3_combined_data!BF409</f>
        <v>0.32581453634085211</v>
      </c>
      <c r="M10" s="25">
        <f t="shared" si="1"/>
        <v>1</v>
      </c>
    </row>
    <row r="13" spans="1:13" x14ac:dyDescent="0.45">
      <c r="C13" s="29"/>
      <c r="E13" s="27" t="s">
        <v>38</v>
      </c>
      <c r="F13" t="s">
        <v>167</v>
      </c>
      <c r="G13" s="29" t="s">
        <v>168</v>
      </c>
    </row>
    <row r="14" spans="1:13" x14ac:dyDescent="0.45">
      <c r="C14" s="25"/>
      <c r="E14" s="28" t="s">
        <v>165</v>
      </c>
      <c r="F14">
        <v>159</v>
      </c>
      <c r="G14" s="25">
        <f>GETPIVOTDATA("Giới tính của bạn:",$E$13,"Giới tính của bạn:","Male")/GETPIVOTDATA("Giới tính của bạn:",$E$13)</f>
        <v>0.39454094292803971</v>
      </c>
    </row>
    <row r="15" spans="1:13" x14ac:dyDescent="0.45">
      <c r="C15" s="25"/>
      <c r="E15" s="28" t="s">
        <v>166</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209</v>
      </c>
    </row>
    <row r="20" spans="3:7" x14ac:dyDescent="0.45">
      <c r="C20" s="25"/>
      <c r="E20" s="28" t="s">
        <v>188</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190</v>
      </c>
      <c r="F24">
        <v>31</v>
      </c>
      <c r="G24" s="38">
        <f>GETPIVOTDATA("Độ tuổi của bạn:",$E$19,"Độ tuổi của bạn:","50 - 54")/GETPIVOTDATA("Độ tuổi của bạn:",$E$19)</f>
        <v>7.6923076923076927E-2</v>
      </c>
    </row>
    <row r="25" spans="3:7" x14ac:dyDescent="0.45">
      <c r="C25" s="29"/>
      <c r="E25" s="28" t="s">
        <v>192</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210</v>
      </c>
      <c r="G29" s="29" t="s">
        <v>168</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211</v>
      </c>
    </row>
    <row r="36" spans="3:7" x14ac:dyDescent="0.45">
      <c r="C36" s="25"/>
      <c r="E36" s="28" t="s">
        <v>189</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191</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212</v>
      </c>
    </row>
    <row r="44" spans="3:7" x14ac:dyDescent="0.45">
      <c r="C44" s="25"/>
      <c r="E44" s="28" t="s">
        <v>196</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99</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102</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214</v>
      </c>
      <c r="F50" t="s">
        <v>213</v>
      </c>
    </row>
    <row r="51" spans="5:7" x14ac:dyDescent="0.45">
      <c r="E51" s="28" t="s">
        <v>193</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107</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103</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195</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100</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108</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110</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106</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215</v>
      </c>
    </row>
    <row r="63" spans="5:7" x14ac:dyDescent="0.45">
      <c r="E63" s="28" t="s">
        <v>109</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101</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104</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105</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194</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3" t="s">
        <v>22</v>
      </c>
      <c r="B1" s="43"/>
      <c r="C1" s="42" t="s">
        <v>23</v>
      </c>
      <c r="D1" s="42"/>
      <c r="E1" s="42"/>
      <c r="F1" s="1" t="s">
        <v>34</v>
      </c>
    </row>
    <row r="2" spans="1:11" x14ac:dyDescent="0.45">
      <c r="A2" s="43"/>
      <c r="B2" s="43"/>
      <c r="C2" s="1" t="s">
        <v>1</v>
      </c>
      <c r="D2" s="1" t="s">
        <v>2</v>
      </c>
      <c r="E2" s="1" t="s">
        <v>3</v>
      </c>
      <c r="F2" s="4"/>
    </row>
    <row r="3" spans="1:11" x14ac:dyDescent="0.45">
      <c r="A3" s="42" t="s">
        <v>24</v>
      </c>
      <c r="B3" s="1" t="s">
        <v>1</v>
      </c>
      <c r="C3" s="3">
        <f>CM_ENF1!B2</f>
        <v>0</v>
      </c>
      <c r="D3" s="4">
        <f>CM_ENF1!C2</f>
        <v>1</v>
      </c>
      <c r="E3" s="4">
        <f>CM_ENF1!D2</f>
        <v>2</v>
      </c>
      <c r="F3" s="6">
        <f>SUM(C3:E3)</f>
        <v>3</v>
      </c>
    </row>
    <row r="4" spans="1:11" x14ac:dyDescent="0.45">
      <c r="A4" s="42"/>
      <c r="B4" s="1" t="s">
        <v>2</v>
      </c>
      <c r="C4" s="4">
        <f>CM_ENF1!B3</f>
        <v>33</v>
      </c>
      <c r="D4" s="3">
        <f>CM_ENF1!C3</f>
        <v>119</v>
      </c>
      <c r="E4" s="4">
        <f>CM_ENF1!D3</f>
        <v>119</v>
      </c>
      <c r="F4" s="6">
        <f t="shared" ref="F4:F5" si="0">SUM(C4:E4)</f>
        <v>271</v>
      </c>
    </row>
    <row r="5" spans="1:11" x14ac:dyDescent="0.45">
      <c r="A5" s="42"/>
      <c r="B5" s="1" t="s">
        <v>3</v>
      </c>
      <c r="C5" s="4">
        <f>CM_ENF1!B4</f>
        <v>22</v>
      </c>
      <c r="D5" s="4">
        <f>CM_ENF1!C4</f>
        <v>60</v>
      </c>
      <c r="E5" s="3">
        <f>CM_ENF1!D4</f>
        <v>47</v>
      </c>
      <c r="F5" s="6">
        <f t="shared" si="0"/>
        <v>129</v>
      </c>
      <c r="G5" s="26" t="s">
        <v>36</v>
      </c>
      <c r="H5" s="26" t="s">
        <v>164</v>
      </c>
      <c r="I5" s="26" t="s">
        <v>162</v>
      </c>
      <c r="J5" s="26" t="s">
        <v>163</v>
      </c>
    </row>
    <row r="6" spans="1:11" x14ac:dyDescent="0.45">
      <c r="A6" s="2"/>
      <c r="B6" s="1" t="s">
        <v>34</v>
      </c>
      <c r="C6" s="6">
        <f>SUM(C3:C5)</f>
        <v>55</v>
      </c>
      <c r="D6" s="6">
        <f>SUM(D3:D5)</f>
        <v>180</v>
      </c>
      <c r="E6" s="6">
        <f>SUM(E3:E5)</f>
        <v>168</v>
      </c>
      <c r="F6" s="6">
        <f>SUM(C6:E6)</f>
        <v>403</v>
      </c>
      <c r="G6" s="8">
        <f>C3+D4+E5</f>
        <v>166</v>
      </c>
      <c r="H6" s="8">
        <f>(C6*F3)+(D6*F4)+(E6*F5)</f>
        <v>70617</v>
      </c>
      <c r="I6" s="8">
        <f>(C6^2)+(D6^2)+(E6^2)</f>
        <v>63649</v>
      </c>
      <c r="J6" s="8">
        <f>(F3^2)+(F4^2)+(F5^2)</f>
        <v>90091</v>
      </c>
      <c r="K6" s="10"/>
    </row>
    <row r="7" spans="1:11" x14ac:dyDescent="0.45">
      <c r="A7" s="4"/>
      <c r="B7" s="5" t="s">
        <v>25</v>
      </c>
      <c r="C7" s="6"/>
      <c r="D7" s="6"/>
      <c r="E7" s="16">
        <f>(C3+D4+E5)/F6</f>
        <v>0.41191066997518611</v>
      </c>
      <c r="F7" s="4"/>
    </row>
    <row r="8" spans="1:11" x14ac:dyDescent="0.45">
      <c r="A8" s="4"/>
      <c r="B8" s="5" t="s">
        <v>35</v>
      </c>
      <c r="C8" s="4"/>
      <c r="D8" s="4"/>
      <c r="E8" s="9">
        <f>(G6*F6-H6)/SQRT((F6^2-I6)*(F6^2-J6))</f>
        <v>-4.400605469999809E-2</v>
      </c>
      <c r="F8" s="4"/>
    </row>
    <row r="10" spans="1:11" x14ac:dyDescent="0.45">
      <c r="A10" s="43" t="s">
        <v>26</v>
      </c>
      <c r="B10" s="43"/>
      <c r="C10" s="42" t="s">
        <v>23</v>
      </c>
      <c r="D10" s="42"/>
      <c r="E10" s="42"/>
      <c r="F10" s="1" t="s">
        <v>34</v>
      </c>
    </row>
    <row r="11" spans="1:11" x14ac:dyDescent="0.45">
      <c r="A11" s="43"/>
      <c r="B11" s="43"/>
      <c r="C11" s="1" t="s">
        <v>1</v>
      </c>
      <c r="D11" s="1" t="s">
        <v>2</v>
      </c>
      <c r="E11" s="1" t="s">
        <v>3</v>
      </c>
      <c r="F11" s="4"/>
    </row>
    <row r="12" spans="1:11" x14ac:dyDescent="0.45">
      <c r="A12" s="42" t="s">
        <v>24</v>
      </c>
      <c r="B12" s="1" t="s">
        <v>1</v>
      </c>
      <c r="C12" s="3">
        <f>CM_ENF2!B2</f>
        <v>0</v>
      </c>
      <c r="D12" s="4">
        <f>CM_ENF2!C2</f>
        <v>1</v>
      </c>
      <c r="E12" s="4">
        <f>CM_ENF2!D2</f>
        <v>0</v>
      </c>
      <c r="F12" s="6">
        <f>SUM(C12:E12)</f>
        <v>1</v>
      </c>
    </row>
    <row r="13" spans="1:11" x14ac:dyDescent="0.45">
      <c r="A13" s="42"/>
      <c r="B13" s="1" t="s">
        <v>2</v>
      </c>
      <c r="C13" s="4">
        <f>CM_ENF2!B3</f>
        <v>18</v>
      </c>
      <c r="D13" s="3">
        <f>CM_ENF2!C3</f>
        <v>85</v>
      </c>
      <c r="E13" s="4">
        <f>CM_ENF2!D3</f>
        <v>96</v>
      </c>
      <c r="F13" s="6">
        <f t="shared" ref="F13:F14" si="1">SUM(C13:E13)</f>
        <v>199</v>
      </c>
    </row>
    <row r="14" spans="1:11" x14ac:dyDescent="0.45">
      <c r="A14" s="42"/>
      <c r="B14" s="1" t="s">
        <v>3</v>
      </c>
      <c r="C14" s="4">
        <f>CM_ENF2!B4</f>
        <v>27</v>
      </c>
      <c r="D14" s="4">
        <f>CM_ENF2!C4</f>
        <v>80</v>
      </c>
      <c r="E14" s="3">
        <f>CM_ENF2!D4</f>
        <v>96</v>
      </c>
      <c r="F14" s="6">
        <f t="shared" si="1"/>
        <v>203</v>
      </c>
      <c r="G14" s="26" t="s">
        <v>36</v>
      </c>
      <c r="H14" s="26" t="s">
        <v>164</v>
      </c>
      <c r="I14" s="26" t="s">
        <v>162</v>
      </c>
      <c r="J14" s="26" t="s">
        <v>163</v>
      </c>
    </row>
    <row r="15" spans="1:11" x14ac:dyDescent="0.45">
      <c r="A15" s="2"/>
      <c r="B15" s="1" t="s">
        <v>34</v>
      </c>
      <c r="C15" s="6">
        <f>SUM(C12:C14)</f>
        <v>45</v>
      </c>
      <c r="D15" s="6">
        <f>SUM(D12:D14)</f>
        <v>166</v>
      </c>
      <c r="E15" s="6">
        <f>SUM(E12:E14)</f>
        <v>192</v>
      </c>
      <c r="F15" s="6">
        <f>SUM(C15:E15)</f>
        <v>403</v>
      </c>
      <c r="G15" s="8">
        <f>C12+D13+E14</f>
        <v>181</v>
      </c>
      <c r="H15" s="8">
        <f>(C15*F12)+(D15*F13)+(E15*F14)</f>
        <v>72055</v>
      </c>
      <c r="I15" s="8">
        <f>(C15^2)+(D15^2)+(E15^2)</f>
        <v>66445</v>
      </c>
      <c r="J15" s="8">
        <f>(F12^2)+(F13^2)+(F14^2)</f>
        <v>80811</v>
      </c>
      <c r="K15" s="10"/>
    </row>
    <row r="16" spans="1:11" x14ac:dyDescent="0.45">
      <c r="A16" s="4"/>
      <c r="B16" s="5" t="s">
        <v>25</v>
      </c>
      <c r="C16" s="6"/>
      <c r="D16" s="6"/>
      <c r="E16" s="16">
        <f>(C12+D13+E14)/F15</f>
        <v>0.4491315136476427</v>
      </c>
      <c r="F16" s="4"/>
    </row>
    <row r="17" spans="1:11" x14ac:dyDescent="0.45">
      <c r="A17" s="4"/>
      <c r="B17" s="5" t="s">
        <v>35</v>
      </c>
      <c r="C17" s="4"/>
      <c r="D17" s="4"/>
      <c r="E17" s="9">
        <f>(G15*F15-H15)/SQRT((F15^2-I15)*(F15^2-J15))</f>
        <v>1.0035038376342927E-2</v>
      </c>
      <c r="F17" s="4"/>
    </row>
    <row r="20" spans="1:11" x14ac:dyDescent="0.45">
      <c r="A20" s="43" t="s">
        <v>27</v>
      </c>
      <c r="B20" s="43"/>
      <c r="C20" s="42" t="s">
        <v>23</v>
      </c>
      <c r="D20" s="42"/>
      <c r="E20" s="42"/>
      <c r="F20" s="1" t="s">
        <v>34</v>
      </c>
    </row>
    <row r="21" spans="1:11" x14ac:dyDescent="0.45">
      <c r="A21" s="43"/>
      <c r="B21" s="43"/>
      <c r="C21" s="1" t="s">
        <v>1</v>
      </c>
      <c r="D21" s="1" t="s">
        <v>2</v>
      </c>
      <c r="E21" s="1" t="s">
        <v>3</v>
      </c>
      <c r="F21" s="4"/>
    </row>
    <row r="22" spans="1:11" x14ac:dyDescent="0.45">
      <c r="A22" s="42" t="s">
        <v>24</v>
      </c>
      <c r="B22" s="1" t="s">
        <v>1</v>
      </c>
      <c r="C22" s="3">
        <f>CM_FAC1!B2</f>
        <v>0</v>
      </c>
      <c r="D22" s="4">
        <f>CM_FAC1!C2</f>
        <v>3</v>
      </c>
      <c r="E22" s="4">
        <f>CM_FAC1!D2</f>
        <v>2</v>
      </c>
      <c r="F22" s="6">
        <f>SUM(C22:E22)</f>
        <v>5</v>
      </c>
    </row>
    <row r="23" spans="1:11" x14ac:dyDescent="0.45">
      <c r="A23" s="42"/>
      <c r="B23" s="1" t="s">
        <v>2</v>
      </c>
      <c r="C23" s="4">
        <f>CM_FAC1!B3</f>
        <v>39</v>
      </c>
      <c r="D23" s="3">
        <f>CM_FAC1!C3</f>
        <v>73</v>
      </c>
      <c r="E23" s="4">
        <f>CM_FAC1!D3</f>
        <v>71</v>
      </c>
      <c r="F23" s="6">
        <f t="shared" ref="F23:F24" si="2">SUM(C23:E23)</f>
        <v>183</v>
      </c>
    </row>
    <row r="24" spans="1:11" x14ac:dyDescent="0.45">
      <c r="A24" s="42"/>
      <c r="B24" s="1" t="s">
        <v>3</v>
      </c>
      <c r="C24" s="4">
        <f>CM_FAC1!B4</f>
        <v>44</v>
      </c>
      <c r="D24" s="4">
        <f>CM_FAC1!C4</f>
        <v>101</v>
      </c>
      <c r="E24" s="3">
        <f>CM_FAC1!D4</f>
        <v>70</v>
      </c>
      <c r="F24" s="6">
        <f t="shared" si="2"/>
        <v>215</v>
      </c>
      <c r="G24" s="26" t="s">
        <v>36</v>
      </c>
      <c r="H24" s="26" t="s">
        <v>164</v>
      </c>
      <c r="I24" s="26" t="s">
        <v>162</v>
      </c>
      <c r="J24" s="26" t="s">
        <v>163</v>
      </c>
    </row>
    <row r="25" spans="1:11" x14ac:dyDescent="0.45">
      <c r="A25" s="2"/>
      <c r="B25" s="1" t="s">
        <v>34</v>
      </c>
      <c r="C25" s="6">
        <f>SUM(C22:C24)</f>
        <v>83</v>
      </c>
      <c r="D25" s="6">
        <f>SUM(D22:D24)</f>
        <v>177</v>
      </c>
      <c r="E25" s="6">
        <f>SUM(E22:E24)</f>
        <v>143</v>
      </c>
      <c r="F25" s="6">
        <f>SUM(C25:E25)</f>
        <v>403</v>
      </c>
      <c r="G25" s="8">
        <f>C22+D23+E24</f>
        <v>143</v>
      </c>
      <c r="H25" s="8">
        <f>(C25*F22)+(D25*F23)+(E25*F24)</f>
        <v>63551</v>
      </c>
      <c r="I25" s="8">
        <f>(C25^2)+(D25^2)+(E25^2)</f>
        <v>58667</v>
      </c>
      <c r="J25" s="8">
        <f>(F22^2)+(F23^2)+(F24^2)</f>
        <v>79739</v>
      </c>
      <c r="K25" s="10"/>
    </row>
    <row r="26" spans="1:11" x14ac:dyDescent="0.45">
      <c r="A26" s="4"/>
      <c r="B26" s="5" t="s">
        <v>25</v>
      </c>
      <c r="C26" s="6"/>
      <c r="D26" s="6"/>
      <c r="E26" s="16">
        <f>(C22+D23+E24)/F25</f>
        <v>0.35483870967741937</v>
      </c>
      <c r="F26" s="4"/>
    </row>
    <row r="27" spans="1:11" x14ac:dyDescent="0.45">
      <c r="A27" s="4"/>
      <c r="B27" s="5" t="s">
        <v>35</v>
      </c>
      <c r="C27" s="4"/>
      <c r="D27" s="4"/>
      <c r="E27" s="9">
        <f>(G25*F25-H25)/SQRT((F25^2-I25)*(F25^2-J25))</f>
        <v>-6.394655108739912E-2</v>
      </c>
      <c r="F27" s="4"/>
    </row>
    <row r="30" spans="1:11" x14ac:dyDescent="0.45">
      <c r="A30" s="43" t="s">
        <v>28</v>
      </c>
      <c r="B30" s="43"/>
      <c r="C30" s="42" t="s">
        <v>23</v>
      </c>
      <c r="D30" s="42"/>
      <c r="E30" s="42"/>
      <c r="F30" s="1" t="s">
        <v>34</v>
      </c>
    </row>
    <row r="31" spans="1:11" x14ac:dyDescent="0.45">
      <c r="A31" s="43"/>
      <c r="B31" s="43"/>
      <c r="C31" s="1" t="s">
        <v>1</v>
      </c>
      <c r="D31" s="1" t="s">
        <v>2</v>
      </c>
      <c r="E31" s="1" t="s">
        <v>3</v>
      </c>
      <c r="F31" s="4"/>
    </row>
    <row r="32" spans="1:11" x14ac:dyDescent="0.45">
      <c r="A32" s="42" t="s">
        <v>24</v>
      </c>
      <c r="B32" s="1" t="s">
        <v>1</v>
      </c>
      <c r="C32" s="3">
        <f>CM_FAC2!B2</f>
        <v>0</v>
      </c>
      <c r="D32" s="4">
        <f>CM_FAC2!C2</f>
        <v>2</v>
      </c>
      <c r="E32" s="4">
        <f>CM_FAC2!D2</f>
        <v>1</v>
      </c>
      <c r="F32" s="6">
        <f>SUM(C32:E32)</f>
        <v>3</v>
      </c>
    </row>
    <row r="33" spans="1:11" x14ac:dyDescent="0.45">
      <c r="A33" s="42"/>
      <c r="B33" s="1" t="s">
        <v>2</v>
      </c>
      <c r="C33" s="4">
        <f>CM_FAC2!B3</f>
        <v>4</v>
      </c>
      <c r="D33" s="3">
        <f>CM_FAC2!C3</f>
        <v>46</v>
      </c>
      <c r="E33" s="4">
        <f>CM_FAC2!D3</f>
        <v>67</v>
      </c>
      <c r="F33" s="6">
        <f t="shared" ref="F33:F34" si="3">SUM(C33:E33)</f>
        <v>117</v>
      </c>
    </row>
    <row r="34" spans="1:11" x14ac:dyDescent="0.45">
      <c r="A34" s="42"/>
      <c r="B34" s="1" t="s">
        <v>3</v>
      </c>
      <c r="C34" s="4">
        <f>CM_FAC2!B4</f>
        <v>17</v>
      </c>
      <c r="D34" s="4">
        <f>CM_FAC2!C4</f>
        <v>137</v>
      </c>
      <c r="E34" s="3">
        <f>CM_FAC2!D4</f>
        <v>128</v>
      </c>
      <c r="F34" s="6">
        <f t="shared" si="3"/>
        <v>282</v>
      </c>
      <c r="G34" s="26" t="s">
        <v>36</v>
      </c>
      <c r="H34" s="26" t="s">
        <v>164</v>
      </c>
      <c r="I34" s="26" t="s">
        <v>162</v>
      </c>
      <c r="J34" s="26" t="s">
        <v>163</v>
      </c>
    </row>
    <row r="35" spans="1:11" x14ac:dyDescent="0.45">
      <c r="A35" s="2"/>
      <c r="B35" s="1" t="s">
        <v>34</v>
      </c>
      <c r="C35" s="6">
        <f>SUM(C32:C34)</f>
        <v>21</v>
      </c>
      <c r="D35" s="6">
        <f>SUM(D32:D34)</f>
        <v>185</v>
      </c>
      <c r="E35" s="6">
        <f>SUM(E32:E34)</f>
        <v>196</v>
      </c>
      <c r="F35" s="6">
        <f>SUM(C35:E35)</f>
        <v>402</v>
      </c>
      <c r="G35" s="8">
        <f>C32+D33+E34</f>
        <v>174</v>
      </c>
      <c r="H35" s="8">
        <f>(C35*F32)+(D35*F33)+(E35*F34)</f>
        <v>76980</v>
      </c>
      <c r="I35" s="8">
        <f>(C35^2)+(D35^2)+(E35^2)</f>
        <v>73082</v>
      </c>
      <c r="J35" s="8">
        <f>(F32^2)+(F33^2)+(F34^2)</f>
        <v>93222</v>
      </c>
      <c r="K35" s="10"/>
    </row>
    <row r="36" spans="1:11" x14ac:dyDescent="0.45">
      <c r="A36" s="4"/>
      <c r="B36" s="5" t="s">
        <v>25</v>
      </c>
      <c r="C36" s="6"/>
      <c r="D36" s="6"/>
      <c r="E36" s="16">
        <f>(C32+D33+E34)/F35</f>
        <v>0.43283582089552236</v>
      </c>
      <c r="F36" s="4"/>
    </row>
    <row r="37" spans="1:11" x14ac:dyDescent="0.45">
      <c r="A37" s="4"/>
      <c r="B37" s="5" t="s">
        <v>35</v>
      </c>
      <c r="C37" s="4"/>
      <c r="D37" s="4"/>
      <c r="E37" s="9">
        <f>(G35*F35-H35)/SQRT((F35^2-I35)*(F35^2-J35))</f>
        <v>-9.0382084637402021E-2</v>
      </c>
      <c r="F37" s="4"/>
    </row>
    <row r="40" spans="1:11" x14ac:dyDescent="0.45">
      <c r="A40" s="43" t="s">
        <v>29</v>
      </c>
      <c r="B40" s="43"/>
      <c r="C40" s="42" t="s">
        <v>23</v>
      </c>
      <c r="D40" s="42"/>
      <c r="E40" s="42"/>
      <c r="F40" s="1" t="s">
        <v>34</v>
      </c>
    </row>
    <row r="41" spans="1:11" x14ac:dyDescent="0.45">
      <c r="A41" s="43"/>
      <c r="B41" s="43"/>
      <c r="C41" s="1" t="s">
        <v>1</v>
      </c>
      <c r="D41" s="1" t="s">
        <v>2</v>
      </c>
      <c r="E41" s="1" t="s">
        <v>3</v>
      </c>
      <c r="F41" s="4"/>
    </row>
    <row r="42" spans="1:11" x14ac:dyDescent="0.45">
      <c r="A42" s="42" t="s">
        <v>24</v>
      </c>
      <c r="B42" s="1" t="s">
        <v>1</v>
      </c>
      <c r="C42" s="3">
        <f>CM_TRU1!B2</f>
        <v>0</v>
      </c>
      <c r="D42" s="4">
        <f>CM_TRU1!C2</f>
        <v>1</v>
      </c>
      <c r="E42" s="4">
        <f>CM_TRU1!D2</f>
        <v>2</v>
      </c>
      <c r="F42" s="6">
        <f>SUM(C42:E42)</f>
        <v>3</v>
      </c>
    </row>
    <row r="43" spans="1:11" x14ac:dyDescent="0.45">
      <c r="A43" s="42"/>
      <c r="B43" s="1" t="s">
        <v>2</v>
      </c>
      <c r="C43" s="4">
        <f>CM_TRU1!B3</f>
        <v>38</v>
      </c>
      <c r="D43" s="3">
        <f>CM_TRU1!C3</f>
        <v>147</v>
      </c>
      <c r="E43" s="4">
        <f>CM_TRU1!D3</f>
        <v>84</v>
      </c>
      <c r="F43" s="6">
        <f t="shared" ref="F43:F44" si="4">SUM(C43:E43)</f>
        <v>269</v>
      </c>
    </row>
    <row r="44" spans="1:11" x14ac:dyDescent="0.45">
      <c r="A44" s="42"/>
      <c r="B44" s="1" t="s">
        <v>3</v>
      </c>
      <c r="C44" s="4">
        <f>CM_TRU1!B4</f>
        <v>19</v>
      </c>
      <c r="D44" s="4">
        <f>CM_TRU1!C4</f>
        <v>69</v>
      </c>
      <c r="E44" s="3">
        <f>CM_TRU1!D4</f>
        <v>42</v>
      </c>
      <c r="F44" s="6">
        <f t="shared" si="4"/>
        <v>130</v>
      </c>
      <c r="G44" s="26" t="s">
        <v>36</v>
      </c>
      <c r="H44" s="26" t="s">
        <v>164</v>
      </c>
      <c r="I44" s="26" t="s">
        <v>162</v>
      </c>
      <c r="J44" s="26" t="s">
        <v>163</v>
      </c>
    </row>
    <row r="45" spans="1:11" x14ac:dyDescent="0.45">
      <c r="A45" s="2"/>
      <c r="B45" s="1" t="s">
        <v>34</v>
      </c>
      <c r="C45" s="6">
        <f>SUM(C42:C44)</f>
        <v>57</v>
      </c>
      <c r="D45" s="6">
        <f>SUM(D42:D44)</f>
        <v>217</v>
      </c>
      <c r="E45" s="6">
        <f>SUM(E42:E44)</f>
        <v>128</v>
      </c>
      <c r="F45" s="6">
        <f>SUM(C45:E45)</f>
        <v>402</v>
      </c>
      <c r="G45" s="8">
        <f>C42+D43+E44</f>
        <v>189</v>
      </c>
      <c r="H45" s="8">
        <f>(C45*F42)+(D45*F43)+(E45*F44)</f>
        <v>75184</v>
      </c>
      <c r="I45" s="8">
        <f>(C45^2)+(D45^2)+(E45^2)</f>
        <v>66722</v>
      </c>
      <c r="J45" s="8">
        <f>(F42^2)+(F43^2)+(F44^2)</f>
        <v>89270</v>
      </c>
      <c r="K45" s="10"/>
    </row>
    <row r="46" spans="1:11" x14ac:dyDescent="0.45">
      <c r="A46" s="4"/>
      <c r="B46" s="5" t="s">
        <v>25</v>
      </c>
      <c r="C46" s="6"/>
      <c r="D46" s="6"/>
      <c r="E46" s="16">
        <f>(C42+D43+E44)/F45</f>
        <v>0.47014925373134331</v>
      </c>
      <c r="F46" s="4"/>
    </row>
    <row r="47" spans="1:11" x14ac:dyDescent="0.45">
      <c r="A47" s="4"/>
      <c r="B47" s="5" t="s">
        <v>35</v>
      </c>
      <c r="C47" s="4"/>
      <c r="D47" s="4"/>
      <c r="E47" s="9">
        <f>(G45*F45-H45)/SQRT((F45^2-I45)*(F45^2-J45))</f>
        <v>9.5842326258775978E-3</v>
      </c>
      <c r="F47" s="4"/>
    </row>
    <row r="50" spans="1:11" x14ac:dyDescent="0.45">
      <c r="A50" s="43" t="s">
        <v>30</v>
      </c>
      <c r="B50" s="43"/>
      <c r="C50" s="42" t="s">
        <v>23</v>
      </c>
      <c r="D50" s="42"/>
      <c r="E50" s="42"/>
      <c r="F50" s="1" t="s">
        <v>34</v>
      </c>
    </row>
    <row r="51" spans="1:11" x14ac:dyDescent="0.45">
      <c r="A51" s="43"/>
      <c r="B51" s="43"/>
      <c r="C51" s="1" t="s">
        <v>1</v>
      </c>
      <c r="D51" s="1" t="s">
        <v>2</v>
      </c>
      <c r="E51" s="1" t="s">
        <v>3</v>
      </c>
      <c r="F51" s="4"/>
    </row>
    <row r="52" spans="1:11" x14ac:dyDescent="0.45">
      <c r="A52" s="42" t="s">
        <v>24</v>
      </c>
      <c r="B52" s="1" t="s">
        <v>1</v>
      </c>
      <c r="C52" s="3">
        <f>CM_TRU2!B2</f>
        <v>0</v>
      </c>
      <c r="D52" s="4">
        <f>CM_TRU2!C2</f>
        <v>1</v>
      </c>
      <c r="E52" s="4">
        <f>CM_TRU2!D2</f>
        <v>3</v>
      </c>
      <c r="F52" s="6">
        <f>SUM(C52:E52)</f>
        <v>4</v>
      </c>
    </row>
    <row r="53" spans="1:11" x14ac:dyDescent="0.45">
      <c r="A53" s="42"/>
      <c r="B53" s="1" t="s">
        <v>2</v>
      </c>
      <c r="C53" s="4">
        <f>CM_TRU2!B3</f>
        <v>46</v>
      </c>
      <c r="D53" s="3">
        <f>CM_TRU2!C3</f>
        <v>121</v>
      </c>
      <c r="E53" s="4">
        <f>CM_TRU2!D3</f>
        <v>98</v>
      </c>
      <c r="F53" s="6">
        <f t="shared" ref="F53:F54" si="5">SUM(C53:E53)</f>
        <v>265</v>
      </c>
    </row>
    <row r="54" spans="1:11" x14ac:dyDescent="0.45">
      <c r="A54" s="42"/>
      <c r="B54" s="1" t="s">
        <v>3</v>
      </c>
      <c r="C54" s="4">
        <f>CM_TRU2!B4</f>
        <v>24</v>
      </c>
      <c r="D54" s="4">
        <f>CM_TRU2!C4</f>
        <v>56</v>
      </c>
      <c r="E54" s="3">
        <f>CM_TRU2!D4</f>
        <v>53</v>
      </c>
      <c r="F54" s="6">
        <f t="shared" si="5"/>
        <v>133</v>
      </c>
      <c r="G54" s="26" t="s">
        <v>36</v>
      </c>
      <c r="H54" s="26" t="s">
        <v>164</v>
      </c>
      <c r="I54" s="26" t="s">
        <v>162</v>
      </c>
      <c r="J54" s="26" t="s">
        <v>163</v>
      </c>
    </row>
    <row r="55" spans="1:11" x14ac:dyDescent="0.45">
      <c r="A55" s="2"/>
      <c r="B55" s="1" t="s">
        <v>34</v>
      </c>
      <c r="C55" s="6">
        <f>SUM(C52:C54)</f>
        <v>70</v>
      </c>
      <c r="D55" s="6">
        <f>SUM(D52:D54)</f>
        <v>178</v>
      </c>
      <c r="E55" s="6">
        <f>SUM(E52:E54)</f>
        <v>154</v>
      </c>
      <c r="F55" s="6">
        <f>SUM(C55:E55)</f>
        <v>402</v>
      </c>
      <c r="G55" s="8">
        <f>C52+D53+E54</f>
        <v>174</v>
      </c>
      <c r="H55" s="8">
        <f>(C55*F52)+(D55*F53)+(E55*F54)</f>
        <v>67932</v>
      </c>
      <c r="I55" s="8">
        <f>(C55^2)+(D55^2)+(E55^2)</f>
        <v>60300</v>
      </c>
      <c r="J55" s="8">
        <f>(F52^2)+(F53^2)+(F54^2)</f>
        <v>87930</v>
      </c>
      <c r="K55" s="10"/>
    </row>
    <row r="56" spans="1:11" x14ac:dyDescent="0.45">
      <c r="A56" s="4"/>
      <c r="B56" s="5" t="s">
        <v>25</v>
      </c>
      <c r="C56" s="6"/>
      <c r="D56" s="6"/>
      <c r="E56" s="16">
        <f>(C52+D53+E54)/F55</f>
        <v>0.43283582089552236</v>
      </c>
      <c r="F56" s="4"/>
    </row>
    <row r="57" spans="1:11" x14ac:dyDescent="0.45">
      <c r="A57" s="4"/>
      <c r="B57" s="5" t="s">
        <v>35</v>
      </c>
      <c r="C57" s="4"/>
      <c r="D57" s="4"/>
      <c r="E57" s="9">
        <f>(G55*F55-H55)/SQRT((F55^2-I55)*(F55^2-J55))</f>
        <v>2.3335660938515124E-2</v>
      </c>
      <c r="F57" s="4"/>
    </row>
    <row r="60" spans="1:11" x14ac:dyDescent="0.45">
      <c r="A60" s="43" t="s">
        <v>31</v>
      </c>
      <c r="B60" s="43"/>
      <c r="C60" s="42" t="s">
        <v>23</v>
      </c>
      <c r="D60" s="42"/>
      <c r="E60" s="42"/>
      <c r="F60" s="1" t="s">
        <v>34</v>
      </c>
    </row>
    <row r="61" spans="1:11" x14ac:dyDescent="0.45">
      <c r="A61" s="43"/>
      <c r="B61" s="43"/>
      <c r="C61" s="13" t="s">
        <v>1</v>
      </c>
      <c r="D61" s="1" t="s">
        <v>2</v>
      </c>
      <c r="E61" s="1" t="s">
        <v>3</v>
      </c>
      <c r="F61" s="4"/>
    </row>
    <row r="62" spans="1:11" x14ac:dyDescent="0.45">
      <c r="A62" s="42" t="s">
        <v>24</v>
      </c>
      <c r="B62" s="11" t="s">
        <v>1</v>
      </c>
      <c r="C62" s="3">
        <f>CM_TRU3!B2</f>
        <v>2</v>
      </c>
      <c r="D62">
        <f>CM_TRU3!C2</f>
        <v>7</v>
      </c>
      <c r="E62">
        <f>CM_TRU3!D2</f>
        <v>9</v>
      </c>
      <c r="F62" s="6">
        <f>SUM(C62:E62)</f>
        <v>18</v>
      </c>
    </row>
    <row r="63" spans="1:11" x14ac:dyDescent="0.45">
      <c r="A63" s="42"/>
      <c r="B63" s="1" t="s">
        <v>2</v>
      </c>
      <c r="C63">
        <f>CM_TRU3!B3</f>
        <v>62</v>
      </c>
      <c r="D63" s="3">
        <f>CM_TRU3!C3</f>
        <v>176</v>
      </c>
      <c r="E63">
        <f>CM_TRU3!D3</f>
        <v>83</v>
      </c>
      <c r="F63" s="6">
        <f t="shared" ref="F63:F64" si="6">SUM(C63:E63)</f>
        <v>321</v>
      </c>
    </row>
    <row r="64" spans="1:11" x14ac:dyDescent="0.45">
      <c r="A64" s="42"/>
      <c r="B64" s="1" t="s">
        <v>3</v>
      </c>
      <c r="C64">
        <f>CM_TRU3!B4</f>
        <v>8</v>
      </c>
      <c r="D64">
        <f>CM_TRU3!C4</f>
        <v>33</v>
      </c>
      <c r="E64" s="3">
        <f>CM_TRU3!D4</f>
        <v>21</v>
      </c>
      <c r="F64" s="12">
        <f t="shared" si="6"/>
        <v>62</v>
      </c>
      <c r="G64" s="26" t="s">
        <v>36</v>
      </c>
      <c r="H64" s="26" t="s">
        <v>164</v>
      </c>
      <c r="I64" s="26" t="s">
        <v>162</v>
      </c>
      <c r="J64" s="26" t="s">
        <v>163</v>
      </c>
    </row>
    <row r="65" spans="1:11" x14ac:dyDescent="0.45">
      <c r="A65" s="2"/>
      <c r="B65" s="1" t="s">
        <v>34</v>
      </c>
      <c r="C65" s="6">
        <f>SUM(C62:C64)</f>
        <v>72</v>
      </c>
      <c r="D65" s="6">
        <f>SUM(D62:D64)</f>
        <v>216</v>
      </c>
      <c r="E65" s="14">
        <f>SUM(E62:E64)</f>
        <v>113</v>
      </c>
      <c r="F65" s="6">
        <f>SUM(C65:E65)</f>
        <v>401</v>
      </c>
      <c r="G65" s="8">
        <f>C62+D63+E64</f>
        <v>199</v>
      </c>
      <c r="H65" s="8">
        <f>(C65*F62)+(D65*F63)+(E65*F64)</f>
        <v>77638</v>
      </c>
      <c r="I65" s="8">
        <f>(C65^2)+(D65^2)+(E65^2)</f>
        <v>64609</v>
      </c>
      <c r="J65" s="8">
        <f>(F62^2)+(F63^2)+(F64^2)</f>
        <v>107209</v>
      </c>
      <c r="K65" s="10"/>
    </row>
    <row r="66" spans="1:11" x14ac:dyDescent="0.45">
      <c r="A66" s="4"/>
      <c r="B66" s="5" t="s">
        <v>25</v>
      </c>
      <c r="C66" s="6"/>
      <c r="D66" s="6"/>
      <c r="E66" s="16">
        <f>(C62+D63+E64)/F65</f>
        <v>0.49625935162094764</v>
      </c>
      <c r="F66" s="4"/>
    </row>
    <row r="67" spans="1:11" x14ac:dyDescent="0.45">
      <c r="A67" s="4"/>
      <c r="B67" s="5" t="s">
        <v>35</v>
      </c>
      <c r="C67" s="4"/>
      <c r="D67" s="4"/>
      <c r="E67" s="9">
        <f>(G65*F65-H65)/SQRT((F65^2-I65)*(F65^2-J65))</f>
        <v>3.0097838478737506E-2</v>
      </c>
      <c r="F67" s="4"/>
    </row>
    <row r="69" spans="1:11" x14ac:dyDescent="0.45">
      <c r="A69" s="43" t="s">
        <v>32</v>
      </c>
      <c r="B69" s="43"/>
      <c r="C69" s="42" t="s">
        <v>23</v>
      </c>
      <c r="D69" s="42"/>
      <c r="E69" s="42"/>
      <c r="F69" s="1" t="s">
        <v>34</v>
      </c>
    </row>
    <row r="70" spans="1:11" x14ac:dyDescent="0.45">
      <c r="A70" s="43"/>
      <c r="B70" s="43"/>
      <c r="C70" s="1" t="s">
        <v>1</v>
      </c>
      <c r="D70" s="1" t="s">
        <v>2</v>
      </c>
      <c r="E70" s="1" t="s">
        <v>3</v>
      </c>
      <c r="F70" s="4"/>
    </row>
    <row r="71" spans="1:11" x14ac:dyDescent="0.45">
      <c r="A71" s="42" t="s">
        <v>24</v>
      </c>
      <c r="B71" s="1" t="s">
        <v>1</v>
      </c>
      <c r="C71" s="3">
        <f>CM_TRU4!B2</f>
        <v>2</v>
      </c>
      <c r="D71" s="4">
        <f>CM_TRU4!C2</f>
        <v>41</v>
      </c>
      <c r="E71" s="4">
        <f>CM_TRU4!D2</f>
        <v>3</v>
      </c>
      <c r="F71" s="6">
        <f>SUM(C71:E71)</f>
        <v>46</v>
      </c>
    </row>
    <row r="72" spans="1:11" x14ac:dyDescent="0.45">
      <c r="A72" s="42"/>
      <c r="B72" s="1" t="s">
        <v>2</v>
      </c>
      <c r="C72" s="4">
        <f>CM_TRU4!B3</f>
        <v>16</v>
      </c>
      <c r="D72" s="3">
        <f>CM_TRU4!C3</f>
        <v>201</v>
      </c>
      <c r="E72" s="4">
        <f>CM_TRU4!D3</f>
        <v>17</v>
      </c>
      <c r="F72" s="6">
        <f t="shared" ref="F72:F73" si="7">SUM(C72:E72)</f>
        <v>234</v>
      </c>
    </row>
    <row r="73" spans="1:11" x14ac:dyDescent="0.45">
      <c r="A73" s="42"/>
      <c r="B73" s="1" t="s">
        <v>3</v>
      </c>
      <c r="C73" s="4">
        <f>CM_TRU4!B4</f>
        <v>6</v>
      </c>
      <c r="D73" s="4">
        <f>CM_TRU4!C4</f>
        <v>101</v>
      </c>
      <c r="E73" s="3">
        <f>CM_TRU4!D4</f>
        <v>14</v>
      </c>
      <c r="F73" s="6">
        <f t="shared" si="7"/>
        <v>121</v>
      </c>
      <c r="G73" s="26" t="s">
        <v>36</v>
      </c>
      <c r="H73" s="26" t="s">
        <v>164</v>
      </c>
      <c r="I73" s="26" t="s">
        <v>162</v>
      </c>
      <c r="J73" s="26" t="s">
        <v>163</v>
      </c>
    </row>
    <row r="74" spans="1:11" x14ac:dyDescent="0.45">
      <c r="A74" s="2"/>
      <c r="B74" s="1" t="s">
        <v>34</v>
      </c>
      <c r="C74" s="6">
        <f>SUM(C71:C73)</f>
        <v>24</v>
      </c>
      <c r="D74" s="6">
        <f>SUM(D71:D73)</f>
        <v>343</v>
      </c>
      <c r="E74" s="6">
        <f>SUM(E71:E73)</f>
        <v>34</v>
      </c>
      <c r="F74" s="6">
        <f>SUM(C74:E74)</f>
        <v>401</v>
      </c>
      <c r="G74" s="8">
        <f>C71+D72+E73</f>
        <v>217</v>
      </c>
      <c r="H74" s="8">
        <f>(C74*F71)+(D74*F72)+(E74*F73)</f>
        <v>85480</v>
      </c>
      <c r="I74" s="8">
        <f>(C74^2)+(D74^2)+(E74^2)</f>
        <v>119381</v>
      </c>
      <c r="J74" s="8">
        <f>(F71^2)+(F72^2)+(F73^2)</f>
        <v>71513</v>
      </c>
      <c r="K74" s="10"/>
    </row>
    <row r="75" spans="1:11" x14ac:dyDescent="0.45">
      <c r="A75" s="4"/>
      <c r="B75" s="5" t="s">
        <v>25</v>
      </c>
      <c r="C75" s="6"/>
      <c r="D75" s="6"/>
      <c r="E75" s="16">
        <f>(C71+D72+E73)/F74</f>
        <v>0.54114713216957611</v>
      </c>
      <c r="F75" s="4"/>
    </row>
    <row r="76" spans="1:11" x14ac:dyDescent="0.45">
      <c r="A76" s="4"/>
      <c r="B76" s="5" t="s">
        <v>35</v>
      </c>
      <c r="C76" s="4"/>
      <c r="D76" s="4"/>
      <c r="E76" s="9">
        <f>(G74*F74-H74)/SQRT((F74^2-I74)*(F74^2-J74))</f>
        <v>2.5273900573333015E-2</v>
      </c>
      <c r="F76" s="4"/>
    </row>
    <row r="79" spans="1:11" x14ac:dyDescent="0.45">
      <c r="A79" s="43" t="s">
        <v>33</v>
      </c>
      <c r="B79" s="43"/>
      <c r="C79" s="42" t="s">
        <v>23</v>
      </c>
      <c r="D79" s="42"/>
      <c r="E79" s="42"/>
      <c r="F79" s="1" t="s">
        <v>34</v>
      </c>
    </row>
    <row r="80" spans="1:11" x14ac:dyDescent="0.45">
      <c r="A80" s="43"/>
      <c r="B80" s="43"/>
      <c r="C80" s="1" t="s">
        <v>1</v>
      </c>
      <c r="D80" s="1" t="s">
        <v>2</v>
      </c>
      <c r="E80" s="1" t="s">
        <v>3</v>
      </c>
      <c r="F80" s="4"/>
    </row>
    <row r="81" spans="1:11" x14ac:dyDescent="0.45">
      <c r="A81" s="42" t="s">
        <v>24</v>
      </c>
      <c r="B81" s="1" t="s">
        <v>1</v>
      </c>
      <c r="C81" s="7">
        <f>CM_OUT1!B2</f>
        <v>0</v>
      </c>
      <c r="D81">
        <f>CM_OUT1!C2</f>
        <v>3</v>
      </c>
      <c r="E81">
        <f>CM_OUT1!D2</f>
        <v>5</v>
      </c>
      <c r="F81" s="6">
        <f>SUM(C81:E81)</f>
        <v>8</v>
      </c>
    </row>
    <row r="82" spans="1:11" x14ac:dyDescent="0.45">
      <c r="A82" s="42"/>
      <c r="B82" s="1" t="s">
        <v>2</v>
      </c>
      <c r="C82">
        <f>CM_OUT1!B3</f>
        <v>20</v>
      </c>
      <c r="D82" s="7">
        <f>CM_OUT1!C3</f>
        <v>135</v>
      </c>
      <c r="E82">
        <f>CM_OUT1!D3</f>
        <v>106</v>
      </c>
      <c r="F82" s="6">
        <f t="shared" ref="F82:F83" si="8">SUM(C82:E82)</f>
        <v>261</v>
      </c>
    </row>
    <row r="83" spans="1:11" x14ac:dyDescent="0.45">
      <c r="A83" s="42"/>
      <c r="B83" s="1" t="s">
        <v>3</v>
      </c>
      <c r="C83">
        <f>CM_OUT1!B4</f>
        <v>15</v>
      </c>
      <c r="D83">
        <f>CM_OUT1!C4</f>
        <v>55</v>
      </c>
      <c r="E83" s="7">
        <f>CM_OUT1!D4</f>
        <v>60</v>
      </c>
      <c r="F83" s="6">
        <f t="shared" si="8"/>
        <v>130</v>
      </c>
      <c r="G83" s="26" t="s">
        <v>36</v>
      </c>
      <c r="H83" s="26" t="s">
        <v>164</v>
      </c>
      <c r="I83" s="26" t="s">
        <v>162</v>
      </c>
      <c r="J83" s="26" t="s">
        <v>163</v>
      </c>
    </row>
    <row r="84" spans="1:11" x14ac:dyDescent="0.45">
      <c r="A84" s="2"/>
      <c r="B84" s="1" t="s">
        <v>34</v>
      </c>
      <c r="C84" s="6">
        <f>SUM(C81:C83)</f>
        <v>35</v>
      </c>
      <c r="D84" s="6">
        <f>SUM(D81:D83)</f>
        <v>193</v>
      </c>
      <c r="E84" s="6">
        <f>SUM(E81:E83)</f>
        <v>171</v>
      </c>
      <c r="F84" s="6">
        <f>SUM(C84:E84)</f>
        <v>399</v>
      </c>
      <c r="G84" s="8">
        <f>C81+D82+E83</f>
        <v>195</v>
      </c>
      <c r="H84" s="8">
        <f>(C84*F81)+(D84*F82)+(E84*F83)</f>
        <v>72883</v>
      </c>
      <c r="I84" s="8">
        <f>(C84^2)+(D84^2)+(E84^2)</f>
        <v>67715</v>
      </c>
      <c r="J84" s="8">
        <f>(F81^2)+(F82^2)+(F83^2)</f>
        <v>85085</v>
      </c>
      <c r="K84" s="10"/>
    </row>
    <row r="85" spans="1:11" x14ac:dyDescent="0.45">
      <c r="A85" s="4"/>
      <c r="B85" s="5" t="s">
        <v>25</v>
      </c>
      <c r="C85" s="6"/>
      <c r="D85" s="6"/>
      <c r="E85" s="16">
        <f>(C81+D82+E83)/F84</f>
        <v>0.48872180451127817</v>
      </c>
      <c r="F85" s="4"/>
    </row>
    <row r="86" spans="1:11" x14ac:dyDescent="0.45">
      <c r="A86" s="4"/>
      <c r="B86" s="5" t="s">
        <v>35</v>
      </c>
      <c r="C86" s="4"/>
      <c r="D86" s="4"/>
      <c r="E86" s="9">
        <f>(G84*F84-H84)/SQRT((F84^2-I84)*(F84^2-J84))</f>
        <v>5.9773447265393513E-2</v>
      </c>
      <c r="F86" s="4"/>
    </row>
  </sheetData>
  <mergeCells count="27">
    <mergeCell ref="A52:A54"/>
    <mergeCell ref="A60:B61"/>
    <mergeCell ref="C60:E60"/>
    <mergeCell ref="A62:A64"/>
    <mergeCell ref="A69:B70"/>
    <mergeCell ref="C69:E69"/>
    <mergeCell ref="A1:B2"/>
    <mergeCell ref="C1:E1"/>
    <mergeCell ref="A3:A5"/>
    <mergeCell ref="A10:B11"/>
    <mergeCell ref="C10:E10"/>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0</v>
      </c>
      <c r="C2" s="4">
        <f>COUNTIFS(step3_combined_data!$T$2:$T$404,"Neutral", step3_combined_data!$R$2:$R$404,"Oppose")</f>
        <v>1</v>
      </c>
      <c r="D2" s="4">
        <f>COUNTIFS(step3_combined_data!$T$2:$T$404,"Support", step3_combined_data!$R$2:$R$404,"Oppose")</f>
        <v>2</v>
      </c>
    </row>
    <row r="3" spans="1:4" x14ac:dyDescent="0.45">
      <c r="A3" s="1" t="s">
        <v>2</v>
      </c>
      <c r="B3" s="4">
        <f>COUNTIFS(step3_combined_data!$T$2:$T$404,"Oppose", step3_combined_data!$R$2:$R$404,"Neutral")</f>
        <v>33</v>
      </c>
      <c r="C3" s="4">
        <f>COUNTIFS(step3_combined_data!$T$2:$T$404,"Neutral", step3_combined_data!$R$2:$R$404,"Neutral")</f>
        <v>119</v>
      </c>
      <c r="D3" s="4">
        <f>COUNTIFS(step3_combined_data!$T$2:$T$404,"Support", step3_combined_data!$R$2:$R$404,"Neutral")</f>
        <v>119</v>
      </c>
    </row>
    <row r="4" spans="1:4" x14ac:dyDescent="0.45">
      <c r="A4" s="1" t="s">
        <v>3</v>
      </c>
      <c r="B4" s="4">
        <f>COUNTIFS(step3_combined_data!$T$2:$T$404,"Oppose", step3_combined_data!$R$2:$R$404,"Support")</f>
        <v>22</v>
      </c>
      <c r="C4" s="4">
        <f>COUNTIFS(step3_combined_data!$T$2:$T$404,"Neutral", step3_combined_data!$R$2:$R$404,"Support")</f>
        <v>60</v>
      </c>
      <c r="D4" s="4">
        <f>COUNTIFS(step3_combined_data!$T$2:$T$404,"Support", step3_combined_data!$R$2:$R$404,"Support")</f>
        <v>47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1</v>
      </c>
      <c r="D2" s="4">
        <f>COUNTIFS(step3_combined_data!$Y$2:$Y$404,"Support", step3_combined_data!$W$2:$W$404,"Oppose")</f>
        <v>0</v>
      </c>
    </row>
    <row r="3" spans="1:4" x14ac:dyDescent="0.45">
      <c r="A3" s="1" t="s">
        <v>2</v>
      </c>
      <c r="B3" s="4">
        <f>COUNTIFS(step3_combined_data!$Y$2:$Y$404,"Oppose", step3_combined_data!$W$2:$W$404,"Neutral")</f>
        <v>18</v>
      </c>
      <c r="C3" s="4">
        <f>COUNTIFS(step3_combined_data!$Y$2:$Y$404,"Neutral", step3_combined_data!$W$2:$W$404,"Neutral")</f>
        <v>85</v>
      </c>
      <c r="D3" s="4">
        <f>COUNTIFS(step3_combined_data!$Y$2:$Y$404,"Support", step3_combined_data!$W$2:$W$404,"Neutral")</f>
        <v>96</v>
      </c>
    </row>
    <row r="4" spans="1:4" x14ac:dyDescent="0.45">
      <c r="A4" s="1" t="s">
        <v>3</v>
      </c>
      <c r="B4" s="4">
        <f>COUNTIFS(step3_combined_data!$Y$2:$Y$404,"Oppose", step3_combined_data!$W$2:$W$404,"Support")</f>
        <v>27</v>
      </c>
      <c r="C4" s="4">
        <f>COUNTIFS(step3_combined_data!$Y$2:$Y$404,"Neutral", step3_combined_data!$W$2:$W$404,"Support")</f>
        <v>80</v>
      </c>
      <c r="D4" s="4">
        <f>COUNTIFS(step3_combined_data!$Y$2:$Y$404,"Support", step3_combined_data!$W$2:$W$404,"Support")</f>
        <v>96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0</v>
      </c>
      <c r="C2" s="4">
        <f>COUNTIFS(step3_combined_data!$AD$2:$AD$404,"Neutral", step3_combined_data!$AB$2:$AB$404,"Oppose")</f>
        <v>3</v>
      </c>
      <c r="D2" s="4">
        <f>COUNTIFS(step3_combined_data!$AD$2:$AD$404,"Support", step3_combined_data!$AB$2:$AB$404,"Oppose")</f>
        <v>2</v>
      </c>
    </row>
    <row r="3" spans="1:4" x14ac:dyDescent="0.45">
      <c r="A3" s="1" t="s">
        <v>2</v>
      </c>
      <c r="B3" s="4">
        <f>COUNTIFS(step3_combined_data!$AD$2:$AD$404,"Oppose", step3_combined_data!$AB$2:$AB$404,"Neutral")</f>
        <v>39</v>
      </c>
      <c r="C3" s="4">
        <f>COUNTIFS(step3_combined_data!$AD$2:$AD$404,"Neutral", step3_combined_data!$AB$2:$AB$404,"Neutral")</f>
        <v>73</v>
      </c>
      <c r="D3" s="4">
        <f>COUNTIFS(step3_combined_data!$AD$2:$AD$404,"Support", step3_combined_data!$AB$2:$AB$404,"Neutral")</f>
        <v>71</v>
      </c>
    </row>
    <row r="4" spans="1:4" x14ac:dyDescent="0.45">
      <c r="A4" s="1" t="s">
        <v>3</v>
      </c>
      <c r="B4" s="4">
        <f>COUNTIFS(step3_combined_data!$AD$2:$AD$404,"Oppose", step3_combined_data!$AB$2:$AB$404,"Support")</f>
        <v>44</v>
      </c>
      <c r="C4" s="4">
        <f>COUNTIFS(step3_combined_data!$AD$2:$AD$404,"Neutral", step3_combined_data!$AB$2:$AB$404,"Support")</f>
        <v>101</v>
      </c>
      <c r="D4" s="4">
        <f>COUNTIFS(step3_combined_data!$AD$2:$AD$404,"Support", step3_combined_data!$AB$2:$AB$404,"Support")</f>
        <v>70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2</v>
      </c>
      <c r="D2" s="4">
        <f>COUNTIFS(step3_combined_data!$AI$2:$AI$404,"Support", step3_combined_data!$AG$2:$AG$404,"Oppose")</f>
        <v>1</v>
      </c>
    </row>
    <row r="3" spans="1:4" x14ac:dyDescent="0.45">
      <c r="A3" s="1" t="s">
        <v>2</v>
      </c>
      <c r="B3" s="4">
        <f>COUNTIFS(step3_combined_data!$AI$2:$AI$404,"Oppose", step3_combined_data!$AG$2:$AG$404,"Neutral")</f>
        <v>4</v>
      </c>
      <c r="C3" s="4">
        <f>COUNTIFS(step3_combined_data!$AI$2:$AI$404,"Neutral", step3_combined_data!$AG$2:$AG$404,"Neutral")</f>
        <v>46</v>
      </c>
      <c r="D3" s="4">
        <f>COUNTIFS(step3_combined_data!$AI$2:$AI$404,"Support", step3_combined_data!$AG$2:$AG$404,"Neutral")</f>
        <v>67</v>
      </c>
    </row>
    <row r="4" spans="1:4" x14ac:dyDescent="0.45">
      <c r="A4" s="1" t="s">
        <v>3</v>
      </c>
      <c r="B4" s="4">
        <f>COUNTIFS(step3_combined_data!$AI$2:$AI$404,"Oppose", step3_combined_data!$AG$2:$AG$404,"Support")</f>
        <v>17</v>
      </c>
      <c r="C4" s="4">
        <f>COUNTIFS(step3_combined_data!$AI$2:$AI$404,"Neutral", step3_combined_data!$AG$2:$AG$404,"Support")</f>
        <v>137</v>
      </c>
      <c r="D4" s="4">
        <f>COUNTIFS(step3_combined_data!$AI$2:$AI$404,"Support", step3_combined_data!$AG$2:$AG$404,"Support")</f>
        <v>128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0</v>
      </c>
      <c r="C2" s="4">
        <f>COUNTIFS(step3_combined_data!$AN$2:$AN$404,"Neutral", step3_combined_data!$AL$2:$AL$404,"Oppose")</f>
        <v>1</v>
      </c>
      <c r="D2" s="4">
        <f>COUNTIFS(step3_combined_data!$AN$2:$AN$404,"Support", step3_combined_data!$AL$2:$AL$404,"Oppose")</f>
        <v>2</v>
      </c>
    </row>
    <row r="3" spans="1:4" x14ac:dyDescent="0.45">
      <c r="A3" s="1" t="s">
        <v>2</v>
      </c>
      <c r="B3" s="4">
        <f>COUNTIFS(step3_combined_data!$AN$2:$AN$404,"Oppose", step3_combined_data!$AL$2:$AL$404,"Neutral")</f>
        <v>38</v>
      </c>
      <c r="C3" s="4">
        <f>COUNTIFS(step3_combined_data!$AN$2:$AN$404,"Neutral", step3_combined_data!$AL$2:$AL$404,"Neutral")</f>
        <v>147</v>
      </c>
      <c r="D3" s="4">
        <f>COUNTIFS(step3_combined_data!$AN$2:$AN$404,"Support", step3_combined_data!$AL$2:$AL$404,"Neutral")</f>
        <v>84</v>
      </c>
    </row>
    <row r="4" spans="1:4" x14ac:dyDescent="0.45">
      <c r="A4" s="1" t="s">
        <v>3</v>
      </c>
      <c r="B4" s="4">
        <f>COUNTIFS(step3_combined_data!$AN$2:$AN$404,"Oppose", step3_combined_data!$AL$2:$AL$404,"Support")</f>
        <v>19</v>
      </c>
      <c r="C4" s="4">
        <f>COUNTIFS(step3_combined_data!$AN$2:$AN$404,"Neutral", step3_combined_data!$AL$2:$AL$404,"Support")</f>
        <v>69</v>
      </c>
      <c r="D4" s="4">
        <f>COUNTIFS(step3_combined_data!$AN$2:$AN$404,"Support", step3_combined_data!$AL$2:$AL$404,"Support")</f>
        <v>42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0</v>
      </c>
      <c r="C2" s="4">
        <f>COUNTIFS(step3_combined_data!$AS$2:$AS$404,"Neutral", step3_combined_data!$AQ$2:$AQ$404,"Oppose")</f>
        <v>1</v>
      </c>
      <c r="D2" s="4">
        <f>COUNTIFS(step3_combined_data!$AS$2:$AS$404,"Support", step3_combined_data!$AQ$2:$AQ$404,"Oppose")</f>
        <v>3</v>
      </c>
    </row>
    <row r="3" spans="1:4" x14ac:dyDescent="0.45">
      <c r="A3" s="1" t="s">
        <v>2</v>
      </c>
      <c r="B3" s="4">
        <f>COUNTIFS(step3_combined_data!$AS$2:$AS$404,"Oppose", step3_combined_data!$AQ$2:$AQ$404,"Neutral")</f>
        <v>46</v>
      </c>
      <c r="C3" s="4">
        <f>COUNTIFS(step3_combined_data!$AS$2:$AS$404,"Neutral", step3_combined_data!$AQ$2:$AQ$404,"Neutral")</f>
        <v>121</v>
      </c>
      <c r="D3" s="4">
        <f>COUNTIFS(step3_combined_data!$AS$2:$AS$404,"Support", step3_combined_data!$AQ$2:$AQ$404,"Neutral")</f>
        <v>98</v>
      </c>
    </row>
    <row r="4" spans="1:4" x14ac:dyDescent="0.45">
      <c r="A4" s="1" t="s">
        <v>3</v>
      </c>
      <c r="B4" s="4">
        <f>COUNTIFS(step3_combined_data!$AS$2:$AS$404,"Oppose", step3_combined_data!$AQ$2:$AQ$404,"Support")</f>
        <v>24</v>
      </c>
      <c r="C4" s="4">
        <f>COUNTIFS(step3_combined_data!$AS$2:$AS$404,"Neutral", step3_combined_data!$AQ$2:$AQ$404,"Support")</f>
        <v>56</v>
      </c>
      <c r="D4" s="4">
        <f>COUNTIFS(step3_combined_data!$AS$2:$AS$404,"Support", step3_combined_data!$AQ$2:$AQ$404,"Support")</f>
        <v>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2</v>
      </c>
      <c r="C2" s="4">
        <f>COUNTIFS(step3_combined_data!$AX$2:$AX$404,"Neutral", step3_combined_data!$AV$2:$AV$404,"Oppose")</f>
        <v>7</v>
      </c>
      <c r="D2" s="4">
        <f>COUNTIFS(step3_combined_data!$AX$2:$AX$404,"Support", step3_combined_data!$AV$2:$AV$404,"Oppose")</f>
        <v>9</v>
      </c>
    </row>
    <row r="3" spans="1:4" x14ac:dyDescent="0.45">
      <c r="A3" s="1" t="s">
        <v>2</v>
      </c>
      <c r="B3" s="4">
        <f>COUNTIFS(step3_combined_data!$AX$2:$AX$404,"Oppose", step3_combined_data!$AV$2:$AV$404,"Neutral")</f>
        <v>62</v>
      </c>
      <c r="C3" s="4">
        <f>COUNTIFS(step3_combined_data!$AX$2:$AX$404,"Neutral", step3_combined_data!$AV$2:$AV$404,"Neutral")</f>
        <v>176</v>
      </c>
      <c r="D3" s="4">
        <f>COUNTIFS(step3_combined_data!$AX$2:$AX$404,"Support", step3_combined_data!$AV$2:$AV$404,"Neutral")</f>
        <v>83</v>
      </c>
    </row>
    <row r="4" spans="1:4" x14ac:dyDescent="0.45">
      <c r="A4" s="1" t="s">
        <v>3</v>
      </c>
      <c r="B4" s="4">
        <f>COUNTIFS(step3_combined_data!$AX$2:$AX$404,"Oppose", step3_combined_data!$AV$2:$AV$404,"Support")</f>
        <v>8</v>
      </c>
      <c r="C4" s="4">
        <f>COUNTIFS(step3_combined_data!$AX$2:$AX$404,"Neutral", step3_combined_data!$AV$2:$AV$404,"Support")</f>
        <v>33</v>
      </c>
      <c r="D4" s="4">
        <f>COUNTIFS(step3_combined_data!$AX$2:$AX$404,"Support", step3_combined_data!$AV$2:$AV$404,"Support")</f>
        <v>21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2</v>
      </c>
      <c r="C2" s="4">
        <f>COUNTIFS(step3_combined_data!$BA$2:$BA$404,"Neutral", step3_combined_data!$BC$2:$BC$404,"Oppose")</f>
        <v>41</v>
      </c>
      <c r="D2" s="4">
        <f>COUNTIFS(step3_combined_data!$BA$2:$BA$404,"Support", step3_combined_data!$BC$2:$BC$404,"Oppose")</f>
        <v>3</v>
      </c>
    </row>
    <row r="3" spans="1:4" x14ac:dyDescent="0.45">
      <c r="A3" s="1" t="s">
        <v>2</v>
      </c>
      <c r="B3" s="4">
        <f>COUNTIFS(step3_combined_data!$BA$2:$BA$404,"Oppose", step3_combined_data!$BC$2:$BC$404,"Neutral")</f>
        <v>16</v>
      </c>
      <c r="C3" s="4">
        <f>COUNTIFS(step3_combined_data!$BA$2:$BA$404,"Neutral", step3_combined_data!$BC$2:$BC$404,"Neutral")</f>
        <v>201</v>
      </c>
      <c r="D3" s="4">
        <f>COUNTIFS(step3_combined_data!$BA$2:$BA$404,"Support", step3_combined_data!$BC$2:$BC$404,"Neutral")</f>
        <v>17</v>
      </c>
    </row>
    <row r="4" spans="1:4" x14ac:dyDescent="0.45">
      <c r="A4" s="1" t="s">
        <v>3</v>
      </c>
      <c r="B4" s="4">
        <f>COUNTIFS(step3_combined_data!$BA$2:$BA$404,"Oppose", step3_combined_data!$BC$2:$BC$404,"Support")</f>
        <v>6</v>
      </c>
      <c r="C4" s="4">
        <f>COUNTIFS(step3_combined_data!$BA$2:$BA$404,"Neutral", step3_combined_data!$BC$2:$BC$404,"Support")</f>
        <v>101</v>
      </c>
      <c r="D4" s="4">
        <f>COUNTIFS(step3_combined_data!$BA$2:$BA$404,"Support", step3_combined_data!$BC$2:$BC$404,"Support")</f>
        <v>14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3</v>
      </c>
      <c r="D2" s="4">
        <f>COUNTIFS(step3_combined_data!$BH$2:$BH$404,"Support", step3_combined_data!$BF$2:$BF$404,"Oppose")</f>
        <v>5</v>
      </c>
    </row>
    <row r="3" spans="1:4" x14ac:dyDescent="0.45">
      <c r="A3" s="1" t="s">
        <v>2</v>
      </c>
      <c r="B3" s="4">
        <f>COUNTIFS(step3_combined_data!$BH$2:$BH$404,"Oppose", step3_combined_data!$BF$2:$BF$404,"Neutral")</f>
        <v>20</v>
      </c>
      <c r="C3" s="4">
        <f>COUNTIFS(step3_combined_data!$BH$2:$BH$404,"Neutral", step3_combined_data!$BF$2:$BF$404,"Neutral")</f>
        <v>135</v>
      </c>
      <c r="D3" s="4">
        <f>COUNTIFS(step3_combined_data!$BH$2:$BH$404,"Support", step3_combined_data!$BF$2:$BF$404,"Neutral")</f>
        <v>106</v>
      </c>
    </row>
    <row r="4" spans="1:4" x14ac:dyDescent="0.45">
      <c r="A4" s="1" t="s">
        <v>3</v>
      </c>
      <c r="B4" s="4">
        <f>COUNTIFS(step3_combined_data!$BH$2:$BH$404,"Oppose", step3_combined_data!$BF$2:$BF$404,"Support")</f>
        <v>15</v>
      </c>
      <c r="C4" s="4">
        <f>COUNTIFS(step3_combined_data!$BH$2:$BH$404,"Neutral", step3_combined_data!$BF$2:$BF$404,"Support")</f>
        <v>55</v>
      </c>
      <c r="D4" s="4">
        <f>COUNTIFS(step3_combined_data!$BH$2:$BH$404,"Support", step3_combined_data!$BF$2:$BF$404,"Support")</f>
        <v>60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step3_calibration</vt:lpstr>
      <vt:lpstr>survey_responses</vt:lpstr>
      <vt:lpstr>step3_combined_data</vt:lpstr>
      <vt:lpstr>AIx</vt:lpstr>
      <vt:lpstr>Insights</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2026-02-03T06:46:48Z</dcterms:modified>
</cp:coreProperties>
</file>